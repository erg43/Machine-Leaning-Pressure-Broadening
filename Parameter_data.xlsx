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"/>
    </mc:Choice>
  </mc:AlternateContent>
  <xr:revisionPtr revIDLastSave="0" documentId="13_ncr:1_{5046D6B6-2AF4-D040-ADB1-882C962222A4}" xr6:coauthVersionLast="47" xr6:coauthVersionMax="47" xr10:uidLastSave="{00000000-0000-0000-0000-000000000000}"/>
  <bookViews>
    <workbookView xWindow="0" yWindow="600" windowWidth="28800" windowHeight="15820" xr2:uid="{ED32504A-733A-AE4D-B5DE-FDEC0F0CD967}"/>
  </bookViews>
  <sheets>
    <sheet name="Sheet1" sheetId="1" r:id="rId1"/>
  </sheets>
  <definedNames>
    <definedName name="_xlnm._FilterDatabase" localSheetId="0" hidden="1">Sheet1!$A$2:$A$205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0" i="1" l="1"/>
  <c r="V152" i="1"/>
  <c r="M46" i="1"/>
  <c r="V5" i="1"/>
  <c r="V25" i="1"/>
  <c r="V41" i="1"/>
  <c r="R224" i="1"/>
  <c r="Q224" i="1"/>
  <c r="R223" i="1"/>
  <c r="Q223" i="1"/>
  <c r="R229" i="1"/>
  <c r="Q229" i="1"/>
  <c r="R228" i="1"/>
  <c r="Q228" i="1"/>
  <c r="R227" i="1"/>
  <c r="Q227" i="1"/>
  <c r="R226" i="1"/>
  <c r="Q226" i="1"/>
  <c r="R225" i="1"/>
  <c r="Q225" i="1"/>
  <c r="R121" i="1"/>
  <c r="Q121" i="1"/>
  <c r="R84" i="1"/>
  <c r="Q84" i="1"/>
  <c r="R156" i="1"/>
  <c r="Q156" i="1"/>
  <c r="V46" i="1"/>
  <c r="V50" i="1"/>
  <c r="V101" i="1"/>
  <c r="V112" i="1"/>
  <c r="V120" i="1"/>
  <c r="V222" i="1"/>
  <c r="V103" i="1"/>
  <c r="V55" i="1"/>
  <c r="V4" i="1"/>
  <c r="V16" i="1"/>
  <c r="R92" i="1"/>
  <c r="Q92" i="1"/>
  <c r="R175" i="1"/>
  <c r="Q175" i="1"/>
  <c r="R192" i="1"/>
  <c r="Q192" i="1"/>
  <c r="R191" i="1"/>
  <c r="Q191" i="1"/>
  <c r="R190" i="1"/>
  <c r="Q190" i="1"/>
  <c r="R189" i="1"/>
  <c r="Q189" i="1"/>
  <c r="R8" i="1"/>
  <c r="Q8" i="1"/>
  <c r="R22" i="1"/>
  <c r="Q22" i="1"/>
  <c r="R21" i="1"/>
  <c r="Q21" i="1"/>
  <c r="R188" i="1"/>
  <c r="Q188" i="1"/>
  <c r="R95" i="1"/>
  <c r="Q95" i="1"/>
  <c r="R130" i="1"/>
  <c r="Q130" i="1"/>
  <c r="R129" i="1"/>
  <c r="Q129" i="1"/>
  <c r="R64" i="1"/>
  <c r="Q64" i="1"/>
  <c r="R63" i="1"/>
  <c r="Q63" i="1"/>
  <c r="R62" i="1"/>
  <c r="Q62" i="1"/>
  <c r="R61" i="1"/>
  <c r="Q61" i="1"/>
  <c r="Q215" i="1"/>
  <c r="R215" i="1"/>
  <c r="Q216" i="1"/>
  <c r="R216" i="1"/>
  <c r="Q217" i="1"/>
  <c r="R217" i="1"/>
  <c r="Q218" i="1"/>
  <c r="R218" i="1"/>
  <c r="Q219" i="1"/>
  <c r="R219" i="1"/>
  <c r="Q214" i="1"/>
  <c r="R214" i="1"/>
  <c r="Q221" i="1"/>
  <c r="R221" i="1"/>
  <c r="Q39" i="1"/>
  <c r="R39" i="1"/>
  <c r="Q119" i="1"/>
  <c r="R119" i="1"/>
  <c r="Q151" i="1"/>
  <c r="R151" i="1"/>
  <c r="Q198" i="1"/>
  <c r="R198" i="1"/>
  <c r="Q17" i="1"/>
  <c r="R17" i="1"/>
  <c r="Q45" i="1"/>
  <c r="R45" i="1"/>
  <c r="R197" i="1"/>
  <c r="Q197" i="1"/>
  <c r="R196" i="1"/>
  <c r="Q196" i="1"/>
  <c r="R195" i="1"/>
  <c r="Q195" i="1"/>
  <c r="R194" i="1"/>
  <c r="Q194" i="1"/>
  <c r="R193" i="1"/>
  <c r="Q193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76" i="1"/>
  <c r="Q176" i="1"/>
  <c r="R172" i="1"/>
  <c r="Q172" i="1"/>
  <c r="R171" i="1"/>
  <c r="Q171" i="1"/>
  <c r="R169" i="1"/>
  <c r="Q169" i="1"/>
  <c r="R154" i="1"/>
  <c r="Q154" i="1"/>
  <c r="R149" i="1"/>
  <c r="Q149" i="1"/>
  <c r="R148" i="1"/>
  <c r="Q148" i="1"/>
  <c r="Q18" i="1"/>
  <c r="R18" i="1"/>
  <c r="Q19" i="1"/>
  <c r="R19" i="1"/>
  <c r="Q20" i="1"/>
  <c r="R20" i="1"/>
  <c r="Q38" i="1"/>
  <c r="R38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71" i="1"/>
  <c r="R71" i="1"/>
  <c r="Q72" i="1"/>
  <c r="R72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5" i="1"/>
  <c r="R145" i="1"/>
  <c r="Q146" i="1"/>
  <c r="R146" i="1"/>
  <c r="R15" i="1"/>
  <c r="Q15" i="1"/>
  <c r="R14" i="1"/>
  <c r="Q14" i="1"/>
  <c r="R13" i="1"/>
  <c r="Q13" i="1"/>
  <c r="Q12" i="1"/>
  <c r="R12" i="1"/>
  <c r="Q53" i="1"/>
  <c r="R53" i="1"/>
  <c r="R52" i="1"/>
  <c r="K87" i="1"/>
  <c r="K53" i="1"/>
  <c r="K89" i="1"/>
  <c r="K26" i="1"/>
  <c r="K107" i="1"/>
  <c r="K90" i="1"/>
  <c r="O85" i="1"/>
  <c r="N85" i="1"/>
  <c r="M27" i="1"/>
  <c r="M29" i="1"/>
  <c r="M99" i="1"/>
  <c r="M48" i="1"/>
  <c r="M211" i="1"/>
  <c r="M97" i="1"/>
  <c r="M82" i="1"/>
  <c r="M105" i="1"/>
</calcChain>
</file>

<file path=xl/sharedStrings.xml><?xml version="1.0" encoding="utf-8"?>
<sst xmlns="http://schemas.openxmlformats.org/spreadsheetml/2006/main" count="1842" uniqueCount="512">
  <si>
    <t>Mass</t>
  </si>
  <si>
    <t>Dipole</t>
  </si>
  <si>
    <t>Mass Source</t>
  </si>
  <si>
    <t>Dipole Source</t>
  </si>
  <si>
    <t>Polarisability</t>
  </si>
  <si>
    <t>Polarisabiltiy Source</t>
  </si>
  <si>
    <t>m Source</t>
  </si>
  <si>
    <t>d</t>
  </si>
  <si>
    <t>d Source</t>
  </si>
  <si>
    <t>B0a</t>
  </si>
  <si>
    <t>B0b</t>
  </si>
  <si>
    <t>B0c</t>
  </si>
  <si>
    <t>B0 Source</t>
  </si>
  <si>
    <t>SO3</t>
  </si>
  <si>
    <t>ClO</t>
  </si>
  <si>
    <t>CO</t>
  </si>
  <si>
    <t>CO2</t>
  </si>
  <si>
    <t>COCl2</t>
  </si>
  <si>
    <t>COF2</t>
  </si>
  <si>
    <t>CS</t>
  </si>
  <si>
    <t>CS2</t>
  </si>
  <si>
    <t>GeH4</t>
  </si>
  <si>
    <t>H2</t>
  </si>
  <si>
    <t>H2CO</t>
  </si>
  <si>
    <t>H2O</t>
  </si>
  <si>
    <t>H2O2</t>
  </si>
  <si>
    <t>H2S</t>
  </si>
  <si>
    <t>HBr</t>
  </si>
  <si>
    <t>HC3N</t>
  </si>
  <si>
    <t>HCl</t>
  </si>
  <si>
    <t>HCN</t>
  </si>
  <si>
    <t>HCOOH</t>
  </si>
  <si>
    <t>HF</t>
  </si>
  <si>
    <t>HI</t>
  </si>
  <si>
    <t>HNO3</t>
  </si>
  <si>
    <t>HO2</t>
  </si>
  <si>
    <t>HOBr</t>
  </si>
  <si>
    <t>HOCl</t>
  </si>
  <si>
    <t>N2</t>
  </si>
  <si>
    <t>N2O</t>
  </si>
  <si>
    <t>NH3</t>
  </si>
  <si>
    <t>NO</t>
  </si>
  <si>
    <t>NO2</t>
  </si>
  <si>
    <t>O2</t>
  </si>
  <si>
    <t>O3</t>
  </si>
  <si>
    <t>OCS</t>
  </si>
  <si>
    <t>OH</t>
  </si>
  <si>
    <t>PH3</t>
  </si>
  <si>
    <t>SO</t>
  </si>
  <si>
    <t>SO2</t>
  </si>
  <si>
    <t>C2H2</t>
  </si>
  <si>
    <t>C2H4</t>
  </si>
  <si>
    <t>C2H6</t>
  </si>
  <si>
    <t>C2N2</t>
  </si>
  <si>
    <t>C4H2</t>
  </si>
  <si>
    <t>CH3Br</t>
  </si>
  <si>
    <t>CH3Cl</t>
  </si>
  <si>
    <t>CH3CN</t>
  </si>
  <si>
    <t>CH3F</t>
  </si>
  <si>
    <t>CH3I</t>
  </si>
  <si>
    <t>CH3OH</t>
  </si>
  <si>
    <t>CH4</t>
  </si>
  <si>
    <t>ClONO2</t>
  </si>
  <si>
    <t>HONO</t>
  </si>
  <si>
    <t>NF3</t>
  </si>
  <si>
    <t>SF6</t>
  </si>
  <si>
    <t>CF4</t>
  </si>
  <si>
    <t>NIST</t>
  </si>
  <si>
    <t>JPL</t>
  </si>
  <si>
    <t xml:space="preserve"> jpl</t>
  </si>
  <si>
    <t>nist</t>
  </si>
  <si>
    <t>cdms</t>
  </si>
  <si>
    <t>jpl</t>
  </si>
  <si>
    <t xml:space="preserve"> nist</t>
  </si>
  <si>
    <t xml:space="preserve">  nist</t>
  </si>
  <si>
    <t>nist # 0.051 # jpl</t>
  </si>
  <si>
    <t>nist semi-empirical</t>
  </si>
  <si>
    <r>
      <t xml:space="preserve"> https://aip.scitation.org/doi/full/</t>
    </r>
    <r>
      <rPr>
        <sz val="12"/>
        <color theme="1"/>
        <rFont val="JetBrains Mono"/>
        <family val="3"/>
      </rPr>
      <t>10.1063/1.2566537?ver=pdfcov estimated</t>
    </r>
  </si>
  <si>
    <r>
      <t xml:space="preserve"> http://www.chemspider.com/Chemical-Structure</t>
    </r>
    <r>
      <rPr>
        <sz val="12"/>
        <color theme="1"/>
        <rFont val="JetBrains Mono"/>
        <family val="3"/>
      </rPr>
      <t>.9246.html</t>
    </r>
  </si>
  <si>
    <r>
      <t xml:space="preserve">  https://cccbdb.nist.gov/energy3x.asp?method=</t>
    </r>
    <r>
      <rPr>
        <sz val="12"/>
        <color theme="1"/>
        <rFont val="JetBrains Mono"/>
        <family val="3"/>
      </rPr>
      <t>51&amp;basis=8&amp;casno=2944050 nist, added components of tensor</t>
    </r>
  </si>
  <si>
    <r>
      <t xml:space="preserve"> </t>
    </r>
    <r>
      <rPr>
        <sz val="12"/>
        <color theme="1"/>
        <rFont val="JetBrains Mono"/>
        <family val="3"/>
      </rPr>
      <t>nist</t>
    </r>
  </si>
  <si>
    <r>
      <t xml:space="preserve"> http://chemphys.edu.ru/issues/</t>
    </r>
    <r>
      <rPr>
        <sz val="12"/>
        <color theme="1"/>
        <rFont val="JetBrains Mono"/>
        <family val="3"/>
      </rPr>
      <t>2021-22-1/articles/913/#en_overview russian paper</t>
    </r>
  </si>
  <si>
    <r>
      <t xml:space="preserve"> </t>
    </r>
    <r>
      <rPr>
        <sz val="12"/>
        <color theme="1"/>
        <rFont val="JetBrains Mono"/>
        <family val="3"/>
      </rPr>
      <t>nist semi-empirical</t>
    </r>
  </si>
  <si>
    <t>Quadrupole source</t>
  </si>
  <si>
    <t>nist MP2 6-31G*</t>
  </si>
  <si>
    <t xml:space="preserve"> nist MP2 6-31G*</t>
  </si>
  <si>
    <t>symmetry</t>
  </si>
  <si>
    <t>webqc</t>
  </si>
  <si>
    <t xml:space="preserve"> nist hartree fock</t>
  </si>
  <si>
    <t>nist semi empirical</t>
  </si>
  <si>
    <t>nist group additivity</t>
  </si>
  <si>
    <t>quantemol</t>
  </si>
  <si>
    <t>estimated based on COF2</t>
  </si>
  <si>
    <t>guess</t>
  </si>
  <si>
    <t>estimated based off CH4/HBr</t>
  </si>
  <si>
    <t>https://www.sciencedirect.com/science/article/pii/S1385894720300401</t>
  </si>
  <si>
    <t>https://samson.chem.umass.edu/pub_pdf/pap88.pdf</t>
  </si>
  <si>
    <t>guess based on HNO3 + Cl difference</t>
  </si>
  <si>
    <r>
      <t>14j</t>
    </r>
    <r>
      <rPr>
        <sz val="12"/>
        <color theme="1"/>
        <rFont val="JetBrains Mono"/>
        <family val="3"/>
      </rPr>
      <t>ami (264 quant)</t>
    </r>
  </si>
  <si>
    <r>
      <t>https://repository.kaust.edu.sa/bitstream/handle/</t>
    </r>
    <r>
      <rPr>
        <sz val="12"/>
        <color theme="1"/>
        <rFont val="JetBrains Mono"/>
        <family val="3"/>
      </rPr>
      <t>10754/628797/Liu_et_al-2018-Angewandte_Chemie_International_Edition.pdf?sequence=1&amp;isAllowed=y#:~:text=Membranes%20can%20provide%20attractive%20CO2,to%20CH4%20(3.8%20%C3%85).</t>
    </r>
  </si>
  <si>
    <r>
      <t>14j</t>
    </r>
    <r>
      <rPr>
        <sz val="12"/>
        <color theme="1"/>
        <rFont val="JetBrains Mono"/>
        <family val="3"/>
      </rPr>
      <t>ami - (444.3 quantemol) (390 https://pubs.rsc.org/en/content/articlelanding/2022/cp/d2cp00065b)</t>
    </r>
  </si>
  <si>
    <r>
      <t>guess based off https://inis.iaea.org/search/search.aspx?orig_q=RN:</t>
    </r>
    <r>
      <rPr>
        <sz val="12"/>
        <color theme="1"/>
        <rFont val="JetBrains Mono"/>
        <family val="3"/>
      </rPr>
      <t>14796803</t>
    </r>
  </si>
  <si>
    <r>
      <t>12</t>
    </r>
    <r>
      <rPr>
        <sz val="12"/>
        <color theme="1"/>
        <rFont val="JetBrains Mono"/>
        <family val="3"/>
      </rPr>
      <t>ba - (294 quantemol)</t>
    </r>
  </si>
  <si>
    <r>
      <t>14j</t>
    </r>
    <r>
      <rPr>
        <sz val="12"/>
        <color theme="1"/>
        <rFont val="JetBrains Mono"/>
        <family val="3"/>
      </rPr>
      <t>ami (419.6 quantemol)</t>
    </r>
  </si>
  <si>
    <r>
      <t>12</t>
    </r>
    <r>
      <rPr>
        <sz val="12"/>
        <color theme="1"/>
        <rFont val="JetBrains Mono"/>
        <family val="3"/>
      </rPr>
      <t>ba (349.2 quant) (349.2 https://www.researchgate.net/figure/Lennard-Jones-parameters-of-the-species-investigated-in-this-study_tbl1_340218267)</t>
    </r>
  </si>
  <si>
    <r>
      <t xml:space="preserve">estimated based off HCl </t>
    </r>
    <r>
      <rPr>
        <sz val="12"/>
        <color theme="1"/>
        <rFont val="JetBrains Mono"/>
        <family val="3"/>
      </rPr>
      <t>and CH4</t>
    </r>
  </si>
  <si>
    <r>
      <t>12</t>
    </r>
    <r>
      <rPr>
        <sz val="12"/>
        <color theme="1"/>
        <rFont val="JetBrains Mono"/>
        <family val="3"/>
      </rPr>
      <t>ba (347 quant)</t>
    </r>
  </si>
  <si>
    <r>
      <t>quantemol (</t>
    </r>
    <r>
      <rPr>
        <sz val="12"/>
        <color theme="1"/>
        <rFont val="JetBrains Mono"/>
        <family val="3"/>
      </rPr>
      <t>360)</t>
    </r>
  </si>
  <si>
    <r>
      <t>12</t>
    </r>
    <r>
      <rPr>
        <sz val="12"/>
        <color theme="1"/>
        <rFont val="JetBrains Mono"/>
        <family val="3"/>
      </rPr>
      <t>ba (369 quant)</t>
    </r>
  </si>
  <si>
    <r>
      <t>14j</t>
    </r>
    <r>
      <rPr>
        <sz val="12"/>
        <color theme="1"/>
        <rFont val="JetBrains Mono"/>
        <family val="3"/>
      </rPr>
      <t>ami</t>
    </r>
  </si>
  <si>
    <r>
      <t>quantemol (</t>
    </r>
    <r>
      <rPr>
        <sz val="12"/>
        <color theme="1"/>
        <rFont val="JetBrains Mono"/>
        <family val="3"/>
      </rPr>
      <t>387.5 https://www.researchgate.net/figure/Lennard-Jones-parameters-of-the-species-investigated-in-this-study_tbl1_340218267)</t>
    </r>
  </si>
  <si>
    <r>
      <t>12</t>
    </r>
    <r>
      <rPr>
        <sz val="12"/>
        <color theme="1"/>
        <rFont val="JetBrains Mono"/>
        <family val="3"/>
      </rPr>
      <t>ba (382 quant) (375.8 https://www.researchgate.net/figure/Lennard-Jones-parameters-of-the-species-investigated-in-this-study_tbl1_340218267) (354 https://pubs.rsc.org/en/content/articlelanding/2022/cp/d2cp00065b)</t>
    </r>
  </si>
  <si>
    <r>
      <t>12</t>
    </r>
    <r>
      <rPr>
        <sz val="12"/>
        <color theme="1"/>
        <rFont val="JetBrains Mono"/>
        <family val="3"/>
      </rPr>
      <t>ba (416.3 quant) (416.3 https://www.researchgate.net/figure/Lennard-Jones-parameters-of-the-species-investigated-in-this-study_tbl1_340218267) (386 https://pubs.rsc.org/en/content/articlelanding/2022/cp/d2cp00065b)</t>
    </r>
  </si>
  <si>
    <r>
      <t>guess based on O2</t>
    </r>
    <r>
      <rPr>
        <sz val="12"/>
        <color theme="1"/>
        <rFont val="JetBrains Mono"/>
        <family val="3"/>
      </rPr>
      <t>, OCS, atomic diameters</t>
    </r>
  </si>
  <si>
    <r>
      <t>14j</t>
    </r>
    <r>
      <rPr>
        <sz val="12"/>
        <color theme="1"/>
        <rFont val="JetBrains Mono"/>
        <family val="3"/>
      </rPr>
      <t>ami (419.6 quant)</t>
    </r>
  </si>
  <si>
    <r>
      <t>12</t>
    </r>
    <r>
      <rPr>
        <sz val="12"/>
        <color theme="1"/>
        <rFont val="JetBrains Mono"/>
        <family val="3"/>
      </rPr>
      <t>ba (403.3 quant) (386 https://pubs.rsc.org/en/content/articlelanding/2022/cp/d2cp00065b)</t>
    </r>
  </si>
  <si>
    <r>
      <t>quantemol (</t>
    </r>
    <r>
      <rPr>
        <sz val="12"/>
        <color theme="1"/>
        <rFont val="JetBrains Mono"/>
        <family val="3"/>
      </rPr>
      <t>376.5 https://www.researchgate.net/figure/Lennard-Jones-parameters-of-the-species-investigated-in-this-study_tbl1_340218267)</t>
    </r>
  </si>
  <si>
    <r>
      <t>guess</t>
    </r>
    <r>
      <rPr>
        <sz val="12"/>
        <color theme="1"/>
        <rFont val="JetBrains Mono"/>
        <family val="3"/>
      </rPr>
      <t>, compare CO2, OCS</t>
    </r>
  </si>
  <si>
    <r>
      <t>12</t>
    </r>
    <r>
      <rPr>
        <sz val="12"/>
        <color theme="1"/>
        <rFont val="JetBrains Mono"/>
        <family val="3"/>
      </rPr>
      <t>ba (380 quant) (380 https://www.researchgate.net/figure/Lennard-Jones-parameters-of-the-species-investigated-in-this-study_tbl1_340218267)</t>
    </r>
  </si>
  <si>
    <r>
      <t>82</t>
    </r>
    <r>
      <rPr>
        <sz val="12"/>
        <color theme="1"/>
        <rFont val="JetBrains Mono"/>
        <family val="3"/>
      </rPr>
      <t>khbo (314.7 quant)</t>
    </r>
  </si>
  <si>
    <r>
      <t>quantemol (</t>
    </r>
    <r>
      <rPr>
        <sz val="12"/>
        <color theme="1"/>
        <rFont val="JetBrains Mono"/>
        <family val="3"/>
      </rPr>
      <t>260 https://www.sciencedirect.com/science/article/pii/S1385894720300401, https://www.mdpi.com/2227-9717/4/3/32 )</t>
    </r>
  </si>
  <si>
    <r>
      <t>12</t>
    </r>
    <r>
      <rPr>
        <sz val="12"/>
        <color theme="1"/>
        <rFont val="JetBrains Mono"/>
        <family val="3"/>
      </rPr>
      <t>ba (394 quant)</t>
    </r>
  </si>
  <si>
    <r>
      <t>NO2 copy</t>
    </r>
    <r>
      <rPr>
        <sz val="12"/>
        <color theme="1"/>
        <rFont val="JetBrains Mono"/>
        <family val="3"/>
      </rPr>
      <t>, guess</t>
    </r>
  </si>
  <si>
    <r>
      <t xml:space="preserve">Guess based on Ge </t>
    </r>
    <r>
      <rPr>
        <sz val="12"/>
        <color theme="1"/>
        <rFont val="JetBrains Mono"/>
        <family val="3"/>
      </rPr>
      <t>and CH4</t>
    </r>
  </si>
  <si>
    <r>
      <t>https://pubs.rsc.org/en/content/articlelanding/</t>
    </r>
    <r>
      <rPr>
        <sz val="12"/>
        <color theme="1"/>
        <rFont val="JetBrains Mono"/>
        <family val="3"/>
      </rPr>
      <t>2016/ta/c6ta06484a</t>
    </r>
  </si>
  <si>
    <t>26Al-1H</t>
  </si>
  <si>
    <t>27Al-1H</t>
  </si>
  <si>
    <t>27Al-2H</t>
  </si>
  <si>
    <t>27Al-35Cl</t>
  </si>
  <si>
    <t>27Al-37Cl</t>
  </si>
  <si>
    <t>26Al-16O</t>
  </si>
  <si>
    <t>27Al-16O</t>
  </si>
  <si>
    <t>27Al-17O</t>
  </si>
  <si>
    <t>27Al-18O</t>
  </si>
  <si>
    <t>9Be-1H</t>
  </si>
  <si>
    <t>9Be-2H</t>
  </si>
  <si>
    <t>9Be-3H</t>
  </si>
  <si>
    <t>40Ca-16O</t>
  </si>
  <si>
    <t>40Ca-19F</t>
  </si>
  <si>
    <t>42Ca-19F</t>
  </si>
  <si>
    <t>43Ca-19F</t>
  </si>
  <si>
    <t>44Ca-19F</t>
  </si>
  <si>
    <t>46Ca-19F</t>
  </si>
  <si>
    <t>48Ca-19F</t>
  </si>
  <si>
    <t>40Ca-1H</t>
  </si>
  <si>
    <t>12C-31P</t>
  </si>
  <si>
    <t>52Cr-1H</t>
  </si>
  <si>
    <t>6Li-35Cl</t>
  </si>
  <si>
    <t>6Li-37Cl</t>
  </si>
  <si>
    <t>7Li-35Cl</t>
  </si>
  <si>
    <t>7Li-37Cl</t>
  </si>
  <si>
    <t>6Li-19F</t>
  </si>
  <si>
    <t>7Li-19F</t>
  </si>
  <si>
    <t>7Li-1H</t>
  </si>
  <si>
    <t>39K-35Cl</t>
  </si>
  <si>
    <t>39K-37Cl</t>
  </si>
  <si>
    <t>41K-35Cl</t>
  </si>
  <si>
    <t>41K-37Cl</t>
  </si>
  <si>
    <t>39K-19F</t>
  </si>
  <si>
    <t>41K-19F</t>
  </si>
  <si>
    <t>24Mg-19F</t>
  </si>
  <si>
    <t>25Mg-19F</t>
  </si>
  <si>
    <t>26Mg-19F</t>
  </si>
  <si>
    <t>24Mg-1H</t>
  </si>
  <si>
    <t>25Mg-1H</t>
  </si>
  <si>
    <t>26Mg-1H</t>
  </si>
  <si>
    <t>24Mg-16O</t>
  </si>
  <si>
    <t>24Mg-17O</t>
  </si>
  <si>
    <t>24Mg-18O</t>
  </si>
  <si>
    <t>25Mg-16O</t>
  </si>
  <si>
    <t>26Mg-16O</t>
  </si>
  <si>
    <t>23Na-35Cl</t>
  </si>
  <si>
    <t>23Na-37Cl</t>
  </si>
  <si>
    <t>23Na-19F</t>
  </si>
  <si>
    <t>23Na-1H</t>
  </si>
  <si>
    <t>23Na-2H</t>
  </si>
  <si>
    <t>14N-1H</t>
  </si>
  <si>
    <t>14N-32S</t>
  </si>
  <si>
    <t>14N-33S</t>
  </si>
  <si>
    <t>14N-34S</t>
  </si>
  <si>
    <t>14N-36S</t>
  </si>
  <si>
    <t>15N-32S</t>
  </si>
  <si>
    <t>31P-1H</t>
  </si>
  <si>
    <t>31P-14N</t>
  </si>
  <si>
    <t>31P-15N</t>
  </si>
  <si>
    <t>31P-16O</t>
  </si>
  <si>
    <t>31P-32S</t>
  </si>
  <si>
    <t>45Sc-1H</t>
  </si>
  <si>
    <t>28Si-1H</t>
  </si>
  <si>
    <t>28Si-2H</t>
  </si>
  <si>
    <t>29Si-1H</t>
  </si>
  <si>
    <t>30Si-1H</t>
  </si>
  <si>
    <t>28Si-32S</t>
  </si>
  <si>
    <t>28Si-33S</t>
  </si>
  <si>
    <t>28Si-34S</t>
  </si>
  <si>
    <t>28Si-36S</t>
  </si>
  <si>
    <t>29Si-32S</t>
  </si>
  <si>
    <t>29Si-33S</t>
  </si>
  <si>
    <t>29Si-34S</t>
  </si>
  <si>
    <t>29Si-36S</t>
  </si>
  <si>
    <t>30Si-32S</t>
  </si>
  <si>
    <t>30Si-33S</t>
  </si>
  <si>
    <t>30Si-34S</t>
  </si>
  <si>
    <t>30Si-36S</t>
  </si>
  <si>
    <t>32S-1H</t>
  </si>
  <si>
    <t>32S-2H</t>
  </si>
  <si>
    <t>33S-1H</t>
  </si>
  <si>
    <t>34S-1H</t>
  </si>
  <si>
    <t>36S-1H</t>
  </si>
  <si>
    <t>28Si-16O</t>
  </si>
  <si>
    <t>28Si-17O</t>
  </si>
  <si>
    <t>28Si-18O</t>
  </si>
  <si>
    <t>29Si-16O</t>
  </si>
  <si>
    <t>30Si-16O</t>
  </si>
  <si>
    <t>46Ti-16O</t>
  </si>
  <si>
    <t>47Ti-16O</t>
  </si>
  <si>
    <t>48Ti-16O</t>
  </si>
  <si>
    <t>49Ti-16O</t>
  </si>
  <si>
    <t>50Ti-16O</t>
  </si>
  <si>
    <t>48Ti-1H</t>
  </si>
  <si>
    <t>51V-16O</t>
  </si>
  <si>
    <t>40Ca-16O-1H</t>
  </si>
  <si>
    <t>39K-16O-1H</t>
  </si>
  <si>
    <t>23Na-16O-1H</t>
  </si>
  <si>
    <t>28Si-1H2</t>
  </si>
  <si>
    <t>28Si-16O2</t>
  </si>
  <si>
    <t>75As-1H3</t>
  </si>
  <si>
    <t>12C-1H3</t>
  </si>
  <si>
    <t>31P-19F3</t>
  </si>
  <si>
    <t>12C-32S</t>
  </si>
  <si>
    <t>12C-33S</t>
  </si>
  <si>
    <t>12C-34S</t>
  </si>
  <si>
    <t>12C-36S</t>
  </si>
  <si>
    <t>13C-32S</t>
  </si>
  <si>
    <t>13C-33S</t>
  </si>
  <si>
    <t>13C-34S</t>
  </si>
  <si>
    <t>13C-36S</t>
  </si>
  <si>
    <t>12C-14N</t>
  </si>
  <si>
    <t>12C-15N</t>
  </si>
  <si>
    <t>13C-14N</t>
  </si>
  <si>
    <t>13C-15N</t>
  </si>
  <si>
    <t>6Li-16O-1H</t>
  </si>
  <si>
    <t>7Li-16O-1H</t>
  </si>
  <si>
    <t>1H-11B-16O</t>
  </si>
  <si>
    <t>28Si-1H4</t>
  </si>
  <si>
    <t>58Ni-1H</t>
  </si>
  <si>
    <t>1H2-12C-32S</t>
  </si>
  <si>
    <t>12C-1H</t>
  </si>
  <si>
    <t>13C-1H</t>
  </si>
  <si>
    <t>23Na-16O</t>
  </si>
  <si>
    <t>12C2</t>
  </si>
  <si>
    <t>13C2</t>
  </si>
  <si>
    <t>139La-16O</t>
  </si>
  <si>
    <t>27Al-19F</t>
  </si>
  <si>
    <t>28Si-14N</t>
  </si>
  <si>
    <t>28Si-15N</t>
  </si>
  <si>
    <t>29Si-14N</t>
  </si>
  <si>
    <t>30Si-14N</t>
  </si>
  <si>
    <t>90Zr-16O</t>
  </si>
  <si>
    <t>91Zr-16O</t>
  </si>
  <si>
    <t>92Zr-16O</t>
  </si>
  <si>
    <t>94Zr-16O</t>
  </si>
  <si>
    <t>96Zr-16O</t>
  </si>
  <si>
    <t>89Y-16O</t>
  </si>
  <si>
    <t>89Y-18O</t>
  </si>
  <si>
    <t>56Fe-1H</t>
  </si>
  <si>
    <t>cis-31P2-1H2</t>
  </si>
  <si>
    <t>trans-31P2-1H2</t>
  </si>
  <si>
    <t>12C-16O-19F-35Cl</t>
  </si>
  <si>
    <t>12C-16O-19F-37Cl</t>
  </si>
  <si>
    <t>32S2</t>
  </si>
  <si>
    <t>1H3_p</t>
  </si>
  <si>
    <t>35Cl-14N-16O2</t>
  </si>
  <si>
    <t>37Cl-14N-16O2</t>
  </si>
  <si>
    <t>m (perturber only)</t>
  </si>
  <si>
    <t>Calculated from atomic masses</t>
  </si>
  <si>
    <t>Nist HF</t>
  </si>
  <si>
    <t>Nist HF CEP-31G</t>
  </si>
  <si>
    <t>Jeanna</t>
  </si>
  <si>
    <t>nist (modified)</t>
  </si>
  <si>
    <t>Nist semi emp</t>
  </si>
  <si>
    <t xml:space="preserve">Experimental Nist!    </t>
  </si>
  <si>
    <t>Nist calculated</t>
  </si>
  <si>
    <t>Nist semi empirical</t>
  </si>
  <si>
    <t>Nist CEP31G HF</t>
  </si>
  <si>
    <t>Nist effective potential HF LANL2DZ</t>
  </si>
  <si>
    <t>Nist experimental</t>
  </si>
  <si>
    <t>Nist</t>
  </si>
  <si>
    <t>Nist HF CEP 31G</t>
  </si>
  <si>
    <t>Nist semi</t>
  </si>
  <si>
    <t>Nist experiment</t>
  </si>
  <si>
    <t xml:space="preserve">Nist </t>
  </si>
  <si>
    <t>Nist semi-empirical</t>
  </si>
  <si>
    <t>colby edu</t>
  </si>
  <si>
    <t>Woon paper AJSS</t>
  </si>
  <si>
    <t>Nist DFT B97D3</t>
  </si>
  <si>
    <t>Nist CEP-31G</t>
  </si>
  <si>
    <t xml:space="preserve">symmetry </t>
  </si>
  <si>
    <t>Nist HF CEP-31G effective core</t>
  </si>
  <si>
    <t>Nist HF CEP-31G effective core potential</t>
  </si>
  <si>
    <t>Based on other species 378(NaOH) 227(Na) 182(Li) (K also agrees)</t>
  </si>
  <si>
    <t>nist DFT B97D3 daug-cc-pVTZ</t>
  </si>
  <si>
    <t>Quantemol data for HO2 taken</t>
  </si>
  <si>
    <t>135(Ni) 525.38(CrH) 140(Cr) 613.90(TiH) 140(Ti) 626.68(ScH) 160(Sc)</t>
  </si>
  <si>
    <t>https://www.sciencedirect.com/science/article/pii/S000926140800420X</t>
  </si>
  <si>
    <t>https://www.tandfonline.com/doi/full/10.1080/00268976.2018.1535143 Ni atom polarisability</t>
  </si>
  <si>
    <t>NIST webbook - confusing https://webbook.nist.gov/cgi/cbook.cgi?Source=1963AND%2FLAG637&amp;Units=SI&amp;Mask=1000</t>
  </si>
  <si>
    <t>based on CS, CO, H2CO</t>
  </si>
  <si>
    <t>nist experimental</t>
  </si>
  <si>
    <t>NIST experimental</t>
  </si>
  <si>
    <t>NIST DFT B97D3 daug-cc-pVTZ</t>
  </si>
  <si>
    <t>nearby average (227(Na) 378(NaOH) 173(Mg) 338(MgO) 231(Ca) 383.86(CaO)</t>
  </si>
  <si>
    <t>70(C) 65(N) 364(N2) 60(O) 346(O2) C2Hx - mix around 390</t>
  </si>
  <si>
    <t>NIST DFT TPSSh aug-cc-pVDZ</t>
  </si>
  <si>
    <t>based on averages 195(La) 140(Ti) 272(TiO) 135(V) 548.48(VO)</t>
  </si>
  <si>
    <t>https://pubs.aip.org/aip/jcp/article/92/8/4724/220703/Pulsed-nozzle-Fourier-transform-microwave</t>
  </si>
  <si>
    <t>https://www.tandfonline.com/doi/full/10.1080/00268976.2018.1535143 La atom polarisability</t>
  </si>
  <si>
    <t>https://ui.adsabs.harvard.edu/abs/1974ApJS...27..307S/abstract</t>
  </si>
  <si>
    <t>add Al and F, than 100 to put in line with AlCl, MgF # 184(Al) 173(Mg) 227(Na) 147(F) 175(Cl) 468.25(AlCl) 471.31(MgF)</t>
  </si>
  <si>
    <t>NIST chemistry webbook</t>
  </si>
  <si>
    <t>average of 488.28(SiC) 431.3(SiO)</t>
  </si>
  <si>
    <t>155(Zr) Averages like LaO</t>
  </si>
  <si>
    <t>https://pubs.rsc.org/en/content/articlehtml/2019/ra/c9ra03003d</t>
  </si>
  <si>
    <t>NIST chemistry workbook</t>
  </si>
  <si>
    <t>180(Zr) Averages like LaO</t>
  </si>
  <si>
    <t>140(Fe) plus average same as for NiH</t>
  </si>
  <si>
    <t>https://pubmed.ncbi.nlm.nih.gov/16709106/</t>
  </si>
  <si>
    <t>https://www.tandfonline.com/doi/full/10.1080/00268976.2018.1535143 Fe atom polarisability</t>
  </si>
  <si>
    <t>https://adsabs.harvard.edu/pdf/1987ApJS...65..721P</t>
  </si>
  <si>
    <t>same as PH based on 423(PH) 336(OH) 314(H2O2) 337.0(CH) 330(C2H2)</t>
  </si>
  <si>
    <t>https://www.ucl.ac.uk/~ucapsy0/pdf/19OwYuxx.pdf</t>
  </si>
  <si>
    <t>Data between P2H4 and P2 NIST DFT B97D3 daug-cc-pVTZ</t>
  </si>
  <si>
    <t>Found for cis, assuming same for trans https://ses.library.usyd.edu.au/bitstream/handle/2123/509/adt-NU20030925.16381504appendices.pdf?sequence=4&amp;isAllowed=y</t>
  </si>
  <si>
    <t>https://ses.library.usyd.edu.au/bitstream/handle/2123/509/adt-NU20030925.16381504appendices.pdf?sequence=4&amp;isAllowed=y</t>
  </si>
  <si>
    <t>based on mean of COF2 and COCl2 (COF2 on quantemol db)</t>
  </si>
  <si>
    <t>http://www.bdim.eu/item?fmt=pdf&amp;id=RLINA_1966_8_40_5_837_0</t>
  </si>
  <si>
    <t>Nist B97D3 daug-cc-pVTZ</t>
  </si>
  <si>
    <t>https://www.sciencedirect.com/science/article/pii/S0022407311000148#bib13</t>
  </si>
  <si>
    <t>quantemol db</t>
  </si>
  <si>
    <t>https://www.ucl.ac.uk/amopp/sites/amopp/files/26.pdf (tennyson)</t>
  </si>
  <si>
    <t>Based on O vs O2, and S (all from quantemol).  Used diameter(S) + bond_length(S2) / 3</t>
  </si>
  <si>
    <t>NIST Experimental</t>
  </si>
  <si>
    <t>Based on NO2 vs Cl.  Used mean diameter(NO2, Cl) + bond_length(N-Cl) / 3</t>
  </si>
  <si>
    <t>NIST (experimental)</t>
  </si>
  <si>
    <t>Quadrupole xx</t>
  </si>
  <si>
    <t>Quadrupole yy</t>
  </si>
  <si>
    <t>Quadrupole zz</t>
  </si>
  <si>
    <t>−0.279</t>
  </si>
  <si>
    <t>NIST CCSD aug-cc-pVTZ</t>
  </si>
  <si>
    <t>NIST B3LYP 6-311G**</t>
  </si>
  <si>
    <t>NIST CCSD daug-cc-pVTZ</t>
  </si>
  <si>
    <t>NIST (symmetry)</t>
  </si>
  <si>
    <t>NIST B3LYP/cc-pVTZ ???? (CHECK!)</t>
  </si>
  <si>
    <t>NIST MP2 aug-cc-pVTZ</t>
  </si>
  <si>
    <t>NIST CCSD=FULL aug-cc-pVTZ</t>
  </si>
  <si>
    <t>NIST MP2 aug-cc-pCVTZ</t>
  </si>
  <si>
    <t>NIST MP2 6-311G*</t>
  </si>
  <si>
    <t>NIST MP2 cc-pV(T+d)Z</t>
  </si>
  <si>
    <t>NIST CCSD aug-cc-pVQZ</t>
  </si>
  <si>
    <t>NIST B2PLYP=FULLultrafine aug-cc-pVTZ</t>
  </si>
  <si>
    <t>NIST B2PLYP aug-cc-pV(T+d)Z</t>
  </si>
  <si>
    <t>NIST B2PLYP cc-pCVTZ</t>
  </si>
  <si>
    <t>NIST CCSD cc-pCVTZ</t>
  </si>
  <si>
    <t>NIST B2PLYP=FULLultrafine cc-pVTZ</t>
  </si>
  <si>
    <t>NIST MP2=FULL cc-pCVTZ</t>
  </si>
  <si>
    <t>NIST CCSD aug-cc-pCVTZ</t>
  </si>
  <si>
    <t>NIST CCSD cc-pCVQZ</t>
  </si>
  <si>
    <t>NIST CCSD TZVP</t>
  </si>
  <si>
    <t>NIST MP2 cc-pCVTZ</t>
  </si>
  <si>
    <t>Isotopologue</t>
  </si>
  <si>
    <t>AlH</t>
  </si>
  <si>
    <t>AlCl</t>
  </si>
  <si>
    <t>AlO</t>
  </si>
  <si>
    <t>BeH</t>
  </si>
  <si>
    <t>CaO</t>
  </si>
  <si>
    <t>CaF</t>
  </si>
  <si>
    <t>CaH</t>
  </si>
  <si>
    <t>CP</t>
  </si>
  <si>
    <t>CrH</t>
  </si>
  <si>
    <t>LiCl</t>
  </si>
  <si>
    <t>LiF</t>
  </si>
  <si>
    <t>LiH</t>
  </si>
  <si>
    <t>KCl</t>
  </si>
  <si>
    <t>KF</t>
  </si>
  <si>
    <t>MgF</t>
  </si>
  <si>
    <t>MgH</t>
  </si>
  <si>
    <t>MgO</t>
  </si>
  <si>
    <t>NaCl</t>
  </si>
  <si>
    <t>NaF</t>
  </si>
  <si>
    <t>NaH</t>
  </si>
  <si>
    <t>NH</t>
  </si>
  <si>
    <t>NS</t>
  </si>
  <si>
    <t>PH</t>
  </si>
  <si>
    <t>PN</t>
  </si>
  <si>
    <t>PO</t>
  </si>
  <si>
    <t>PS</t>
  </si>
  <si>
    <t>ScH</t>
  </si>
  <si>
    <t>SiH</t>
  </si>
  <si>
    <t>SiS</t>
  </si>
  <si>
    <t>SH</t>
  </si>
  <si>
    <t>SiO</t>
  </si>
  <si>
    <t>TiO</t>
  </si>
  <si>
    <t>TiH</t>
  </si>
  <si>
    <t>VO</t>
  </si>
  <si>
    <t>CaOH</t>
  </si>
  <si>
    <t>KOH</t>
  </si>
  <si>
    <t>NaOH</t>
  </si>
  <si>
    <t>CH</t>
  </si>
  <si>
    <t>CN</t>
  </si>
  <si>
    <t>LiOH</t>
  </si>
  <si>
    <t>HBO</t>
  </si>
  <si>
    <t>NiH</t>
  </si>
  <si>
    <t>NaO</t>
  </si>
  <si>
    <t>LaO</t>
  </si>
  <si>
    <t>AlF</t>
  </si>
  <si>
    <t>SiN</t>
  </si>
  <si>
    <t>ZrO</t>
  </si>
  <si>
    <t>YO</t>
  </si>
  <si>
    <t>FeH</t>
  </si>
  <si>
    <t>COFCl</t>
  </si>
  <si>
    <t>SiH2</t>
  </si>
  <si>
    <t>SiO2</t>
  </si>
  <si>
    <t>AsH3</t>
  </si>
  <si>
    <t>CH3</t>
  </si>
  <si>
    <t>PF3</t>
  </si>
  <si>
    <t>SiH4</t>
  </si>
  <si>
    <t>H2CS</t>
  </si>
  <si>
    <t>C2</t>
  </si>
  <si>
    <t>cis-P2H2</t>
  </si>
  <si>
    <t>trans-P2H2</t>
  </si>
  <si>
    <t>S2</t>
  </si>
  <si>
    <t>H3_p</t>
  </si>
  <si>
    <t>ClNO2</t>
  </si>
  <si>
    <t>Used CrH quadrupole data</t>
  </si>
  <si>
    <t>Used TiO quadrupole data</t>
  </si>
  <si>
    <t>Used N2H2 data (NIST B2PLYP=FULLultrafine aug-cc-pVTZ)</t>
  </si>
  <si>
    <t>Molecule_no_iso</t>
  </si>
  <si>
    <t>&lt;- used these values not below</t>
  </si>
  <si>
    <r>
      <t xml:space="preserve"> NIST B2PLYP=FULL/daug-cc-pVTZ</t>
    </r>
    <r>
      <rPr>
        <sz val="12"/>
        <color theme="1"/>
        <rFont val="JetBrains Mono"/>
        <family val="3"/>
      </rPr>
      <t xml:space="preserve"> https://www.h2o2.com/technical-library/physical-chemical-properties/radiation-properties/default.aspx?pid=59&amp;name=Refractive-Index probably not great</t>
    </r>
  </si>
  <si>
    <t>nist  B2PLYP=FULL/daug-cc-pVTZ additivity</t>
  </si>
  <si>
    <t>HDO</t>
  </si>
  <si>
    <t>1H-2H-16O</t>
  </si>
  <si>
    <t>same as H2O</t>
  </si>
  <si>
    <t>(CH3)3CCN</t>
  </si>
  <si>
    <t>15NO</t>
  </si>
  <si>
    <t>C2H5F</t>
  </si>
  <si>
    <t>CF3CCH</t>
  </si>
  <si>
    <t>CH3-35Cl</t>
  </si>
  <si>
    <t>CH3D</t>
  </si>
  <si>
    <t>DCl</t>
  </si>
  <si>
    <t>HD</t>
  </si>
  <si>
    <t>I2</t>
  </si>
  <si>
    <t>Kr</t>
  </si>
  <si>
    <t>Ne</t>
  </si>
  <si>
    <t>Xe</t>
  </si>
  <si>
    <t>He</t>
  </si>
  <si>
    <t>173_92GiGaMi</t>
  </si>
  <si>
    <t>Nist experimental (LLM)</t>
  </si>
  <si>
    <t>https://etheses.whiterose.ac.uk/id/eprint/1963/1/JHW_Thesis.pdf?utm_source=chatgpt.com</t>
  </si>
  <si>
    <t>FALSE!  Used CH3CCN data but real values available on NIST</t>
  </si>
  <si>
    <t xml:space="preserve"> jpl modified for isotopologue</t>
  </si>
  <si>
    <t>https://pubs.aip.org/aip/jcp/article/23/1/184/76468/The-Microwave-Spectrum-of-Ethyl-Fluoride?utm_source=chatgpt.com</t>
  </si>
  <si>
    <t>GPT guess</t>
  </si>
  <si>
    <t>GUESS CHAT-GPT, TRY NIST!</t>
  </si>
  <si>
    <t>−1.16</t>
  </si>
  <si>
    <t>−2.410</t>
  </si>
  <si>
    <t>FALSE!  Used CH3CCH data</t>
  </si>
  <si>
    <t>https://okalab.scs.illinois.edu/publications/PDF/oka088.pdf?utm_source=chatgpt.com</t>
  </si>
  <si>
    <t xml:space="preserve"> jpl (isotope adjusted)</t>
  </si>
  <si>
    <t>https://bib-pubdb1.desy.de/record/437083/files/manuscript.pdf?utm_source=chatgpt.com</t>
  </si>
  <si>
    <t>https://www.nature.com/articles/s41524-025-01617-2?utm_source=chatgpt.com</t>
  </si>
  <si>
    <t>https://webbook.nist.gov/cgi/cbook.cgi?ID=C7553562&amp;Mask=1000</t>
  </si>
  <si>
    <t>https://pubs.acs.org/doi/10.1021/jp962578u</t>
  </si>
  <si>
    <t>−2.2749</t>
  </si>
  <si>
    <t>atom!</t>
  </si>
  <si>
    <t>atom</t>
  </si>
  <si>
    <t>CHF3</t>
  </si>
  <si>
    <t>13CO</t>
  </si>
  <si>
    <t>Ar</t>
  </si>
  <si>
    <t xml:space="preserve"> jpl (modified)</t>
  </si>
  <si>
    <t>https://webbook.nist.gov/cgi/cbook.cgi?ID=C13983205&amp;Mask=1000</t>
  </si>
  <si>
    <t>https://journals.aps.org/pra/abstract/10.1103/PhysRevA.78.052503</t>
  </si>
  <si>
    <t>https://www.tandfonline.com/doi/abs/10.1080/00268970009483330</t>
  </si>
  <si>
    <t>−1.3731</t>
  </si>
  <si>
    <t>https://pubs.aip.org/aip/jcp/article/144/22/221102/194377/Communication-Importance-of-rotationally-inelastic</t>
  </si>
  <si>
    <t>https://www.sciencedirect.com/science/article/pii/S0022285298977293</t>
  </si>
  <si>
    <t>172_08MaGaMi</t>
  </si>
  <si>
    <t>https://pmc.ncbi.nlm.nih.gov/articles/PMC3685386/</t>
  </si>
  <si>
    <t>CCl4</t>
  </si>
  <si>
    <t>C6H6</t>
  </si>
  <si>
    <t>H81Br</t>
  </si>
  <si>
    <t>H79Br</t>
  </si>
  <si>
    <t>13C12CH4</t>
  </si>
  <si>
    <t>C3H8</t>
  </si>
  <si>
    <t>n-C4H10</t>
  </si>
  <si>
    <t>i-C4H10</t>
  </si>
  <si>
    <t>https://webbook.nist.gov/cgi/cbook.cgi?ID=C10035106&amp;Mask=1000</t>
  </si>
  <si>
    <t>14GaTaWo</t>
  </si>
  <si>
    <t>LLM The Properties of Gases and Liquids, Fifth Edition Bruce E. Poling, John M. Prausnitz, John P. O’Connell</t>
  </si>
  <si>
    <t>LLM calculated</t>
  </si>
  <si>
    <t>Guess</t>
  </si>
  <si>
    <t>APPROXIMATE symmetry</t>
  </si>
  <si>
    <t>Nist calculated (LLM)</t>
  </si>
  <si>
    <t>CaCl</t>
  </si>
  <si>
    <t>ScO</t>
  </si>
  <si>
    <t>C3</t>
  </si>
  <si>
    <t>NIST DFT B97D3/daug-cc-pVTZ</t>
  </si>
  <si>
    <t>NIST DFT B97D3 aug-cc-pVQZ</t>
  </si>
  <si>
    <t>NIST DFT B97D3/cc-pVTZ</t>
  </si>
  <si>
    <t>NIST DFT B97D3/aug-cc-pVTZ</t>
  </si>
  <si>
    <t>Average of CaO and TiO</t>
  </si>
  <si>
    <t>CaF + (AlCl - 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</si>
</sst>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Aptos Narrow"/>
      <family val="2"/>
      <scheme val="minor"/>
    </font>
    <font>
      <sz val="12"/>
      <color rgb="FFBBBBBB"/>
      <name val="Menlo"/>
      <family val="2"/>
    </font>
    <font>
      <sz val="12"/>
      <color rgb="FF676F7D"/>
      <name val="Menlo"/>
      <family val="2"/>
    </font>
    <font>
      <sz val="12"/>
      <color theme="1"/>
      <name val="JetBrains Mono"/>
      <family val="3"/>
    </font>
    <font>
      <sz val="8"/>
      <name val="Aptos Narrow"/>
      <family val="2"/>
      <scheme val="minor"/>
    </font>
    <font>
      <sz val="9.8000000000000007"/>
      <color rgb="FF7EC3E6"/>
      <name val="JetBrains Mono"/>
      <family val="3"/>
    </font>
    <font>
      <u/>
      <sz val="12"/>
      <color theme="10"/>
      <name val="Aptos Narrow"/>
      <family val="2"/>
      <scheme val="minor"/>
    </font>
    <font>
      <sz val="14"/>
      <color rgb="FF000000"/>
      <name val="Times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Helvetica"/>
      <family val="2"/>
    </font>
    <font>
      <u/>
      <sz val="12"/>
      <color rgb="FF33CCCC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9.8000000000000007"/>
      <color rgb="FFFF0000"/>
      <name val="JetBrains Mono"/>
      <family val="3"/>
    </font>
    <font>
      <sz val="14"/>
      <color rgb="FF3E3F3A"/>
      <name val="Helvetica Neue"/>
      <family val="2"/>
    </font>
    <font>
      <sz val="9.8000000000000007"/>
      <color rgb="FF54B33E"/>
      <name val="JetBrains Mono"/>
      <family val="3"/>
    </font>
    <font>
      <sz val="9.8000000000000007"/>
      <color theme="1"/>
      <name val="JetBrains Mono"/>
      <family val="3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4"/>
      <color rgb="FF1F1F1F"/>
      <name val="Georgia"/>
      <family val="1"/>
    </font>
    <font>
      <sz val="14"/>
      <color rgb="FFFF0000"/>
      <name val="Times"/>
    </font>
    <font>
      <b/>
      <sz val="13.5"/>
      <color rgb="FF000000"/>
      <name val="Times"/>
    </font>
    <font>
      <b/>
      <sz val="24"/>
      <color rgb="FF000000"/>
      <name val="Times"/>
    </font>
    <font>
      <b/>
      <sz val="14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1"/>
    <xf numFmtId="0" fontId="0" fillId="2" borderId="0" xfId="0" applyFill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vertical="top"/>
    </xf>
    <xf numFmtId="0" fontId="7" fillId="2" borderId="0" xfId="0" applyFont="1" applyFill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7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ccbdb.nist.gov/quadrupole3x.asp?method=65&amp;basis=18" TargetMode="External"/><Relationship Id="rId117" Type="http://schemas.openxmlformats.org/officeDocument/2006/relationships/hyperlink" Target="https://cccbdb.nist.gov/quadrupole3x.asp?method=3&amp;basis=7" TargetMode="External"/><Relationship Id="rId21" Type="http://schemas.openxmlformats.org/officeDocument/2006/relationships/hyperlink" Target="https://cccbdb.nist.gov/quadrupole3x.asp?method=79&amp;basis=18" TargetMode="External"/><Relationship Id="rId42" Type="http://schemas.openxmlformats.org/officeDocument/2006/relationships/hyperlink" Target="https://cccbdb.nist.gov/quadrupole3x.asp?method=11&amp;basis=35" TargetMode="External"/><Relationship Id="rId47" Type="http://schemas.openxmlformats.org/officeDocument/2006/relationships/hyperlink" Target="https://cccbdb.nist.gov/quadrupole3x.asp?method=11&amp;basis=35" TargetMode="External"/><Relationship Id="rId63" Type="http://schemas.openxmlformats.org/officeDocument/2006/relationships/hyperlink" Target="https://cccbdb.nist.gov/quadrupole3x.asp?method=11&amp;basis=35" TargetMode="External"/><Relationship Id="rId68" Type="http://schemas.openxmlformats.org/officeDocument/2006/relationships/hyperlink" Target="https://cccbdb.nist.gov/quadrupole3x.asp?method=79&amp;basis=18" TargetMode="External"/><Relationship Id="rId84" Type="http://schemas.openxmlformats.org/officeDocument/2006/relationships/hyperlink" Target="https://cccbdb.nist.gov/quadrupole3x.asp?method=11&amp;basis=35" TargetMode="External"/><Relationship Id="rId89" Type="http://schemas.openxmlformats.org/officeDocument/2006/relationships/hyperlink" Target="https://cccbdb.nist.gov/quadrupole3x.asp?method=11&amp;basis=35" TargetMode="External"/><Relationship Id="rId112" Type="http://schemas.openxmlformats.org/officeDocument/2006/relationships/hyperlink" Target="https://cccbdb.nist.gov/quadrupole3x.asp?method=79&amp;basis=18" TargetMode="External"/><Relationship Id="rId16" Type="http://schemas.openxmlformats.org/officeDocument/2006/relationships/hyperlink" Target="https://cccbdb.nist.gov/quadrupole3x.asp?method=3&amp;basis=7" TargetMode="External"/><Relationship Id="rId107" Type="http://schemas.openxmlformats.org/officeDocument/2006/relationships/hyperlink" Target="https://cccbdb.nist.gov/quadrupole3x.asp?method=79&amp;basis=18" TargetMode="External"/><Relationship Id="rId11" Type="http://schemas.openxmlformats.org/officeDocument/2006/relationships/hyperlink" Target="https://cccbdb.nist.gov/quadrupole3x.asp?method=11&amp;basis=35" TargetMode="External"/><Relationship Id="rId32" Type="http://schemas.openxmlformats.org/officeDocument/2006/relationships/hyperlink" Target="https://cccbdb.nist.gov/quadrupole3x.asp?method=11&amp;basis=33" TargetMode="External"/><Relationship Id="rId37" Type="http://schemas.openxmlformats.org/officeDocument/2006/relationships/hyperlink" Target="https://cccbdb.nist.gov/quadrupole3x.asp?method=11&amp;basis=35" TargetMode="External"/><Relationship Id="rId53" Type="http://schemas.openxmlformats.org/officeDocument/2006/relationships/hyperlink" Target="https://cccbdb.nist.gov/quadrupole3x.asp?method=11&amp;basis=35" TargetMode="External"/><Relationship Id="rId58" Type="http://schemas.openxmlformats.org/officeDocument/2006/relationships/hyperlink" Target="https://cccbdb.nist.gov/quadrupole3x.asp?method=11&amp;basis=30" TargetMode="External"/><Relationship Id="rId74" Type="http://schemas.openxmlformats.org/officeDocument/2006/relationships/hyperlink" Target="https://cccbdb.nist.gov/quadrupole3x.asp?method=79&amp;basis=18" TargetMode="External"/><Relationship Id="rId79" Type="http://schemas.openxmlformats.org/officeDocument/2006/relationships/hyperlink" Target="https://cccbdb.nist.gov/quadrupole3x.asp?method=65&amp;basis=18" TargetMode="External"/><Relationship Id="rId102" Type="http://schemas.openxmlformats.org/officeDocument/2006/relationships/hyperlink" Target="https://cccbdb.nist.gov/quadrupole3x.asp?method=65&amp;basis=18" TargetMode="External"/><Relationship Id="rId5" Type="http://schemas.openxmlformats.org/officeDocument/2006/relationships/hyperlink" Target="https://cccbdb.nist.gov/quadrupole3x.asp?method=11&amp;basis=24" TargetMode="External"/><Relationship Id="rId90" Type="http://schemas.openxmlformats.org/officeDocument/2006/relationships/hyperlink" Target="https://cccbdb.nist.gov/quadrupole3x.asp?method=11&amp;basis=35" TargetMode="External"/><Relationship Id="rId95" Type="http://schemas.openxmlformats.org/officeDocument/2006/relationships/hyperlink" Target="https://cccbdb.nist.gov/quadrupole3x.asp?method=11&amp;basis=33" TargetMode="External"/><Relationship Id="rId22" Type="http://schemas.openxmlformats.org/officeDocument/2006/relationships/hyperlink" Target="https://cccbdb.nist.gov/quadrupole3x.asp?method=79&amp;basis=18" TargetMode="External"/><Relationship Id="rId27" Type="http://schemas.openxmlformats.org/officeDocument/2006/relationships/hyperlink" Target="https://cccbdb.nist.gov/quadrupole3x.asp?method=65&amp;basis=18" TargetMode="External"/><Relationship Id="rId43" Type="http://schemas.openxmlformats.org/officeDocument/2006/relationships/hyperlink" Target="https://cccbdb.nist.gov/quadrupole3x.asp?method=11&amp;basis=35" TargetMode="External"/><Relationship Id="rId48" Type="http://schemas.openxmlformats.org/officeDocument/2006/relationships/hyperlink" Target="https://cccbdb.nist.gov/quadrupole3x.asp?method=11&amp;basis=35" TargetMode="External"/><Relationship Id="rId64" Type="http://schemas.openxmlformats.org/officeDocument/2006/relationships/hyperlink" Target="https://cccbdb.nist.gov/quadrupole3x.asp?method=11&amp;basis=35" TargetMode="External"/><Relationship Id="rId69" Type="http://schemas.openxmlformats.org/officeDocument/2006/relationships/hyperlink" Target="https://cccbdb.nist.gov/quadrupole3x.asp?method=79&amp;basis=18" TargetMode="External"/><Relationship Id="rId113" Type="http://schemas.openxmlformats.org/officeDocument/2006/relationships/hyperlink" Target="https://cccbdb.nist.gov/quadrupole3x.asp?method=3&amp;basis=7" TargetMode="External"/><Relationship Id="rId118" Type="http://schemas.openxmlformats.org/officeDocument/2006/relationships/hyperlink" Target="https://discovery.ucl.ac.uk/id/eprint/14899/%20(Preparatory%20work%20for%20C%203%20line-list%20calculation)" TargetMode="External"/><Relationship Id="rId80" Type="http://schemas.openxmlformats.org/officeDocument/2006/relationships/hyperlink" Target="https://cccbdb.nist.gov/quadrupole3x.asp?method=65&amp;basis=18" TargetMode="External"/><Relationship Id="rId85" Type="http://schemas.openxmlformats.org/officeDocument/2006/relationships/hyperlink" Target="https://cccbdb.nist.gov/quadrupole3x.asp?method=11&amp;basis=26" TargetMode="External"/><Relationship Id="rId12" Type="http://schemas.openxmlformats.org/officeDocument/2006/relationships/hyperlink" Target="https://cccbdb.nist.gov/quadrupole3x.asp?method=11&amp;basis=35" TargetMode="External"/><Relationship Id="rId17" Type="http://schemas.openxmlformats.org/officeDocument/2006/relationships/hyperlink" Target="https://cccbdb.nist.gov/quadrupole3x.asp?method=79&amp;basis=18" TargetMode="External"/><Relationship Id="rId33" Type="http://schemas.openxmlformats.org/officeDocument/2006/relationships/hyperlink" Target="https://cccbdb.nist.gov/quadrupole3x.asp?method=11&amp;basis=33" TargetMode="External"/><Relationship Id="rId38" Type="http://schemas.openxmlformats.org/officeDocument/2006/relationships/hyperlink" Target="https://cccbdb.nist.gov/quadrupole3x.asp?method=11&amp;basis=35" TargetMode="External"/><Relationship Id="rId59" Type="http://schemas.openxmlformats.org/officeDocument/2006/relationships/hyperlink" Target="https://cccbdb.nist.gov/quadrupole3x.asp?method=11&amp;basis=30" TargetMode="External"/><Relationship Id="rId103" Type="http://schemas.openxmlformats.org/officeDocument/2006/relationships/hyperlink" Target="https://cccbdb.nist.gov/quadrupole3x.asp?method=79&amp;basis=18" TargetMode="External"/><Relationship Id="rId108" Type="http://schemas.openxmlformats.org/officeDocument/2006/relationships/hyperlink" Target="https://cccbdb.nist.gov/quadrupole3x.asp?method=79&amp;basis=18" TargetMode="External"/><Relationship Id="rId54" Type="http://schemas.openxmlformats.org/officeDocument/2006/relationships/hyperlink" Target="https://cccbdb.nist.gov/quadrupole3x.asp?method=11&amp;basis=35" TargetMode="External"/><Relationship Id="rId70" Type="http://schemas.openxmlformats.org/officeDocument/2006/relationships/hyperlink" Target="https://cccbdb.nist.gov/quadrupole3x.asp?method=79&amp;basis=18" TargetMode="External"/><Relationship Id="rId75" Type="http://schemas.openxmlformats.org/officeDocument/2006/relationships/hyperlink" Target="https://cccbdb.nist.gov/quadrupole3x.asp?method=79&amp;basis=6" TargetMode="External"/><Relationship Id="rId91" Type="http://schemas.openxmlformats.org/officeDocument/2006/relationships/hyperlink" Target="https://cccbdb.nist.gov/quadrupole3x.asp?method=3&amp;basis=24" TargetMode="External"/><Relationship Id="rId96" Type="http://schemas.openxmlformats.org/officeDocument/2006/relationships/hyperlink" Target="https://cccbdb.nist.gov/quadrupole3x.asp?method=11&amp;basis=33" TargetMode="External"/><Relationship Id="rId1" Type="http://schemas.openxmlformats.org/officeDocument/2006/relationships/hyperlink" Target="https://www.sciencedirect.com/science/article/pii/S000926140800420X" TargetMode="External"/><Relationship Id="rId6" Type="http://schemas.openxmlformats.org/officeDocument/2006/relationships/hyperlink" Target="https://cccbdb.nist.gov/quadrupole3x.asp?method=79&amp;basis=18" TargetMode="External"/><Relationship Id="rId23" Type="http://schemas.openxmlformats.org/officeDocument/2006/relationships/hyperlink" Target="https://cccbdb.nist.gov/quadrupole3x.asp?method=79&amp;basis=18" TargetMode="External"/><Relationship Id="rId28" Type="http://schemas.openxmlformats.org/officeDocument/2006/relationships/hyperlink" Target="https://cccbdb.nist.gov/quadrupole3x.asp?method=2&amp;basis=24" TargetMode="External"/><Relationship Id="rId49" Type="http://schemas.openxmlformats.org/officeDocument/2006/relationships/hyperlink" Target="https://cccbdb.nist.gov/quadrupole3x.asp?method=11&amp;basis=35" TargetMode="External"/><Relationship Id="rId114" Type="http://schemas.openxmlformats.org/officeDocument/2006/relationships/hyperlink" Target="https://bib-pubdb1.desy.de/record/437083/files/manuscript.pdf?utm_source=chatgpt.com" TargetMode="External"/><Relationship Id="rId119" Type="http://schemas.openxmlformats.org/officeDocument/2006/relationships/hyperlink" Target="https://cccbdb.nist.gov/polcalc3x.asp?method=90&amp;basis=35" TargetMode="External"/><Relationship Id="rId44" Type="http://schemas.openxmlformats.org/officeDocument/2006/relationships/hyperlink" Target="https://cccbdb.nist.gov/quadrupole3x.asp?method=11&amp;basis=35" TargetMode="External"/><Relationship Id="rId60" Type="http://schemas.openxmlformats.org/officeDocument/2006/relationships/hyperlink" Target="https://cccbdb.nist.gov/quadrupole3x.asp?method=11&amp;basis=30" TargetMode="External"/><Relationship Id="rId65" Type="http://schemas.openxmlformats.org/officeDocument/2006/relationships/hyperlink" Target="https://cccbdb.nist.gov/quadrupole3x.asp?method=11&amp;basis=35" TargetMode="External"/><Relationship Id="rId81" Type="http://schemas.openxmlformats.org/officeDocument/2006/relationships/hyperlink" Target="https://cccbdb.nist.gov/quadrupole3x.asp?method=11&amp;basis=35" TargetMode="External"/><Relationship Id="rId86" Type="http://schemas.openxmlformats.org/officeDocument/2006/relationships/hyperlink" Target="https://cccbdb.nist.gov/quadrupole3x.asp?method=11&amp;basis=26" TargetMode="External"/><Relationship Id="rId4" Type="http://schemas.openxmlformats.org/officeDocument/2006/relationships/hyperlink" Target="https://cccbdb.nist.gov/quadrupole3x.asp?method=11&amp;basis=35" TargetMode="External"/><Relationship Id="rId9" Type="http://schemas.openxmlformats.org/officeDocument/2006/relationships/hyperlink" Target="https://cccbdb.nist.gov/quadrupole3x.asp?method=11&amp;basis=35" TargetMode="External"/><Relationship Id="rId13" Type="http://schemas.openxmlformats.org/officeDocument/2006/relationships/hyperlink" Target="https://cccbdb.nist.gov/quadrupole3x.asp?method=3&amp;basis=7" TargetMode="External"/><Relationship Id="rId18" Type="http://schemas.openxmlformats.org/officeDocument/2006/relationships/hyperlink" Target="https://cccbdb.nist.gov/quadrupole3x.asp?method=79&amp;basis=18" TargetMode="External"/><Relationship Id="rId39" Type="http://schemas.openxmlformats.org/officeDocument/2006/relationships/hyperlink" Target="https://cccbdb.nist.gov/quadrupole3x.asp?method=11&amp;basis=33" TargetMode="External"/><Relationship Id="rId109" Type="http://schemas.openxmlformats.org/officeDocument/2006/relationships/hyperlink" Target="https://cccbdb.nist.gov/quadrupole3x.asp?method=79&amp;basis=18" TargetMode="External"/><Relationship Id="rId34" Type="http://schemas.openxmlformats.org/officeDocument/2006/relationships/hyperlink" Target="https://cccbdb.nist.gov/quadrupole3x.asp?method=11&amp;basis=33" TargetMode="External"/><Relationship Id="rId50" Type="http://schemas.openxmlformats.org/officeDocument/2006/relationships/hyperlink" Target="https://cccbdb.nist.gov/quadrupole3x.asp?method=11&amp;basis=35" TargetMode="External"/><Relationship Id="rId55" Type="http://schemas.openxmlformats.org/officeDocument/2006/relationships/hyperlink" Target="https://cccbdb.nist.gov/quadrupole3x.asp?method=11&amp;basis=35" TargetMode="External"/><Relationship Id="rId76" Type="http://schemas.openxmlformats.org/officeDocument/2006/relationships/hyperlink" Target="https://cccbdb.nist.gov/quadrupole3x.asp?method=79&amp;basis=18" TargetMode="External"/><Relationship Id="rId97" Type="http://schemas.openxmlformats.org/officeDocument/2006/relationships/hyperlink" Target="https://cccbdb.nist.gov/quadrupole3x.asp?method=11&amp;basis=33" TargetMode="External"/><Relationship Id="rId104" Type="http://schemas.openxmlformats.org/officeDocument/2006/relationships/hyperlink" Target="https://cccbdb.nist.gov/quadrupole3x.asp?method=79&amp;basis=18" TargetMode="External"/><Relationship Id="rId120" Type="http://schemas.openxmlformats.org/officeDocument/2006/relationships/hyperlink" Target="https://cccbdb.nist.gov/polcalc3x.asp?method=90&amp;basis=6" TargetMode="External"/><Relationship Id="rId7" Type="http://schemas.openxmlformats.org/officeDocument/2006/relationships/hyperlink" Target="https://cccbdb.nist.gov/quadrupole3x.asp?method=11&amp;basis=35" TargetMode="External"/><Relationship Id="rId71" Type="http://schemas.openxmlformats.org/officeDocument/2006/relationships/hyperlink" Target="https://cccbdb.nist.gov/quadrupole3x.asp?method=79&amp;basis=18" TargetMode="External"/><Relationship Id="rId92" Type="http://schemas.openxmlformats.org/officeDocument/2006/relationships/hyperlink" Target="https://cccbdb.nist.gov/quadrupole3x.asp?method=3&amp;basis=27" TargetMode="External"/><Relationship Id="rId2" Type="http://schemas.openxmlformats.org/officeDocument/2006/relationships/hyperlink" Target="https://cccbdb.nist.gov/quadrupole3x.asp?method=11&amp;basis=18" TargetMode="External"/><Relationship Id="rId29" Type="http://schemas.openxmlformats.org/officeDocument/2006/relationships/hyperlink" Target="https://cccbdb.nist.gov/quadrupole3x.asp?method=2&amp;basis=24" TargetMode="External"/><Relationship Id="rId24" Type="http://schemas.openxmlformats.org/officeDocument/2006/relationships/hyperlink" Target="https://cccbdb.nist.gov/quadrupole3x.asp?method=79&amp;basis=18" TargetMode="External"/><Relationship Id="rId40" Type="http://schemas.openxmlformats.org/officeDocument/2006/relationships/hyperlink" Target="https://cccbdb.nist.gov/quadrupole3x.asp?method=11&amp;basis=35" TargetMode="External"/><Relationship Id="rId45" Type="http://schemas.openxmlformats.org/officeDocument/2006/relationships/hyperlink" Target="https://cccbdb.nist.gov/quadrupole3x.asp?method=11&amp;basis=35" TargetMode="External"/><Relationship Id="rId66" Type="http://schemas.openxmlformats.org/officeDocument/2006/relationships/hyperlink" Target="https://cccbdb.nist.gov/quadrupole3x.asp?method=11&amp;basis=35" TargetMode="External"/><Relationship Id="rId87" Type="http://schemas.openxmlformats.org/officeDocument/2006/relationships/hyperlink" Target="https://cccbdb.nist.gov/quadrupole3x.asp?method=11&amp;basis=26" TargetMode="External"/><Relationship Id="rId110" Type="http://schemas.openxmlformats.org/officeDocument/2006/relationships/hyperlink" Target="https://cccbdb.nist.gov/quadrupole3x.asp?method=79&amp;basis=18" TargetMode="External"/><Relationship Id="rId115" Type="http://schemas.openxmlformats.org/officeDocument/2006/relationships/hyperlink" Target="https://journals.aps.org/pra/abstract/10.1103/PhysRevA.78.052503" TargetMode="External"/><Relationship Id="rId61" Type="http://schemas.openxmlformats.org/officeDocument/2006/relationships/hyperlink" Target="https://cccbdb.nist.gov/quadrupole3x.asp?method=11&amp;basis=30" TargetMode="External"/><Relationship Id="rId82" Type="http://schemas.openxmlformats.org/officeDocument/2006/relationships/hyperlink" Target="https://cccbdb.nist.gov/quadrupole3x.asp?method=11&amp;basis=35" TargetMode="External"/><Relationship Id="rId19" Type="http://schemas.openxmlformats.org/officeDocument/2006/relationships/hyperlink" Target="https://cccbdb.nist.gov/quadrupole3x.asp?method=11&amp;basis=35" TargetMode="External"/><Relationship Id="rId14" Type="http://schemas.openxmlformats.org/officeDocument/2006/relationships/hyperlink" Target="https://cccbdb.nist.gov/quadrupole3x.asp?method=3&amp;basis=7" TargetMode="External"/><Relationship Id="rId30" Type="http://schemas.openxmlformats.org/officeDocument/2006/relationships/hyperlink" Target="https://cccbdb.nist.gov/quadrupole3x.asp?method=3&amp;basis=27" TargetMode="External"/><Relationship Id="rId35" Type="http://schemas.openxmlformats.org/officeDocument/2006/relationships/hyperlink" Target="https://cccbdb.nist.gov/quadrupole3x.asp?method=11&amp;basis=33" TargetMode="External"/><Relationship Id="rId56" Type="http://schemas.openxmlformats.org/officeDocument/2006/relationships/hyperlink" Target="https://cccbdb.nist.gov/quadrupole3x.asp?method=11&amp;basis=35" TargetMode="External"/><Relationship Id="rId77" Type="http://schemas.openxmlformats.org/officeDocument/2006/relationships/hyperlink" Target="https://cccbdb.nist.gov/quadrupole3x.asp?method=79&amp;basis=18" TargetMode="External"/><Relationship Id="rId100" Type="http://schemas.openxmlformats.org/officeDocument/2006/relationships/hyperlink" Target="https://cccbdb.nist.gov/quadrupole3x.asp?method=79&amp;basis=18" TargetMode="External"/><Relationship Id="rId105" Type="http://schemas.openxmlformats.org/officeDocument/2006/relationships/hyperlink" Target="https://cccbdb.nist.gov/quadrupole3x.asp?method=79&amp;basis=18" TargetMode="External"/><Relationship Id="rId8" Type="http://schemas.openxmlformats.org/officeDocument/2006/relationships/hyperlink" Target="https://cccbdb.nist.gov/quadrupole3x.asp?method=11&amp;basis=35" TargetMode="External"/><Relationship Id="rId51" Type="http://schemas.openxmlformats.org/officeDocument/2006/relationships/hyperlink" Target="https://cccbdb.nist.gov/quadrupole3x.asp?method=11&amp;basis=35" TargetMode="External"/><Relationship Id="rId72" Type="http://schemas.openxmlformats.org/officeDocument/2006/relationships/hyperlink" Target="https://cccbdb.nist.gov/quadrupole3x.asp?method=79&amp;basis=18" TargetMode="External"/><Relationship Id="rId93" Type="http://schemas.openxmlformats.org/officeDocument/2006/relationships/hyperlink" Target="https://cccbdb.nist.gov/quadrupole3x.asp?method=3&amp;basis=27" TargetMode="External"/><Relationship Id="rId98" Type="http://schemas.openxmlformats.org/officeDocument/2006/relationships/hyperlink" Target="https://cccbdb.nist.gov/quadrupole3x.asp?method=11&amp;basis=33" TargetMode="External"/><Relationship Id="rId121" Type="http://schemas.openxmlformats.org/officeDocument/2006/relationships/hyperlink" Target="https://cccbdb.nist.gov/dipole3x.asp?method=90&amp;basis=35" TargetMode="External"/><Relationship Id="rId3" Type="http://schemas.openxmlformats.org/officeDocument/2006/relationships/hyperlink" Target="https://cccbdb.nist.gov/quadrupole3x.asp?method=8&amp;basis=21" TargetMode="External"/><Relationship Id="rId25" Type="http://schemas.openxmlformats.org/officeDocument/2006/relationships/hyperlink" Target="https://cccbdb.nist.gov/quadrupole3x.asp?method=79&amp;basis=18" TargetMode="External"/><Relationship Id="rId46" Type="http://schemas.openxmlformats.org/officeDocument/2006/relationships/hyperlink" Target="https://cccbdb.nist.gov/quadrupole3x.asp?method=11&amp;basis=35" TargetMode="External"/><Relationship Id="rId67" Type="http://schemas.openxmlformats.org/officeDocument/2006/relationships/hyperlink" Target="https://cccbdb.nist.gov/quadrupole3x.asp?method=11&amp;basis=35" TargetMode="External"/><Relationship Id="rId116" Type="http://schemas.openxmlformats.org/officeDocument/2006/relationships/hyperlink" Target="https://cccbdb.nist.gov/quadrupole3x.asp?method=3&amp;basis=7" TargetMode="External"/><Relationship Id="rId20" Type="http://schemas.openxmlformats.org/officeDocument/2006/relationships/hyperlink" Target="https://cccbdb.nist.gov/quadrupole3x.asp?method=11&amp;basis=35" TargetMode="External"/><Relationship Id="rId41" Type="http://schemas.openxmlformats.org/officeDocument/2006/relationships/hyperlink" Target="https://cccbdb.nist.gov/quadrupole3x.asp?method=79&amp;basis=18" TargetMode="External"/><Relationship Id="rId62" Type="http://schemas.openxmlformats.org/officeDocument/2006/relationships/hyperlink" Target="https://cccbdb.nist.gov/quadrupole3x.asp?method=11&amp;basis=30" TargetMode="External"/><Relationship Id="rId83" Type="http://schemas.openxmlformats.org/officeDocument/2006/relationships/hyperlink" Target="https://cccbdb.nist.gov/quadrupole3x.asp?method=11&amp;basis=35" TargetMode="External"/><Relationship Id="rId88" Type="http://schemas.openxmlformats.org/officeDocument/2006/relationships/hyperlink" Target="https://cccbdb.nist.gov/quadrupole3x.asp?method=11&amp;basis=35" TargetMode="External"/><Relationship Id="rId111" Type="http://schemas.openxmlformats.org/officeDocument/2006/relationships/hyperlink" Target="https://cccbdb.nist.gov/quadrupole3x.asp?method=79&amp;basis=18" TargetMode="External"/><Relationship Id="rId15" Type="http://schemas.openxmlformats.org/officeDocument/2006/relationships/hyperlink" Target="https://cccbdb.nist.gov/quadrupole3x.asp?method=3&amp;basis=7" TargetMode="External"/><Relationship Id="rId36" Type="http://schemas.openxmlformats.org/officeDocument/2006/relationships/hyperlink" Target="https://cccbdb.nist.gov/quadrupole3x.asp?method=11&amp;basis=35" TargetMode="External"/><Relationship Id="rId57" Type="http://schemas.openxmlformats.org/officeDocument/2006/relationships/hyperlink" Target="https://cccbdb.nist.gov/quadrupole3x.asp?method=11&amp;basis=35" TargetMode="External"/><Relationship Id="rId106" Type="http://schemas.openxmlformats.org/officeDocument/2006/relationships/hyperlink" Target="https://cccbdb.nist.gov/quadrupole3x.asp?method=79&amp;basis=18" TargetMode="External"/><Relationship Id="rId10" Type="http://schemas.openxmlformats.org/officeDocument/2006/relationships/hyperlink" Target="https://cccbdb.nist.gov/quadrupole3x.asp?method=11&amp;basis=35" TargetMode="External"/><Relationship Id="rId31" Type="http://schemas.openxmlformats.org/officeDocument/2006/relationships/hyperlink" Target="https://cccbdb.nist.gov/quadrupole3x.asp?method=11&amp;basis=33" TargetMode="External"/><Relationship Id="rId52" Type="http://schemas.openxmlformats.org/officeDocument/2006/relationships/hyperlink" Target="https://cccbdb.nist.gov/quadrupole3x.asp?method=11&amp;basis=35" TargetMode="External"/><Relationship Id="rId73" Type="http://schemas.openxmlformats.org/officeDocument/2006/relationships/hyperlink" Target="https://cccbdb.nist.gov/quadrupole3x.asp?method=79&amp;basis=18" TargetMode="External"/><Relationship Id="rId78" Type="http://schemas.openxmlformats.org/officeDocument/2006/relationships/hyperlink" Target="https://cccbdb.nist.gov/quadrupole3x.asp?method=79&amp;basis=18" TargetMode="External"/><Relationship Id="rId94" Type="http://schemas.openxmlformats.org/officeDocument/2006/relationships/hyperlink" Target="https://cccbdb.nist.gov/quadrupole3x.asp?method=11&amp;basis=35" TargetMode="External"/><Relationship Id="rId99" Type="http://schemas.openxmlformats.org/officeDocument/2006/relationships/hyperlink" Target="https://cccbdb.nist.gov/quadrupole3x.asp?method=11&amp;basis=35" TargetMode="External"/><Relationship Id="rId101" Type="http://schemas.openxmlformats.org/officeDocument/2006/relationships/hyperlink" Target="https://cccbdb.nist.gov/quadrupole3x.asp?method=65&amp;basis=18" TargetMode="External"/><Relationship Id="rId122" Type="http://schemas.openxmlformats.org/officeDocument/2006/relationships/hyperlink" Target="https://cccbdb.nist.gov/polcalc3x.asp?method=90&amp;basis=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9D8F-3B75-3146-BAA2-E50EF5F12BBF}">
  <dimension ref="A1:AD240"/>
  <sheetViews>
    <sheetView tabSelected="1" zoomScale="107" workbookViewId="0">
      <pane xSplit="2" ySplit="1" topLeftCell="D222" activePane="bottomRight" state="frozen"/>
      <selection pane="topRight" activeCell="B1" sqref="B1"/>
      <selection pane="bottomLeft" activeCell="A2" sqref="A2"/>
      <selection pane="bottomRight" activeCell="S230" sqref="E230:S231"/>
    </sheetView>
  </sheetViews>
  <sheetFormatPr baseColWidth="10" defaultRowHeight="16"/>
  <cols>
    <col min="20" max="20" width="40.1640625" bestFit="1" customWidth="1"/>
  </cols>
  <sheetData>
    <row r="1" spans="1:30">
      <c r="A1" t="s">
        <v>436</v>
      </c>
      <c r="B1" t="s">
        <v>369</v>
      </c>
      <c r="C1" t="s">
        <v>0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274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344</v>
      </c>
      <c r="R1" t="s">
        <v>345</v>
      </c>
      <c r="S1" t="s">
        <v>346</v>
      </c>
      <c r="T1" t="s">
        <v>83</v>
      </c>
      <c r="U1" t="s">
        <v>86</v>
      </c>
      <c r="V1" s="9"/>
    </row>
    <row r="2" spans="1:30" ht="18">
      <c r="A2" s="14" t="s">
        <v>443</v>
      </c>
      <c r="C2">
        <v>83.134</v>
      </c>
      <c r="D2" t="s">
        <v>275</v>
      </c>
      <c r="E2" s="14">
        <v>3.95</v>
      </c>
      <c r="F2" t="s">
        <v>456</v>
      </c>
      <c r="G2">
        <v>9.59</v>
      </c>
      <c r="H2" s="16" t="s">
        <v>457</v>
      </c>
      <c r="I2">
        <v>2</v>
      </c>
      <c r="K2">
        <v>600</v>
      </c>
      <c r="L2" t="s">
        <v>458</v>
      </c>
      <c r="M2">
        <v>0.15340000000000001</v>
      </c>
      <c r="N2">
        <v>9.1630000000000003E-2</v>
      </c>
      <c r="O2">
        <v>9.1630000000000003E-2</v>
      </c>
      <c r="P2" t="s">
        <v>456</v>
      </c>
      <c r="Q2" s="7">
        <v>0.9</v>
      </c>
      <c r="R2" s="7">
        <v>0.9</v>
      </c>
      <c r="S2" s="7">
        <v>-1.8</v>
      </c>
      <c r="T2" s="16" t="s">
        <v>459</v>
      </c>
      <c r="X2" s="2"/>
      <c r="Y2" s="1"/>
      <c r="AC2" s="1"/>
      <c r="AD2" s="1"/>
    </row>
    <row r="3" spans="1:30" ht="18">
      <c r="A3" t="s">
        <v>492</v>
      </c>
      <c r="C3" s="23">
        <v>29.04</v>
      </c>
      <c r="D3" t="s">
        <v>275</v>
      </c>
      <c r="E3">
        <v>0</v>
      </c>
      <c r="F3" t="s">
        <v>501</v>
      </c>
      <c r="G3">
        <v>4.1879999999999997</v>
      </c>
      <c r="H3" t="s">
        <v>70</v>
      </c>
      <c r="I3">
        <v>4</v>
      </c>
      <c r="K3">
        <v>390</v>
      </c>
      <c r="L3" t="s">
        <v>112</v>
      </c>
      <c r="M3">
        <v>4.9249999999999998</v>
      </c>
      <c r="N3">
        <v>0.98199999999999998</v>
      </c>
      <c r="O3">
        <v>0.80900000000000005</v>
      </c>
      <c r="P3" t="s">
        <v>497</v>
      </c>
      <c r="Q3" s="7">
        <v>-3.16</v>
      </c>
      <c r="R3" s="7">
        <v>1.48</v>
      </c>
      <c r="S3" s="7">
        <v>1.67</v>
      </c>
      <c r="T3" s="7" t="s">
        <v>343</v>
      </c>
      <c r="X3" s="1"/>
      <c r="Y3" s="1"/>
      <c r="AC3" s="1"/>
      <c r="AD3" s="1"/>
    </row>
    <row r="4" spans="1:30" ht="18">
      <c r="A4" s="20" t="s">
        <v>477</v>
      </c>
      <c r="C4">
        <v>29.002800000000001</v>
      </c>
      <c r="D4" t="s">
        <v>275</v>
      </c>
      <c r="E4" s="14">
        <v>0.11011</v>
      </c>
      <c r="F4" s="3" t="s">
        <v>72</v>
      </c>
      <c r="G4" s="14">
        <v>1.9530000000000001</v>
      </c>
      <c r="H4" s="3" t="s">
        <v>70</v>
      </c>
      <c r="I4" s="14">
        <v>2</v>
      </c>
      <c r="K4" s="14">
        <v>376</v>
      </c>
      <c r="L4" t="s">
        <v>108</v>
      </c>
      <c r="M4" s="14">
        <v>100000</v>
      </c>
      <c r="N4">
        <v>1.8379720100000001</v>
      </c>
      <c r="O4">
        <v>1.8379720100000001</v>
      </c>
      <c r="P4" t="s">
        <v>479</v>
      </c>
      <c r="Q4" s="14">
        <v>1.42</v>
      </c>
      <c r="R4" s="14">
        <v>1.42</v>
      </c>
      <c r="S4" s="14">
        <v>-2.839</v>
      </c>
      <c r="T4" s="7" t="s">
        <v>343</v>
      </c>
      <c r="V4" t="str">
        <f>SUBSTITUTE(A4,"-","")</f>
        <v>13CO</v>
      </c>
      <c r="X4" s="2"/>
      <c r="Y4" s="1"/>
      <c r="AC4" s="1"/>
      <c r="AD4" s="1"/>
    </row>
    <row r="5" spans="1:30" ht="18">
      <c r="A5" s="14" t="s">
        <v>444</v>
      </c>
      <c r="C5">
        <v>30.999500000000001</v>
      </c>
      <c r="D5" t="s">
        <v>275</v>
      </c>
      <c r="E5">
        <v>0.159</v>
      </c>
      <c r="F5" t="s">
        <v>70</v>
      </c>
      <c r="G5">
        <v>1.698</v>
      </c>
      <c r="H5" t="s">
        <v>70</v>
      </c>
      <c r="I5">
        <v>2</v>
      </c>
      <c r="K5">
        <v>317</v>
      </c>
      <c r="L5" t="s">
        <v>104</v>
      </c>
      <c r="M5">
        <v>100000</v>
      </c>
      <c r="N5">
        <v>1.6359999999999999</v>
      </c>
      <c r="O5">
        <v>1.6359999999999999</v>
      </c>
      <c r="P5" t="s">
        <v>460</v>
      </c>
      <c r="Q5" s="7">
        <v>-0.50800000000000001</v>
      </c>
      <c r="R5" s="7">
        <v>1.08</v>
      </c>
      <c r="S5" s="7">
        <v>-0.57199999999999995</v>
      </c>
      <c r="T5" s="7" t="s">
        <v>350</v>
      </c>
      <c r="V5" t="str">
        <f>SUBSTITUTE(A5,"-","")</f>
        <v>15NO</v>
      </c>
      <c r="X5" s="2"/>
      <c r="Y5" s="1"/>
      <c r="AC5" s="1"/>
      <c r="AD5" s="1"/>
    </row>
    <row r="6" spans="1:30" ht="18">
      <c r="A6" t="s">
        <v>371</v>
      </c>
      <c r="B6" t="s">
        <v>128</v>
      </c>
      <c r="C6">
        <v>61.950391000000003</v>
      </c>
      <c r="D6" t="s">
        <v>275</v>
      </c>
      <c r="E6">
        <v>3.7879999999999998</v>
      </c>
      <c r="F6" s="3" t="s">
        <v>277</v>
      </c>
      <c r="G6">
        <v>6.6150000000000002</v>
      </c>
      <c r="H6" s="3" t="s">
        <v>277</v>
      </c>
      <c r="I6">
        <v>2</v>
      </c>
      <c r="K6">
        <v>468.23</v>
      </c>
      <c r="L6" t="s">
        <v>278</v>
      </c>
      <c r="M6">
        <v>100000</v>
      </c>
      <c r="N6">
        <v>0.24393000000000001</v>
      </c>
      <c r="O6">
        <v>0.24393000000000001</v>
      </c>
      <c r="P6" t="s">
        <v>70</v>
      </c>
      <c r="Q6" s="7">
        <v>1.6679999999999999</v>
      </c>
      <c r="R6" s="7">
        <v>1.6679999999999999</v>
      </c>
      <c r="S6" s="7">
        <v>-3.3370000000000002</v>
      </c>
      <c r="T6" s="7" t="s">
        <v>360</v>
      </c>
      <c r="X6" s="2"/>
      <c r="Y6" s="1"/>
      <c r="AD6" s="1"/>
    </row>
    <row r="7" spans="1:30" ht="18">
      <c r="A7" t="s">
        <v>371</v>
      </c>
      <c r="B7" t="s">
        <v>129</v>
      </c>
      <c r="C7">
        <v>63.947440999999998</v>
      </c>
      <c r="D7" t="s">
        <v>275</v>
      </c>
      <c r="E7">
        <v>3.7879999999999998</v>
      </c>
      <c r="F7" s="3" t="s">
        <v>277</v>
      </c>
      <c r="G7">
        <v>6.6150000000000002</v>
      </c>
      <c r="H7" s="3" t="s">
        <v>277</v>
      </c>
      <c r="I7">
        <v>2</v>
      </c>
      <c r="K7">
        <v>468.23</v>
      </c>
      <c r="L7" t="s">
        <v>278</v>
      </c>
      <c r="M7">
        <v>100000</v>
      </c>
      <c r="N7">
        <v>0.24393000000000001</v>
      </c>
      <c r="O7">
        <v>0.24393000000000001</v>
      </c>
      <c r="P7" t="s">
        <v>70</v>
      </c>
      <c r="Q7" s="7">
        <v>1.6679999999999999</v>
      </c>
      <c r="R7" s="7">
        <v>1.6679999999999999</v>
      </c>
      <c r="S7" s="7">
        <v>-3.3370000000000002</v>
      </c>
      <c r="T7" s="7" t="s">
        <v>360</v>
      </c>
      <c r="X7" s="2"/>
      <c r="Y7" s="1"/>
      <c r="AC7" s="1"/>
      <c r="AD7" s="1"/>
    </row>
    <row r="8" spans="1:30" ht="18">
      <c r="A8" t="s">
        <v>414</v>
      </c>
      <c r="B8" t="s">
        <v>253</v>
      </c>
      <c r="C8">
        <v>45.979942000000001</v>
      </c>
      <c r="D8" t="s">
        <v>275</v>
      </c>
      <c r="E8">
        <v>1.53</v>
      </c>
      <c r="F8" s="3" t="s">
        <v>309</v>
      </c>
      <c r="G8">
        <v>6.0529999999999999</v>
      </c>
      <c r="H8" s="3" t="s">
        <v>310</v>
      </c>
      <c r="I8">
        <v>2</v>
      </c>
      <c r="K8">
        <v>431</v>
      </c>
      <c r="L8" s="3" t="s">
        <v>318</v>
      </c>
      <c r="M8">
        <v>100000</v>
      </c>
      <c r="N8">
        <v>0.55247999999999997</v>
      </c>
      <c r="O8">
        <v>0.55247999999999997</v>
      </c>
      <c r="P8" s="3" t="s">
        <v>319</v>
      </c>
      <c r="Q8">
        <f>-S8/2</f>
        <v>2.7050000000000001</v>
      </c>
      <c r="R8">
        <f>-S8/2</f>
        <v>2.7050000000000001</v>
      </c>
      <c r="S8" s="4">
        <v>-5.41</v>
      </c>
      <c r="T8" s="7" t="s">
        <v>350</v>
      </c>
      <c r="X8" s="2"/>
      <c r="Y8" s="1"/>
      <c r="AC8" s="1"/>
      <c r="AD8" s="1"/>
    </row>
    <row r="9" spans="1:30" ht="18">
      <c r="A9" t="s">
        <v>370</v>
      </c>
      <c r="B9" t="s">
        <v>125</v>
      </c>
      <c r="C9">
        <v>26.994714999999999</v>
      </c>
      <c r="D9" t="s">
        <v>275</v>
      </c>
      <c r="E9">
        <v>0.67200000000000004</v>
      </c>
      <c r="F9" s="3" t="s">
        <v>276</v>
      </c>
      <c r="G9">
        <v>5.6740000000000004</v>
      </c>
      <c r="H9" s="3" t="s">
        <v>277</v>
      </c>
      <c r="I9">
        <v>2</v>
      </c>
      <c r="K9">
        <v>364.1</v>
      </c>
      <c r="L9" t="s">
        <v>278</v>
      </c>
      <c r="M9">
        <v>100000</v>
      </c>
      <c r="N9">
        <v>6.3937799999999996</v>
      </c>
      <c r="O9">
        <v>6.3937799999999996</v>
      </c>
      <c r="P9" t="s">
        <v>70</v>
      </c>
      <c r="Q9" s="7">
        <v>3.7669999999999999</v>
      </c>
      <c r="R9" s="7">
        <v>3.7669999999999999</v>
      </c>
      <c r="S9" s="7">
        <v>-7.5339999999999998</v>
      </c>
      <c r="T9" s="7" t="s">
        <v>359</v>
      </c>
      <c r="X9" s="2"/>
      <c r="Y9" s="1"/>
      <c r="AC9" s="1"/>
      <c r="AD9" s="1"/>
    </row>
    <row r="10" spans="1:30" ht="18">
      <c r="A10" t="s">
        <v>370</v>
      </c>
      <c r="B10" t="s">
        <v>126</v>
      </c>
      <c r="C10">
        <v>27.989363999999998</v>
      </c>
      <c r="D10" t="s">
        <v>275</v>
      </c>
      <c r="E10">
        <v>0.67200000000000004</v>
      </c>
      <c r="F10" s="3" t="s">
        <v>276</v>
      </c>
      <c r="G10">
        <v>5.6740000000000004</v>
      </c>
      <c r="H10" s="3" t="s">
        <v>277</v>
      </c>
      <c r="I10">
        <v>2</v>
      </c>
      <c r="K10">
        <v>364.1</v>
      </c>
      <c r="L10" t="s">
        <v>278</v>
      </c>
      <c r="M10">
        <v>100000</v>
      </c>
      <c r="N10">
        <v>6.3937799999999996</v>
      </c>
      <c r="O10">
        <v>6.3937799999999996</v>
      </c>
      <c r="P10" t="s">
        <v>70</v>
      </c>
      <c r="Q10" s="7">
        <v>3.7669999999999999</v>
      </c>
      <c r="R10" s="7">
        <v>3.7669999999999999</v>
      </c>
      <c r="S10" s="7">
        <v>-7.5339999999999998</v>
      </c>
      <c r="T10" s="7" t="s">
        <v>359</v>
      </c>
      <c r="X10" s="2"/>
      <c r="Y10" s="1"/>
      <c r="AC10" s="1"/>
    </row>
    <row r="11" spans="1:30" ht="18">
      <c r="A11" t="s">
        <v>370</v>
      </c>
      <c r="B11" t="s">
        <v>127</v>
      </c>
      <c r="C11">
        <v>28.995640000000002</v>
      </c>
      <c r="D11" t="s">
        <v>275</v>
      </c>
      <c r="E11">
        <v>0.67200000000000004</v>
      </c>
      <c r="F11" s="3" t="s">
        <v>276</v>
      </c>
      <c r="G11">
        <v>5.6740000000000004</v>
      </c>
      <c r="H11" s="3" t="s">
        <v>277</v>
      </c>
      <c r="I11">
        <v>2</v>
      </c>
      <c r="K11">
        <v>364.1</v>
      </c>
      <c r="L11" t="s">
        <v>278</v>
      </c>
      <c r="M11">
        <v>100000</v>
      </c>
      <c r="N11">
        <v>3.3110819999999999</v>
      </c>
      <c r="O11">
        <v>3.3110819999999999</v>
      </c>
      <c r="P11" t="s">
        <v>279</v>
      </c>
      <c r="Q11" s="7">
        <v>3.7669999999999999</v>
      </c>
      <c r="R11" s="7">
        <v>3.7669999999999999</v>
      </c>
      <c r="S11" s="7">
        <v>-7.5339999999999998</v>
      </c>
      <c r="T11" s="7" t="s">
        <v>359</v>
      </c>
      <c r="X11" s="2"/>
      <c r="Y11" s="1"/>
      <c r="AD11" s="1"/>
    </row>
    <row r="12" spans="1:30" ht="18">
      <c r="A12" t="s">
        <v>372</v>
      </c>
      <c r="B12" t="s">
        <v>130</v>
      </c>
      <c r="C12">
        <v>41.981805000000001</v>
      </c>
      <c r="D12" t="s">
        <v>275</v>
      </c>
      <c r="E12">
        <v>4.0220000000000002</v>
      </c>
      <c r="F12" s="3" t="s">
        <v>277</v>
      </c>
      <c r="G12">
        <v>4.5049999999999999</v>
      </c>
      <c r="H12" s="3" t="s">
        <v>277</v>
      </c>
      <c r="I12">
        <v>2</v>
      </c>
      <c r="K12">
        <v>490.14</v>
      </c>
      <c r="L12" t="s">
        <v>278</v>
      </c>
      <c r="M12">
        <v>100000</v>
      </c>
      <c r="N12">
        <v>0.64139000000000002</v>
      </c>
      <c r="O12">
        <v>0.64139000000000002</v>
      </c>
      <c r="P12" t="s">
        <v>70</v>
      </c>
      <c r="Q12">
        <f>-S12/2</f>
        <v>1.5409999999999999</v>
      </c>
      <c r="R12">
        <f>-S12/2</f>
        <v>1.5409999999999999</v>
      </c>
      <c r="S12" s="7">
        <v>-3.0819999999999999</v>
      </c>
      <c r="T12" s="7" t="s">
        <v>359</v>
      </c>
      <c r="X12" s="2"/>
      <c r="Y12" s="1"/>
      <c r="AC12" s="1"/>
      <c r="AD12" s="1"/>
    </row>
    <row r="13" spans="1:30" ht="18">
      <c r="A13" t="s">
        <v>372</v>
      </c>
      <c r="B13" t="s">
        <v>131</v>
      </c>
      <c r="C13">
        <v>42.976452999999999</v>
      </c>
      <c r="D13" t="s">
        <v>275</v>
      </c>
      <c r="E13">
        <v>4.0220000000000002</v>
      </c>
      <c r="F13" s="3" t="s">
        <v>277</v>
      </c>
      <c r="G13">
        <v>4.5049999999999999</v>
      </c>
      <c r="H13" s="3" t="s">
        <v>277</v>
      </c>
      <c r="I13">
        <v>2</v>
      </c>
      <c r="K13">
        <v>490.14</v>
      </c>
      <c r="L13" t="s">
        <v>278</v>
      </c>
      <c r="M13">
        <v>100000</v>
      </c>
      <c r="N13">
        <v>0.64139000000000002</v>
      </c>
      <c r="O13">
        <v>0.64139000000000002</v>
      </c>
      <c r="P13" t="s">
        <v>70</v>
      </c>
      <c r="Q13">
        <f>-S13/2</f>
        <v>1.5409999999999999</v>
      </c>
      <c r="R13">
        <f>-S13/2</f>
        <v>1.5409999999999999</v>
      </c>
      <c r="S13" s="7">
        <v>-3.0819999999999999</v>
      </c>
      <c r="T13" s="7" t="s">
        <v>359</v>
      </c>
      <c r="X13" s="2"/>
      <c r="Y13" s="1"/>
      <c r="AC13" s="1"/>
      <c r="AD13" s="2"/>
    </row>
    <row r="14" spans="1:30" ht="18">
      <c r="A14" t="s">
        <v>372</v>
      </c>
      <c r="B14" t="s">
        <v>132</v>
      </c>
      <c r="C14">
        <v>43.980670000000003</v>
      </c>
      <c r="D14" t="s">
        <v>275</v>
      </c>
      <c r="E14">
        <v>4.0220000000000002</v>
      </c>
      <c r="F14" s="3" t="s">
        <v>277</v>
      </c>
      <c r="G14">
        <v>4.5049999999999999</v>
      </c>
      <c r="H14" s="3" t="s">
        <v>277</v>
      </c>
      <c r="I14">
        <v>2</v>
      </c>
      <c r="K14">
        <v>490.14</v>
      </c>
      <c r="L14" t="s">
        <v>278</v>
      </c>
      <c r="M14">
        <v>100000</v>
      </c>
      <c r="N14">
        <v>0.64139000000000002</v>
      </c>
      <c r="O14">
        <v>0.64139000000000002</v>
      </c>
      <c r="P14" t="s">
        <v>70</v>
      </c>
      <c r="Q14">
        <f>-S14/2</f>
        <v>1.5409999999999999</v>
      </c>
      <c r="R14">
        <f>-S14/2</f>
        <v>1.5409999999999999</v>
      </c>
      <c r="S14" s="7">
        <v>-3.0819999999999999</v>
      </c>
      <c r="T14" s="7" t="s">
        <v>359</v>
      </c>
      <c r="X14" s="2"/>
      <c r="Y14" s="1"/>
      <c r="AC14" s="1"/>
      <c r="AD14" s="2"/>
    </row>
    <row r="15" spans="1:30" ht="18">
      <c r="A15" t="s">
        <v>372</v>
      </c>
      <c r="B15" t="s">
        <v>133</v>
      </c>
      <c r="C15">
        <v>44.980697999999997</v>
      </c>
      <c r="D15" t="s">
        <v>275</v>
      </c>
      <c r="E15">
        <v>4.0220000000000002</v>
      </c>
      <c r="F15" s="3" t="s">
        <v>277</v>
      </c>
      <c r="G15">
        <v>4.5049999999999999</v>
      </c>
      <c r="H15" s="3" t="s">
        <v>277</v>
      </c>
      <c r="I15">
        <v>2</v>
      </c>
      <c r="K15">
        <v>490.14</v>
      </c>
      <c r="L15" t="s">
        <v>278</v>
      </c>
      <c r="M15">
        <v>100000</v>
      </c>
      <c r="N15">
        <v>0.64139000000000002</v>
      </c>
      <c r="O15">
        <v>0.64139000000000002</v>
      </c>
      <c r="P15" t="s">
        <v>70</v>
      </c>
      <c r="Q15">
        <f>-S15/2</f>
        <v>1.5409999999999999</v>
      </c>
      <c r="R15">
        <f>-S15/2</f>
        <v>1.5409999999999999</v>
      </c>
      <c r="S15" s="7">
        <v>-3.0819999999999999</v>
      </c>
      <c r="T15" s="7" t="s">
        <v>359</v>
      </c>
      <c r="X15" s="2"/>
      <c r="Y15" s="1"/>
      <c r="AC15" s="1"/>
      <c r="AD15" s="1"/>
    </row>
    <row r="16" spans="1:30" ht="18">
      <c r="A16" t="s">
        <v>478</v>
      </c>
      <c r="C16" s="19">
        <v>39.948</v>
      </c>
      <c r="D16" t="s">
        <v>275</v>
      </c>
      <c r="E16">
        <v>0</v>
      </c>
      <c r="F16" s="3" t="s">
        <v>474</v>
      </c>
      <c r="G16" s="19">
        <v>1.6639999999999999</v>
      </c>
      <c r="H16" s="3" t="s">
        <v>91</v>
      </c>
      <c r="I16">
        <v>6</v>
      </c>
      <c r="K16">
        <v>354.2</v>
      </c>
      <c r="L16" s="3" t="s">
        <v>91</v>
      </c>
      <c r="M16">
        <v>100000</v>
      </c>
      <c r="N16">
        <v>100000</v>
      </c>
      <c r="O16">
        <v>100000</v>
      </c>
      <c r="P16" t="s">
        <v>475</v>
      </c>
      <c r="Q16">
        <v>0</v>
      </c>
      <c r="R16">
        <v>0</v>
      </c>
      <c r="S16">
        <v>0</v>
      </c>
      <c r="T16" s="7" t="s">
        <v>475</v>
      </c>
      <c r="V16" t="str">
        <f>SUBSTITUTE(A16,"-","")</f>
        <v>Ar</v>
      </c>
      <c r="Z16" s="26"/>
      <c r="AC16" s="1"/>
      <c r="AD16" s="1"/>
    </row>
    <row r="17" spans="1:30" ht="18">
      <c r="A17" t="s">
        <v>422</v>
      </c>
      <c r="B17" t="s">
        <v>226</v>
      </c>
      <c r="C17">
        <v>77.945070000000001</v>
      </c>
      <c r="D17" t="s">
        <v>275</v>
      </c>
      <c r="E17">
        <v>0.2</v>
      </c>
      <c r="F17" s="3" t="s">
        <v>286</v>
      </c>
      <c r="G17">
        <v>5.468</v>
      </c>
      <c r="H17" s="3" t="s">
        <v>286</v>
      </c>
      <c r="I17">
        <v>2</v>
      </c>
      <c r="K17">
        <v>458.75</v>
      </c>
      <c r="L17" t="s">
        <v>278</v>
      </c>
      <c r="M17">
        <v>3.8220000000000001</v>
      </c>
      <c r="N17">
        <v>3.8220000000000001</v>
      </c>
      <c r="O17">
        <v>3.371</v>
      </c>
      <c r="P17" s="3" t="s">
        <v>296</v>
      </c>
      <c r="Q17">
        <f t="shared" ref="Q17:Q22" si="0">-S17/2</f>
        <v>1.0375000000000001</v>
      </c>
      <c r="R17">
        <f t="shared" ref="R17:R22" si="1">-S17/2</f>
        <v>1.0375000000000001</v>
      </c>
      <c r="S17" s="4">
        <v>-2.0750000000000002</v>
      </c>
      <c r="T17" s="7" t="s">
        <v>354</v>
      </c>
      <c r="Z17" s="26"/>
      <c r="AD17" s="2"/>
    </row>
    <row r="18" spans="1:30" ht="18">
      <c r="A18" t="s">
        <v>373</v>
      </c>
      <c r="B18" t="s">
        <v>134</v>
      </c>
      <c r="C18">
        <v>10.020008000000001</v>
      </c>
      <c r="D18" t="s">
        <v>275</v>
      </c>
      <c r="E18">
        <v>0.48599999999999999</v>
      </c>
      <c r="F18" s="3" t="s">
        <v>277</v>
      </c>
      <c r="G18">
        <v>3.4409999999999998</v>
      </c>
      <c r="H18" s="3" t="s">
        <v>277</v>
      </c>
      <c r="I18">
        <v>2</v>
      </c>
      <c r="K18">
        <v>444.34000000000003</v>
      </c>
      <c r="L18" t="s">
        <v>278</v>
      </c>
      <c r="M18">
        <v>100000</v>
      </c>
      <c r="N18">
        <v>10.31992</v>
      </c>
      <c r="O18">
        <v>10.31992</v>
      </c>
      <c r="P18" t="s">
        <v>70</v>
      </c>
      <c r="Q18">
        <f t="shared" si="0"/>
        <v>2.0699999999999998</v>
      </c>
      <c r="R18">
        <f t="shared" si="1"/>
        <v>2.0699999999999998</v>
      </c>
      <c r="S18" s="7">
        <v>-4.1399999999999997</v>
      </c>
      <c r="T18" s="7" t="s">
        <v>361</v>
      </c>
      <c r="Z18" s="26"/>
      <c r="AC18" s="1"/>
      <c r="AD18" s="2"/>
    </row>
    <row r="19" spans="1:30" ht="18">
      <c r="A19" t="s">
        <v>373</v>
      </c>
      <c r="B19" t="s">
        <v>135</v>
      </c>
      <c r="C19">
        <v>11.026285</v>
      </c>
      <c r="D19" t="s">
        <v>275</v>
      </c>
      <c r="E19">
        <v>0.48599999999999999</v>
      </c>
      <c r="F19" s="3" t="s">
        <v>277</v>
      </c>
      <c r="G19">
        <v>3.4409999999999998</v>
      </c>
      <c r="H19" s="3" t="s">
        <v>277</v>
      </c>
      <c r="I19">
        <v>2</v>
      </c>
      <c r="K19">
        <v>444.34000000000003</v>
      </c>
      <c r="L19" t="s">
        <v>278</v>
      </c>
      <c r="M19">
        <v>100000</v>
      </c>
      <c r="N19">
        <v>5.6746030000000003</v>
      </c>
      <c r="O19">
        <v>5.6746030000000003</v>
      </c>
      <c r="P19" t="s">
        <v>279</v>
      </c>
      <c r="Q19">
        <f t="shared" si="0"/>
        <v>2.0699999999999998</v>
      </c>
      <c r="R19">
        <f t="shared" si="1"/>
        <v>2.0699999999999998</v>
      </c>
      <c r="S19" s="7">
        <v>-4.1399999999999997</v>
      </c>
      <c r="T19" s="7" t="s">
        <v>361</v>
      </c>
      <c r="X19" s="1"/>
      <c r="Y19" s="1"/>
      <c r="AC19" s="1"/>
    </row>
    <row r="20" spans="1:30" ht="18">
      <c r="A20" t="s">
        <v>373</v>
      </c>
      <c r="B20" t="s">
        <v>136</v>
      </c>
      <c r="C20">
        <v>12.028231999999999</v>
      </c>
      <c r="D20" t="s">
        <v>275</v>
      </c>
      <c r="E20">
        <v>0.48599999999999999</v>
      </c>
      <c r="F20" s="3" t="s">
        <v>277</v>
      </c>
      <c r="G20">
        <v>3.4409999999999998</v>
      </c>
      <c r="H20" s="3" t="s">
        <v>277</v>
      </c>
      <c r="I20">
        <v>2</v>
      </c>
      <c r="K20">
        <v>444.34000000000003</v>
      </c>
      <c r="L20" t="s">
        <v>278</v>
      </c>
      <c r="M20">
        <v>100000</v>
      </c>
      <c r="N20">
        <v>4.1260311216520185</v>
      </c>
      <c r="O20">
        <v>4.1260311216520185</v>
      </c>
      <c r="P20" t="s">
        <v>279</v>
      </c>
      <c r="Q20">
        <f t="shared" si="0"/>
        <v>2.0699999999999998</v>
      </c>
      <c r="R20">
        <f t="shared" si="1"/>
        <v>2.0699999999999998</v>
      </c>
      <c r="S20" s="7">
        <v>-4.1399999999999997</v>
      </c>
      <c r="T20" s="7" t="s">
        <v>361</v>
      </c>
      <c r="X20" s="2"/>
      <c r="Y20" s="1"/>
      <c r="AC20" s="1"/>
    </row>
    <row r="21" spans="1:30" ht="18">
      <c r="A21" t="s">
        <v>427</v>
      </c>
      <c r="B21" t="s">
        <v>250</v>
      </c>
      <c r="C21">
        <v>24</v>
      </c>
      <c r="D21" t="s">
        <v>275</v>
      </c>
      <c r="E21">
        <v>0</v>
      </c>
      <c r="F21" s="3" t="s">
        <v>86</v>
      </c>
      <c r="G21">
        <v>5.8140000000000001</v>
      </c>
      <c r="H21" s="3" t="s">
        <v>313</v>
      </c>
      <c r="I21">
        <v>4</v>
      </c>
      <c r="K21">
        <v>390</v>
      </c>
      <c r="L21" s="3" t="s">
        <v>312</v>
      </c>
      <c r="M21">
        <v>100000</v>
      </c>
      <c r="N21">
        <v>1.8200499999999999</v>
      </c>
      <c r="O21">
        <v>1.8200499999999999</v>
      </c>
      <c r="P21" s="3" t="s">
        <v>309</v>
      </c>
      <c r="Q21">
        <f t="shared" si="0"/>
        <v>-1.4395</v>
      </c>
      <c r="R21">
        <f t="shared" si="1"/>
        <v>-1.4395</v>
      </c>
      <c r="S21" s="4">
        <v>2.879</v>
      </c>
      <c r="T21" s="7" t="s">
        <v>357</v>
      </c>
      <c r="X21" s="1"/>
      <c r="Y21" s="1"/>
      <c r="AC21" s="1"/>
    </row>
    <row r="22" spans="1:30" ht="18">
      <c r="A22" t="s">
        <v>427</v>
      </c>
      <c r="B22" t="s">
        <v>251</v>
      </c>
      <c r="C22">
        <v>26.006710000000002</v>
      </c>
      <c r="D22" t="s">
        <v>275</v>
      </c>
      <c r="E22">
        <v>0</v>
      </c>
      <c r="F22" s="3" t="s">
        <v>86</v>
      </c>
      <c r="G22">
        <v>5.8140000000000001</v>
      </c>
      <c r="H22" s="3" t="s">
        <v>313</v>
      </c>
      <c r="I22">
        <v>4</v>
      </c>
      <c r="K22">
        <v>390</v>
      </c>
      <c r="L22" s="3" t="s">
        <v>312</v>
      </c>
      <c r="M22">
        <v>100000</v>
      </c>
      <c r="N22">
        <v>1.8200499999999999</v>
      </c>
      <c r="O22">
        <v>1.8200499999999999</v>
      </c>
      <c r="P22" s="3" t="s">
        <v>309</v>
      </c>
      <c r="Q22">
        <f t="shared" si="0"/>
        <v>-1.4395</v>
      </c>
      <c r="R22">
        <f t="shared" si="1"/>
        <v>-1.4395</v>
      </c>
      <c r="S22" s="4">
        <v>2.879</v>
      </c>
      <c r="T22" s="7" t="s">
        <v>357</v>
      </c>
      <c r="V22" s="11"/>
      <c r="X22" s="2"/>
      <c r="Y22" s="1"/>
      <c r="AD22" s="1"/>
    </row>
    <row r="23" spans="1:30" ht="18">
      <c r="A23" t="s">
        <v>50</v>
      </c>
      <c r="B23" t="s">
        <v>50</v>
      </c>
      <c r="C23">
        <v>26.037299999999998</v>
      </c>
      <c r="D23" t="s">
        <v>275</v>
      </c>
      <c r="E23">
        <v>0</v>
      </c>
      <c r="F23" t="s">
        <v>75</v>
      </c>
      <c r="G23">
        <v>3.4870000000000001</v>
      </c>
      <c r="H23" t="s">
        <v>70</v>
      </c>
      <c r="I23">
        <v>4</v>
      </c>
      <c r="K23">
        <v>330</v>
      </c>
      <c r="L23" t="s">
        <v>115</v>
      </c>
      <c r="M23">
        <v>100000</v>
      </c>
      <c r="N23">
        <v>1.1766459982125299</v>
      </c>
      <c r="O23">
        <v>1.1766459982125299</v>
      </c>
      <c r="P23" t="s">
        <v>69</v>
      </c>
      <c r="Q23" s="7">
        <v>-3.1680000000000001</v>
      </c>
      <c r="R23" s="7">
        <v>-3.1680000000000001</v>
      </c>
      <c r="S23" s="7">
        <v>6.335</v>
      </c>
      <c r="T23" s="7" t="s">
        <v>343</v>
      </c>
      <c r="U23">
        <v>1</v>
      </c>
      <c r="V23" s="11"/>
      <c r="X23" s="1"/>
      <c r="Y23" s="1"/>
      <c r="AC23" s="1"/>
      <c r="AD23" s="1"/>
    </row>
    <row r="24" spans="1:30" ht="18">
      <c r="A24" t="s">
        <v>51</v>
      </c>
      <c r="B24" t="s">
        <v>51</v>
      </c>
      <c r="C24">
        <v>28.0532</v>
      </c>
      <c r="D24" t="s">
        <v>275</v>
      </c>
      <c r="E24">
        <v>0</v>
      </c>
      <c r="F24" t="s">
        <v>70</v>
      </c>
      <c r="G24">
        <v>4.1879999999999997</v>
      </c>
      <c r="H24" t="s">
        <v>70</v>
      </c>
      <c r="I24">
        <v>4</v>
      </c>
      <c r="K24">
        <v>390</v>
      </c>
      <c r="L24" t="s">
        <v>112</v>
      </c>
      <c r="M24">
        <v>4.8280000000000003</v>
      </c>
      <c r="N24">
        <v>1.0012000000000001</v>
      </c>
      <c r="O24">
        <v>0.82820000000000005</v>
      </c>
      <c r="P24" t="s">
        <v>70</v>
      </c>
      <c r="Q24" s="7">
        <v>-3.16</v>
      </c>
      <c r="R24" s="7">
        <v>1.48</v>
      </c>
      <c r="S24" s="7">
        <v>1.67</v>
      </c>
      <c r="T24" s="7" t="s">
        <v>343</v>
      </c>
      <c r="U24">
        <v>2</v>
      </c>
      <c r="X24" s="2"/>
      <c r="Y24" s="1"/>
      <c r="AC24" s="1"/>
      <c r="AD24" s="1"/>
    </row>
    <row r="25" spans="1:30">
      <c r="A25" s="14" t="s">
        <v>445</v>
      </c>
      <c r="C25">
        <v>48.0595</v>
      </c>
      <c r="D25" t="s">
        <v>275</v>
      </c>
      <c r="E25">
        <v>1.94</v>
      </c>
      <c r="F25" s="17" t="s">
        <v>67</v>
      </c>
      <c r="G25">
        <v>4.16</v>
      </c>
      <c r="H25" s="18" t="s">
        <v>67</v>
      </c>
      <c r="I25">
        <v>2</v>
      </c>
      <c r="K25">
        <v>450</v>
      </c>
      <c r="L25" s="16" t="s">
        <v>462</v>
      </c>
      <c r="M25">
        <v>1.2031799999999999</v>
      </c>
      <c r="N25">
        <v>0.31236999999999998</v>
      </c>
      <c r="O25">
        <v>0.27350999999999998</v>
      </c>
      <c r="P25" t="s">
        <v>461</v>
      </c>
      <c r="Q25">
        <v>0.57999999999999996</v>
      </c>
      <c r="R25">
        <v>0.57999999999999996</v>
      </c>
      <c r="S25" t="s">
        <v>464</v>
      </c>
      <c r="T25" s="16" t="s">
        <v>463</v>
      </c>
      <c r="V25" t="str">
        <f>SUBSTITUTE(A25,"-","")</f>
        <v>C2H5F</v>
      </c>
      <c r="X25" s="1"/>
      <c r="Y25" s="1"/>
      <c r="AC25" s="1"/>
      <c r="AD25" s="1"/>
    </row>
    <row r="26" spans="1:30" ht="18">
      <c r="A26" t="s">
        <v>52</v>
      </c>
      <c r="B26" t="s">
        <v>52</v>
      </c>
      <c r="C26">
        <v>30.07</v>
      </c>
      <c r="D26" t="s">
        <v>275</v>
      </c>
      <c r="E26">
        <v>0</v>
      </c>
      <c r="F26" t="s">
        <v>70</v>
      </c>
      <c r="G26">
        <v>4.226</v>
      </c>
      <c r="H26" t="s">
        <v>70</v>
      </c>
      <c r="I26">
        <v>4</v>
      </c>
      <c r="K26">
        <f>(373+340)/2</f>
        <v>356.5</v>
      </c>
      <c r="L26" t="s">
        <v>100</v>
      </c>
      <c r="M26">
        <v>2.5196700000000001</v>
      </c>
      <c r="N26">
        <v>0.68340999999999996</v>
      </c>
      <c r="O26">
        <v>0.68340999999999996</v>
      </c>
      <c r="P26" t="s">
        <v>70</v>
      </c>
      <c r="Q26" s="7">
        <v>0.33600000000000002</v>
      </c>
      <c r="R26" s="7">
        <v>0.33600000000000002</v>
      </c>
      <c r="S26" s="7">
        <v>-0.67300000000000004</v>
      </c>
      <c r="T26" s="7" t="s">
        <v>343</v>
      </c>
      <c r="U26">
        <v>3</v>
      </c>
      <c r="X26" s="2"/>
      <c r="Y26" s="1"/>
      <c r="AC26" s="1"/>
      <c r="AD26" s="1"/>
    </row>
    <row r="27" spans="1:30" ht="18">
      <c r="A27" t="s">
        <v>53</v>
      </c>
      <c r="B27" t="s">
        <v>53</v>
      </c>
      <c r="C27">
        <v>52.034799999999997</v>
      </c>
      <c r="D27" t="s">
        <v>275</v>
      </c>
      <c r="E27">
        <v>0</v>
      </c>
      <c r="F27" t="s">
        <v>70</v>
      </c>
      <c r="G27">
        <v>5.0149999999999997</v>
      </c>
      <c r="H27" t="s">
        <v>70</v>
      </c>
      <c r="I27">
        <v>4</v>
      </c>
      <c r="K27">
        <v>440</v>
      </c>
      <c r="L27" t="s">
        <v>93</v>
      </c>
      <c r="M27">
        <f xml:space="preserve"> 100000</f>
        <v>100000</v>
      </c>
      <c r="N27">
        <v>0.15709999999999999</v>
      </c>
      <c r="O27">
        <v>0.15709999999999999</v>
      </c>
      <c r="P27" t="s">
        <v>70</v>
      </c>
      <c r="Q27">
        <v>4.7134999999999998</v>
      </c>
      <c r="R27">
        <v>4.7134999999999998</v>
      </c>
      <c r="S27" s="4">
        <v>-9.4269999999999996</v>
      </c>
      <c r="T27" s="7" t="s">
        <v>348</v>
      </c>
      <c r="X27" s="2"/>
      <c r="Y27" s="1"/>
      <c r="AC27" s="1"/>
      <c r="AD27" s="1"/>
    </row>
    <row r="28" spans="1:30" ht="18">
      <c r="A28" t="s">
        <v>493</v>
      </c>
      <c r="C28" s="23">
        <v>44.1</v>
      </c>
      <c r="D28" t="s">
        <v>275</v>
      </c>
      <c r="E28">
        <v>0.08</v>
      </c>
      <c r="F28" s="16" t="s">
        <v>457</v>
      </c>
      <c r="G28" s="19">
        <v>5.9210000000000003</v>
      </c>
      <c r="H28" t="s">
        <v>91</v>
      </c>
      <c r="I28">
        <v>2</v>
      </c>
      <c r="K28">
        <v>511.8</v>
      </c>
      <c r="L28" t="s">
        <v>91</v>
      </c>
      <c r="M28" s="23">
        <v>0.97</v>
      </c>
      <c r="N28" s="23">
        <v>0.28000000000000003</v>
      </c>
      <c r="O28" s="23">
        <v>0.23</v>
      </c>
      <c r="P28" s="16" t="s">
        <v>499</v>
      </c>
      <c r="Q28" s="7">
        <v>0.5</v>
      </c>
      <c r="R28" s="7">
        <v>-0.1</v>
      </c>
      <c r="S28">
        <v>-0.4</v>
      </c>
      <c r="T28" s="16" t="s">
        <v>502</v>
      </c>
      <c r="X28" s="1"/>
      <c r="Y28" s="1"/>
      <c r="AD28" s="1"/>
    </row>
    <row r="29" spans="1:30" ht="18">
      <c r="A29" t="s">
        <v>54</v>
      </c>
      <c r="B29" t="s">
        <v>54</v>
      </c>
      <c r="C29">
        <v>50.058700000000002</v>
      </c>
      <c r="D29" t="s">
        <v>275</v>
      </c>
      <c r="E29">
        <v>0</v>
      </c>
      <c r="F29" t="s">
        <v>70</v>
      </c>
      <c r="G29">
        <v>6.8109999999999999</v>
      </c>
      <c r="H29" t="s">
        <v>70</v>
      </c>
      <c r="I29">
        <v>4</v>
      </c>
      <c r="K29">
        <v>490</v>
      </c>
      <c r="L29" t="s">
        <v>93</v>
      </c>
      <c r="M29">
        <f xml:space="preserve"> 100000</f>
        <v>100000</v>
      </c>
      <c r="N29">
        <v>0.14641000000000001</v>
      </c>
      <c r="O29">
        <v>0.14641000000000001</v>
      </c>
      <c r="P29" t="s">
        <v>70</v>
      </c>
      <c r="Q29" t="s">
        <v>347</v>
      </c>
      <c r="R29" t="s">
        <v>347</v>
      </c>
      <c r="S29">
        <v>0.55800000000000005</v>
      </c>
      <c r="T29" s="7" t="s">
        <v>352</v>
      </c>
      <c r="X29" s="2"/>
      <c r="Y29" s="1"/>
      <c r="AC29" s="1"/>
      <c r="AD29" s="1"/>
    </row>
    <row r="30" spans="1:30" ht="18">
      <c r="A30" t="s">
        <v>489</v>
      </c>
      <c r="C30" s="23">
        <v>78.11</v>
      </c>
      <c r="D30" t="s">
        <v>275</v>
      </c>
      <c r="E30">
        <v>0</v>
      </c>
      <c r="F30" s="3" t="s">
        <v>86</v>
      </c>
      <c r="G30" s="19">
        <v>9.9589999999999996</v>
      </c>
      <c r="H30" s="3" t="s">
        <v>91</v>
      </c>
      <c r="I30">
        <v>4</v>
      </c>
      <c r="K30" s="23">
        <v>530</v>
      </c>
      <c r="L30" s="16" t="s">
        <v>498</v>
      </c>
      <c r="M30" s="23">
        <v>0.189</v>
      </c>
      <c r="N30" s="23">
        <v>0.189</v>
      </c>
      <c r="O30" s="23">
        <v>9.5000000000000001E-2</v>
      </c>
      <c r="P30" s="16" t="s">
        <v>499</v>
      </c>
      <c r="Q30" s="23">
        <v>4.55</v>
      </c>
      <c r="R30" s="23">
        <v>4.55</v>
      </c>
      <c r="S30" s="23">
        <v>-9.1</v>
      </c>
      <c r="T30" s="16" t="s">
        <v>457</v>
      </c>
      <c r="X30" s="2"/>
      <c r="Y30" s="1"/>
      <c r="AC30" s="1"/>
      <c r="AD30" s="1"/>
    </row>
    <row r="31" spans="1:30" ht="18">
      <c r="A31" t="s">
        <v>375</v>
      </c>
      <c r="B31" t="s">
        <v>138</v>
      </c>
      <c r="C31">
        <v>58.960993999999999</v>
      </c>
      <c r="D31" t="s">
        <v>275</v>
      </c>
      <c r="E31">
        <v>3.9359999999999999</v>
      </c>
      <c r="F31" s="3" t="s">
        <v>282</v>
      </c>
      <c r="G31">
        <v>3.78</v>
      </c>
      <c r="H31" s="3" t="s">
        <v>283</v>
      </c>
      <c r="I31">
        <v>2</v>
      </c>
      <c r="K31">
        <v>537.51499999999999</v>
      </c>
      <c r="L31" t="s">
        <v>278</v>
      </c>
      <c r="M31">
        <v>100000</v>
      </c>
      <c r="N31">
        <v>0.33850000000000002</v>
      </c>
      <c r="O31">
        <v>0.33850000000000002</v>
      </c>
      <c r="P31" t="s">
        <v>70</v>
      </c>
      <c r="Q31">
        <f t="shared" ref="Q31:Q39" si="2">-S31/2</f>
        <v>4.1384999999999996</v>
      </c>
      <c r="R31">
        <f t="shared" ref="R31:R39" si="3">-S31/2</f>
        <v>4.1384999999999996</v>
      </c>
      <c r="S31" s="7">
        <v>-8.2769999999999992</v>
      </c>
      <c r="T31" s="7" t="s">
        <v>363</v>
      </c>
      <c r="X31" s="2"/>
      <c r="Y31" s="1"/>
      <c r="AC31" s="1"/>
      <c r="AD31" s="1"/>
    </row>
    <row r="32" spans="1:30" ht="18">
      <c r="A32" t="s">
        <v>375</v>
      </c>
      <c r="B32" t="s">
        <v>139</v>
      </c>
      <c r="C32">
        <v>60.957020999999997</v>
      </c>
      <c r="D32" t="s">
        <v>275</v>
      </c>
      <c r="E32">
        <v>3.9359999999999999</v>
      </c>
      <c r="F32" s="3" t="s">
        <v>282</v>
      </c>
      <c r="G32">
        <v>3.78</v>
      </c>
      <c r="H32" s="3" t="s">
        <v>283</v>
      </c>
      <c r="I32">
        <v>2</v>
      </c>
      <c r="K32">
        <v>537.51499999999999</v>
      </c>
      <c r="L32" t="s">
        <v>278</v>
      </c>
      <c r="M32">
        <v>100000</v>
      </c>
      <c r="N32">
        <v>0.33850000000000002</v>
      </c>
      <c r="O32">
        <v>0.33850000000000002</v>
      </c>
      <c r="P32" t="s">
        <v>70</v>
      </c>
      <c r="Q32">
        <f t="shared" si="2"/>
        <v>4.1384999999999996</v>
      </c>
      <c r="R32">
        <f t="shared" si="3"/>
        <v>4.1384999999999996</v>
      </c>
      <c r="S32" s="7">
        <v>-8.2769999999999992</v>
      </c>
      <c r="T32" s="7" t="s">
        <v>363</v>
      </c>
      <c r="X32" s="2"/>
      <c r="Y32" s="1"/>
      <c r="AC32" s="1"/>
    </row>
    <row r="33" spans="1:30" ht="18">
      <c r="A33" t="s">
        <v>375</v>
      </c>
      <c r="B33" t="s">
        <v>140</v>
      </c>
      <c r="C33">
        <v>61.957169999999998</v>
      </c>
      <c r="D33" t="s">
        <v>275</v>
      </c>
      <c r="E33">
        <v>3.9359999999999999</v>
      </c>
      <c r="F33" s="3" t="s">
        <v>282</v>
      </c>
      <c r="G33">
        <v>3.78</v>
      </c>
      <c r="H33" s="3" t="s">
        <v>283</v>
      </c>
      <c r="I33">
        <v>2</v>
      </c>
      <c r="K33">
        <v>537.51499999999999</v>
      </c>
      <c r="L33" t="s">
        <v>278</v>
      </c>
      <c r="M33">
        <v>100000</v>
      </c>
      <c r="N33">
        <v>0.33850000000000002</v>
      </c>
      <c r="O33">
        <v>0.33850000000000002</v>
      </c>
      <c r="P33" t="s">
        <v>70</v>
      </c>
      <c r="Q33">
        <f t="shared" si="2"/>
        <v>4.1384999999999996</v>
      </c>
      <c r="R33">
        <f t="shared" si="3"/>
        <v>4.1384999999999996</v>
      </c>
      <c r="S33" s="7">
        <v>-8.2769999999999992</v>
      </c>
      <c r="T33" s="7" t="s">
        <v>363</v>
      </c>
      <c r="X33" s="1"/>
      <c r="Y33" s="1"/>
    </row>
    <row r="34" spans="1:30" ht="18">
      <c r="A34" t="s">
        <v>375</v>
      </c>
      <c r="B34" t="s">
        <v>141</v>
      </c>
      <c r="C34">
        <v>62.953885</v>
      </c>
      <c r="D34" t="s">
        <v>275</v>
      </c>
      <c r="E34">
        <v>3.9359999999999999</v>
      </c>
      <c r="F34" s="3" t="s">
        <v>282</v>
      </c>
      <c r="G34">
        <v>3.78</v>
      </c>
      <c r="H34" s="3" t="s">
        <v>283</v>
      </c>
      <c r="I34">
        <v>2</v>
      </c>
      <c r="K34">
        <v>537.51499999999999</v>
      </c>
      <c r="L34" t="s">
        <v>278</v>
      </c>
      <c r="M34">
        <v>100000</v>
      </c>
      <c r="N34">
        <v>0.33850000000000002</v>
      </c>
      <c r="O34">
        <v>0.33850000000000002</v>
      </c>
      <c r="P34" t="s">
        <v>70</v>
      </c>
      <c r="Q34">
        <f t="shared" si="2"/>
        <v>4.1384999999999996</v>
      </c>
      <c r="R34">
        <f t="shared" si="3"/>
        <v>4.1384999999999996</v>
      </c>
      <c r="S34" s="7">
        <v>-8.2769999999999992</v>
      </c>
      <c r="T34" s="7" t="s">
        <v>363</v>
      </c>
      <c r="X34" s="1"/>
      <c r="Y34" s="1"/>
      <c r="AC34" s="1"/>
      <c r="AD34" s="1"/>
    </row>
    <row r="35" spans="1:30" ht="18">
      <c r="A35" t="s">
        <v>375</v>
      </c>
      <c r="B35" t="s">
        <v>142</v>
      </c>
      <c r="C35">
        <v>64.952091999999993</v>
      </c>
      <c r="D35" t="s">
        <v>275</v>
      </c>
      <c r="E35">
        <v>3.9359999999999999</v>
      </c>
      <c r="F35" s="3" t="s">
        <v>282</v>
      </c>
      <c r="G35">
        <v>3.78</v>
      </c>
      <c r="H35" s="3" t="s">
        <v>283</v>
      </c>
      <c r="I35">
        <v>2</v>
      </c>
      <c r="K35">
        <v>537.51499999999999</v>
      </c>
      <c r="L35" t="s">
        <v>278</v>
      </c>
      <c r="M35">
        <v>100000</v>
      </c>
      <c r="N35">
        <v>0.33850000000000002</v>
      </c>
      <c r="O35">
        <v>0.33850000000000002</v>
      </c>
      <c r="P35" t="s">
        <v>70</v>
      </c>
      <c r="Q35">
        <f t="shared" si="2"/>
        <v>4.1384999999999996</v>
      </c>
      <c r="R35">
        <f t="shared" si="3"/>
        <v>4.1384999999999996</v>
      </c>
      <c r="S35" s="7">
        <v>-8.2769999999999992</v>
      </c>
      <c r="T35" s="7" t="s">
        <v>363</v>
      </c>
      <c r="X35" s="2"/>
      <c r="Y35" s="1"/>
      <c r="AC35" s="1"/>
      <c r="AD35" s="1"/>
    </row>
    <row r="36" spans="1:30" ht="18">
      <c r="A36" t="s">
        <v>375</v>
      </c>
      <c r="B36" t="s">
        <v>143</v>
      </c>
      <c r="C36">
        <v>66.950925999999995</v>
      </c>
      <c r="D36" t="s">
        <v>275</v>
      </c>
      <c r="E36">
        <v>3.9359999999999999</v>
      </c>
      <c r="F36" s="3" t="s">
        <v>282</v>
      </c>
      <c r="G36">
        <v>3.78</v>
      </c>
      <c r="H36" s="3" t="s">
        <v>283</v>
      </c>
      <c r="I36">
        <v>2</v>
      </c>
      <c r="K36">
        <v>537.51499999999999</v>
      </c>
      <c r="L36" t="s">
        <v>278</v>
      </c>
      <c r="M36">
        <v>100000</v>
      </c>
      <c r="N36">
        <v>0.33850000000000002</v>
      </c>
      <c r="O36">
        <v>0.33850000000000002</v>
      </c>
      <c r="P36" t="s">
        <v>70</v>
      </c>
      <c r="Q36">
        <f t="shared" si="2"/>
        <v>4.1384999999999996</v>
      </c>
      <c r="R36">
        <f t="shared" si="3"/>
        <v>4.1384999999999996</v>
      </c>
      <c r="S36" s="7">
        <v>-8.2769999999999992</v>
      </c>
      <c r="T36" s="7" t="s">
        <v>363</v>
      </c>
      <c r="X36" s="2"/>
      <c r="Y36" s="1"/>
      <c r="AC36" s="1"/>
      <c r="AD36" s="1"/>
    </row>
    <row r="37" spans="1:30" ht="18">
      <c r="A37" t="s">
        <v>376</v>
      </c>
      <c r="B37" t="s">
        <v>144</v>
      </c>
      <c r="C37">
        <v>40.970416</v>
      </c>
      <c r="D37" t="s">
        <v>275</v>
      </c>
      <c r="E37">
        <v>2.3279999999999998</v>
      </c>
      <c r="F37" s="3" t="s">
        <v>282</v>
      </c>
      <c r="G37">
        <v>12.925000000000001</v>
      </c>
      <c r="H37" s="3" t="s">
        <v>284</v>
      </c>
      <c r="I37">
        <v>2</v>
      </c>
      <c r="K37">
        <v>585.59</v>
      </c>
      <c r="L37" t="s">
        <v>278</v>
      </c>
      <c r="M37">
        <v>100000</v>
      </c>
      <c r="N37">
        <v>4.2766000000000002</v>
      </c>
      <c r="O37">
        <v>4.2766000000000002</v>
      </c>
      <c r="P37" t="s">
        <v>70</v>
      </c>
      <c r="Q37">
        <f t="shared" si="2"/>
        <v>5.835</v>
      </c>
      <c r="R37">
        <f t="shared" si="3"/>
        <v>5.835</v>
      </c>
      <c r="S37" s="7">
        <v>-11.67</v>
      </c>
      <c r="T37" s="7" t="s">
        <v>363</v>
      </c>
      <c r="X37" s="1"/>
      <c r="Y37" s="1"/>
      <c r="AC37" s="1"/>
      <c r="AD37" s="1"/>
    </row>
    <row r="38" spans="1:30" ht="18">
      <c r="A38" t="s">
        <v>374</v>
      </c>
      <c r="B38" t="s">
        <v>137</v>
      </c>
      <c r="C38">
        <v>55.957504999999998</v>
      </c>
      <c r="D38" t="s">
        <v>275</v>
      </c>
      <c r="E38">
        <v>11.577999999999999</v>
      </c>
      <c r="F38" s="3" t="s">
        <v>280</v>
      </c>
      <c r="G38">
        <v>2.8410000000000002</v>
      </c>
      <c r="H38" s="3" t="s">
        <v>281</v>
      </c>
      <c r="I38">
        <v>2</v>
      </c>
      <c r="K38">
        <v>383.86</v>
      </c>
      <c r="L38" t="s">
        <v>278</v>
      </c>
      <c r="M38">
        <v>100000</v>
      </c>
      <c r="N38">
        <v>0.44450000000000001</v>
      </c>
      <c r="O38">
        <v>0.44450000000000001</v>
      </c>
      <c r="P38" t="s">
        <v>70</v>
      </c>
      <c r="Q38">
        <f t="shared" si="2"/>
        <v>3.9710000000000001</v>
      </c>
      <c r="R38">
        <f t="shared" si="3"/>
        <v>3.9710000000000001</v>
      </c>
      <c r="S38" s="4">
        <v>-7.9420000000000002</v>
      </c>
      <c r="T38" s="7" t="s">
        <v>362</v>
      </c>
      <c r="X38" s="2"/>
      <c r="Y38" s="1"/>
      <c r="AD38" s="1"/>
    </row>
    <row r="39" spans="1:30" ht="18">
      <c r="A39" t="s">
        <v>404</v>
      </c>
      <c r="B39" t="s">
        <v>221</v>
      </c>
      <c r="C39">
        <v>56.965330999999999</v>
      </c>
      <c r="D39" t="s">
        <v>275</v>
      </c>
      <c r="E39">
        <v>2.5760000000000001</v>
      </c>
      <c r="F39" s="3" t="s">
        <v>292</v>
      </c>
      <c r="G39">
        <v>13.478999999999999</v>
      </c>
      <c r="H39" s="3" t="s">
        <v>277</v>
      </c>
      <c r="I39">
        <v>2</v>
      </c>
      <c r="K39">
        <v>643.88</v>
      </c>
      <c r="L39" t="s">
        <v>278</v>
      </c>
      <c r="M39">
        <v>100000</v>
      </c>
      <c r="N39">
        <v>0.33500000000000002</v>
      </c>
      <c r="O39">
        <v>0.33500000000000002</v>
      </c>
      <c r="P39" s="3" t="s">
        <v>277</v>
      </c>
      <c r="Q39">
        <f t="shared" si="2"/>
        <v>0.66149999999999998</v>
      </c>
      <c r="R39">
        <f t="shared" si="3"/>
        <v>0.66149999999999998</v>
      </c>
      <c r="S39" s="4">
        <v>-1.323</v>
      </c>
      <c r="T39" s="7" t="s">
        <v>363</v>
      </c>
      <c r="X39" s="1"/>
      <c r="Y39" s="1"/>
      <c r="AC39" s="1"/>
      <c r="AD39" s="1"/>
    </row>
    <row r="40" spans="1:30" ht="18">
      <c r="A40" t="s">
        <v>488</v>
      </c>
      <c r="C40" s="23">
        <v>153.82</v>
      </c>
      <c r="D40" t="s">
        <v>275</v>
      </c>
      <c r="E40">
        <v>0</v>
      </c>
      <c r="F40" s="3" t="s">
        <v>86</v>
      </c>
      <c r="G40" s="19">
        <v>10.002000000000001</v>
      </c>
      <c r="H40" s="3" t="s">
        <v>91</v>
      </c>
      <c r="I40">
        <v>6</v>
      </c>
      <c r="K40" s="19">
        <v>594.70000000000005</v>
      </c>
      <c r="L40" s="3" t="s">
        <v>91</v>
      </c>
      <c r="M40" s="23">
        <v>5.7000000000000002E-2</v>
      </c>
      <c r="N40" s="23">
        <v>5.7000000000000002E-2</v>
      </c>
      <c r="O40" s="23">
        <v>5.7000000000000002E-2</v>
      </c>
      <c r="P40" s="16" t="s">
        <v>499</v>
      </c>
      <c r="Q40" s="7">
        <v>0</v>
      </c>
      <c r="R40" s="7">
        <v>0</v>
      </c>
      <c r="S40" s="7">
        <v>0</v>
      </c>
      <c r="T40" s="25" t="s">
        <v>500</v>
      </c>
      <c r="X40" s="1"/>
      <c r="Y40" s="1"/>
      <c r="AC40" s="1"/>
    </row>
    <row r="41" spans="1:30">
      <c r="A41" s="14" t="s">
        <v>446</v>
      </c>
      <c r="C41">
        <v>94.036000000000001</v>
      </c>
      <c r="D41" t="s">
        <v>275</v>
      </c>
      <c r="E41">
        <v>2.3170000000000002</v>
      </c>
      <c r="F41" s="4" t="s">
        <v>486</v>
      </c>
      <c r="G41">
        <v>2.5950000000000002</v>
      </c>
      <c r="H41" t="s">
        <v>486</v>
      </c>
      <c r="I41">
        <v>2</v>
      </c>
      <c r="K41">
        <v>470</v>
      </c>
      <c r="L41" s="16" t="s">
        <v>462</v>
      </c>
      <c r="M41">
        <v>0.190827</v>
      </c>
      <c r="N41">
        <v>9.5939999999999998E-2</v>
      </c>
      <c r="O41">
        <v>9.5939999999999998E-2</v>
      </c>
      <c r="P41" t="s">
        <v>487</v>
      </c>
      <c r="Q41">
        <v>1.2050000000000001</v>
      </c>
      <c r="R41">
        <v>1.2050000000000001</v>
      </c>
      <c r="S41" t="s">
        <v>465</v>
      </c>
      <c r="T41" s="16" t="s">
        <v>466</v>
      </c>
      <c r="V41" t="str">
        <f>SUBSTITUTE(A41,"-","")</f>
        <v>CF3CCH</v>
      </c>
      <c r="X41" s="2"/>
      <c r="Y41" s="1"/>
      <c r="AC41" s="1"/>
    </row>
    <row r="42" spans="1:30" ht="18">
      <c r="A42" t="s">
        <v>66</v>
      </c>
      <c r="B42" t="s">
        <v>66</v>
      </c>
      <c r="C42">
        <v>88.004310000000004</v>
      </c>
      <c r="D42" t="s">
        <v>87</v>
      </c>
      <c r="E42">
        <v>0</v>
      </c>
      <c r="F42" t="s">
        <v>86</v>
      </c>
      <c r="G42">
        <v>2.8239999999999998</v>
      </c>
      <c r="H42" t="s">
        <v>70</v>
      </c>
      <c r="I42">
        <v>4</v>
      </c>
      <c r="K42">
        <v>470</v>
      </c>
      <c r="L42" t="s">
        <v>91</v>
      </c>
      <c r="M42">
        <v>0.19242000000000001</v>
      </c>
      <c r="N42">
        <v>0.19242000000000001</v>
      </c>
      <c r="O42">
        <v>0.19242000000000001</v>
      </c>
      <c r="P42" t="s">
        <v>70</v>
      </c>
      <c r="Q42" s="7">
        <v>0</v>
      </c>
      <c r="R42" s="7">
        <v>0</v>
      </c>
      <c r="S42" s="7">
        <v>0</v>
      </c>
      <c r="T42" s="7" t="s">
        <v>67</v>
      </c>
      <c r="U42">
        <v>5</v>
      </c>
      <c r="X42" s="2"/>
      <c r="Y42" s="1"/>
      <c r="AC42" s="1"/>
      <c r="AD42" s="1"/>
    </row>
    <row r="43" spans="1:30" ht="18">
      <c r="A43" t="s">
        <v>407</v>
      </c>
      <c r="B43" t="s">
        <v>247</v>
      </c>
      <c r="C43">
        <v>13.007825</v>
      </c>
      <c r="D43" t="s">
        <v>275</v>
      </c>
      <c r="E43">
        <v>1.46</v>
      </c>
      <c r="F43" s="3" t="s">
        <v>309</v>
      </c>
      <c r="G43">
        <v>2.3340000000000001</v>
      </c>
      <c r="H43" s="3" t="s">
        <v>310</v>
      </c>
      <c r="I43">
        <v>2</v>
      </c>
      <c r="K43">
        <v>337</v>
      </c>
      <c r="L43" s="3" t="s">
        <v>91</v>
      </c>
      <c r="M43">
        <v>100000</v>
      </c>
      <c r="N43">
        <v>14.45988</v>
      </c>
      <c r="O43">
        <v>14.45988</v>
      </c>
      <c r="P43" s="3" t="s">
        <v>309</v>
      </c>
      <c r="Q43" s="7">
        <v>1.9239999999999999</v>
      </c>
      <c r="R43" s="7">
        <v>-1.0529999999999999</v>
      </c>
      <c r="S43" s="4">
        <v>-0.871</v>
      </c>
      <c r="T43" s="7" t="s">
        <v>350</v>
      </c>
      <c r="X43" s="2"/>
      <c r="Y43" s="1"/>
      <c r="AD43" s="1"/>
    </row>
    <row r="44" spans="1:30" ht="18">
      <c r="A44" t="s">
        <v>407</v>
      </c>
      <c r="B44" t="s">
        <v>248</v>
      </c>
      <c r="C44">
        <v>14.01118</v>
      </c>
      <c r="D44" t="s">
        <v>275</v>
      </c>
      <c r="E44">
        <v>1.46</v>
      </c>
      <c r="F44" s="3" t="s">
        <v>309</v>
      </c>
      <c r="G44">
        <v>2.3340000000000001</v>
      </c>
      <c r="H44" s="3" t="s">
        <v>310</v>
      </c>
      <c r="I44">
        <v>2</v>
      </c>
      <c r="K44">
        <v>337</v>
      </c>
      <c r="L44" s="3" t="s">
        <v>91</v>
      </c>
      <c r="M44">
        <v>100000</v>
      </c>
      <c r="N44">
        <v>14.45988</v>
      </c>
      <c r="O44">
        <v>14.45988</v>
      </c>
      <c r="P44" s="3" t="s">
        <v>309</v>
      </c>
      <c r="Q44" s="7">
        <v>1.9239999999999999</v>
      </c>
      <c r="R44" s="7">
        <v>-1.0529999999999999</v>
      </c>
      <c r="S44" s="4">
        <v>-0.871</v>
      </c>
      <c r="T44" s="7" t="s">
        <v>350</v>
      </c>
      <c r="X44" s="1"/>
      <c r="Y44" s="1"/>
      <c r="AC44" s="1"/>
      <c r="AD44" s="1"/>
    </row>
    <row r="45" spans="1:30" ht="18">
      <c r="A45" t="s">
        <v>423</v>
      </c>
      <c r="B45" t="s">
        <v>227</v>
      </c>
      <c r="C45">
        <v>15.023474999999999</v>
      </c>
      <c r="D45" t="s">
        <v>275</v>
      </c>
      <c r="E45">
        <v>0</v>
      </c>
      <c r="F45" s="3" t="s">
        <v>297</v>
      </c>
      <c r="G45">
        <v>1.298</v>
      </c>
      <c r="H45" s="3" t="s">
        <v>298</v>
      </c>
      <c r="I45">
        <v>4</v>
      </c>
      <c r="K45">
        <v>360</v>
      </c>
      <c r="L45" t="s">
        <v>278</v>
      </c>
      <c r="M45">
        <v>9.57789</v>
      </c>
      <c r="N45">
        <v>9.57789</v>
      </c>
      <c r="O45">
        <v>4.7420200000000001</v>
      </c>
      <c r="P45" s="3" t="s">
        <v>296</v>
      </c>
      <c r="Q45">
        <f>-S45/2</f>
        <v>-0.32700000000000001</v>
      </c>
      <c r="R45">
        <f>-S45/2</f>
        <v>-0.32700000000000001</v>
      </c>
      <c r="S45" s="4">
        <v>0.65400000000000003</v>
      </c>
      <c r="T45" s="7" t="s">
        <v>354</v>
      </c>
      <c r="X45" s="2"/>
      <c r="Y45" s="1"/>
      <c r="AC45" s="1"/>
      <c r="AD45" s="1"/>
    </row>
    <row r="46" spans="1:30" ht="18">
      <c r="A46" s="14" t="s">
        <v>447</v>
      </c>
      <c r="C46">
        <v>50.003399999999999</v>
      </c>
      <c r="D46" t="s">
        <v>275</v>
      </c>
      <c r="E46">
        <v>1.87</v>
      </c>
      <c r="F46" t="s">
        <v>70</v>
      </c>
      <c r="G46">
        <v>4.4160000000000004</v>
      </c>
      <c r="H46" t="s">
        <v>70</v>
      </c>
      <c r="I46">
        <v>2</v>
      </c>
      <c r="K46">
        <v>425</v>
      </c>
      <c r="L46" t="s">
        <v>105</v>
      </c>
      <c r="M46">
        <f xml:space="preserve"> 5.198</f>
        <v>5.1980000000000004</v>
      </c>
      <c r="N46">
        <v>0.44340000000000002</v>
      </c>
      <c r="O46">
        <v>0.44340000000000002</v>
      </c>
      <c r="P46" t="s">
        <v>70</v>
      </c>
      <c r="Q46" s="7">
        <v>-0.61499999999999999</v>
      </c>
      <c r="R46" s="7">
        <v>-0.61499999999999999</v>
      </c>
      <c r="S46" s="7">
        <v>1.23</v>
      </c>
      <c r="T46" s="7" t="s">
        <v>343</v>
      </c>
      <c r="V46" t="str">
        <f>SUBSTITUTE(A46,"-","")</f>
        <v>CH335Cl</v>
      </c>
      <c r="X46" s="1"/>
      <c r="Y46" s="1"/>
      <c r="AC46" s="1"/>
    </row>
    <row r="47" spans="1:30" ht="18">
      <c r="A47" t="s">
        <v>55</v>
      </c>
      <c r="B47" t="s">
        <v>55</v>
      </c>
      <c r="C47">
        <v>93.9529</v>
      </c>
      <c r="D47" t="s">
        <v>275</v>
      </c>
      <c r="E47">
        <v>1.81</v>
      </c>
      <c r="F47" t="s">
        <v>70</v>
      </c>
      <c r="G47">
        <v>5.61</v>
      </c>
      <c r="H47" t="s">
        <v>70</v>
      </c>
      <c r="I47">
        <v>2</v>
      </c>
      <c r="K47">
        <v>426</v>
      </c>
      <c r="L47" t="s">
        <v>94</v>
      </c>
      <c r="M47">
        <v>5.2463100000000003</v>
      </c>
      <c r="N47">
        <v>0.32191999999999998</v>
      </c>
      <c r="O47">
        <v>0.32191999999999998</v>
      </c>
      <c r="P47" t="s">
        <v>70</v>
      </c>
      <c r="Q47" s="7">
        <v>-1.78</v>
      </c>
      <c r="R47" s="7">
        <v>-1.78</v>
      </c>
      <c r="S47" s="7">
        <v>3.55</v>
      </c>
      <c r="T47" s="7" t="s">
        <v>343</v>
      </c>
      <c r="X47" s="2"/>
      <c r="Y47" s="1"/>
      <c r="AC47" s="1"/>
      <c r="AD47" s="1"/>
    </row>
    <row r="48" spans="1:30" ht="18">
      <c r="A48" t="s">
        <v>56</v>
      </c>
      <c r="B48" t="s">
        <v>56</v>
      </c>
      <c r="C48">
        <v>50.487499999999997</v>
      </c>
      <c r="D48" t="s">
        <v>275</v>
      </c>
      <c r="E48">
        <v>1.87</v>
      </c>
      <c r="F48" t="s">
        <v>70</v>
      </c>
      <c r="G48">
        <v>4.4160000000000004</v>
      </c>
      <c r="H48" t="s">
        <v>70</v>
      </c>
      <c r="I48">
        <v>2</v>
      </c>
      <c r="K48">
        <v>425</v>
      </c>
      <c r="L48" t="s">
        <v>105</v>
      </c>
      <c r="M48">
        <f xml:space="preserve"> 5.198</f>
        <v>5.1980000000000004</v>
      </c>
      <c r="N48">
        <v>0.44340000000000002</v>
      </c>
      <c r="O48">
        <v>0.44340000000000002</v>
      </c>
      <c r="P48" t="s">
        <v>70</v>
      </c>
      <c r="Q48" s="7">
        <v>-0.61499999999999999</v>
      </c>
      <c r="R48" s="7">
        <v>-0.61499999999999999</v>
      </c>
      <c r="S48" s="7">
        <v>1.23</v>
      </c>
      <c r="T48" s="7" t="s">
        <v>343</v>
      </c>
      <c r="X48" s="2"/>
      <c r="Y48" s="1"/>
      <c r="AD48" s="1"/>
    </row>
    <row r="49" spans="1:30" ht="18">
      <c r="A49" t="s">
        <v>57</v>
      </c>
      <c r="B49" t="s">
        <v>57</v>
      </c>
      <c r="C49">
        <v>41.051900000000003</v>
      </c>
      <c r="D49" t="s">
        <v>275</v>
      </c>
      <c r="E49">
        <v>3.919</v>
      </c>
      <c r="F49" t="s">
        <v>70</v>
      </c>
      <c r="G49">
        <v>4.28</v>
      </c>
      <c r="H49" t="s">
        <v>70</v>
      </c>
      <c r="I49">
        <v>2</v>
      </c>
      <c r="K49">
        <v>458</v>
      </c>
      <c r="L49" t="s">
        <v>93</v>
      </c>
      <c r="M49">
        <v>5.28</v>
      </c>
      <c r="N49">
        <v>0.30684</v>
      </c>
      <c r="O49">
        <v>0.30684</v>
      </c>
      <c r="P49" t="s">
        <v>70</v>
      </c>
      <c r="Q49" s="7">
        <v>0.9</v>
      </c>
      <c r="R49" s="7">
        <v>0.9</v>
      </c>
      <c r="S49" s="7">
        <v>-1.8</v>
      </c>
      <c r="T49" s="7" t="s">
        <v>343</v>
      </c>
      <c r="U49">
        <v>3</v>
      </c>
      <c r="Y49" s="1"/>
      <c r="AC49" s="1"/>
      <c r="AD49" s="1"/>
    </row>
    <row r="50" spans="1:30" ht="18">
      <c r="A50" s="14" t="s">
        <v>448</v>
      </c>
      <c r="C50">
        <v>17.0489</v>
      </c>
      <c r="D50" t="s">
        <v>275</v>
      </c>
      <c r="E50">
        <v>5.5999999999999999E-3</v>
      </c>
      <c r="F50" t="s">
        <v>467</v>
      </c>
      <c r="G50">
        <v>2.448</v>
      </c>
      <c r="H50" t="s">
        <v>70</v>
      </c>
      <c r="I50">
        <v>2</v>
      </c>
      <c r="K50">
        <v>380</v>
      </c>
      <c r="L50" t="s">
        <v>111</v>
      </c>
      <c r="M50">
        <v>5.2508208710000002</v>
      </c>
      <c r="N50">
        <v>3.8801946709999999</v>
      </c>
      <c r="O50">
        <v>3.8801946709999999</v>
      </c>
      <c r="P50" t="s">
        <v>485</v>
      </c>
      <c r="Q50" s="7">
        <v>0</v>
      </c>
      <c r="R50" s="7">
        <v>0</v>
      </c>
      <c r="S50" s="7">
        <v>0</v>
      </c>
      <c r="T50" t="s">
        <v>351</v>
      </c>
      <c r="V50" t="str">
        <f>SUBSTITUTE(A50,"-","")</f>
        <v>CH3D</v>
      </c>
      <c r="AC50" s="1"/>
      <c r="AD50" s="1"/>
    </row>
    <row r="51" spans="1:30" ht="18">
      <c r="A51" t="s">
        <v>58</v>
      </c>
      <c r="B51" t="s">
        <v>58</v>
      </c>
      <c r="C51">
        <v>34.032899999999998</v>
      </c>
      <c r="D51" t="s">
        <v>275</v>
      </c>
      <c r="E51">
        <v>1.847</v>
      </c>
      <c r="F51" t="s">
        <v>70</v>
      </c>
      <c r="G51">
        <v>2.54</v>
      </c>
      <c r="H51" t="s">
        <v>70</v>
      </c>
      <c r="I51">
        <v>2</v>
      </c>
      <c r="K51">
        <v>373</v>
      </c>
      <c r="L51" t="s">
        <v>91</v>
      </c>
      <c r="M51">
        <v>5.1820000000000004</v>
      </c>
      <c r="N51">
        <v>0.85179000000000005</v>
      </c>
      <c r="O51">
        <v>0.85179000000000005</v>
      </c>
      <c r="P51" t="s">
        <v>70</v>
      </c>
      <c r="Q51" s="7">
        <v>0.7</v>
      </c>
      <c r="R51" s="7">
        <v>0.7</v>
      </c>
      <c r="S51" s="7">
        <v>-1.4</v>
      </c>
      <c r="T51" s="7" t="s">
        <v>343</v>
      </c>
      <c r="U51">
        <v>3</v>
      </c>
      <c r="AC51" s="1"/>
      <c r="AD51" s="1"/>
    </row>
    <row r="52" spans="1:30" ht="18">
      <c r="A52" t="s">
        <v>59</v>
      </c>
      <c r="B52" t="s">
        <v>59</v>
      </c>
      <c r="C52">
        <v>141.93899999999999</v>
      </c>
      <c r="D52" t="s">
        <v>275</v>
      </c>
      <c r="E52" s="7">
        <v>1.62</v>
      </c>
      <c r="F52" t="s">
        <v>70</v>
      </c>
      <c r="G52">
        <v>7.3250000000000002</v>
      </c>
      <c r="H52" t="s">
        <v>70</v>
      </c>
      <c r="I52">
        <v>2</v>
      </c>
      <c r="K52">
        <v>550</v>
      </c>
      <c r="L52" t="s">
        <v>101</v>
      </c>
      <c r="M52">
        <v>5.1734</v>
      </c>
      <c r="N52">
        <v>0.25020999999999999</v>
      </c>
      <c r="O52">
        <v>0.25020999999999999</v>
      </c>
      <c r="P52" t="s">
        <v>70</v>
      </c>
      <c r="Q52">
        <v>-2.7639999999999998</v>
      </c>
      <c r="R52">
        <f>-S52/2</f>
        <v>-2.7639999999999998</v>
      </c>
      <c r="S52" s="4">
        <v>5.5279999999999996</v>
      </c>
      <c r="T52" s="7" t="s">
        <v>349</v>
      </c>
      <c r="AD52" s="1"/>
    </row>
    <row r="53" spans="1:30" ht="18">
      <c r="A53" t="s">
        <v>60</v>
      </c>
      <c r="B53" t="s">
        <v>60</v>
      </c>
      <c r="C53">
        <v>32.041899999999998</v>
      </c>
      <c r="D53" t="s">
        <v>275</v>
      </c>
      <c r="E53">
        <v>1.67229184055893</v>
      </c>
      <c r="F53" t="s">
        <v>72</v>
      </c>
      <c r="G53">
        <v>3.21</v>
      </c>
      <c r="H53" t="s">
        <v>70</v>
      </c>
      <c r="I53">
        <v>2</v>
      </c>
      <c r="K53">
        <f>(348+310)/2</f>
        <v>329</v>
      </c>
      <c r="L53" t="s">
        <v>109</v>
      </c>
      <c r="M53">
        <v>4.2524085112241199</v>
      </c>
      <c r="N53">
        <v>0.82323551982084797</v>
      </c>
      <c r="O53">
        <v>0.79287184736315097</v>
      </c>
      <c r="P53" t="s">
        <v>69</v>
      </c>
      <c r="Q53">
        <f>-S53/2</f>
        <v>0.59650000000000003</v>
      </c>
      <c r="R53">
        <f>-S53/2</f>
        <v>0.59650000000000003</v>
      </c>
      <c r="S53" s="4">
        <v>-1.1930000000000001</v>
      </c>
      <c r="T53" s="7" t="s">
        <v>350</v>
      </c>
      <c r="U53">
        <v>2</v>
      </c>
      <c r="AC53" s="1"/>
      <c r="AD53" s="1"/>
    </row>
    <row r="54" spans="1:30" ht="18">
      <c r="A54" t="s">
        <v>61</v>
      </c>
      <c r="B54" t="s">
        <v>61</v>
      </c>
      <c r="C54">
        <v>16.0425</v>
      </c>
      <c r="D54" t="s">
        <v>275</v>
      </c>
      <c r="E54">
        <v>0</v>
      </c>
      <c r="F54" t="s">
        <v>70</v>
      </c>
      <c r="G54">
        <v>2.448</v>
      </c>
      <c r="H54" t="s">
        <v>70</v>
      </c>
      <c r="I54">
        <v>6</v>
      </c>
      <c r="K54">
        <v>380</v>
      </c>
      <c r="L54" t="s">
        <v>111</v>
      </c>
      <c r="M54">
        <v>5.2412000000000001</v>
      </c>
      <c r="N54">
        <v>5.2412000000000001</v>
      </c>
      <c r="O54">
        <v>5.2412000000000001</v>
      </c>
      <c r="P54" t="s">
        <v>70</v>
      </c>
      <c r="Q54" s="7">
        <v>0</v>
      </c>
      <c r="R54" s="7">
        <v>0</v>
      </c>
      <c r="S54" s="7">
        <v>0</v>
      </c>
      <c r="T54" t="s">
        <v>351</v>
      </c>
      <c r="U54">
        <v>5</v>
      </c>
      <c r="Y54" s="1"/>
      <c r="AC54" s="1"/>
      <c r="AD54" s="1"/>
    </row>
    <row r="55" spans="1:30">
      <c r="A55" t="s">
        <v>476</v>
      </c>
      <c r="C55">
        <v>70.014099999999999</v>
      </c>
      <c r="D55" t="s">
        <v>275</v>
      </c>
      <c r="E55">
        <v>1.639</v>
      </c>
      <c r="F55" t="s">
        <v>482</v>
      </c>
      <c r="G55">
        <v>2.8220000000000001</v>
      </c>
      <c r="H55" s="21" t="s">
        <v>482</v>
      </c>
      <c r="I55">
        <v>2</v>
      </c>
      <c r="K55">
        <v>470</v>
      </c>
      <c r="L55" s="21" t="s">
        <v>91</v>
      </c>
      <c r="M55">
        <v>0.34520000000000001</v>
      </c>
      <c r="N55">
        <v>0.34520000000000001</v>
      </c>
      <c r="O55">
        <v>0.18925</v>
      </c>
      <c r="P55" s="21" t="s">
        <v>484</v>
      </c>
      <c r="Q55" t="s">
        <v>483</v>
      </c>
      <c r="R55" t="s">
        <v>483</v>
      </c>
      <c r="S55">
        <v>2.7462</v>
      </c>
      <c r="T55" s="21" t="s">
        <v>482</v>
      </c>
      <c r="V55" t="str">
        <f>SUBSTITUTE(A55,"-","")</f>
        <v>CHF3</v>
      </c>
      <c r="Y55" s="1"/>
      <c r="AC55" s="1"/>
      <c r="AD55" s="1"/>
    </row>
    <row r="56" spans="1:30" ht="18">
      <c r="A56" t="s">
        <v>428</v>
      </c>
      <c r="B56" t="s">
        <v>266</v>
      </c>
      <c r="C56">
        <v>63.963174000000002</v>
      </c>
      <c r="D56" t="s">
        <v>275</v>
      </c>
      <c r="E56">
        <v>1.0329999999999999</v>
      </c>
      <c r="F56" s="3" t="s">
        <v>330</v>
      </c>
      <c r="G56">
        <v>8.2840000000000007</v>
      </c>
      <c r="H56" s="3" t="s">
        <v>331</v>
      </c>
      <c r="I56">
        <v>2</v>
      </c>
      <c r="K56">
        <v>423</v>
      </c>
      <c r="L56" s="3" t="s">
        <v>329</v>
      </c>
      <c r="M56">
        <v>4.3429000000000002</v>
      </c>
      <c r="N56">
        <v>0.25009999999999999</v>
      </c>
      <c r="O56">
        <v>0.2364</v>
      </c>
      <c r="P56" s="3" t="s">
        <v>332</v>
      </c>
      <c r="Q56" s="7">
        <v>-4.5999999999999999E-2</v>
      </c>
      <c r="R56" s="7">
        <v>-0.52200000000000002</v>
      </c>
      <c r="S56" s="7">
        <v>0.56799999999999995</v>
      </c>
      <c r="T56" s="7" t="s">
        <v>435</v>
      </c>
    </row>
    <row r="57" spans="1:30" ht="18">
      <c r="A57" t="s">
        <v>432</v>
      </c>
      <c r="B57" t="s">
        <v>272</v>
      </c>
      <c r="C57">
        <v>80.961755999999994</v>
      </c>
      <c r="D57" t="s">
        <v>275</v>
      </c>
      <c r="E57">
        <v>0.53</v>
      </c>
      <c r="F57" s="3" t="s">
        <v>309</v>
      </c>
      <c r="G57">
        <v>5.9059999999999997</v>
      </c>
      <c r="H57" s="3" t="s">
        <v>336</v>
      </c>
      <c r="I57">
        <v>2</v>
      </c>
      <c r="K57">
        <v>415</v>
      </c>
      <c r="L57" s="3" t="s">
        <v>342</v>
      </c>
      <c r="M57">
        <v>0.44330999999999998</v>
      </c>
      <c r="N57">
        <v>0.17263999999999999</v>
      </c>
      <c r="O57">
        <v>0.12407</v>
      </c>
      <c r="P57" s="3" t="s">
        <v>309</v>
      </c>
      <c r="Q57" s="7">
        <v>2.1240000000000001</v>
      </c>
      <c r="R57" s="7">
        <v>-3</v>
      </c>
      <c r="S57" s="4">
        <v>0.876</v>
      </c>
      <c r="T57" s="7" t="s">
        <v>354</v>
      </c>
    </row>
    <row r="58" spans="1:30" ht="20" customHeight="1">
      <c r="A58" t="s">
        <v>432</v>
      </c>
      <c r="B58" t="s">
        <v>273</v>
      </c>
      <c r="C58">
        <v>82.958805999999996</v>
      </c>
      <c r="D58" t="s">
        <v>275</v>
      </c>
      <c r="E58">
        <v>0.53</v>
      </c>
      <c r="F58" s="3" t="s">
        <v>309</v>
      </c>
      <c r="G58">
        <v>5.9059999999999997</v>
      </c>
      <c r="H58" s="3" t="s">
        <v>336</v>
      </c>
      <c r="I58">
        <v>2</v>
      </c>
      <c r="K58">
        <v>415</v>
      </c>
      <c r="L58" s="3" t="s">
        <v>342</v>
      </c>
      <c r="M58">
        <v>0.44330999999999998</v>
      </c>
      <c r="N58">
        <v>0.17263999999999999</v>
      </c>
      <c r="O58">
        <v>0.12407</v>
      </c>
      <c r="P58" s="3" t="s">
        <v>309</v>
      </c>
      <c r="Q58" s="7">
        <v>2.1240000000000001</v>
      </c>
      <c r="R58" s="7">
        <v>-3</v>
      </c>
      <c r="S58" s="4">
        <v>0.876</v>
      </c>
      <c r="T58" s="7" t="s">
        <v>354</v>
      </c>
    </row>
    <row r="59" spans="1:30" ht="20" customHeight="1">
      <c r="A59" t="s">
        <v>14</v>
      </c>
      <c r="B59" t="s">
        <v>14</v>
      </c>
      <c r="C59">
        <v>50.968249999999998</v>
      </c>
      <c r="D59" t="s">
        <v>275</v>
      </c>
      <c r="E59">
        <v>1.2974000000000001</v>
      </c>
      <c r="F59" t="s">
        <v>69</v>
      </c>
      <c r="G59">
        <v>3.02</v>
      </c>
      <c r="H59" t="s">
        <v>77</v>
      </c>
      <c r="I59">
        <v>2</v>
      </c>
      <c r="K59">
        <v>384.2</v>
      </c>
      <c r="L59" t="s">
        <v>91</v>
      </c>
      <c r="M59">
        <v>100000</v>
      </c>
      <c r="N59">
        <v>0.62048895839801199</v>
      </c>
      <c r="O59">
        <v>0.62048895839801199</v>
      </c>
      <c r="P59" t="s">
        <v>69</v>
      </c>
      <c r="Q59" s="7">
        <v>-1.0429999999999999</v>
      </c>
      <c r="R59" s="7">
        <v>0.86699999999999999</v>
      </c>
      <c r="S59">
        <v>0.17499999999999999</v>
      </c>
      <c r="T59" s="7" t="s">
        <v>350</v>
      </c>
      <c r="U59">
        <v>4</v>
      </c>
    </row>
    <row r="60" spans="1:30" ht="20" customHeight="1">
      <c r="A60" t="s">
        <v>62</v>
      </c>
      <c r="B60" t="s">
        <v>62</v>
      </c>
      <c r="C60">
        <v>97.457899999999995</v>
      </c>
      <c r="D60" t="s">
        <v>87</v>
      </c>
      <c r="E60">
        <v>0.77200000000000002</v>
      </c>
      <c r="F60" t="s">
        <v>70</v>
      </c>
      <c r="G60">
        <v>4.5090000000000003</v>
      </c>
      <c r="H60" t="s">
        <v>85</v>
      </c>
      <c r="I60">
        <v>2</v>
      </c>
      <c r="K60">
        <v>520</v>
      </c>
      <c r="L60" t="s">
        <v>97</v>
      </c>
      <c r="M60">
        <v>0.40383999999999998</v>
      </c>
      <c r="N60">
        <v>9.2630000000000004E-2</v>
      </c>
      <c r="O60">
        <v>7.5319999999999998E-2</v>
      </c>
      <c r="P60" t="s">
        <v>70</v>
      </c>
      <c r="Q60">
        <v>1.2729999999999999</v>
      </c>
      <c r="R60">
        <v>-2.516</v>
      </c>
      <c r="S60">
        <v>1.244</v>
      </c>
      <c r="T60" s="7" t="s">
        <v>353</v>
      </c>
      <c r="U60">
        <v>2</v>
      </c>
    </row>
    <row r="61" spans="1:30" ht="20" customHeight="1">
      <c r="A61" t="s">
        <v>408</v>
      </c>
      <c r="B61" t="s">
        <v>237</v>
      </c>
      <c r="C61">
        <v>26.003074000000002</v>
      </c>
      <c r="D61" t="s">
        <v>275</v>
      </c>
      <c r="E61">
        <v>1.45</v>
      </c>
      <c r="F61" s="3" t="s">
        <v>286</v>
      </c>
      <c r="G61">
        <v>2.0190000000000001</v>
      </c>
      <c r="H61" s="3" t="s">
        <v>84</v>
      </c>
      <c r="I61">
        <v>2</v>
      </c>
      <c r="K61">
        <v>375</v>
      </c>
      <c r="L61" s="3" t="s">
        <v>91</v>
      </c>
      <c r="M61">
        <v>100000</v>
      </c>
      <c r="N61">
        <v>1.89974</v>
      </c>
      <c r="O61">
        <v>1.89974</v>
      </c>
      <c r="P61" s="3" t="s">
        <v>70</v>
      </c>
      <c r="Q61">
        <f>-S61/2</f>
        <v>-0.30249999999999999</v>
      </c>
      <c r="R61">
        <f>-S61/2</f>
        <v>-0.30249999999999999</v>
      </c>
      <c r="S61" s="4">
        <v>0.60499999999999998</v>
      </c>
      <c r="T61" s="7" t="s">
        <v>350</v>
      </c>
    </row>
    <row r="62" spans="1:30" ht="20" customHeight="1">
      <c r="A62" t="s">
        <v>408</v>
      </c>
      <c r="B62" t="s">
        <v>238</v>
      </c>
      <c r="C62">
        <v>27.000108999999998</v>
      </c>
      <c r="D62" t="s">
        <v>275</v>
      </c>
      <c r="E62">
        <v>1.45</v>
      </c>
      <c r="F62" s="3" t="s">
        <v>286</v>
      </c>
      <c r="G62">
        <v>2.0190000000000001</v>
      </c>
      <c r="H62" s="3" t="s">
        <v>84</v>
      </c>
      <c r="I62">
        <v>2</v>
      </c>
      <c r="K62">
        <v>375</v>
      </c>
      <c r="L62" s="3" t="s">
        <v>91</v>
      </c>
      <c r="M62">
        <v>100000</v>
      </c>
      <c r="N62">
        <v>1.89974</v>
      </c>
      <c r="O62">
        <v>1.89974</v>
      </c>
      <c r="P62" s="3" t="s">
        <v>70</v>
      </c>
      <c r="Q62">
        <f>-S62/2</f>
        <v>-0.30249999999999999</v>
      </c>
      <c r="R62">
        <f>-S62/2</f>
        <v>-0.30249999999999999</v>
      </c>
      <c r="S62" s="4">
        <v>0.60499999999999998</v>
      </c>
      <c r="T62" s="7" t="s">
        <v>350</v>
      </c>
    </row>
    <row r="63" spans="1:30" ht="20" customHeight="1">
      <c r="A63" t="s">
        <v>408</v>
      </c>
      <c r="B63" t="s">
        <v>239</v>
      </c>
      <c r="C63">
        <v>27.006429000000001</v>
      </c>
      <c r="D63" t="s">
        <v>275</v>
      </c>
      <c r="E63">
        <v>1.45</v>
      </c>
      <c r="F63" s="3" t="s">
        <v>286</v>
      </c>
      <c r="G63">
        <v>2.0190000000000001</v>
      </c>
      <c r="H63" s="3" t="s">
        <v>84</v>
      </c>
      <c r="I63">
        <v>2</v>
      </c>
      <c r="K63">
        <v>375</v>
      </c>
      <c r="L63" s="3" t="s">
        <v>91</v>
      </c>
      <c r="M63">
        <v>100000</v>
      </c>
      <c r="N63">
        <v>1.89974</v>
      </c>
      <c r="O63">
        <v>1.89974</v>
      </c>
      <c r="P63" s="3" t="s">
        <v>70</v>
      </c>
      <c r="Q63">
        <f>-S63/2</f>
        <v>-0.30249999999999999</v>
      </c>
      <c r="R63">
        <f>-S63/2</f>
        <v>-0.30249999999999999</v>
      </c>
      <c r="S63" s="4">
        <v>0.60499999999999998</v>
      </c>
      <c r="T63" s="7" t="s">
        <v>350</v>
      </c>
    </row>
    <row r="64" spans="1:30" ht="20" customHeight="1">
      <c r="A64" t="s">
        <v>408</v>
      </c>
      <c r="B64" t="s">
        <v>240</v>
      </c>
      <c r="C64">
        <v>28.003464000000001</v>
      </c>
      <c r="D64" t="s">
        <v>275</v>
      </c>
      <c r="E64">
        <v>1.45</v>
      </c>
      <c r="F64" s="3" t="s">
        <v>286</v>
      </c>
      <c r="G64">
        <v>2.0190000000000001</v>
      </c>
      <c r="H64" s="3" t="s">
        <v>84</v>
      </c>
      <c r="I64">
        <v>2</v>
      </c>
      <c r="K64">
        <v>375</v>
      </c>
      <c r="L64" s="3" t="s">
        <v>91</v>
      </c>
      <c r="M64">
        <v>100000</v>
      </c>
      <c r="N64">
        <v>1.89974</v>
      </c>
      <c r="O64">
        <v>1.89974</v>
      </c>
      <c r="P64" s="3" t="s">
        <v>70</v>
      </c>
      <c r="Q64">
        <f>-S64/2</f>
        <v>-0.30249999999999999</v>
      </c>
      <c r="R64">
        <f>-S64/2</f>
        <v>-0.30249999999999999</v>
      </c>
      <c r="S64" s="4">
        <v>0.60499999999999998</v>
      </c>
      <c r="T64" s="7" t="s">
        <v>350</v>
      </c>
    </row>
    <row r="65" spans="1:22" ht="20" customHeight="1">
      <c r="A65" t="s">
        <v>15</v>
      </c>
      <c r="B65" t="s">
        <v>15</v>
      </c>
      <c r="C65">
        <v>28.010100000000001</v>
      </c>
      <c r="D65" t="s">
        <v>275</v>
      </c>
      <c r="E65">
        <v>0.11011</v>
      </c>
      <c r="F65" t="s">
        <v>69</v>
      </c>
      <c r="G65">
        <v>1.9530000000000001</v>
      </c>
      <c r="H65" t="s">
        <v>73</v>
      </c>
      <c r="I65">
        <v>2</v>
      </c>
      <c r="K65">
        <v>376</v>
      </c>
      <c r="L65" t="s">
        <v>108</v>
      </c>
      <c r="M65">
        <v>100000</v>
      </c>
      <c r="N65">
        <v>1.9225289516789601</v>
      </c>
      <c r="O65">
        <v>1.9225289516789601</v>
      </c>
      <c r="P65" t="s">
        <v>69</v>
      </c>
      <c r="Q65" s="7">
        <v>1.42</v>
      </c>
      <c r="R65" s="7">
        <v>1.42</v>
      </c>
      <c r="S65" s="7">
        <v>-2.839</v>
      </c>
      <c r="T65" s="7" t="s">
        <v>343</v>
      </c>
      <c r="U65">
        <v>4</v>
      </c>
    </row>
    <row r="66" spans="1:22" ht="20" customHeight="1">
      <c r="A66" t="s">
        <v>16</v>
      </c>
      <c r="B66" t="s">
        <v>16</v>
      </c>
      <c r="C66">
        <v>44.009500000000003</v>
      </c>
      <c r="D66" t="s">
        <v>275</v>
      </c>
      <c r="E66">
        <v>0</v>
      </c>
      <c r="F66" t="s">
        <v>70</v>
      </c>
      <c r="G66">
        <v>2.5070000000000001</v>
      </c>
      <c r="H66" t="s">
        <v>74</v>
      </c>
      <c r="I66">
        <v>4</v>
      </c>
      <c r="K66">
        <v>330</v>
      </c>
      <c r="L66" t="s">
        <v>121</v>
      </c>
      <c r="M66">
        <v>100000</v>
      </c>
      <c r="N66">
        <v>0.39021</v>
      </c>
      <c r="O66">
        <v>0.39021</v>
      </c>
      <c r="P66" t="s">
        <v>70</v>
      </c>
      <c r="Q66" s="7">
        <v>2.1389999999999998</v>
      </c>
      <c r="R66" s="7">
        <v>2.1389999999999998</v>
      </c>
      <c r="S66" s="7">
        <v>-4.2779999999999996</v>
      </c>
      <c r="T66" s="7" t="s">
        <v>343</v>
      </c>
      <c r="U66">
        <v>1</v>
      </c>
    </row>
    <row r="67" spans="1:22" ht="20" customHeight="1">
      <c r="A67" t="s">
        <v>17</v>
      </c>
      <c r="B67" t="s">
        <v>17</v>
      </c>
      <c r="C67">
        <v>97.947800000000001</v>
      </c>
      <c r="D67" t="s">
        <v>275</v>
      </c>
      <c r="E67">
        <v>1.17</v>
      </c>
      <c r="F67" t="s">
        <v>70</v>
      </c>
      <c r="G67">
        <v>6.79</v>
      </c>
      <c r="H67" t="s">
        <v>70</v>
      </c>
      <c r="I67">
        <v>2</v>
      </c>
      <c r="K67">
        <v>420</v>
      </c>
      <c r="L67" t="s">
        <v>92</v>
      </c>
      <c r="M67">
        <v>0.26413999999999999</v>
      </c>
      <c r="N67">
        <v>0.11591</v>
      </c>
      <c r="O67">
        <v>8.0460000000000004E-2</v>
      </c>
      <c r="P67" t="s">
        <v>70</v>
      </c>
      <c r="Q67" s="7">
        <v>1.48</v>
      </c>
      <c r="R67" s="7">
        <v>2.5390000000000001</v>
      </c>
      <c r="S67" s="7">
        <v>-4.0190000000000001</v>
      </c>
      <c r="T67" s="7" t="s">
        <v>354</v>
      </c>
    </row>
    <row r="68" spans="1:22" ht="20" customHeight="1">
      <c r="A68" t="s">
        <v>18</v>
      </c>
      <c r="B68" t="s">
        <v>18</v>
      </c>
      <c r="C68">
        <v>66.006900000000002</v>
      </c>
      <c r="D68" t="s">
        <v>275</v>
      </c>
      <c r="E68">
        <v>0.95099999999999996</v>
      </c>
      <c r="F68" t="s">
        <v>69</v>
      </c>
      <c r="G68">
        <v>2.8</v>
      </c>
      <c r="H68" t="s">
        <v>78</v>
      </c>
      <c r="I68">
        <v>2</v>
      </c>
      <c r="K68">
        <v>400</v>
      </c>
      <c r="L68" t="s">
        <v>91</v>
      </c>
      <c r="M68">
        <v>0.39405771175204102</v>
      </c>
      <c r="N68">
        <v>0.39203944883763497</v>
      </c>
      <c r="O68">
        <v>0.196165608675852</v>
      </c>
      <c r="P68" t="s">
        <v>69</v>
      </c>
      <c r="Q68" s="7">
        <v>3.351</v>
      </c>
      <c r="R68" s="7">
        <v>-0.24399999999999999</v>
      </c>
      <c r="S68" s="7">
        <v>-3.1059999999999999</v>
      </c>
      <c r="T68" s="7" t="s">
        <v>350</v>
      </c>
      <c r="U68">
        <v>2</v>
      </c>
    </row>
    <row r="69" spans="1:22" ht="20" customHeight="1">
      <c r="A69" t="s">
        <v>419</v>
      </c>
      <c r="B69" t="s">
        <v>268</v>
      </c>
      <c r="C69">
        <v>81.96217</v>
      </c>
      <c r="D69" t="s">
        <v>275</v>
      </c>
      <c r="E69">
        <v>1.23</v>
      </c>
      <c r="F69" s="3" t="s">
        <v>335</v>
      </c>
      <c r="G69">
        <v>4.8940000000000001</v>
      </c>
      <c r="H69" s="3" t="s">
        <v>336</v>
      </c>
      <c r="I69">
        <v>2</v>
      </c>
      <c r="K69">
        <v>410</v>
      </c>
      <c r="L69" s="3" t="s">
        <v>334</v>
      </c>
      <c r="M69">
        <v>0.39462000000000003</v>
      </c>
      <c r="N69">
        <v>0.17635000000000001</v>
      </c>
      <c r="O69">
        <v>0.12171</v>
      </c>
      <c r="P69" s="3" t="s">
        <v>337</v>
      </c>
      <c r="Q69" s="7">
        <v>-1.9039999999999999</v>
      </c>
      <c r="R69" s="7">
        <v>-0.63400000000000001</v>
      </c>
      <c r="S69" s="7">
        <v>2.5379999999999998</v>
      </c>
      <c r="T69" t="s">
        <v>359</v>
      </c>
    </row>
    <row r="70" spans="1:22" ht="20" customHeight="1">
      <c r="A70" t="s">
        <v>419</v>
      </c>
      <c r="B70" t="s">
        <v>269</v>
      </c>
      <c r="C70">
        <v>83.959220000000002</v>
      </c>
      <c r="D70" t="s">
        <v>275</v>
      </c>
      <c r="E70">
        <v>1.23</v>
      </c>
      <c r="F70" s="3" t="s">
        <v>335</v>
      </c>
      <c r="G70">
        <v>4.8940000000000001</v>
      </c>
      <c r="H70" s="3" t="s">
        <v>336</v>
      </c>
      <c r="I70">
        <v>2</v>
      </c>
      <c r="K70">
        <v>410</v>
      </c>
      <c r="L70" s="3" t="s">
        <v>334</v>
      </c>
      <c r="M70">
        <v>0.39462000000000003</v>
      </c>
      <c r="N70">
        <v>0.17635000000000001</v>
      </c>
      <c r="O70">
        <v>0.12171</v>
      </c>
      <c r="P70" s="3" t="s">
        <v>337</v>
      </c>
      <c r="Q70" s="7">
        <v>-1.9039999999999999</v>
      </c>
      <c r="R70" s="7">
        <v>-0.63400000000000001</v>
      </c>
      <c r="S70" s="7">
        <v>2.5379999999999998</v>
      </c>
      <c r="T70" t="s">
        <v>359</v>
      </c>
    </row>
    <row r="71" spans="1:22" ht="20" customHeight="1">
      <c r="A71" t="s">
        <v>377</v>
      </c>
      <c r="B71" t="s">
        <v>145</v>
      </c>
      <c r="C71">
        <v>42.973762000000001</v>
      </c>
      <c r="D71" t="s">
        <v>275</v>
      </c>
      <c r="E71">
        <v>0.23100000000000001</v>
      </c>
      <c r="F71" s="3" t="s">
        <v>282</v>
      </c>
      <c r="G71">
        <v>3.129</v>
      </c>
      <c r="H71" s="3" t="s">
        <v>283</v>
      </c>
      <c r="I71">
        <v>2</v>
      </c>
      <c r="K71">
        <v>457.17999999999995</v>
      </c>
      <c r="L71" t="s">
        <v>278</v>
      </c>
      <c r="M71">
        <v>100000</v>
      </c>
      <c r="N71">
        <v>0.79886999999999997</v>
      </c>
      <c r="O71">
        <v>0.79886999999999997</v>
      </c>
      <c r="P71" t="s">
        <v>70</v>
      </c>
      <c r="Q71">
        <f>-S71/2</f>
        <v>-0.96650000000000003</v>
      </c>
      <c r="R71">
        <f>-S71/2</f>
        <v>-0.96650000000000003</v>
      </c>
      <c r="S71" s="7">
        <v>1.9330000000000001</v>
      </c>
      <c r="T71" s="7" t="s">
        <v>359</v>
      </c>
    </row>
    <row r="72" spans="1:22" ht="20" customHeight="1">
      <c r="A72" t="s">
        <v>378</v>
      </c>
      <c r="B72" t="s">
        <v>146</v>
      </c>
      <c r="C72">
        <v>52.948331000000003</v>
      </c>
      <c r="D72" t="s">
        <v>275</v>
      </c>
      <c r="E72">
        <v>4.5880000000000001</v>
      </c>
      <c r="F72" s="3" t="s">
        <v>282</v>
      </c>
      <c r="G72">
        <v>8.8580000000000005</v>
      </c>
      <c r="H72" s="3" t="s">
        <v>285</v>
      </c>
      <c r="I72">
        <v>2</v>
      </c>
      <c r="K72">
        <v>525.38</v>
      </c>
      <c r="L72" t="s">
        <v>278</v>
      </c>
      <c r="M72">
        <v>100000</v>
      </c>
      <c r="N72">
        <v>6.22</v>
      </c>
      <c r="O72">
        <v>6.22</v>
      </c>
      <c r="P72" t="s">
        <v>70</v>
      </c>
      <c r="Q72">
        <f>-S72/2</f>
        <v>1.244</v>
      </c>
      <c r="R72">
        <f>-S72/2</f>
        <v>1.244</v>
      </c>
      <c r="S72" s="4">
        <v>-2.488</v>
      </c>
      <c r="T72" s="7" t="s">
        <v>359</v>
      </c>
    </row>
    <row r="73" spans="1:22" ht="20" customHeight="1">
      <c r="A73" t="s">
        <v>19</v>
      </c>
      <c r="B73" t="s">
        <v>19</v>
      </c>
      <c r="C73">
        <v>44.070999999999998</v>
      </c>
      <c r="D73" t="s">
        <v>275</v>
      </c>
      <c r="E73">
        <v>1.9570000000000001</v>
      </c>
      <c r="F73" t="s">
        <v>69</v>
      </c>
      <c r="G73">
        <v>5.3968446336725302</v>
      </c>
      <c r="H73" t="s">
        <v>79</v>
      </c>
      <c r="I73">
        <v>2</v>
      </c>
      <c r="K73">
        <v>358</v>
      </c>
      <c r="L73" t="s">
        <v>91</v>
      </c>
      <c r="M73">
        <v>100000</v>
      </c>
      <c r="N73">
        <v>0.81708399749002303</v>
      </c>
      <c r="O73">
        <v>0.81708399749002303</v>
      </c>
      <c r="P73" t="s">
        <v>69</v>
      </c>
      <c r="Q73" s="7">
        <v>-0.05</v>
      </c>
      <c r="R73" s="7">
        <v>-0.05</v>
      </c>
      <c r="S73" s="7">
        <v>0.1</v>
      </c>
      <c r="T73" s="7" t="s">
        <v>343</v>
      </c>
      <c r="U73">
        <v>4</v>
      </c>
      <c r="V73" t="s">
        <v>437</v>
      </c>
    </row>
    <row r="74" spans="1:22" ht="20" customHeight="1">
      <c r="A74" t="s">
        <v>19</v>
      </c>
      <c r="B74" s="5" t="s">
        <v>229</v>
      </c>
      <c r="C74" s="5">
        <v>43.972071</v>
      </c>
      <c r="D74" s="5" t="s">
        <v>275</v>
      </c>
      <c r="E74" s="5">
        <v>1.958</v>
      </c>
      <c r="F74" s="6" t="s">
        <v>286</v>
      </c>
      <c r="G74" s="5">
        <v>2.7949999999999999</v>
      </c>
      <c r="H74" s="6" t="s">
        <v>299</v>
      </c>
      <c r="I74" s="5">
        <v>2</v>
      </c>
      <c r="J74" s="5"/>
      <c r="K74" s="5">
        <v>441.59500000000003</v>
      </c>
      <c r="L74" s="5" t="s">
        <v>278</v>
      </c>
      <c r="M74" s="5">
        <v>100000</v>
      </c>
      <c r="N74" s="5">
        <v>0.82004999999999995</v>
      </c>
      <c r="O74" s="5">
        <v>0.82004999999999995</v>
      </c>
      <c r="P74" s="6" t="s">
        <v>283</v>
      </c>
      <c r="Q74" s="10">
        <v>-0.05</v>
      </c>
      <c r="R74" s="10">
        <v>-0.05</v>
      </c>
      <c r="S74" s="10">
        <v>0.1</v>
      </c>
      <c r="T74" s="10" t="s">
        <v>343</v>
      </c>
      <c r="U74" s="5">
        <v>4</v>
      </c>
    </row>
    <row r="75" spans="1:22" ht="20" customHeight="1">
      <c r="A75" t="s">
        <v>19</v>
      </c>
      <c r="B75" s="5" t="s">
        <v>230</v>
      </c>
      <c r="C75" s="5">
        <v>44.971459000000003</v>
      </c>
      <c r="D75" s="5" t="s">
        <v>275</v>
      </c>
      <c r="E75" s="5">
        <v>1.958</v>
      </c>
      <c r="F75" s="6" t="s">
        <v>286</v>
      </c>
      <c r="G75" s="5">
        <v>2.7949999999999999</v>
      </c>
      <c r="H75" s="6" t="s">
        <v>299</v>
      </c>
      <c r="I75" s="5">
        <v>2</v>
      </c>
      <c r="J75" s="5"/>
      <c r="K75" s="5">
        <v>441.59500000000003</v>
      </c>
      <c r="L75" s="5" t="s">
        <v>278</v>
      </c>
      <c r="M75" s="5">
        <v>100000</v>
      </c>
      <c r="N75" s="5">
        <v>0.82004999999999995</v>
      </c>
      <c r="O75" s="5">
        <v>0.82004999999999995</v>
      </c>
      <c r="P75" s="6" t="s">
        <v>283</v>
      </c>
      <c r="Q75" s="10">
        <v>-0.05</v>
      </c>
      <c r="R75" s="10">
        <v>-0.05</v>
      </c>
      <c r="S75" s="10">
        <v>0.1</v>
      </c>
      <c r="T75" s="10" t="s">
        <v>343</v>
      </c>
      <c r="U75" s="5">
        <v>4</v>
      </c>
    </row>
    <row r="76" spans="1:22" ht="20" customHeight="1">
      <c r="A76" t="s">
        <v>19</v>
      </c>
      <c r="B76" s="5" t="s">
        <v>231</v>
      </c>
      <c r="C76" s="5">
        <v>45.967866999999998</v>
      </c>
      <c r="D76" s="5" t="s">
        <v>275</v>
      </c>
      <c r="E76" s="5">
        <v>1.958</v>
      </c>
      <c r="F76" s="6" t="s">
        <v>286</v>
      </c>
      <c r="G76" s="5">
        <v>2.7949999999999999</v>
      </c>
      <c r="H76" s="6" t="s">
        <v>299</v>
      </c>
      <c r="I76" s="5">
        <v>2</v>
      </c>
      <c r="J76" s="5"/>
      <c r="K76" s="5">
        <v>441.59500000000003</v>
      </c>
      <c r="L76" s="5" t="s">
        <v>278</v>
      </c>
      <c r="M76" s="5">
        <v>100000</v>
      </c>
      <c r="N76" s="5">
        <v>0.82004999999999995</v>
      </c>
      <c r="O76" s="5">
        <v>0.82004999999999995</v>
      </c>
      <c r="P76" s="6" t="s">
        <v>283</v>
      </c>
      <c r="Q76" s="10">
        <v>-0.05</v>
      </c>
      <c r="R76" s="10">
        <v>-0.05</v>
      </c>
      <c r="S76" s="10">
        <v>0.1</v>
      </c>
      <c r="T76" s="10" t="s">
        <v>343</v>
      </c>
      <c r="U76" s="5">
        <v>4</v>
      </c>
    </row>
    <row r="77" spans="1:22" ht="20" customHeight="1">
      <c r="A77" t="s">
        <v>19</v>
      </c>
      <c r="B77" s="5" t="s">
        <v>232</v>
      </c>
      <c r="C77" s="5">
        <v>47.967081</v>
      </c>
      <c r="D77" s="5" t="s">
        <v>275</v>
      </c>
      <c r="E77" s="5">
        <v>1.958</v>
      </c>
      <c r="F77" s="6" t="s">
        <v>286</v>
      </c>
      <c r="G77" s="5">
        <v>2.7949999999999999</v>
      </c>
      <c r="H77" s="6" t="s">
        <v>299</v>
      </c>
      <c r="I77" s="5">
        <v>2</v>
      </c>
      <c r="J77" s="5"/>
      <c r="K77" s="5">
        <v>441.59500000000003</v>
      </c>
      <c r="L77" s="5" t="s">
        <v>278</v>
      </c>
      <c r="M77" s="5">
        <v>100000</v>
      </c>
      <c r="N77" s="5">
        <v>0.82004999999999995</v>
      </c>
      <c r="O77" s="5">
        <v>0.82004999999999995</v>
      </c>
      <c r="P77" s="6" t="s">
        <v>283</v>
      </c>
      <c r="Q77" s="10">
        <v>-0.05</v>
      </c>
      <c r="R77" s="10">
        <v>-0.05</v>
      </c>
      <c r="S77" s="10">
        <v>0.1</v>
      </c>
      <c r="T77" s="10" t="s">
        <v>343</v>
      </c>
      <c r="U77" s="5">
        <v>4</v>
      </c>
    </row>
    <row r="78" spans="1:22" ht="20" customHeight="1">
      <c r="A78" t="s">
        <v>19</v>
      </c>
      <c r="B78" s="5" t="s">
        <v>233</v>
      </c>
      <c r="C78" s="5">
        <v>44.975425999999999</v>
      </c>
      <c r="D78" s="5" t="s">
        <v>275</v>
      </c>
      <c r="E78" s="5">
        <v>1.958</v>
      </c>
      <c r="F78" s="6" t="s">
        <v>286</v>
      </c>
      <c r="G78" s="5">
        <v>2.7949999999999999</v>
      </c>
      <c r="H78" s="6" t="s">
        <v>299</v>
      </c>
      <c r="I78" s="5">
        <v>2</v>
      </c>
      <c r="J78" s="5"/>
      <c r="K78" s="5">
        <v>441.59500000000003</v>
      </c>
      <c r="L78" s="5" t="s">
        <v>278</v>
      </c>
      <c r="M78" s="5">
        <v>100000</v>
      </c>
      <c r="N78" s="5">
        <v>0.82004999999999995</v>
      </c>
      <c r="O78" s="5">
        <v>0.82004999999999995</v>
      </c>
      <c r="P78" s="6" t="s">
        <v>283</v>
      </c>
      <c r="Q78" s="10">
        <v>-0.05</v>
      </c>
      <c r="R78" s="10">
        <v>-0.05</v>
      </c>
      <c r="S78" s="10">
        <v>0.1</v>
      </c>
      <c r="T78" s="10" t="s">
        <v>343</v>
      </c>
      <c r="U78" s="5">
        <v>4</v>
      </c>
    </row>
    <row r="79" spans="1:22" ht="20" customHeight="1">
      <c r="A79" t="s">
        <v>19</v>
      </c>
      <c r="B79" s="5" t="s">
        <v>234</v>
      </c>
      <c r="C79" s="5">
        <v>45.974814000000002</v>
      </c>
      <c r="D79" s="5" t="s">
        <v>275</v>
      </c>
      <c r="E79" s="5">
        <v>1.958</v>
      </c>
      <c r="F79" s="6" t="s">
        <v>286</v>
      </c>
      <c r="G79" s="5">
        <v>2.7949999999999999</v>
      </c>
      <c r="H79" s="6" t="s">
        <v>299</v>
      </c>
      <c r="I79" s="5">
        <v>2</v>
      </c>
      <c r="J79" s="5"/>
      <c r="K79" s="5">
        <v>441.59500000000003</v>
      </c>
      <c r="L79" s="5" t="s">
        <v>278</v>
      </c>
      <c r="M79" s="5">
        <v>100000</v>
      </c>
      <c r="N79" s="5">
        <v>0.82004999999999995</v>
      </c>
      <c r="O79" s="5">
        <v>0.82004999999999995</v>
      </c>
      <c r="P79" s="6" t="s">
        <v>283</v>
      </c>
      <c r="Q79" s="10">
        <v>-0.05</v>
      </c>
      <c r="R79" s="10">
        <v>-0.05</v>
      </c>
      <c r="S79" s="10">
        <v>0.1</v>
      </c>
      <c r="T79" s="10" t="s">
        <v>343</v>
      </c>
      <c r="U79" s="5">
        <v>4</v>
      </c>
    </row>
    <row r="80" spans="1:22" ht="20" customHeight="1">
      <c r="A80" t="s">
        <v>19</v>
      </c>
      <c r="B80" s="5" t="s">
        <v>235</v>
      </c>
      <c r="C80" s="5">
        <v>46.971221999999997</v>
      </c>
      <c r="D80" s="5" t="s">
        <v>275</v>
      </c>
      <c r="E80" s="5">
        <v>1.958</v>
      </c>
      <c r="F80" s="6" t="s">
        <v>286</v>
      </c>
      <c r="G80" s="5">
        <v>2.7949999999999999</v>
      </c>
      <c r="H80" s="6" t="s">
        <v>299</v>
      </c>
      <c r="I80" s="5">
        <v>2</v>
      </c>
      <c r="J80" s="5"/>
      <c r="K80" s="5">
        <v>441.59500000000003</v>
      </c>
      <c r="L80" s="5" t="s">
        <v>278</v>
      </c>
      <c r="M80" s="5">
        <v>100000</v>
      </c>
      <c r="N80" s="5">
        <v>0.82004999999999995</v>
      </c>
      <c r="O80" s="5">
        <v>0.82004999999999995</v>
      </c>
      <c r="P80" s="6" t="s">
        <v>283</v>
      </c>
      <c r="Q80" s="10">
        <v>-0.05</v>
      </c>
      <c r="R80" s="10">
        <v>-0.05</v>
      </c>
      <c r="S80" s="10">
        <v>0.1</v>
      </c>
      <c r="T80" s="10" t="s">
        <v>343</v>
      </c>
      <c r="U80" s="5">
        <v>4</v>
      </c>
    </row>
    <row r="81" spans="1:21" ht="20" customHeight="1">
      <c r="A81" t="s">
        <v>19</v>
      </c>
      <c r="B81" s="5" t="s">
        <v>236</v>
      </c>
      <c r="C81" s="5">
        <v>48.970435999999999</v>
      </c>
      <c r="D81" s="5" t="s">
        <v>275</v>
      </c>
      <c r="E81" s="5">
        <v>1.958</v>
      </c>
      <c r="F81" s="6" t="s">
        <v>286</v>
      </c>
      <c r="G81" s="5">
        <v>2.7949999999999999</v>
      </c>
      <c r="H81" s="6" t="s">
        <v>299</v>
      </c>
      <c r="I81" s="5">
        <v>2</v>
      </c>
      <c r="J81" s="5"/>
      <c r="K81" s="5">
        <v>441.59500000000003</v>
      </c>
      <c r="L81" s="5" t="s">
        <v>278</v>
      </c>
      <c r="M81" s="5">
        <v>100000</v>
      </c>
      <c r="N81" s="5">
        <v>0.82004999999999995</v>
      </c>
      <c r="O81" s="5">
        <v>0.82004999999999995</v>
      </c>
      <c r="P81" s="6" t="s">
        <v>283</v>
      </c>
      <c r="Q81" s="10">
        <v>-0.05</v>
      </c>
      <c r="R81" s="10">
        <v>-0.05</v>
      </c>
      <c r="S81" s="10">
        <v>0.1</v>
      </c>
      <c r="T81" s="10" t="s">
        <v>343</v>
      </c>
      <c r="U81" s="5">
        <v>4</v>
      </c>
    </row>
    <row r="82" spans="1:21" ht="20" customHeight="1">
      <c r="A82" t="s">
        <v>20</v>
      </c>
      <c r="B82" t="s">
        <v>20</v>
      </c>
      <c r="C82">
        <v>76.141000000000005</v>
      </c>
      <c r="D82" t="s">
        <v>275</v>
      </c>
      <c r="E82">
        <v>0</v>
      </c>
      <c r="F82" s="8" t="s">
        <v>70</v>
      </c>
      <c r="G82">
        <v>8.7490000000000006</v>
      </c>
      <c r="H82" t="s">
        <v>70</v>
      </c>
      <c r="I82">
        <v>2</v>
      </c>
      <c r="K82">
        <v>460</v>
      </c>
      <c r="L82" t="s">
        <v>117</v>
      </c>
      <c r="M82">
        <f xml:space="preserve"> 100000</f>
        <v>100000</v>
      </c>
      <c r="N82">
        <v>0.1091</v>
      </c>
      <c r="O82">
        <v>0.1091</v>
      </c>
      <c r="P82" t="s">
        <v>70</v>
      </c>
      <c r="Q82" s="7">
        <v>-1.724</v>
      </c>
      <c r="R82" s="7">
        <v>-1.724</v>
      </c>
      <c r="S82" s="7">
        <v>3.448</v>
      </c>
      <c r="T82" s="7" t="s">
        <v>343</v>
      </c>
    </row>
    <row r="83" spans="1:21" ht="20" customHeight="1">
      <c r="A83" s="14" t="s">
        <v>449</v>
      </c>
      <c r="C83">
        <v>36.982954999999997</v>
      </c>
      <c r="D83" t="s">
        <v>275</v>
      </c>
      <c r="E83">
        <v>1.109</v>
      </c>
      <c r="F83" t="s">
        <v>69</v>
      </c>
      <c r="G83">
        <v>2.5150000000000001</v>
      </c>
      <c r="H83" t="s">
        <v>73</v>
      </c>
      <c r="I83">
        <v>2</v>
      </c>
      <c r="K83">
        <v>333.9</v>
      </c>
      <c r="L83" t="s">
        <v>91</v>
      </c>
      <c r="M83">
        <v>100000</v>
      </c>
      <c r="N83">
        <v>5.3702300000000003</v>
      </c>
      <c r="O83">
        <v>5.3702300000000003</v>
      </c>
      <c r="P83" t="s">
        <v>468</v>
      </c>
      <c r="Q83" s="7">
        <v>-1.921</v>
      </c>
      <c r="R83" s="7">
        <v>-1.921</v>
      </c>
      <c r="S83" s="7">
        <v>3.843</v>
      </c>
      <c r="T83" s="7" t="s">
        <v>343</v>
      </c>
    </row>
    <row r="84" spans="1:21" ht="20" customHeight="1">
      <c r="A84" t="s">
        <v>418</v>
      </c>
      <c r="B84" t="s">
        <v>265</v>
      </c>
      <c r="C84">
        <v>56.942760999999997</v>
      </c>
      <c r="D84" t="s">
        <v>275</v>
      </c>
      <c r="E84">
        <v>2.63</v>
      </c>
      <c r="F84" s="3" t="s">
        <v>326</v>
      </c>
      <c r="G84">
        <v>9.1780000000000008</v>
      </c>
      <c r="H84" s="3" t="s">
        <v>327</v>
      </c>
      <c r="I84">
        <v>2</v>
      </c>
      <c r="K84">
        <v>582</v>
      </c>
      <c r="L84" s="3" t="s">
        <v>325</v>
      </c>
      <c r="M84">
        <v>100000</v>
      </c>
      <c r="N84">
        <v>6.48482</v>
      </c>
      <c r="O84">
        <v>6.48482</v>
      </c>
      <c r="P84" s="3" t="s">
        <v>328</v>
      </c>
      <c r="Q84">
        <f>-S84/2</f>
        <v>1.244</v>
      </c>
      <c r="R84">
        <f>-S84/2</f>
        <v>1.244</v>
      </c>
      <c r="S84" s="4">
        <v>-2.488</v>
      </c>
      <c r="T84" s="7" t="s">
        <v>433</v>
      </c>
    </row>
    <row r="85" spans="1:21" ht="18">
      <c r="A85" t="s">
        <v>21</v>
      </c>
      <c r="B85" t="s">
        <v>21</v>
      </c>
      <c r="C85">
        <v>73.955608999999995</v>
      </c>
      <c r="D85" t="s">
        <v>275</v>
      </c>
      <c r="E85">
        <v>0</v>
      </c>
      <c r="F85" t="s">
        <v>86</v>
      </c>
      <c r="G85">
        <v>4.7699999999999996</v>
      </c>
      <c r="H85" t="s">
        <v>70</v>
      </c>
      <c r="I85">
        <v>6</v>
      </c>
      <c r="K85">
        <v>430</v>
      </c>
      <c r="L85" t="s">
        <v>123</v>
      </c>
      <c r="M85">
        <v>2.6259999999999999</v>
      </c>
      <c r="N85">
        <f xml:space="preserve"> 2.626</f>
        <v>2.6259999999999999</v>
      </c>
      <c r="O85">
        <f xml:space="preserve"> 2.626</f>
        <v>2.6259999999999999</v>
      </c>
      <c r="P85" t="s">
        <v>76</v>
      </c>
      <c r="Q85" s="7">
        <v>0</v>
      </c>
      <c r="R85" s="7">
        <v>0</v>
      </c>
      <c r="S85" s="7">
        <v>0</v>
      </c>
      <c r="T85" s="7" t="s">
        <v>351</v>
      </c>
      <c r="U85">
        <v>5</v>
      </c>
    </row>
    <row r="86" spans="1:21" ht="20" customHeight="1">
      <c r="A86" t="s">
        <v>22</v>
      </c>
      <c r="B86" t="s">
        <v>22</v>
      </c>
      <c r="C86">
        <v>2.0158800000000001</v>
      </c>
      <c r="D86" t="s">
        <v>275</v>
      </c>
      <c r="E86">
        <v>0</v>
      </c>
      <c r="F86" t="s">
        <v>70</v>
      </c>
      <c r="G86">
        <v>0.78700000000000003</v>
      </c>
      <c r="H86" t="s">
        <v>70</v>
      </c>
      <c r="I86">
        <v>4</v>
      </c>
      <c r="K86">
        <v>289</v>
      </c>
      <c r="L86" t="s">
        <v>102</v>
      </c>
      <c r="M86">
        <v>100000</v>
      </c>
      <c r="N86">
        <v>60.853000000000002</v>
      </c>
      <c r="O86">
        <v>60.853000000000002</v>
      </c>
      <c r="P86" t="s">
        <v>70</v>
      </c>
      <c r="Q86" s="7">
        <v>-0.26</v>
      </c>
      <c r="R86" s="7">
        <v>-0.26</v>
      </c>
      <c r="S86" s="7">
        <v>0.52</v>
      </c>
      <c r="T86" s="7" t="s">
        <v>343</v>
      </c>
      <c r="U86">
        <v>1</v>
      </c>
    </row>
    <row r="87" spans="1:21" ht="20" customHeight="1">
      <c r="A87" t="s">
        <v>23</v>
      </c>
      <c r="B87" t="s">
        <v>23</v>
      </c>
      <c r="C87">
        <v>30.026</v>
      </c>
      <c r="D87" t="s">
        <v>275</v>
      </c>
      <c r="E87">
        <v>2.331</v>
      </c>
      <c r="F87" t="s">
        <v>69</v>
      </c>
      <c r="G87">
        <v>2.77</v>
      </c>
      <c r="H87" t="s">
        <v>73</v>
      </c>
      <c r="I87">
        <v>2</v>
      </c>
      <c r="K87">
        <f>(335+308)/2</f>
        <v>321.5</v>
      </c>
      <c r="L87" t="s">
        <v>109</v>
      </c>
      <c r="M87">
        <v>9.4055261390198108</v>
      </c>
      <c r="N87">
        <v>1.2953623736591799</v>
      </c>
      <c r="O87">
        <v>1.13425948827571</v>
      </c>
      <c r="P87" t="s">
        <v>69</v>
      </c>
      <c r="Q87" s="7">
        <v>-0.27</v>
      </c>
      <c r="R87" s="7">
        <v>0.33</v>
      </c>
      <c r="S87" s="7">
        <v>-0.06</v>
      </c>
      <c r="T87" s="7" t="s">
        <v>343</v>
      </c>
      <c r="U87">
        <v>2</v>
      </c>
    </row>
    <row r="88" spans="1:21" ht="20" customHeight="1">
      <c r="A88" t="s">
        <v>426</v>
      </c>
      <c r="B88" t="s">
        <v>246</v>
      </c>
      <c r="C88">
        <v>45.987721000000001</v>
      </c>
      <c r="D88" t="s">
        <v>275</v>
      </c>
      <c r="E88">
        <v>1.647</v>
      </c>
      <c r="F88" s="3" t="s">
        <v>308</v>
      </c>
      <c r="G88">
        <v>5.2850000000000001</v>
      </c>
      <c r="H88" s="3" t="s">
        <v>301</v>
      </c>
      <c r="I88">
        <v>2</v>
      </c>
      <c r="K88">
        <v>387.09500000000003</v>
      </c>
      <c r="L88" s="3" t="s">
        <v>307</v>
      </c>
      <c r="M88">
        <v>9.7271800000000006</v>
      </c>
      <c r="N88">
        <v>0.59040000000000004</v>
      </c>
      <c r="O88">
        <v>0.55544000000000004</v>
      </c>
      <c r="P88" s="3" t="s">
        <v>308</v>
      </c>
      <c r="Q88" s="7">
        <v>-1.0009999999999999</v>
      </c>
      <c r="R88" s="7">
        <v>-1.91</v>
      </c>
      <c r="S88" s="4">
        <v>2.9119999999999999</v>
      </c>
      <c r="T88" s="7" t="s">
        <v>350</v>
      </c>
    </row>
    <row r="89" spans="1:21" ht="19" customHeight="1">
      <c r="A89" t="s">
        <v>24</v>
      </c>
      <c r="B89" t="s">
        <v>24</v>
      </c>
      <c r="C89">
        <v>18.0153</v>
      </c>
      <c r="D89" t="s">
        <v>275</v>
      </c>
      <c r="E89">
        <v>1.857</v>
      </c>
      <c r="F89" t="s">
        <v>67</v>
      </c>
      <c r="G89">
        <v>1.5009999999999999</v>
      </c>
      <c r="H89" s="8" t="s">
        <v>70</v>
      </c>
      <c r="I89">
        <v>2</v>
      </c>
      <c r="K89">
        <f>(259+312)/2</f>
        <v>285.5</v>
      </c>
      <c r="L89" t="s">
        <v>98</v>
      </c>
      <c r="M89">
        <v>27.880631339965198</v>
      </c>
      <c r="N89">
        <v>14.5217695903477</v>
      </c>
      <c r="O89">
        <v>9.2777083805090204</v>
      </c>
      <c r="P89" t="s">
        <v>68</v>
      </c>
      <c r="Q89" s="7">
        <v>-2.5</v>
      </c>
      <c r="R89" s="7">
        <v>2.63</v>
      </c>
      <c r="S89" s="7">
        <v>-0.13</v>
      </c>
      <c r="T89" s="7" t="s">
        <v>343</v>
      </c>
      <c r="U89">
        <v>2</v>
      </c>
    </row>
    <row r="90" spans="1:21" ht="19" customHeight="1">
      <c r="A90" t="s">
        <v>25</v>
      </c>
      <c r="B90" t="s">
        <v>25</v>
      </c>
      <c r="C90">
        <v>34.014699999999998</v>
      </c>
      <c r="D90" t="s">
        <v>275</v>
      </c>
      <c r="E90">
        <v>1.5724</v>
      </c>
      <c r="F90" t="s">
        <v>69</v>
      </c>
      <c r="G90">
        <v>2.3010000000000002</v>
      </c>
      <c r="H90" t="s">
        <v>438</v>
      </c>
      <c r="I90">
        <v>2</v>
      </c>
      <c r="K90">
        <f>(326+302)/2</f>
        <v>314</v>
      </c>
      <c r="L90" t="s">
        <v>114</v>
      </c>
      <c r="M90">
        <v>10.0695661930227</v>
      </c>
      <c r="N90">
        <v>0.87433487069244398</v>
      </c>
      <c r="O90">
        <v>0.83721719243517401</v>
      </c>
      <c r="P90" t="s">
        <v>69</v>
      </c>
      <c r="Q90" s="7">
        <v>1.802</v>
      </c>
      <c r="R90" s="7">
        <v>-0.61099999999999999</v>
      </c>
      <c r="S90">
        <v>-1.1910000000000001</v>
      </c>
      <c r="T90" s="7" t="s">
        <v>350</v>
      </c>
      <c r="U90">
        <v>2</v>
      </c>
    </row>
    <row r="91" spans="1:21" ht="19" customHeight="1">
      <c r="A91" t="s">
        <v>26</v>
      </c>
      <c r="B91" t="s">
        <v>26</v>
      </c>
      <c r="C91">
        <v>34.081000000000003</v>
      </c>
      <c r="D91" t="s">
        <v>275</v>
      </c>
      <c r="E91">
        <v>0.98</v>
      </c>
      <c r="F91" s="8" t="s">
        <v>70</v>
      </c>
      <c r="G91">
        <v>3.6309999999999998</v>
      </c>
      <c r="H91" t="s">
        <v>70</v>
      </c>
      <c r="I91">
        <v>2</v>
      </c>
      <c r="K91">
        <v>360</v>
      </c>
      <c r="L91" t="s">
        <v>99</v>
      </c>
      <c r="M91">
        <v>10.34657</v>
      </c>
      <c r="N91">
        <v>9.0357199999999995</v>
      </c>
      <c r="O91">
        <v>4.7267999999999999</v>
      </c>
      <c r="P91" t="s">
        <v>70</v>
      </c>
      <c r="Q91" s="7">
        <v>-3.7090000000000001</v>
      </c>
      <c r="R91" s="7">
        <v>2.8029999999999999</v>
      </c>
      <c r="S91" s="7">
        <v>0.90600000000000003</v>
      </c>
      <c r="T91" s="7" t="s">
        <v>350</v>
      </c>
    </row>
    <row r="92" spans="1:21" ht="19" customHeight="1">
      <c r="A92" t="s">
        <v>431</v>
      </c>
      <c r="B92" t="s">
        <v>271</v>
      </c>
      <c r="C92">
        <v>3.0234749999999999</v>
      </c>
      <c r="D92" t="s">
        <v>275</v>
      </c>
      <c r="E92">
        <v>0</v>
      </c>
      <c r="F92" s="3" t="s">
        <v>86</v>
      </c>
      <c r="G92">
        <v>0.47299999999999998</v>
      </c>
      <c r="H92" s="3" t="s">
        <v>336</v>
      </c>
      <c r="I92">
        <v>4</v>
      </c>
      <c r="K92">
        <v>319</v>
      </c>
      <c r="L92" s="3" t="s">
        <v>338</v>
      </c>
      <c r="M92">
        <v>43.51</v>
      </c>
      <c r="N92">
        <v>43.51</v>
      </c>
      <c r="O92">
        <v>20.59</v>
      </c>
      <c r="P92" s="3" t="s">
        <v>339</v>
      </c>
      <c r="Q92">
        <f>-S92/2</f>
        <v>0.61799999999999999</v>
      </c>
      <c r="R92">
        <f>-S92/2</f>
        <v>0.61799999999999999</v>
      </c>
      <c r="S92" s="4">
        <v>-1.236</v>
      </c>
      <c r="T92" t="s">
        <v>359</v>
      </c>
    </row>
    <row r="93" spans="1:21" ht="19" customHeight="1">
      <c r="A93" t="s">
        <v>491</v>
      </c>
      <c r="C93" s="23">
        <v>79.930000000000007</v>
      </c>
      <c r="D93" t="s">
        <v>275</v>
      </c>
      <c r="E93">
        <v>0.82799999999999996</v>
      </c>
      <c r="F93" t="s">
        <v>70</v>
      </c>
      <c r="G93">
        <v>3.6160000000000001</v>
      </c>
      <c r="H93" t="s">
        <v>80</v>
      </c>
      <c r="I93">
        <v>2</v>
      </c>
      <c r="K93">
        <v>335.3</v>
      </c>
      <c r="L93" t="s">
        <v>91</v>
      </c>
      <c r="M93">
        <v>100000</v>
      </c>
      <c r="N93" s="23">
        <v>8.4700000000000006</v>
      </c>
      <c r="O93" s="23">
        <v>8.4700000000000006</v>
      </c>
      <c r="P93" t="s">
        <v>496</v>
      </c>
      <c r="Q93" s="7">
        <v>-2.0049999999999999</v>
      </c>
      <c r="R93" s="7">
        <v>-2.0049999999999999</v>
      </c>
      <c r="S93" s="7">
        <v>4.0110000000000001</v>
      </c>
      <c r="T93" s="7" t="s">
        <v>350</v>
      </c>
    </row>
    <row r="94" spans="1:21" ht="19" customHeight="1">
      <c r="A94" t="s">
        <v>490</v>
      </c>
      <c r="C94" s="23">
        <v>81.92</v>
      </c>
      <c r="D94" t="s">
        <v>275</v>
      </c>
      <c r="E94">
        <v>0.82799999999999996</v>
      </c>
      <c r="F94" t="s">
        <v>70</v>
      </c>
      <c r="G94">
        <v>3.6160000000000001</v>
      </c>
      <c r="H94" t="s">
        <v>80</v>
      </c>
      <c r="I94">
        <v>2</v>
      </c>
      <c r="K94">
        <v>335.3</v>
      </c>
      <c r="L94" t="s">
        <v>91</v>
      </c>
      <c r="M94">
        <v>100000</v>
      </c>
      <c r="N94" s="23">
        <v>8.4600000000000009</v>
      </c>
      <c r="O94" s="23">
        <v>8.4600000000000009</v>
      </c>
      <c r="P94" t="s">
        <v>496</v>
      </c>
      <c r="Q94" s="7">
        <v>-2.0049999999999999</v>
      </c>
      <c r="R94" s="7">
        <v>-2.0049999999999999</v>
      </c>
      <c r="S94" s="7">
        <v>4.0110000000000001</v>
      </c>
      <c r="T94" s="7" t="s">
        <v>350</v>
      </c>
    </row>
    <row r="95" spans="1:21" ht="19" customHeight="1">
      <c r="A95" t="s">
        <v>410</v>
      </c>
      <c r="B95" t="s">
        <v>243</v>
      </c>
      <c r="C95">
        <v>28.012045000000001</v>
      </c>
      <c r="D95" t="s">
        <v>275</v>
      </c>
      <c r="E95">
        <v>2.68</v>
      </c>
      <c r="F95" s="3" t="s">
        <v>301</v>
      </c>
      <c r="G95">
        <v>2.6219999999999999</v>
      </c>
      <c r="H95" s="3" t="s">
        <v>301</v>
      </c>
      <c r="I95">
        <v>2</v>
      </c>
      <c r="K95">
        <v>419.6</v>
      </c>
      <c r="L95" s="3" t="s">
        <v>302</v>
      </c>
      <c r="M95">
        <v>100000</v>
      </c>
      <c r="N95">
        <v>1.3083800000000001</v>
      </c>
      <c r="O95">
        <v>1.3083800000000001</v>
      </c>
      <c r="P95" s="3" t="s">
        <v>286</v>
      </c>
      <c r="Q95">
        <f>-S95/2</f>
        <v>-0.13950000000000001</v>
      </c>
      <c r="R95">
        <f>-S95/2</f>
        <v>-0.13950000000000001</v>
      </c>
      <c r="S95" s="4">
        <v>0.27900000000000003</v>
      </c>
      <c r="T95" s="7" t="s">
        <v>358</v>
      </c>
    </row>
    <row r="96" spans="1:21" ht="19" customHeight="1">
      <c r="A96" t="s">
        <v>27</v>
      </c>
      <c r="B96" t="s">
        <v>27</v>
      </c>
      <c r="C96">
        <v>79.926276999999999</v>
      </c>
      <c r="D96" t="s">
        <v>275</v>
      </c>
      <c r="E96">
        <v>0.82799999999999996</v>
      </c>
      <c r="F96" t="s">
        <v>70</v>
      </c>
      <c r="G96">
        <v>3.6160000000000001</v>
      </c>
      <c r="H96" t="s">
        <v>80</v>
      </c>
      <c r="I96">
        <v>2</v>
      </c>
      <c r="K96">
        <v>335.3</v>
      </c>
      <c r="L96" t="s">
        <v>91</v>
      </c>
      <c r="M96">
        <v>100000</v>
      </c>
      <c r="N96">
        <v>8.3492393928100004</v>
      </c>
      <c r="O96">
        <v>8.3492393928100004</v>
      </c>
      <c r="P96" t="s">
        <v>69</v>
      </c>
      <c r="Q96" s="7">
        <v>-2.0049999999999999</v>
      </c>
      <c r="R96" s="7">
        <v>-2.0049999999999999</v>
      </c>
      <c r="S96" s="7">
        <v>4.0110000000000001</v>
      </c>
      <c r="T96" s="7" t="s">
        <v>350</v>
      </c>
      <c r="U96">
        <v>4</v>
      </c>
    </row>
    <row r="97" spans="1:22" ht="19" customHeight="1">
      <c r="A97" t="s">
        <v>28</v>
      </c>
      <c r="B97" t="s">
        <v>28</v>
      </c>
      <c r="C97">
        <v>51.046700000000001</v>
      </c>
      <c r="D97" t="s">
        <v>275</v>
      </c>
      <c r="E97">
        <v>3.72</v>
      </c>
      <c r="F97" s="8" t="s">
        <v>70</v>
      </c>
      <c r="G97">
        <v>4.468</v>
      </c>
      <c r="H97" t="s">
        <v>89</v>
      </c>
      <c r="I97">
        <v>2</v>
      </c>
      <c r="K97">
        <v>465</v>
      </c>
      <c r="L97" t="s">
        <v>93</v>
      </c>
      <c r="M97">
        <f xml:space="preserve"> 100000</f>
        <v>100000</v>
      </c>
      <c r="N97">
        <v>0.15174000000000001</v>
      </c>
      <c r="O97">
        <v>0.15174000000000001</v>
      </c>
      <c r="P97" t="s">
        <v>70</v>
      </c>
      <c r="Q97" s="7">
        <v>-0.77400000000000002</v>
      </c>
      <c r="R97" s="7">
        <v>-0.77400000000000002</v>
      </c>
      <c r="S97">
        <v>1.5469999999999999</v>
      </c>
      <c r="T97" s="7" t="s">
        <v>354</v>
      </c>
    </row>
    <row r="98" spans="1:22" ht="19" customHeight="1">
      <c r="A98" t="s">
        <v>29</v>
      </c>
      <c r="B98" t="s">
        <v>29</v>
      </c>
      <c r="C98">
        <v>35.976793000000001</v>
      </c>
      <c r="D98" t="s">
        <v>275</v>
      </c>
      <c r="E98">
        <v>1.109</v>
      </c>
      <c r="F98" t="s">
        <v>69</v>
      </c>
      <c r="G98">
        <v>2.5150000000000001</v>
      </c>
      <c r="H98" t="s">
        <v>73</v>
      </c>
      <c r="I98">
        <v>2</v>
      </c>
      <c r="K98">
        <v>333.9</v>
      </c>
      <c r="L98" t="s">
        <v>91</v>
      </c>
      <c r="M98">
        <v>100000</v>
      </c>
      <c r="N98">
        <v>10.440199266120199</v>
      </c>
      <c r="O98">
        <v>10.440199266120199</v>
      </c>
      <c r="P98" t="s">
        <v>69</v>
      </c>
      <c r="Q98" s="7">
        <v>-1.921</v>
      </c>
      <c r="R98" s="7">
        <v>-1.921</v>
      </c>
      <c r="S98" s="7">
        <v>3.843</v>
      </c>
      <c r="T98" s="7" t="s">
        <v>343</v>
      </c>
      <c r="U98">
        <v>4</v>
      </c>
    </row>
    <row r="99" spans="1:22" ht="19" customHeight="1">
      <c r="A99" t="s">
        <v>30</v>
      </c>
      <c r="B99" t="s">
        <v>30</v>
      </c>
      <c r="C99">
        <v>27.025300000000001</v>
      </c>
      <c r="D99" t="s">
        <v>275</v>
      </c>
      <c r="E99">
        <v>2.98</v>
      </c>
      <c r="F99" s="8" t="s">
        <v>70</v>
      </c>
      <c r="G99">
        <v>2.593</v>
      </c>
      <c r="H99" t="s">
        <v>70</v>
      </c>
      <c r="I99">
        <v>2</v>
      </c>
      <c r="K99">
        <v>363</v>
      </c>
      <c r="L99" t="s">
        <v>95</v>
      </c>
      <c r="M99">
        <f xml:space="preserve"> 100000</f>
        <v>100000</v>
      </c>
      <c r="N99">
        <v>1.4782200000000001</v>
      </c>
      <c r="O99">
        <v>1.4782200000000001</v>
      </c>
      <c r="P99" t="s">
        <v>70</v>
      </c>
      <c r="Q99" s="7">
        <v>-0.95399999999999996</v>
      </c>
      <c r="R99" s="7">
        <v>-0.95399999999999996</v>
      </c>
      <c r="S99" s="7">
        <v>1.909</v>
      </c>
      <c r="T99" s="7" t="s">
        <v>354</v>
      </c>
    </row>
    <row r="100" spans="1:22" ht="19" customHeight="1">
      <c r="A100" t="s">
        <v>31</v>
      </c>
      <c r="B100" t="s">
        <v>31</v>
      </c>
      <c r="C100">
        <v>46.025399999999998</v>
      </c>
      <c r="D100" t="s">
        <v>275</v>
      </c>
      <c r="E100">
        <v>1.41</v>
      </c>
      <c r="F100" s="8" t="s">
        <v>70</v>
      </c>
      <c r="G100">
        <v>3.319</v>
      </c>
      <c r="H100" t="s">
        <v>70</v>
      </c>
      <c r="I100">
        <v>2</v>
      </c>
      <c r="K100">
        <v>400</v>
      </c>
      <c r="L100" t="s">
        <v>96</v>
      </c>
      <c r="M100">
        <v>2.58548</v>
      </c>
      <c r="N100">
        <v>0.40211000000000002</v>
      </c>
      <c r="O100">
        <v>0.34744999999999998</v>
      </c>
      <c r="P100" t="s">
        <v>70</v>
      </c>
      <c r="Q100" s="7">
        <v>-5.3</v>
      </c>
      <c r="R100" s="7">
        <v>5.2</v>
      </c>
      <c r="S100" s="7">
        <v>0.1</v>
      </c>
      <c r="T100" s="7" t="s">
        <v>343</v>
      </c>
    </row>
    <row r="101" spans="1:22" ht="19" customHeight="1">
      <c r="A101" s="14" t="s">
        <v>450</v>
      </c>
      <c r="C101">
        <v>3.0220400000000001</v>
      </c>
      <c r="D101" t="s">
        <v>275</v>
      </c>
      <c r="E101">
        <v>8.5599999999999999E-4</v>
      </c>
      <c r="F101" s="4" t="s">
        <v>481</v>
      </c>
      <c r="G101">
        <v>0.78700000000000003</v>
      </c>
      <c r="H101" t="s">
        <v>70</v>
      </c>
      <c r="I101">
        <v>2</v>
      </c>
      <c r="K101">
        <v>289</v>
      </c>
      <c r="L101" t="s">
        <v>102</v>
      </c>
      <c r="M101">
        <v>100000</v>
      </c>
      <c r="N101">
        <v>45.655000000000001</v>
      </c>
      <c r="O101">
        <v>45.655000000000001</v>
      </c>
      <c r="P101" t="s">
        <v>480</v>
      </c>
      <c r="Q101" s="7">
        <v>-0.26</v>
      </c>
      <c r="R101" s="7">
        <v>-0.26</v>
      </c>
      <c r="S101" s="7">
        <v>0.52</v>
      </c>
      <c r="T101" s="7" t="s">
        <v>343</v>
      </c>
      <c r="V101" t="str">
        <f>SUBSTITUTE(A101,"-","")</f>
        <v>HD</v>
      </c>
    </row>
    <row r="102" spans="1:22" ht="19" customHeight="1">
      <c r="A102" t="s">
        <v>440</v>
      </c>
      <c r="B102" t="s">
        <v>441</v>
      </c>
      <c r="C102" s="14">
        <v>19.021599999999999</v>
      </c>
      <c r="D102" t="s">
        <v>275</v>
      </c>
      <c r="E102" s="14">
        <v>1.857</v>
      </c>
      <c r="G102" s="14">
        <v>1.5009999999999999</v>
      </c>
      <c r="I102" s="14">
        <v>2</v>
      </c>
      <c r="K102" s="14">
        <v>285.5</v>
      </c>
      <c r="L102" t="s">
        <v>442</v>
      </c>
      <c r="M102" s="14">
        <v>23.38</v>
      </c>
      <c r="N102" s="14">
        <v>9.1</v>
      </c>
      <c r="O102" s="14">
        <v>6.41</v>
      </c>
      <c r="Q102" s="14">
        <v>-2.29</v>
      </c>
      <c r="R102" s="14">
        <v>2.5499999999999998</v>
      </c>
      <c r="S102" s="14">
        <v>-0.26</v>
      </c>
    </row>
    <row r="103" spans="1:22" ht="19" customHeight="1">
      <c r="A103" s="15" t="s">
        <v>455</v>
      </c>
      <c r="C103" s="14">
        <v>4.0026020000000004</v>
      </c>
      <c r="D103" t="s">
        <v>275</v>
      </c>
      <c r="E103" s="14">
        <v>0</v>
      </c>
      <c r="G103" s="14">
        <v>0.20799999999999999</v>
      </c>
      <c r="I103" s="14">
        <v>6</v>
      </c>
      <c r="K103" s="14">
        <v>258</v>
      </c>
      <c r="M103" s="14">
        <v>100000</v>
      </c>
      <c r="N103" s="14">
        <v>100000</v>
      </c>
      <c r="O103">
        <v>100000</v>
      </c>
      <c r="Q103" s="14">
        <v>0</v>
      </c>
      <c r="R103" s="14">
        <v>0</v>
      </c>
      <c r="S103" s="14">
        <v>0</v>
      </c>
      <c r="V103" t="str">
        <f>SUBSTITUTE(A103,"-","")</f>
        <v>He</v>
      </c>
    </row>
    <row r="104" spans="1:22" ht="19" customHeight="1">
      <c r="A104" t="s">
        <v>32</v>
      </c>
      <c r="B104" t="s">
        <v>32</v>
      </c>
      <c r="C104">
        <v>20.006889999999999</v>
      </c>
      <c r="D104" t="s">
        <v>275</v>
      </c>
      <c r="E104">
        <v>1.8265260000000001</v>
      </c>
      <c r="F104" t="s">
        <v>69</v>
      </c>
      <c r="G104">
        <v>0.8</v>
      </c>
      <c r="H104" t="s">
        <v>70</v>
      </c>
      <c r="I104">
        <v>2</v>
      </c>
      <c r="K104">
        <v>314.8</v>
      </c>
      <c r="L104" t="s">
        <v>91</v>
      </c>
      <c r="M104">
        <v>100000</v>
      </c>
      <c r="N104">
        <v>20.559723353680798</v>
      </c>
      <c r="O104">
        <v>20.559723353680798</v>
      </c>
      <c r="P104" t="s">
        <v>69</v>
      </c>
      <c r="Q104" s="7">
        <v>-1.17</v>
      </c>
      <c r="R104" s="7">
        <v>-1.17</v>
      </c>
      <c r="S104" s="7">
        <v>2.339</v>
      </c>
      <c r="T104" s="7" t="s">
        <v>343</v>
      </c>
      <c r="U104">
        <v>4</v>
      </c>
    </row>
    <row r="105" spans="1:22" ht="19" customHeight="1">
      <c r="A105" t="s">
        <v>33</v>
      </c>
      <c r="B105" t="s">
        <v>33</v>
      </c>
      <c r="C105">
        <v>127.91240999999999</v>
      </c>
      <c r="D105" t="s">
        <v>275</v>
      </c>
      <c r="E105">
        <v>0.45</v>
      </c>
      <c r="F105" s="8" t="s">
        <v>70</v>
      </c>
      <c r="G105">
        <v>5.4530000000000003</v>
      </c>
      <c r="H105" t="s">
        <v>70</v>
      </c>
      <c r="I105">
        <v>2</v>
      </c>
      <c r="K105">
        <v>400</v>
      </c>
      <c r="L105" t="s">
        <v>93</v>
      </c>
      <c r="M105">
        <f xml:space="preserve"> 100000</f>
        <v>100000</v>
      </c>
      <c r="N105">
        <v>6.4263700000000004</v>
      </c>
      <c r="O105">
        <v>6.4263700000000004</v>
      </c>
      <c r="P105" t="s">
        <v>70</v>
      </c>
      <c r="Q105" s="7">
        <v>-2.6219999999999999</v>
      </c>
      <c r="R105" s="7">
        <v>-2.6219999999999999</v>
      </c>
      <c r="S105" s="7">
        <v>5.2439999999999998</v>
      </c>
      <c r="T105" s="7" t="s">
        <v>356</v>
      </c>
    </row>
    <row r="106" spans="1:22" ht="19" customHeight="1">
      <c r="A106" t="s">
        <v>34</v>
      </c>
      <c r="B106" t="s">
        <v>34</v>
      </c>
      <c r="C106">
        <v>63.012799999999999</v>
      </c>
      <c r="D106" t="s">
        <v>275</v>
      </c>
      <c r="E106">
        <v>2.17</v>
      </c>
      <c r="F106" s="8" t="s">
        <v>70</v>
      </c>
      <c r="G106">
        <v>3.16</v>
      </c>
      <c r="H106" t="s">
        <v>89</v>
      </c>
      <c r="I106">
        <v>2</v>
      </c>
      <c r="K106">
        <v>480</v>
      </c>
      <c r="L106" t="s">
        <v>93</v>
      </c>
      <c r="M106">
        <v>0.43401000000000001</v>
      </c>
      <c r="N106">
        <v>0.40361000000000002</v>
      </c>
      <c r="O106">
        <v>0.20882999999999999</v>
      </c>
      <c r="P106" t="s">
        <v>70</v>
      </c>
      <c r="Q106" s="7">
        <v>-3.4940000000000002</v>
      </c>
      <c r="R106" s="7">
        <v>2.206</v>
      </c>
      <c r="S106" s="7">
        <v>1.2889999999999999</v>
      </c>
      <c r="T106" s="7" t="s">
        <v>350</v>
      </c>
    </row>
    <row r="107" spans="1:22" ht="19" customHeight="1">
      <c r="A107" t="s">
        <v>35</v>
      </c>
      <c r="B107" t="s">
        <v>35</v>
      </c>
      <c r="C107">
        <v>33.006700000000002</v>
      </c>
      <c r="D107" t="s">
        <v>275</v>
      </c>
      <c r="E107">
        <v>2.0900777497499901</v>
      </c>
      <c r="F107" t="s">
        <v>69</v>
      </c>
      <c r="G107">
        <v>2.0270000000000001</v>
      </c>
      <c r="H107" t="s">
        <v>81</v>
      </c>
      <c r="I107">
        <v>2</v>
      </c>
      <c r="K107">
        <f>(320+302)/2</f>
        <v>311</v>
      </c>
      <c r="L107" t="s">
        <v>103</v>
      </c>
      <c r="M107">
        <v>20.356516106886101</v>
      </c>
      <c r="N107">
        <v>1.11790670864708</v>
      </c>
      <c r="O107">
        <v>1.05646420231158</v>
      </c>
      <c r="P107" t="s">
        <v>69</v>
      </c>
      <c r="Q107" s="7">
        <v>1.0489999999999999</v>
      </c>
      <c r="R107" s="7">
        <v>-0.32900000000000001</v>
      </c>
      <c r="S107" s="7">
        <v>-0.72099999999999997</v>
      </c>
      <c r="T107" s="7" t="s">
        <v>355</v>
      </c>
      <c r="U107">
        <v>2</v>
      </c>
    </row>
    <row r="108" spans="1:22" ht="19" customHeight="1">
      <c r="A108" t="s">
        <v>36</v>
      </c>
      <c r="B108" t="s">
        <v>36</v>
      </c>
      <c r="C108">
        <v>95.92568</v>
      </c>
      <c r="D108" t="s">
        <v>275</v>
      </c>
      <c r="E108">
        <v>1.38</v>
      </c>
      <c r="F108" s="8" t="s">
        <v>70</v>
      </c>
      <c r="G108">
        <v>2.2149999999999999</v>
      </c>
      <c r="H108" t="s">
        <v>88</v>
      </c>
      <c r="I108">
        <v>2</v>
      </c>
      <c r="K108">
        <v>300</v>
      </c>
      <c r="L108" t="s">
        <v>93</v>
      </c>
      <c r="M108">
        <v>20.47007</v>
      </c>
      <c r="N108">
        <v>0.3528</v>
      </c>
      <c r="O108">
        <v>0.34633999999999998</v>
      </c>
      <c r="P108" t="s">
        <v>70</v>
      </c>
      <c r="Q108" s="7">
        <v>0.71599999999999997</v>
      </c>
      <c r="R108" s="7">
        <v>1.9530000000000001</v>
      </c>
      <c r="S108" s="7">
        <v>-2.669</v>
      </c>
      <c r="T108" s="7" t="s">
        <v>354</v>
      </c>
    </row>
    <row r="109" spans="1:22" ht="19" customHeight="1">
      <c r="A109" t="s">
        <v>37</v>
      </c>
      <c r="B109" t="s">
        <v>37</v>
      </c>
      <c r="C109">
        <v>53.973239999999997</v>
      </c>
      <c r="D109" t="s">
        <v>275</v>
      </c>
      <c r="E109">
        <v>1.51</v>
      </c>
      <c r="F109" s="8" t="s">
        <v>70</v>
      </c>
      <c r="G109">
        <v>3.4380000000000002</v>
      </c>
      <c r="H109" t="s">
        <v>90</v>
      </c>
      <c r="I109">
        <v>2</v>
      </c>
      <c r="K109">
        <v>320</v>
      </c>
      <c r="L109" t="s">
        <v>93</v>
      </c>
      <c r="M109">
        <v>20.463619999999999</v>
      </c>
      <c r="N109">
        <v>0.50424000000000002</v>
      </c>
      <c r="O109">
        <v>0.49120000000000003</v>
      </c>
      <c r="P109" t="s">
        <v>70</v>
      </c>
      <c r="Q109" s="7">
        <v>0.96</v>
      </c>
      <c r="R109" s="7">
        <v>1.4379999999999999</v>
      </c>
      <c r="S109" s="7">
        <v>-2.3980000000000001</v>
      </c>
      <c r="T109" s="7" t="s">
        <v>350</v>
      </c>
    </row>
    <row r="110" spans="1:22" ht="19" customHeight="1">
      <c r="A110" t="s">
        <v>63</v>
      </c>
      <c r="B110" t="s">
        <v>63</v>
      </c>
      <c r="C110">
        <v>47.013399999999997</v>
      </c>
      <c r="D110" t="s">
        <v>275</v>
      </c>
      <c r="E110">
        <v>1.8129999999999999</v>
      </c>
      <c r="F110" t="s">
        <v>76</v>
      </c>
      <c r="G110">
        <v>2.2469999999999999</v>
      </c>
      <c r="H110" t="s">
        <v>82</v>
      </c>
      <c r="I110">
        <v>2</v>
      </c>
      <c r="K110">
        <v>346</v>
      </c>
      <c r="L110" t="s">
        <v>122</v>
      </c>
      <c r="M110">
        <v>3.0985499999999999</v>
      </c>
      <c r="N110">
        <v>0.41777999999999998</v>
      </c>
      <c r="O110">
        <v>0.36748999999999998</v>
      </c>
      <c r="P110" t="s">
        <v>70</v>
      </c>
      <c r="Q110" s="7">
        <v>3.621</v>
      </c>
      <c r="R110" s="7">
        <v>-3.5310000000000001</v>
      </c>
      <c r="S110" s="7">
        <v>-9.0999999999999998E-2</v>
      </c>
      <c r="T110" s="7" t="s">
        <v>357</v>
      </c>
      <c r="U110">
        <v>2</v>
      </c>
    </row>
    <row r="111" spans="1:22" ht="19" customHeight="1">
      <c r="A111" t="s">
        <v>495</v>
      </c>
      <c r="C111" s="23">
        <v>58.12</v>
      </c>
      <c r="D111" t="s">
        <v>275</v>
      </c>
      <c r="E111" s="23">
        <v>0.13</v>
      </c>
      <c r="F111" s="16" t="s">
        <v>457</v>
      </c>
      <c r="G111" s="23">
        <v>8.1</v>
      </c>
      <c r="H111" s="16" t="s">
        <v>457</v>
      </c>
      <c r="I111">
        <v>2</v>
      </c>
      <c r="K111" s="23">
        <v>550</v>
      </c>
      <c r="L111" s="16" t="s">
        <v>498</v>
      </c>
      <c r="M111" s="23">
        <v>0.36</v>
      </c>
      <c r="N111" s="23">
        <v>0.22</v>
      </c>
      <c r="O111" s="23">
        <v>0.18</v>
      </c>
      <c r="P111" s="16" t="s">
        <v>499</v>
      </c>
      <c r="Q111" s="24">
        <v>0</v>
      </c>
      <c r="R111" s="7">
        <v>0</v>
      </c>
      <c r="S111">
        <v>0</v>
      </c>
      <c r="T111" s="25" t="s">
        <v>500</v>
      </c>
    </row>
    <row r="112" spans="1:22" ht="19" customHeight="1">
      <c r="A112" s="14" t="s">
        <v>451</v>
      </c>
      <c r="C112">
        <v>253.80894000000001</v>
      </c>
      <c r="D112" t="s">
        <v>275</v>
      </c>
      <c r="E112">
        <v>0</v>
      </c>
      <c r="F112" s="8" t="s">
        <v>86</v>
      </c>
      <c r="G112">
        <v>9.9499999999999993</v>
      </c>
      <c r="H112" s="4" t="s">
        <v>469</v>
      </c>
      <c r="I112">
        <v>4</v>
      </c>
      <c r="K112">
        <v>334</v>
      </c>
      <c r="L112" t="s">
        <v>470</v>
      </c>
      <c r="M112">
        <v>100000</v>
      </c>
      <c r="N112">
        <v>3.7311499999999997E-2</v>
      </c>
      <c r="O112">
        <v>3.7311499999999997E-2</v>
      </c>
      <c r="P112" t="s">
        <v>471</v>
      </c>
      <c r="Q112" t="s">
        <v>473</v>
      </c>
      <c r="R112" t="s">
        <v>473</v>
      </c>
      <c r="S112">
        <v>4.5498000000000003</v>
      </c>
      <c r="T112" t="s">
        <v>472</v>
      </c>
      <c r="V112" t="str">
        <f>SUBSTITUTE(A112,"-","")</f>
        <v>I2</v>
      </c>
    </row>
    <row r="113" spans="1:22" ht="19" customHeight="1">
      <c r="A113" t="s">
        <v>382</v>
      </c>
      <c r="B113" t="s">
        <v>154</v>
      </c>
      <c r="C113">
        <v>73.932558999999998</v>
      </c>
      <c r="D113" t="s">
        <v>275</v>
      </c>
      <c r="E113">
        <v>10.52</v>
      </c>
      <c r="F113" s="3" t="s">
        <v>286</v>
      </c>
      <c r="G113">
        <v>2.1619999999999999</v>
      </c>
      <c r="H113" s="3" t="s">
        <v>283</v>
      </c>
      <c r="I113">
        <v>2</v>
      </c>
      <c r="K113">
        <v>433.01</v>
      </c>
      <c r="L113" t="s">
        <v>278</v>
      </c>
      <c r="M113">
        <v>100000</v>
      </c>
      <c r="N113">
        <v>0.12862999999999999</v>
      </c>
      <c r="O113">
        <v>0.12862999999999999</v>
      </c>
      <c r="P113" t="s">
        <v>70</v>
      </c>
      <c r="Q113">
        <f t="shared" ref="Q113:Q119" si="4">-S113/2</f>
        <v>0.41499999999999998</v>
      </c>
      <c r="R113">
        <f t="shared" ref="R113:R119" si="5">-S113/2</f>
        <v>0.41499999999999998</v>
      </c>
      <c r="S113" s="4">
        <v>-0.83</v>
      </c>
      <c r="T113" s="7" t="s">
        <v>356</v>
      </c>
    </row>
    <row r="114" spans="1:22" ht="19" customHeight="1">
      <c r="A114" t="s">
        <v>382</v>
      </c>
      <c r="B114" t="s">
        <v>155</v>
      </c>
      <c r="C114">
        <v>75.929608999999999</v>
      </c>
      <c r="D114" t="s">
        <v>275</v>
      </c>
      <c r="E114">
        <v>10.52</v>
      </c>
      <c r="F114" s="3" t="s">
        <v>286</v>
      </c>
      <c r="G114">
        <v>2.1619999999999999</v>
      </c>
      <c r="H114" s="3" t="s">
        <v>283</v>
      </c>
      <c r="I114">
        <v>2</v>
      </c>
      <c r="K114">
        <v>433.01</v>
      </c>
      <c r="L114" t="s">
        <v>278</v>
      </c>
      <c r="M114">
        <v>100000</v>
      </c>
      <c r="N114">
        <v>0.12862999999999999</v>
      </c>
      <c r="O114">
        <v>0.12862999999999999</v>
      </c>
      <c r="P114" t="s">
        <v>70</v>
      </c>
      <c r="Q114">
        <f t="shared" si="4"/>
        <v>0.41499999999999998</v>
      </c>
      <c r="R114">
        <f t="shared" si="5"/>
        <v>0.41499999999999998</v>
      </c>
      <c r="S114" s="4">
        <v>-0.83</v>
      </c>
      <c r="T114" s="7" t="s">
        <v>356</v>
      </c>
    </row>
    <row r="115" spans="1:22" ht="19" customHeight="1">
      <c r="A115" t="s">
        <v>382</v>
      </c>
      <c r="B115" t="s">
        <v>156</v>
      </c>
      <c r="C115">
        <v>75.930678</v>
      </c>
      <c r="D115" t="s">
        <v>275</v>
      </c>
      <c r="E115">
        <v>10.52</v>
      </c>
      <c r="F115" s="3" t="s">
        <v>286</v>
      </c>
      <c r="G115">
        <v>2.1619999999999999</v>
      </c>
      <c r="H115" s="3" t="s">
        <v>283</v>
      </c>
      <c r="I115">
        <v>2</v>
      </c>
      <c r="K115">
        <v>433.01</v>
      </c>
      <c r="L115" t="s">
        <v>278</v>
      </c>
      <c r="M115">
        <v>100000</v>
      </c>
      <c r="N115">
        <v>0.12862999999999999</v>
      </c>
      <c r="O115">
        <v>0.12862999999999999</v>
      </c>
      <c r="P115" t="s">
        <v>70</v>
      </c>
      <c r="Q115">
        <f t="shared" si="4"/>
        <v>0.41499999999999998</v>
      </c>
      <c r="R115">
        <f t="shared" si="5"/>
        <v>0.41499999999999998</v>
      </c>
      <c r="S115" s="4">
        <v>-0.83</v>
      </c>
      <c r="T115" s="7" t="s">
        <v>356</v>
      </c>
    </row>
    <row r="116" spans="1:22" ht="20" customHeight="1">
      <c r="A116" t="s">
        <v>382</v>
      </c>
      <c r="B116" t="s">
        <v>157</v>
      </c>
      <c r="C116">
        <v>77.927728000000002</v>
      </c>
      <c r="D116" t="s">
        <v>275</v>
      </c>
      <c r="E116">
        <v>10.52</v>
      </c>
      <c r="F116" s="3" t="s">
        <v>286</v>
      </c>
      <c r="G116">
        <v>2.1619999999999999</v>
      </c>
      <c r="H116" s="3" t="s">
        <v>283</v>
      </c>
      <c r="I116">
        <v>2</v>
      </c>
      <c r="K116">
        <v>433.01</v>
      </c>
      <c r="L116" t="s">
        <v>278</v>
      </c>
      <c r="M116">
        <v>100000</v>
      </c>
      <c r="N116">
        <v>0.12862999999999999</v>
      </c>
      <c r="O116">
        <v>0.12862999999999999</v>
      </c>
      <c r="P116" t="s">
        <v>70</v>
      </c>
      <c r="Q116">
        <f t="shared" si="4"/>
        <v>0.41499999999999998</v>
      </c>
      <c r="R116">
        <f t="shared" si="5"/>
        <v>0.41499999999999998</v>
      </c>
      <c r="S116" s="4">
        <v>-0.83</v>
      </c>
      <c r="T116" s="7" t="s">
        <v>356</v>
      </c>
    </row>
    <row r="117" spans="1:22" ht="19" customHeight="1">
      <c r="A117" t="s">
        <v>383</v>
      </c>
      <c r="B117" t="s">
        <v>158</v>
      </c>
      <c r="C117">
        <v>57.962110000000003</v>
      </c>
      <c r="D117" t="s">
        <v>275</v>
      </c>
      <c r="E117">
        <v>8.5579999999999998</v>
      </c>
      <c r="F117" s="3" t="s">
        <v>286</v>
      </c>
      <c r="G117">
        <v>0.31</v>
      </c>
      <c r="H117" s="3" t="s">
        <v>283</v>
      </c>
      <c r="I117">
        <v>2</v>
      </c>
      <c r="K117">
        <v>223.52999999999997</v>
      </c>
      <c r="L117" t="s">
        <v>278</v>
      </c>
      <c r="M117">
        <v>100000</v>
      </c>
      <c r="N117">
        <v>0.27994000000000002</v>
      </c>
      <c r="O117">
        <v>0.27994000000000002</v>
      </c>
      <c r="P117" t="s">
        <v>70</v>
      </c>
      <c r="Q117">
        <f t="shared" si="4"/>
        <v>3.4649999999999999</v>
      </c>
      <c r="R117">
        <f t="shared" si="5"/>
        <v>3.4649999999999999</v>
      </c>
      <c r="S117" s="4">
        <v>-6.93</v>
      </c>
      <c r="T117" s="7" t="s">
        <v>356</v>
      </c>
    </row>
    <row r="118" spans="1:22" ht="20" customHeight="1">
      <c r="A118" t="s">
        <v>383</v>
      </c>
      <c r="B118" t="s">
        <v>159</v>
      </c>
      <c r="C118">
        <v>59.960228000000001</v>
      </c>
      <c r="D118" t="s">
        <v>275</v>
      </c>
      <c r="E118">
        <v>8.5579999999999998</v>
      </c>
      <c r="F118" s="3" t="s">
        <v>286</v>
      </c>
      <c r="G118">
        <v>0.31</v>
      </c>
      <c r="H118" s="3" t="s">
        <v>283</v>
      </c>
      <c r="I118">
        <v>2</v>
      </c>
      <c r="K118">
        <v>223.52999999999997</v>
      </c>
      <c r="L118" t="s">
        <v>278</v>
      </c>
      <c r="M118">
        <v>100000</v>
      </c>
      <c r="N118">
        <v>0.27994000000000002</v>
      </c>
      <c r="O118">
        <v>0.27994000000000002</v>
      </c>
      <c r="P118" t="s">
        <v>70</v>
      </c>
      <c r="Q118">
        <f t="shared" si="4"/>
        <v>3.4649999999999999</v>
      </c>
      <c r="R118">
        <f t="shared" si="5"/>
        <v>3.4649999999999999</v>
      </c>
      <c r="S118" s="4">
        <v>-6.93</v>
      </c>
      <c r="T118" s="7" t="s">
        <v>356</v>
      </c>
    </row>
    <row r="119" spans="1:22" ht="19" customHeight="1">
      <c r="A119" t="s">
        <v>405</v>
      </c>
      <c r="B119" t="s">
        <v>222</v>
      </c>
      <c r="C119">
        <v>55.966445999999998</v>
      </c>
      <c r="D119" t="s">
        <v>275</v>
      </c>
      <c r="E119">
        <v>8.5559999999999992</v>
      </c>
      <c r="F119" s="3" t="s">
        <v>277</v>
      </c>
      <c r="G119">
        <v>1.454</v>
      </c>
      <c r="H119" s="3" t="s">
        <v>277</v>
      </c>
      <c r="I119">
        <v>2</v>
      </c>
      <c r="K119">
        <v>443.11</v>
      </c>
      <c r="L119" t="s">
        <v>278</v>
      </c>
      <c r="M119">
        <v>100000</v>
      </c>
      <c r="N119">
        <v>0.27381</v>
      </c>
      <c r="O119">
        <v>0.27381</v>
      </c>
      <c r="P119" t="s">
        <v>70</v>
      </c>
      <c r="Q119">
        <f t="shared" si="4"/>
        <v>0.24049999999999999</v>
      </c>
      <c r="R119">
        <f t="shared" si="5"/>
        <v>0.24049999999999999</v>
      </c>
      <c r="S119" s="7">
        <v>-0.48099999999999998</v>
      </c>
      <c r="T119" s="7" t="s">
        <v>367</v>
      </c>
    </row>
    <row r="120" spans="1:22" ht="19" customHeight="1">
      <c r="A120" s="14" t="s">
        <v>452</v>
      </c>
      <c r="C120">
        <v>83.798000000000002</v>
      </c>
      <c r="D120" t="s">
        <v>275</v>
      </c>
      <c r="E120">
        <v>0</v>
      </c>
      <c r="F120" s="3" t="s">
        <v>474</v>
      </c>
      <c r="G120" s="19">
        <v>2.4980000000000002</v>
      </c>
      <c r="H120" s="3" t="s">
        <v>91</v>
      </c>
      <c r="I120">
        <v>6</v>
      </c>
      <c r="K120" s="19">
        <v>365.5</v>
      </c>
      <c r="L120" s="19" t="s">
        <v>91</v>
      </c>
      <c r="M120">
        <v>100000</v>
      </c>
      <c r="N120">
        <v>100000</v>
      </c>
      <c r="O120">
        <v>100000</v>
      </c>
      <c r="P120" t="s">
        <v>475</v>
      </c>
      <c r="Q120">
        <v>0</v>
      </c>
      <c r="R120">
        <v>0</v>
      </c>
      <c r="S120">
        <v>0</v>
      </c>
      <c r="T120" s="7" t="s">
        <v>475</v>
      </c>
      <c r="V120" t="str">
        <f>SUBSTITUTE(A120,"-","")</f>
        <v>Kr</v>
      </c>
    </row>
    <row r="121" spans="1:22" ht="19" customHeight="1">
      <c r="A121" t="s">
        <v>413</v>
      </c>
      <c r="B121" t="s">
        <v>252</v>
      </c>
      <c r="C121">
        <v>154.90127100000001</v>
      </c>
      <c r="D121" t="s">
        <v>275</v>
      </c>
      <c r="E121">
        <v>3.2069999999999999</v>
      </c>
      <c r="F121" s="3" t="s">
        <v>315</v>
      </c>
      <c r="G121">
        <v>31.827999999999999</v>
      </c>
      <c r="H121" s="3" t="s">
        <v>316</v>
      </c>
      <c r="I121">
        <v>2</v>
      </c>
      <c r="K121">
        <v>468</v>
      </c>
      <c r="L121" s="3" t="s">
        <v>314</v>
      </c>
      <c r="M121">
        <v>100000</v>
      </c>
      <c r="N121">
        <v>0.35249999999999998</v>
      </c>
      <c r="O121">
        <v>0.35249999999999998</v>
      </c>
      <c r="P121" s="3" t="s">
        <v>317</v>
      </c>
      <c r="Q121">
        <f t="shared" ref="Q121:Q127" si="6">-S121/2</f>
        <v>1.73</v>
      </c>
      <c r="R121">
        <f t="shared" ref="R121:R127" si="7">-S121/2</f>
        <v>1.73</v>
      </c>
      <c r="S121" s="4">
        <v>-3.46</v>
      </c>
      <c r="T121" s="7" t="s">
        <v>434</v>
      </c>
    </row>
    <row r="122" spans="1:22" ht="19" customHeight="1">
      <c r="A122" t="s">
        <v>379</v>
      </c>
      <c r="B122" t="s">
        <v>147</v>
      </c>
      <c r="C122">
        <v>40.983975999999998</v>
      </c>
      <c r="D122" t="s">
        <v>275</v>
      </c>
      <c r="E122">
        <v>7.085</v>
      </c>
      <c r="F122" s="3" t="s">
        <v>286</v>
      </c>
      <c r="G122">
        <v>1.097</v>
      </c>
      <c r="H122" s="3" t="s">
        <v>283</v>
      </c>
      <c r="I122">
        <v>2</v>
      </c>
      <c r="K122">
        <v>405</v>
      </c>
      <c r="L122" t="s">
        <v>278</v>
      </c>
      <c r="M122">
        <v>100000</v>
      </c>
      <c r="N122">
        <v>0.70652000000000004</v>
      </c>
      <c r="O122">
        <v>0.70652000000000004</v>
      </c>
      <c r="P122" t="s">
        <v>70</v>
      </c>
      <c r="Q122">
        <f t="shared" si="6"/>
        <v>-7.1725000000000003</v>
      </c>
      <c r="R122">
        <f t="shared" si="7"/>
        <v>-7.1725000000000003</v>
      </c>
      <c r="S122" s="4">
        <v>14.345000000000001</v>
      </c>
      <c r="T122" s="7" t="s">
        <v>350</v>
      </c>
    </row>
    <row r="123" spans="1:22" ht="19" customHeight="1">
      <c r="A123" t="s">
        <v>379</v>
      </c>
      <c r="B123" t="s">
        <v>148</v>
      </c>
      <c r="C123">
        <v>42.981025000000002</v>
      </c>
      <c r="D123" t="s">
        <v>275</v>
      </c>
      <c r="E123">
        <v>7.085</v>
      </c>
      <c r="F123" s="3" t="s">
        <v>286</v>
      </c>
      <c r="G123">
        <v>1.097</v>
      </c>
      <c r="H123" s="3" t="s">
        <v>283</v>
      </c>
      <c r="I123">
        <v>2</v>
      </c>
      <c r="K123">
        <v>405</v>
      </c>
      <c r="L123" t="s">
        <v>278</v>
      </c>
      <c r="M123">
        <v>100000</v>
      </c>
      <c r="N123">
        <v>0.70652000000000004</v>
      </c>
      <c r="O123">
        <v>0.70652000000000004</v>
      </c>
      <c r="P123" t="s">
        <v>70</v>
      </c>
      <c r="Q123">
        <f t="shared" si="6"/>
        <v>-7.1725000000000003</v>
      </c>
      <c r="R123">
        <f t="shared" si="7"/>
        <v>-7.1725000000000003</v>
      </c>
      <c r="S123" s="4">
        <v>14.345000000000001</v>
      </c>
      <c r="T123" s="7" t="s">
        <v>350</v>
      </c>
    </row>
    <row r="124" spans="1:22" ht="19" customHeight="1">
      <c r="A124" t="s">
        <v>379</v>
      </c>
      <c r="B124" t="s">
        <v>149</v>
      </c>
      <c r="C124">
        <v>41.984856000000001</v>
      </c>
      <c r="D124" t="s">
        <v>275</v>
      </c>
      <c r="E124">
        <v>7.085</v>
      </c>
      <c r="F124" s="3" t="s">
        <v>286</v>
      </c>
      <c r="G124">
        <v>1.097</v>
      </c>
      <c r="H124" s="3" t="s">
        <v>283</v>
      </c>
      <c r="I124">
        <v>2</v>
      </c>
      <c r="K124">
        <v>405</v>
      </c>
      <c r="L124" t="s">
        <v>278</v>
      </c>
      <c r="M124">
        <v>100000</v>
      </c>
      <c r="N124">
        <v>0.70652000000000004</v>
      </c>
      <c r="O124">
        <v>0.70652000000000004</v>
      </c>
      <c r="P124" t="s">
        <v>70</v>
      </c>
      <c r="Q124">
        <f t="shared" si="6"/>
        <v>-7.1725000000000003</v>
      </c>
      <c r="R124">
        <f t="shared" si="7"/>
        <v>-7.1725000000000003</v>
      </c>
      <c r="S124" s="4">
        <v>14.345000000000001</v>
      </c>
      <c r="T124" s="7" t="s">
        <v>350</v>
      </c>
    </row>
    <row r="125" spans="1:22" ht="19" customHeight="1">
      <c r="A125" t="s">
        <v>379</v>
      </c>
      <c r="B125" t="s">
        <v>150</v>
      </c>
      <c r="C125">
        <v>43.981906000000002</v>
      </c>
      <c r="D125" t="s">
        <v>275</v>
      </c>
      <c r="E125">
        <v>7.085</v>
      </c>
      <c r="F125" s="3" t="s">
        <v>286</v>
      </c>
      <c r="G125">
        <v>1.097</v>
      </c>
      <c r="H125" s="3" t="s">
        <v>283</v>
      </c>
      <c r="I125">
        <v>2</v>
      </c>
      <c r="K125">
        <v>405</v>
      </c>
      <c r="L125" t="s">
        <v>278</v>
      </c>
      <c r="M125">
        <v>100000</v>
      </c>
      <c r="N125">
        <v>0.70652000000000004</v>
      </c>
      <c r="O125">
        <v>0.70652000000000004</v>
      </c>
      <c r="P125" t="s">
        <v>70</v>
      </c>
      <c r="Q125">
        <f t="shared" si="6"/>
        <v>-7.1725000000000003</v>
      </c>
      <c r="R125">
        <f t="shared" si="7"/>
        <v>-7.1725000000000003</v>
      </c>
      <c r="S125" s="4">
        <v>14.345000000000001</v>
      </c>
      <c r="T125" s="7" t="s">
        <v>350</v>
      </c>
    </row>
    <row r="126" spans="1:22" ht="19" customHeight="1">
      <c r="A126" t="s">
        <v>380</v>
      </c>
      <c r="B126" t="s">
        <v>151</v>
      </c>
      <c r="C126">
        <v>25.013525999999999</v>
      </c>
      <c r="D126" t="s">
        <v>275</v>
      </c>
      <c r="E126">
        <v>6.2839999999999998</v>
      </c>
      <c r="F126" s="3" t="s">
        <v>287</v>
      </c>
      <c r="G126">
        <v>0.69799999999999995</v>
      </c>
      <c r="H126" s="3" t="s">
        <v>288</v>
      </c>
      <c r="I126">
        <v>2</v>
      </c>
      <c r="K126">
        <v>556.02</v>
      </c>
      <c r="L126" t="s">
        <v>278</v>
      </c>
      <c r="M126">
        <v>100000</v>
      </c>
      <c r="N126">
        <v>1.3452599999999999</v>
      </c>
      <c r="O126">
        <v>1.3452599999999999</v>
      </c>
      <c r="P126" t="s">
        <v>70</v>
      </c>
      <c r="Q126">
        <f t="shared" si="6"/>
        <v>-3.2854999999999999</v>
      </c>
      <c r="R126">
        <f t="shared" si="7"/>
        <v>-3.2854999999999999</v>
      </c>
      <c r="S126" s="4">
        <v>6.5709999999999997</v>
      </c>
      <c r="T126" s="7" t="s">
        <v>350</v>
      </c>
    </row>
    <row r="127" spans="1:22" ht="19" customHeight="1">
      <c r="A127" t="s">
        <v>380</v>
      </c>
      <c r="B127" t="s">
        <v>152</v>
      </c>
      <c r="C127">
        <v>26.014406999999999</v>
      </c>
      <c r="D127" t="s">
        <v>275</v>
      </c>
      <c r="E127">
        <v>6.2839999999999998</v>
      </c>
      <c r="F127" s="3" t="s">
        <v>287</v>
      </c>
      <c r="G127">
        <v>0.69799999999999995</v>
      </c>
      <c r="H127" s="3" t="s">
        <v>288</v>
      </c>
      <c r="I127">
        <v>2</v>
      </c>
      <c r="K127">
        <v>556.02</v>
      </c>
      <c r="L127" t="s">
        <v>278</v>
      </c>
      <c r="M127">
        <v>100000</v>
      </c>
      <c r="N127">
        <v>1.3452599999999999</v>
      </c>
      <c r="O127">
        <v>1.3452599999999999</v>
      </c>
      <c r="P127" t="s">
        <v>70</v>
      </c>
      <c r="Q127">
        <f t="shared" si="6"/>
        <v>-3.2854999999999999</v>
      </c>
      <c r="R127">
        <f t="shared" si="7"/>
        <v>-3.2854999999999999</v>
      </c>
      <c r="S127" s="4">
        <v>6.5709999999999997</v>
      </c>
      <c r="T127" s="7" t="s">
        <v>350</v>
      </c>
    </row>
    <row r="128" spans="1:22" ht="19" customHeight="1">
      <c r="A128" t="s">
        <v>381</v>
      </c>
      <c r="B128" t="s">
        <v>153</v>
      </c>
      <c r="C128">
        <v>8.023828</v>
      </c>
      <c r="D128" t="s">
        <v>275</v>
      </c>
      <c r="E128">
        <v>5.88</v>
      </c>
      <c r="F128" s="3" t="s">
        <v>287</v>
      </c>
      <c r="G128">
        <v>0.61899999999999999</v>
      </c>
      <c r="H128" s="3" t="s">
        <v>289</v>
      </c>
      <c r="I128">
        <v>2</v>
      </c>
      <c r="K128">
        <v>417.47</v>
      </c>
      <c r="L128" t="s">
        <v>278</v>
      </c>
      <c r="M128">
        <v>100000</v>
      </c>
      <c r="N128">
        <v>7.5137299999999998</v>
      </c>
      <c r="O128">
        <v>7.5137299999999998</v>
      </c>
      <c r="P128" t="s">
        <v>70</v>
      </c>
      <c r="Q128" s="12">
        <v>0.98199999999999998</v>
      </c>
      <c r="R128" s="12">
        <v>0.98199999999999998</v>
      </c>
      <c r="S128" s="13">
        <v>-1.964</v>
      </c>
      <c r="T128" s="7" t="s">
        <v>350</v>
      </c>
    </row>
    <row r="129" spans="1:21" ht="19" customHeight="1">
      <c r="A129" t="s">
        <v>409</v>
      </c>
      <c r="B129" t="s">
        <v>241</v>
      </c>
      <c r="C129">
        <v>23.017862999999998</v>
      </c>
      <c r="D129" t="s">
        <v>275</v>
      </c>
      <c r="E129">
        <v>4.7549999999999999</v>
      </c>
      <c r="F129" s="3" t="s">
        <v>286</v>
      </c>
      <c r="G129">
        <v>3.2890000000000001</v>
      </c>
      <c r="H129" s="3" t="s">
        <v>301</v>
      </c>
      <c r="I129">
        <v>2</v>
      </c>
      <c r="K129">
        <v>333</v>
      </c>
      <c r="L129" s="3" t="s">
        <v>300</v>
      </c>
      <c r="M129">
        <v>100000</v>
      </c>
      <c r="N129">
        <v>1.1789099999999999</v>
      </c>
      <c r="O129">
        <v>1.1789099999999999</v>
      </c>
      <c r="P129" s="3" t="s">
        <v>286</v>
      </c>
      <c r="Q129">
        <f t="shared" ref="Q129:Q141" si="8">-S129/2</f>
        <v>-5.6074999999999999</v>
      </c>
      <c r="R129">
        <f t="shared" ref="R129:R141" si="9">-S129/2</f>
        <v>-5.6074999999999999</v>
      </c>
      <c r="S129" s="4">
        <v>11.215</v>
      </c>
      <c r="T129" s="7" t="s">
        <v>358</v>
      </c>
    </row>
    <row r="130" spans="1:21" ht="19" customHeight="1">
      <c r="A130" t="s">
        <v>409</v>
      </c>
      <c r="B130" t="s">
        <v>242</v>
      </c>
      <c r="C130">
        <v>24.018743000000001</v>
      </c>
      <c r="D130" t="s">
        <v>275</v>
      </c>
      <c r="E130">
        <v>4.7549999999999999</v>
      </c>
      <c r="F130" s="3" t="s">
        <v>286</v>
      </c>
      <c r="G130">
        <v>3.2890000000000001</v>
      </c>
      <c r="H130" s="3" t="s">
        <v>301</v>
      </c>
      <c r="I130">
        <v>2</v>
      </c>
      <c r="K130">
        <v>333</v>
      </c>
      <c r="L130" s="3" t="s">
        <v>300</v>
      </c>
      <c r="M130">
        <v>100000</v>
      </c>
      <c r="N130">
        <v>1.1789099999999999</v>
      </c>
      <c r="O130">
        <v>1.1789099999999999</v>
      </c>
      <c r="P130" s="3" t="s">
        <v>286</v>
      </c>
      <c r="Q130">
        <f t="shared" si="8"/>
        <v>-5.6074999999999999</v>
      </c>
      <c r="R130">
        <f t="shared" si="9"/>
        <v>-5.6074999999999999</v>
      </c>
      <c r="S130" s="4">
        <v>11.215</v>
      </c>
      <c r="T130" s="7" t="s">
        <v>358</v>
      </c>
    </row>
    <row r="131" spans="1:21" ht="19" customHeight="1">
      <c r="A131" t="s">
        <v>384</v>
      </c>
      <c r="B131" t="s">
        <v>160</v>
      </c>
      <c r="C131">
        <v>42.983445000000003</v>
      </c>
      <c r="D131" t="s">
        <v>275</v>
      </c>
      <c r="E131">
        <v>4.2789999999999999</v>
      </c>
      <c r="F131" s="3" t="s">
        <v>287</v>
      </c>
      <c r="G131">
        <v>3.2120000000000002</v>
      </c>
      <c r="H131" s="3" t="s">
        <v>289</v>
      </c>
      <c r="I131">
        <v>2</v>
      </c>
      <c r="K131">
        <v>471.30999999999995</v>
      </c>
      <c r="L131" t="s">
        <v>278</v>
      </c>
      <c r="M131">
        <v>100000</v>
      </c>
      <c r="N131">
        <v>0.51922000000000001</v>
      </c>
      <c r="O131">
        <v>0.51922000000000001</v>
      </c>
      <c r="P131" t="s">
        <v>70</v>
      </c>
      <c r="Q131">
        <f t="shared" si="8"/>
        <v>2.9685000000000001</v>
      </c>
      <c r="R131">
        <f t="shared" si="9"/>
        <v>2.9685000000000001</v>
      </c>
      <c r="S131" s="4">
        <v>-5.9370000000000003</v>
      </c>
      <c r="T131" s="7" t="s">
        <v>359</v>
      </c>
    </row>
    <row r="132" spans="1:21" ht="19" customHeight="1">
      <c r="A132" t="s">
        <v>384</v>
      </c>
      <c r="B132" t="s">
        <v>161</v>
      </c>
      <c r="C132">
        <v>43.98424</v>
      </c>
      <c r="D132" t="s">
        <v>275</v>
      </c>
      <c r="E132">
        <v>4.2789999999999999</v>
      </c>
      <c r="F132" s="3" t="s">
        <v>287</v>
      </c>
      <c r="G132">
        <v>3.2120000000000002</v>
      </c>
      <c r="H132" s="3" t="s">
        <v>289</v>
      </c>
      <c r="I132">
        <v>2</v>
      </c>
      <c r="K132">
        <v>471.30999999999995</v>
      </c>
      <c r="L132" t="s">
        <v>278</v>
      </c>
      <c r="M132">
        <v>100000</v>
      </c>
      <c r="N132">
        <v>0.51922000000000001</v>
      </c>
      <c r="O132">
        <v>0.51922000000000001</v>
      </c>
      <c r="P132" t="s">
        <v>70</v>
      </c>
      <c r="Q132">
        <f t="shared" si="8"/>
        <v>2.9685000000000001</v>
      </c>
      <c r="R132">
        <f t="shared" si="9"/>
        <v>2.9685000000000001</v>
      </c>
      <c r="S132" s="4">
        <v>-5.9370000000000003</v>
      </c>
      <c r="T132" s="7" t="s">
        <v>359</v>
      </c>
    </row>
    <row r="133" spans="1:21" ht="19" customHeight="1">
      <c r="A133" t="s">
        <v>384</v>
      </c>
      <c r="B133" t="s">
        <v>162</v>
      </c>
      <c r="C133">
        <v>44.980995999999998</v>
      </c>
      <c r="D133" t="s">
        <v>275</v>
      </c>
      <c r="E133">
        <v>4.2789999999999999</v>
      </c>
      <c r="F133" s="3" t="s">
        <v>287</v>
      </c>
      <c r="G133">
        <v>3.2120000000000002</v>
      </c>
      <c r="H133" s="3" t="s">
        <v>289</v>
      </c>
      <c r="I133">
        <v>2</v>
      </c>
      <c r="K133">
        <v>471.30999999999995</v>
      </c>
      <c r="L133" t="s">
        <v>278</v>
      </c>
      <c r="M133">
        <v>100000</v>
      </c>
      <c r="N133">
        <v>0.51922000000000001</v>
      </c>
      <c r="O133">
        <v>0.51922000000000001</v>
      </c>
      <c r="P133" t="s">
        <v>70</v>
      </c>
      <c r="Q133">
        <f t="shared" si="8"/>
        <v>2.9685000000000001</v>
      </c>
      <c r="R133">
        <f t="shared" si="9"/>
        <v>2.9685000000000001</v>
      </c>
      <c r="S133" s="4">
        <v>-5.9370000000000003</v>
      </c>
      <c r="T133" s="7" t="s">
        <v>359</v>
      </c>
    </row>
    <row r="134" spans="1:21" ht="19" customHeight="1">
      <c r="A134" t="s">
        <v>385</v>
      </c>
      <c r="B134" t="s">
        <v>163</v>
      </c>
      <c r="C134">
        <v>24.992867</v>
      </c>
      <c r="D134" t="s">
        <v>275</v>
      </c>
      <c r="E134">
        <v>1.819</v>
      </c>
      <c r="F134" s="3" t="s">
        <v>287</v>
      </c>
      <c r="G134">
        <v>3.367</v>
      </c>
      <c r="H134" s="3" t="s">
        <v>289</v>
      </c>
      <c r="I134">
        <v>2</v>
      </c>
      <c r="K134">
        <v>530.29999999999995</v>
      </c>
      <c r="L134" t="s">
        <v>278</v>
      </c>
      <c r="M134">
        <v>100000</v>
      </c>
      <c r="N134">
        <v>5.82552</v>
      </c>
      <c r="O134">
        <v>5.82552</v>
      </c>
      <c r="P134" t="s">
        <v>70</v>
      </c>
      <c r="Q134">
        <f t="shared" si="8"/>
        <v>4.2134999999999998</v>
      </c>
      <c r="R134">
        <f t="shared" si="9"/>
        <v>4.2134999999999998</v>
      </c>
      <c r="S134" s="4">
        <v>-8.4269999999999996</v>
      </c>
      <c r="T134" s="7" t="s">
        <v>350</v>
      </c>
    </row>
    <row r="135" spans="1:21" ht="19" customHeight="1">
      <c r="A135" t="s">
        <v>385</v>
      </c>
      <c r="B135" t="s">
        <v>164</v>
      </c>
      <c r="C135">
        <v>25.993662</v>
      </c>
      <c r="D135" t="s">
        <v>275</v>
      </c>
      <c r="E135">
        <v>1.819</v>
      </c>
      <c r="F135" s="3" t="s">
        <v>287</v>
      </c>
      <c r="G135">
        <v>3.367</v>
      </c>
      <c r="H135" s="3" t="s">
        <v>289</v>
      </c>
      <c r="I135">
        <v>2</v>
      </c>
      <c r="K135">
        <v>530.29999999999995</v>
      </c>
      <c r="L135" t="s">
        <v>278</v>
      </c>
      <c r="M135">
        <v>100000</v>
      </c>
      <c r="N135">
        <v>5.82552</v>
      </c>
      <c r="O135">
        <v>5.82552</v>
      </c>
      <c r="P135" t="s">
        <v>70</v>
      </c>
      <c r="Q135">
        <f t="shared" si="8"/>
        <v>4.2134999999999998</v>
      </c>
      <c r="R135">
        <f t="shared" si="9"/>
        <v>4.2134999999999998</v>
      </c>
      <c r="S135" s="4">
        <v>-8.4269999999999996</v>
      </c>
      <c r="T135" s="7" t="s">
        <v>350</v>
      </c>
    </row>
    <row r="136" spans="1:21" ht="19" customHeight="1">
      <c r="A136" t="s">
        <v>385</v>
      </c>
      <c r="B136" t="s">
        <v>165</v>
      </c>
      <c r="C136">
        <v>26.990417999999998</v>
      </c>
      <c r="D136" t="s">
        <v>275</v>
      </c>
      <c r="E136">
        <v>1.819</v>
      </c>
      <c r="F136" s="3" t="s">
        <v>287</v>
      </c>
      <c r="G136">
        <v>3.367</v>
      </c>
      <c r="H136" s="3" t="s">
        <v>289</v>
      </c>
      <c r="I136">
        <v>2</v>
      </c>
      <c r="K136">
        <v>530.29999999999995</v>
      </c>
      <c r="L136" t="s">
        <v>278</v>
      </c>
      <c r="M136">
        <v>100000</v>
      </c>
      <c r="N136">
        <v>5.82552</v>
      </c>
      <c r="O136">
        <v>5.82552</v>
      </c>
      <c r="P136" t="s">
        <v>70</v>
      </c>
      <c r="Q136">
        <f t="shared" si="8"/>
        <v>4.2134999999999998</v>
      </c>
      <c r="R136">
        <f t="shared" si="9"/>
        <v>4.2134999999999998</v>
      </c>
      <c r="S136" s="4">
        <v>-8.4269999999999996</v>
      </c>
      <c r="T136" s="7" t="s">
        <v>350</v>
      </c>
    </row>
    <row r="137" spans="1:21" ht="19" customHeight="1">
      <c r="A137" t="s">
        <v>386</v>
      </c>
      <c r="B137" t="s">
        <v>166</v>
      </c>
      <c r="C137">
        <v>39.979956000000001</v>
      </c>
      <c r="D137" t="s">
        <v>275</v>
      </c>
      <c r="E137">
        <v>7.4050000000000002</v>
      </c>
      <c r="F137" s="3" t="s">
        <v>287</v>
      </c>
      <c r="G137">
        <v>1.75</v>
      </c>
      <c r="H137" s="3" t="s">
        <v>286</v>
      </c>
      <c r="I137">
        <v>2</v>
      </c>
      <c r="K137">
        <v>338</v>
      </c>
      <c r="L137" t="s">
        <v>278</v>
      </c>
      <c r="M137">
        <v>100000</v>
      </c>
      <c r="N137">
        <v>0.57484000000000002</v>
      </c>
      <c r="O137">
        <v>0.57484000000000002</v>
      </c>
      <c r="P137" t="s">
        <v>70</v>
      </c>
      <c r="Q137">
        <f t="shared" si="8"/>
        <v>-0.33250000000000002</v>
      </c>
      <c r="R137">
        <f t="shared" si="9"/>
        <v>-0.33250000000000002</v>
      </c>
      <c r="S137" s="4">
        <v>0.66500000000000004</v>
      </c>
      <c r="T137" s="7" t="s">
        <v>359</v>
      </c>
    </row>
    <row r="138" spans="1:21" ht="19" customHeight="1">
      <c r="A138" t="s">
        <v>386</v>
      </c>
      <c r="B138" t="s">
        <v>167</v>
      </c>
      <c r="C138">
        <v>40.984172999999998</v>
      </c>
      <c r="D138" t="s">
        <v>275</v>
      </c>
      <c r="E138">
        <v>7.4050000000000002</v>
      </c>
      <c r="F138" s="3" t="s">
        <v>287</v>
      </c>
      <c r="G138">
        <v>1.75</v>
      </c>
      <c r="H138" s="3" t="s">
        <v>286</v>
      </c>
      <c r="I138">
        <v>2</v>
      </c>
      <c r="K138">
        <v>338</v>
      </c>
      <c r="L138" t="s">
        <v>278</v>
      </c>
      <c r="M138">
        <v>100000</v>
      </c>
      <c r="N138">
        <v>0.57484000000000002</v>
      </c>
      <c r="O138">
        <v>0.57484000000000002</v>
      </c>
      <c r="P138" t="s">
        <v>70</v>
      </c>
      <c r="Q138">
        <f t="shared" si="8"/>
        <v>-0.33250000000000002</v>
      </c>
      <c r="R138">
        <f t="shared" si="9"/>
        <v>-0.33250000000000002</v>
      </c>
      <c r="S138" s="4">
        <v>0.66500000000000004</v>
      </c>
      <c r="T138" s="7" t="s">
        <v>359</v>
      </c>
    </row>
    <row r="139" spans="1:21" ht="19" customHeight="1">
      <c r="A139" t="s">
        <v>386</v>
      </c>
      <c r="B139" t="s">
        <v>168</v>
      </c>
      <c r="C139">
        <v>41.984200999999999</v>
      </c>
      <c r="D139" t="s">
        <v>275</v>
      </c>
      <c r="E139">
        <v>7.4050000000000002</v>
      </c>
      <c r="F139" s="3" t="s">
        <v>287</v>
      </c>
      <c r="G139">
        <v>1.75</v>
      </c>
      <c r="H139" s="3" t="s">
        <v>286</v>
      </c>
      <c r="I139">
        <v>2</v>
      </c>
      <c r="K139">
        <v>338</v>
      </c>
      <c r="L139" t="s">
        <v>278</v>
      </c>
      <c r="M139">
        <v>100000</v>
      </c>
      <c r="N139">
        <v>0.57484000000000002</v>
      </c>
      <c r="O139">
        <v>0.57484000000000002</v>
      </c>
      <c r="P139" t="s">
        <v>70</v>
      </c>
      <c r="Q139">
        <f t="shared" si="8"/>
        <v>-0.33250000000000002</v>
      </c>
      <c r="R139">
        <f t="shared" si="9"/>
        <v>-0.33250000000000002</v>
      </c>
      <c r="S139" s="4">
        <v>0.66500000000000004</v>
      </c>
      <c r="T139" s="7" t="s">
        <v>359</v>
      </c>
    </row>
    <row r="140" spans="1:21" ht="19" customHeight="1">
      <c r="A140" t="s">
        <v>386</v>
      </c>
      <c r="B140" t="s">
        <v>169</v>
      </c>
      <c r="C140">
        <v>40.980752000000003</v>
      </c>
      <c r="D140" t="s">
        <v>275</v>
      </c>
      <c r="E140">
        <v>7.4050000000000002</v>
      </c>
      <c r="F140" s="3" t="s">
        <v>287</v>
      </c>
      <c r="G140">
        <v>1.75</v>
      </c>
      <c r="H140" s="3" t="s">
        <v>286</v>
      </c>
      <c r="I140">
        <v>2</v>
      </c>
      <c r="K140">
        <v>338</v>
      </c>
      <c r="L140" t="s">
        <v>278</v>
      </c>
      <c r="M140">
        <v>100000</v>
      </c>
      <c r="N140">
        <v>0.57484000000000002</v>
      </c>
      <c r="O140">
        <v>0.57484000000000002</v>
      </c>
      <c r="P140" t="s">
        <v>70</v>
      </c>
      <c r="Q140">
        <f t="shared" si="8"/>
        <v>-0.33250000000000002</v>
      </c>
      <c r="R140">
        <f t="shared" si="9"/>
        <v>-0.33250000000000002</v>
      </c>
      <c r="S140" s="4">
        <v>0.66500000000000004</v>
      </c>
      <c r="T140" s="7" t="s">
        <v>359</v>
      </c>
    </row>
    <row r="141" spans="1:21" ht="19" customHeight="1">
      <c r="A141" t="s">
        <v>386</v>
      </c>
      <c r="B141" t="s">
        <v>170</v>
      </c>
      <c r="C141">
        <v>41.977508</v>
      </c>
      <c r="D141" t="s">
        <v>275</v>
      </c>
      <c r="E141">
        <v>7.4050000000000002</v>
      </c>
      <c r="F141" s="3" t="s">
        <v>287</v>
      </c>
      <c r="G141">
        <v>1.75</v>
      </c>
      <c r="H141" s="3" t="s">
        <v>286</v>
      </c>
      <c r="I141">
        <v>2</v>
      </c>
      <c r="K141">
        <v>338</v>
      </c>
      <c r="L141" t="s">
        <v>278</v>
      </c>
      <c r="M141">
        <v>100000</v>
      </c>
      <c r="N141">
        <v>0.57484000000000002</v>
      </c>
      <c r="O141">
        <v>0.57484000000000002</v>
      </c>
      <c r="P141" t="s">
        <v>70</v>
      </c>
      <c r="Q141">
        <f t="shared" si="8"/>
        <v>-0.33250000000000002</v>
      </c>
      <c r="R141">
        <f t="shared" si="9"/>
        <v>-0.33250000000000002</v>
      </c>
      <c r="S141" s="4">
        <v>0.66500000000000004</v>
      </c>
      <c r="T141" s="7" t="s">
        <v>359</v>
      </c>
    </row>
    <row r="142" spans="1:21" ht="19" customHeight="1">
      <c r="A142" t="s">
        <v>494</v>
      </c>
      <c r="C142" s="23">
        <v>58.12</v>
      </c>
      <c r="D142" t="s">
        <v>275</v>
      </c>
      <c r="E142" s="14">
        <v>0</v>
      </c>
      <c r="F142" t="s">
        <v>86</v>
      </c>
      <c r="G142" s="23">
        <v>8.1</v>
      </c>
      <c r="H142" s="16" t="s">
        <v>457</v>
      </c>
      <c r="I142">
        <v>4</v>
      </c>
      <c r="K142" s="23">
        <v>550</v>
      </c>
      <c r="L142" s="16" t="s">
        <v>498</v>
      </c>
      <c r="M142" s="23">
        <v>0.78</v>
      </c>
      <c r="N142" s="23">
        <v>0.14000000000000001</v>
      </c>
      <c r="O142" s="23">
        <v>0.13</v>
      </c>
      <c r="P142" s="16" t="s">
        <v>499</v>
      </c>
      <c r="Q142" s="24">
        <v>0.7</v>
      </c>
      <c r="R142" s="7">
        <v>-0.1</v>
      </c>
      <c r="S142">
        <v>-0.6</v>
      </c>
      <c r="T142" s="16" t="s">
        <v>502</v>
      </c>
    </row>
    <row r="143" spans="1:21" ht="19" customHeight="1">
      <c r="A143" t="s">
        <v>38</v>
      </c>
      <c r="B143" t="s">
        <v>38</v>
      </c>
      <c r="C143">
        <v>28.013400000000001</v>
      </c>
      <c r="D143" t="s">
        <v>275</v>
      </c>
      <c r="E143">
        <v>0</v>
      </c>
      <c r="F143" t="s">
        <v>70</v>
      </c>
      <c r="G143">
        <v>1.71</v>
      </c>
      <c r="H143" t="s">
        <v>70</v>
      </c>
      <c r="I143">
        <v>4</v>
      </c>
      <c r="K143">
        <v>364</v>
      </c>
      <c r="L143" t="s">
        <v>118</v>
      </c>
      <c r="M143">
        <v>100000</v>
      </c>
      <c r="N143">
        <v>1.67195</v>
      </c>
      <c r="O143">
        <v>1.67195</v>
      </c>
      <c r="P143" t="s">
        <v>69</v>
      </c>
      <c r="Q143" s="7">
        <v>0.69699999999999995</v>
      </c>
      <c r="R143" s="7">
        <v>0.69699999999999995</v>
      </c>
      <c r="S143" s="7">
        <v>-1.3939999999999999</v>
      </c>
      <c r="T143" s="7" t="s">
        <v>343</v>
      </c>
      <c r="U143">
        <v>1</v>
      </c>
    </row>
    <row r="144" spans="1:21" ht="19" customHeight="1">
      <c r="A144" t="s">
        <v>39</v>
      </c>
      <c r="B144" t="s">
        <v>39</v>
      </c>
      <c r="C144">
        <v>44.012799999999999</v>
      </c>
      <c r="D144" t="s">
        <v>275</v>
      </c>
      <c r="E144">
        <v>0.16083</v>
      </c>
      <c r="F144" t="s">
        <v>69</v>
      </c>
      <c r="G144">
        <v>2.9980000000000002</v>
      </c>
      <c r="H144" t="s">
        <v>73</v>
      </c>
      <c r="I144">
        <v>2</v>
      </c>
      <c r="K144">
        <v>383</v>
      </c>
      <c r="L144" t="s">
        <v>91</v>
      </c>
      <c r="M144">
        <v>100000</v>
      </c>
      <c r="N144">
        <v>0.41901101941330299</v>
      </c>
      <c r="O144">
        <v>0.41901101941330299</v>
      </c>
      <c r="P144" t="s">
        <v>69</v>
      </c>
      <c r="Q144" s="7">
        <v>1.83</v>
      </c>
      <c r="R144" s="7">
        <v>1.83</v>
      </c>
      <c r="S144" s="7">
        <v>-3.65</v>
      </c>
      <c r="T144" t="s">
        <v>343</v>
      </c>
      <c r="U144">
        <v>4</v>
      </c>
    </row>
    <row r="145" spans="1:22" ht="19" customHeight="1">
      <c r="A145" t="s">
        <v>387</v>
      </c>
      <c r="B145" t="s">
        <v>171</v>
      </c>
      <c r="C145">
        <v>57.958621999999998</v>
      </c>
      <c r="D145" t="s">
        <v>275</v>
      </c>
      <c r="E145">
        <v>8.9710000000000001</v>
      </c>
      <c r="F145" s="3" t="s">
        <v>290</v>
      </c>
      <c r="G145">
        <v>1.2430000000000001</v>
      </c>
      <c r="H145" s="3" t="s">
        <v>283</v>
      </c>
      <c r="I145">
        <v>2</v>
      </c>
      <c r="K145">
        <v>428.02</v>
      </c>
      <c r="L145" t="s">
        <v>278</v>
      </c>
      <c r="M145">
        <v>100000</v>
      </c>
      <c r="N145">
        <v>0.21806</v>
      </c>
      <c r="O145">
        <v>0.21806</v>
      </c>
      <c r="P145" t="s">
        <v>70</v>
      </c>
      <c r="Q145">
        <f>-S145/2</f>
        <v>-4.319</v>
      </c>
      <c r="R145">
        <f>-S145/2</f>
        <v>-4.319</v>
      </c>
      <c r="S145" s="4">
        <v>8.6379999999999999</v>
      </c>
      <c r="T145" s="7" t="s">
        <v>354</v>
      </c>
    </row>
    <row r="146" spans="1:22" ht="19" customHeight="1">
      <c r="A146" t="s">
        <v>387</v>
      </c>
      <c r="B146" t="s">
        <v>172</v>
      </c>
      <c r="C146">
        <v>59.955672</v>
      </c>
      <c r="D146" t="s">
        <v>275</v>
      </c>
      <c r="E146">
        <v>8.9710000000000001</v>
      </c>
      <c r="F146" s="3" t="s">
        <v>290</v>
      </c>
      <c r="G146">
        <v>1.2430000000000001</v>
      </c>
      <c r="H146" s="3" t="s">
        <v>283</v>
      </c>
      <c r="I146">
        <v>2</v>
      </c>
      <c r="K146">
        <v>428.02</v>
      </c>
      <c r="L146" t="s">
        <v>278</v>
      </c>
      <c r="M146">
        <v>100000</v>
      </c>
      <c r="N146">
        <v>0.21806</v>
      </c>
      <c r="O146">
        <v>0.21806</v>
      </c>
      <c r="P146" t="s">
        <v>70</v>
      </c>
      <c r="Q146">
        <f>-S146/2</f>
        <v>-4.319</v>
      </c>
      <c r="R146">
        <f>-S146/2</f>
        <v>-4.319</v>
      </c>
      <c r="S146" s="4">
        <v>8.6379999999999999</v>
      </c>
      <c r="T146" s="7" t="s">
        <v>354</v>
      </c>
    </row>
    <row r="147" spans="1:22" ht="19" customHeight="1">
      <c r="A147" t="s">
        <v>388</v>
      </c>
      <c r="B147" t="s">
        <v>173</v>
      </c>
      <c r="C147">
        <v>41.988171999999999</v>
      </c>
      <c r="D147" t="s">
        <v>275</v>
      </c>
      <c r="E147">
        <v>8.1229999999999993</v>
      </c>
      <c r="F147" s="3" t="s">
        <v>290</v>
      </c>
      <c r="G147">
        <v>0.41599999999999998</v>
      </c>
      <c r="H147" s="3" t="s">
        <v>283</v>
      </c>
      <c r="I147">
        <v>2</v>
      </c>
      <c r="K147">
        <v>274.39</v>
      </c>
      <c r="L147" t="s">
        <v>278</v>
      </c>
      <c r="M147">
        <v>100000</v>
      </c>
      <c r="N147">
        <v>0.43690000000000001</v>
      </c>
      <c r="O147">
        <v>0.43690000000000001</v>
      </c>
      <c r="P147" t="s">
        <v>70</v>
      </c>
      <c r="Q147" s="7">
        <v>0.98499999999999999</v>
      </c>
      <c r="R147" s="7">
        <v>0.98499999999999999</v>
      </c>
      <c r="S147" s="7">
        <v>-1.9690000000000001</v>
      </c>
      <c r="T147" t="s">
        <v>343</v>
      </c>
    </row>
    <row r="148" spans="1:22" ht="19" customHeight="1">
      <c r="A148" t="s">
        <v>389</v>
      </c>
      <c r="B148" t="s">
        <v>174</v>
      </c>
      <c r="C148">
        <v>23.997593999999999</v>
      </c>
      <c r="D148" t="s">
        <v>275</v>
      </c>
      <c r="E148">
        <v>6.4</v>
      </c>
      <c r="F148" s="3" t="s">
        <v>290</v>
      </c>
      <c r="G148">
        <v>3.8959999999999999</v>
      </c>
      <c r="H148" s="3" t="s">
        <v>277</v>
      </c>
      <c r="I148">
        <v>2</v>
      </c>
      <c r="K148">
        <v>483</v>
      </c>
      <c r="L148" t="s">
        <v>278</v>
      </c>
      <c r="M148">
        <v>100000</v>
      </c>
      <c r="N148">
        <v>4.90327</v>
      </c>
      <c r="O148">
        <v>4.90327</v>
      </c>
      <c r="P148" t="s">
        <v>70</v>
      </c>
      <c r="Q148">
        <f>-S148/2</f>
        <v>3.6764999999999999</v>
      </c>
      <c r="R148">
        <f>-S148/2</f>
        <v>3.6764999999999999</v>
      </c>
      <c r="S148" s="4">
        <v>-7.3529999999999998</v>
      </c>
      <c r="T148" s="7" t="s">
        <v>364</v>
      </c>
    </row>
    <row r="149" spans="1:22" ht="19" customHeight="1">
      <c r="A149" t="s">
        <v>389</v>
      </c>
      <c r="B149" t="s">
        <v>175</v>
      </c>
      <c r="C149">
        <v>25.003871</v>
      </c>
      <c r="D149" t="s">
        <v>275</v>
      </c>
      <c r="E149">
        <v>6.4</v>
      </c>
      <c r="F149" s="3" t="s">
        <v>290</v>
      </c>
      <c r="G149">
        <v>3.8959999999999999</v>
      </c>
      <c r="H149" s="3" t="s">
        <v>277</v>
      </c>
      <c r="I149">
        <v>2</v>
      </c>
      <c r="K149">
        <v>483</v>
      </c>
      <c r="L149" t="s">
        <v>278</v>
      </c>
      <c r="M149">
        <v>100000</v>
      </c>
      <c r="N149">
        <v>2.5537700000000001</v>
      </c>
      <c r="O149">
        <v>2.5537700000000001</v>
      </c>
      <c r="P149" t="s">
        <v>279</v>
      </c>
      <c r="Q149">
        <f>-S149/2</f>
        <v>3.6764999999999999</v>
      </c>
      <c r="R149">
        <f>-S149/2</f>
        <v>3.6764999999999999</v>
      </c>
      <c r="S149" s="4">
        <v>-7.3529999999999998</v>
      </c>
      <c r="T149" s="7" t="s">
        <v>364</v>
      </c>
    </row>
    <row r="150" spans="1:22" ht="19" customHeight="1">
      <c r="A150" t="s">
        <v>412</v>
      </c>
      <c r="B150" t="s">
        <v>249</v>
      </c>
      <c r="C150">
        <v>38.984684000000001</v>
      </c>
      <c r="D150" t="s">
        <v>275</v>
      </c>
      <c r="E150">
        <v>8.0329999999999995</v>
      </c>
      <c r="F150" s="3" t="s">
        <v>310</v>
      </c>
      <c r="G150">
        <v>3.5870000000000002</v>
      </c>
      <c r="H150" s="3" t="s">
        <v>310</v>
      </c>
      <c r="I150">
        <v>2</v>
      </c>
      <c r="K150">
        <v>392</v>
      </c>
      <c r="L150" s="3" t="s">
        <v>311</v>
      </c>
      <c r="M150">
        <v>100000</v>
      </c>
      <c r="N150">
        <v>0.42463000000000001</v>
      </c>
      <c r="O150">
        <v>0.42463000000000001</v>
      </c>
      <c r="P150" s="3" t="s">
        <v>309</v>
      </c>
      <c r="Q150" s="7">
        <v>1.9319999999999999</v>
      </c>
      <c r="R150" s="7">
        <v>-1.0760000000000001</v>
      </c>
      <c r="S150" s="4">
        <v>-0.85599999999999998</v>
      </c>
      <c r="T150" s="7" t="s">
        <v>368</v>
      </c>
    </row>
    <row r="151" spans="1:22" ht="19" customHeight="1">
      <c r="A151" t="s">
        <v>406</v>
      </c>
      <c r="B151" t="s">
        <v>223</v>
      </c>
      <c r="C151">
        <v>39.992508999999998</v>
      </c>
      <c r="D151" t="s">
        <v>275</v>
      </c>
      <c r="E151">
        <v>6.8637100000000002</v>
      </c>
      <c r="F151" s="3" t="s">
        <v>293</v>
      </c>
      <c r="G151">
        <v>1.5189999999999999</v>
      </c>
      <c r="H151" s="3" t="s">
        <v>277</v>
      </c>
      <c r="I151">
        <v>2</v>
      </c>
      <c r="K151">
        <v>378.24</v>
      </c>
      <c r="L151" t="s">
        <v>278</v>
      </c>
      <c r="M151">
        <v>100000</v>
      </c>
      <c r="N151">
        <v>0.42670000000000002</v>
      </c>
      <c r="O151">
        <v>0.42670000000000002</v>
      </c>
      <c r="P151" t="s">
        <v>70</v>
      </c>
      <c r="Q151">
        <f>-S151/2</f>
        <v>-3.2269999999999999</v>
      </c>
      <c r="R151">
        <f>-S151/2</f>
        <v>-3.2269999999999999</v>
      </c>
      <c r="S151" s="4">
        <v>6.4539999999999997</v>
      </c>
      <c r="T151" s="7" t="s">
        <v>359</v>
      </c>
    </row>
    <row r="152" spans="1:22" ht="19" customHeight="1">
      <c r="A152" s="14" t="s">
        <v>453</v>
      </c>
      <c r="C152" s="19">
        <v>20.18</v>
      </c>
      <c r="D152" t="s">
        <v>275</v>
      </c>
      <c r="E152">
        <v>0</v>
      </c>
      <c r="F152" s="3" t="s">
        <v>474</v>
      </c>
      <c r="G152" s="19">
        <v>0.38100000000000001</v>
      </c>
      <c r="H152" s="3" t="s">
        <v>91</v>
      </c>
      <c r="I152">
        <v>6</v>
      </c>
      <c r="K152">
        <v>282</v>
      </c>
      <c r="L152" t="s">
        <v>91</v>
      </c>
      <c r="M152">
        <v>100000</v>
      </c>
      <c r="N152">
        <v>100000</v>
      </c>
      <c r="O152">
        <v>100000</v>
      </c>
      <c r="P152" t="s">
        <v>475</v>
      </c>
      <c r="Q152">
        <v>0</v>
      </c>
      <c r="R152">
        <v>0</v>
      </c>
      <c r="S152">
        <v>0</v>
      </c>
      <c r="T152" s="7" t="s">
        <v>475</v>
      </c>
      <c r="V152" t="str">
        <f>SUBSTITUTE(A152,"-","")</f>
        <v>Ne</v>
      </c>
    </row>
    <row r="153" spans="1:22" ht="19" customHeight="1">
      <c r="A153" t="s">
        <v>64</v>
      </c>
      <c r="B153" t="s">
        <v>64</v>
      </c>
      <c r="C153">
        <v>71.001909999999995</v>
      </c>
      <c r="D153" t="s">
        <v>87</v>
      </c>
      <c r="E153">
        <v>0.23499999999999999</v>
      </c>
      <c r="F153" t="s">
        <v>70</v>
      </c>
      <c r="G153">
        <v>2.81</v>
      </c>
      <c r="H153" t="s">
        <v>70</v>
      </c>
      <c r="I153">
        <v>2</v>
      </c>
      <c r="K153">
        <v>415.4</v>
      </c>
      <c r="L153" t="s">
        <v>91</v>
      </c>
      <c r="M153">
        <v>0.35627999999999999</v>
      </c>
      <c r="N153">
        <v>0.35627999999999999</v>
      </c>
      <c r="O153">
        <v>0.19492999999999999</v>
      </c>
      <c r="P153" t="s">
        <v>70</v>
      </c>
      <c r="Q153" s="7">
        <v>-2.8000000000000001E-2</v>
      </c>
      <c r="R153" s="7">
        <v>-3.1E-2</v>
      </c>
      <c r="S153" s="7">
        <v>5.8999999999999997E-2</v>
      </c>
      <c r="T153" s="7" t="s">
        <v>350</v>
      </c>
      <c r="U153">
        <v>3</v>
      </c>
    </row>
    <row r="154" spans="1:22" ht="19" customHeight="1">
      <c r="A154" t="s">
        <v>390</v>
      </c>
      <c r="B154" t="s">
        <v>176</v>
      </c>
      <c r="C154">
        <v>15.010899</v>
      </c>
      <c r="D154" t="s">
        <v>275</v>
      </c>
      <c r="E154">
        <v>1.8009999999999999</v>
      </c>
      <c r="F154" s="3" t="s">
        <v>283</v>
      </c>
      <c r="G154">
        <v>0.505</v>
      </c>
      <c r="H154" s="3" t="s">
        <v>283</v>
      </c>
      <c r="I154">
        <v>2</v>
      </c>
      <c r="K154">
        <v>316</v>
      </c>
      <c r="L154" t="s">
        <v>278</v>
      </c>
      <c r="M154">
        <v>100000</v>
      </c>
      <c r="N154">
        <v>16.667919999999999</v>
      </c>
      <c r="O154">
        <v>16.667919999999999</v>
      </c>
      <c r="P154" t="s">
        <v>70</v>
      </c>
      <c r="Q154">
        <f>-S154/2</f>
        <v>-0.2145</v>
      </c>
      <c r="R154">
        <f>-S154/2</f>
        <v>-0.2145</v>
      </c>
      <c r="S154" s="4">
        <v>0.42899999999999999</v>
      </c>
      <c r="T154" s="7" t="s">
        <v>357</v>
      </c>
    </row>
    <row r="155" spans="1:22" ht="20" customHeight="1">
      <c r="A155" t="s">
        <v>40</v>
      </c>
      <c r="B155" t="s">
        <v>40</v>
      </c>
      <c r="C155">
        <v>17.0305</v>
      </c>
      <c r="D155" t="s">
        <v>275</v>
      </c>
      <c r="E155">
        <v>1.4719</v>
      </c>
      <c r="F155" t="s">
        <v>69</v>
      </c>
      <c r="G155">
        <v>2.1030000000000002</v>
      </c>
      <c r="H155" t="s">
        <v>73</v>
      </c>
      <c r="I155">
        <v>2</v>
      </c>
      <c r="K155">
        <v>375</v>
      </c>
      <c r="L155" t="s">
        <v>120</v>
      </c>
      <c r="M155">
        <v>9.9466451554294899</v>
      </c>
      <c r="N155">
        <v>9.9466451554294899</v>
      </c>
      <c r="O155">
        <v>6.2275035618140802</v>
      </c>
      <c r="P155" t="s">
        <v>69</v>
      </c>
      <c r="Q155" s="7">
        <v>1.1599999999999999</v>
      </c>
      <c r="R155" s="7">
        <v>1.1599999999999999</v>
      </c>
      <c r="S155" s="7">
        <v>-2.3199999999999998</v>
      </c>
      <c r="T155" s="7" t="s">
        <v>343</v>
      </c>
      <c r="U155">
        <v>3</v>
      </c>
    </row>
    <row r="156" spans="1:22" ht="19" customHeight="1">
      <c r="A156" t="s">
        <v>411</v>
      </c>
      <c r="B156" t="s">
        <v>245</v>
      </c>
      <c r="C156">
        <v>58.943168</v>
      </c>
      <c r="D156" t="s">
        <v>275</v>
      </c>
      <c r="E156">
        <v>2.44</v>
      </c>
      <c r="F156" s="4" t="s">
        <v>304</v>
      </c>
      <c r="G156">
        <v>7.2539999999999996</v>
      </c>
      <c r="H156" s="3" t="s">
        <v>305</v>
      </c>
      <c r="I156">
        <v>2</v>
      </c>
      <c r="K156">
        <v>577</v>
      </c>
      <c r="L156" s="3" t="s">
        <v>303</v>
      </c>
      <c r="M156">
        <v>100000</v>
      </c>
      <c r="N156">
        <v>7.7</v>
      </c>
      <c r="O156">
        <v>7.7</v>
      </c>
      <c r="P156" s="3" t="s">
        <v>306</v>
      </c>
      <c r="Q156">
        <f>-S156/2</f>
        <v>1.244</v>
      </c>
      <c r="R156">
        <f>-S156/2</f>
        <v>1.244</v>
      </c>
      <c r="S156" s="4">
        <v>-2.488</v>
      </c>
      <c r="T156" s="7" t="s">
        <v>433</v>
      </c>
    </row>
    <row r="157" spans="1:22" ht="19" customHeight="1">
      <c r="A157" t="s">
        <v>41</v>
      </c>
      <c r="B157" t="s">
        <v>41</v>
      </c>
      <c r="C157">
        <v>30.0061</v>
      </c>
      <c r="D157" t="s">
        <v>275</v>
      </c>
      <c r="E157">
        <v>0.159</v>
      </c>
      <c r="F157" t="s">
        <v>70</v>
      </c>
      <c r="G157">
        <v>1.698</v>
      </c>
      <c r="H157" t="s">
        <v>70</v>
      </c>
      <c r="I157">
        <v>2</v>
      </c>
      <c r="K157">
        <v>317</v>
      </c>
      <c r="L157" t="s">
        <v>104</v>
      </c>
      <c r="M157">
        <v>100000</v>
      </c>
      <c r="N157">
        <v>1.6961420690576501</v>
      </c>
      <c r="O157">
        <v>1.6961420690576501</v>
      </c>
      <c r="P157" t="s">
        <v>69</v>
      </c>
      <c r="Q157" s="7">
        <v>-0.50800000000000001</v>
      </c>
      <c r="R157" s="7">
        <v>1.08</v>
      </c>
      <c r="S157" s="7">
        <v>-0.57199999999999995</v>
      </c>
      <c r="T157" s="7" t="s">
        <v>350</v>
      </c>
      <c r="U157">
        <v>4</v>
      </c>
    </row>
    <row r="158" spans="1:22" ht="19" customHeight="1">
      <c r="A158" t="s">
        <v>42</v>
      </c>
      <c r="B158" t="s">
        <v>42</v>
      </c>
      <c r="C158">
        <v>46.005499999999998</v>
      </c>
      <c r="D158" t="s">
        <v>275</v>
      </c>
      <c r="E158">
        <v>0.316</v>
      </c>
      <c r="F158" t="s">
        <v>69</v>
      </c>
      <c r="G158">
        <v>2.91</v>
      </c>
      <c r="H158" t="s">
        <v>73</v>
      </c>
      <c r="I158">
        <v>2</v>
      </c>
      <c r="K158">
        <v>346</v>
      </c>
      <c r="L158" t="s">
        <v>116</v>
      </c>
      <c r="M158">
        <v>8.0023360694417391</v>
      </c>
      <c r="N158">
        <v>0.43370003657663703</v>
      </c>
      <c r="O158">
        <v>0.41045061914132602</v>
      </c>
      <c r="P158" t="s">
        <v>69</v>
      </c>
      <c r="Q158" s="7">
        <v>1.857</v>
      </c>
      <c r="R158" s="7">
        <v>-2.6019999999999999</v>
      </c>
      <c r="S158" s="7">
        <v>0.746</v>
      </c>
      <c r="T158" s="7" t="s">
        <v>358</v>
      </c>
      <c r="U158">
        <v>2</v>
      </c>
    </row>
    <row r="159" spans="1:22" ht="19" customHeight="1">
      <c r="A159" t="s">
        <v>391</v>
      </c>
      <c r="B159" t="s">
        <v>177</v>
      </c>
      <c r="C159">
        <v>45.975144999999998</v>
      </c>
      <c r="D159" t="s">
        <v>275</v>
      </c>
      <c r="E159">
        <v>1.81</v>
      </c>
      <c r="F159" s="3" t="s">
        <v>286</v>
      </c>
      <c r="G159">
        <v>2.34</v>
      </c>
      <c r="H159" s="3" t="s">
        <v>277</v>
      </c>
      <c r="I159">
        <v>2</v>
      </c>
      <c r="K159">
        <v>391.20999999999992</v>
      </c>
      <c r="L159" t="s">
        <v>278</v>
      </c>
      <c r="M159">
        <v>100000</v>
      </c>
      <c r="N159">
        <v>0.76959999999999995</v>
      </c>
      <c r="O159">
        <v>0.76959999999999995</v>
      </c>
      <c r="P159" t="s">
        <v>70</v>
      </c>
      <c r="Q159" s="7">
        <v>2.2170000000000001</v>
      </c>
      <c r="R159" s="7">
        <v>-0.746</v>
      </c>
      <c r="S159" s="4">
        <v>-1.4710000000000001</v>
      </c>
      <c r="T159" s="7" t="s">
        <v>365</v>
      </c>
    </row>
    <row r="160" spans="1:22" ht="19" customHeight="1">
      <c r="A160" t="s">
        <v>391</v>
      </c>
      <c r="B160" t="s">
        <v>178</v>
      </c>
      <c r="C160">
        <v>46.974533000000001</v>
      </c>
      <c r="D160" t="s">
        <v>275</v>
      </c>
      <c r="E160">
        <v>1.81</v>
      </c>
      <c r="F160" s="3" t="s">
        <v>286</v>
      </c>
      <c r="G160">
        <v>2.34</v>
      </c>
      <c r="H160" s="3" t="s">
        <v>277</v>
      </c>
      <c r="I160">
        <v>2</v>
      </c>
      <c r="K160">
        <v>391.20999999999992</v>
      </c>
      <c r="L160" t="s">
        <v>278</v>
      </c>
      <c r="M160">
        <v>100000</v>
      </c>
      <c r="N160">
        <v>0.76959999999999995</v>
      </c>
      <c r="O160">
        <v>0.76959999999999995</v>
      </c>
      <c r="P160" t="s">
        <v>70</v>
      </c>
      <c r="Q160" s="7">
        <v>2.2170000000000001</v>
      </c>
      <c r="R160" s="7">
        <v>-0.746</v>
      </c>
      <c r="S160" s="4">
        <v>-1.4710000000000001</v>
      </c>
      <c r="T160" s="7" t="s">
        <v>365</v>
      </c>
    </row>
    <row r="161" spans="1:21" ht="19" customHeight="1">
      <c r="A161" t="s">
        <v>391</v>
      </c>
      <c r="B161" t="s">
        <v>179</v>
      </c>
      <c r="C161">
        <v>47.970941000000003</v>
      </c>
      <c r="D161" t="s">
        <v>275</v>
      </c>
      <c r="E161">
        <v>1.81</v>
      </c>
      <c r="F161" s="3" t="s">
        <v>286</v>
      </c>
      <c r="G161">
        <v>2.34</v>
      </c>
      <c r="H161" s="3" t="s">
        <v>277</v>
      </c>
      <c r="I161">
        <v>2</v>
      </c>
      <c r="K161">
        <v>391.20999999999992</v>
      </c>
      <c r="L161" t="s">
        <v>278</v>
      </c>
      <c r="M161">
        <v>100000</v>
      </c>
      <c r="N161">
        <v>0.76959999999999995</v>
      </c>
      <c r="O161">
        <v>0.76959999999999995</v>
      </c>
      <c r="P161" t="s">
        <v>70</v>
      </c>
      <c r="Q161" s="7">
        <v>2.2170000000000001</v>
      </c>
      <c r="R161" s="7">
        <v>-0.746</v>
      </c>
      <c r="S161" s="4">
        <v>-1.4710000000000001</v>
      </c>
      <c r="T161" s="7" t="s">
        <v>365</v>
      </c>
    </row>
    <row r="162" spans="1:21" ht="19" customHeight="1">
      <c r="A162" t="s">
        <v>391</v>
      </c>
      <c r="B162" t="s">
        <v>180</v>
      </c>
      <c r="C162">
        <v>49.970154999999998</v>
      </c>
      <c r="D162" t="s">
        <v>275</v>
      </c>
      <c r="E162">
        <v>1.81</v>
      </c>
      <c r="F162" s="3" t="s">
        <v>286</v>
      </c>
      <c r="G162">
        <v>2.34</v>
      </c>
      <c r="H162" s="3" t="s">
        <v>277</v>
      </c>
      <c r="I162">
        <v>2</v>
      </c>
      <c r="K162">
        <v>391.20999999999992</v>
      </c>
      <c r="L162" t="s">
        <v>278</v>
      </c>
      <c r="M162">
        <v>100000</v>
      </c>
      <c r="N162">
        <v>0.76959999999999995</v>
      </c>
      <c r="O162">
        <v>0.76959999999999995</v>
      </c>
      <c r="P162" t="s">
        <v>70</v>
      </c>
      <c r="Q162" s="7">
        <v>2.2170000000000001</v>
      </c>
      <c r="R162" s="7">
        <v>-0.746</v>
      </c>
      <c r="S162" s="4">
        <v>-1.4710000000000001</v>
      </c>
      <c r="T162" s="7" t="s">
        <v>365</v>
      </c>
    </row>
    <row r="163" spans="1:21" ht="19" customHeight="1">
      <c r="A163" t="s">
        <v>391</v>
      </c>
      <c r="B163" t="s">
        <v>181</v>
      </c>
      <c r="C163">
        <v>46.972180000000002</v>
      </c>
      <c r="D163" t="s">
        <v>275</v>
      </c>
      <c r="E163">
        <v>1.81</v>
      </c>
      <c r="F163" s="3" t="s">
        <v>286</v>
      </c>
      <c r="G163">
        <v>2.34</v>
      </c>
      <c r="H163" s="3" t="s">
        <v>277</v>
      </c>
      <c r="I163">
        <v>2</v>
      </c>
      <c r="K163">
        <v>391.20999999999992</v>
      </c>
      <c r="L163" t="s">
        <v>278</v>
      </c>
      <c r="M163">
        <v>100000</v>
      </c>
      <c r="N163">
        <v>0.76959999999999995</v>
      </c>
      <c r="O163">
        <v>0.76959999999999995</v>
      </c>
      <c r="P163" t="s">
        <v>70</v>
      </c>
      <c r="Q163" s="7">
        <v>2.2170000000000001</v>
      </c>
      <c r="R163" s="7">
        <v>-0.746</v>
      </c>
      <c r="S163" s="4">
        <v>-1.4710000000000001</v>
      </c>
      <c r="T163" s="7" t="s">
        <v>365</v>
      </c>
    </row>
    <row r="164" spans="1:21" ht="19" customHeight="1">
      <c r="A164" t="s">
        <v>43</v>
      </c>
      <c r="B164" t="s">
        <v>43</v>
      </c>
      <c r="C164">
        <v>31.998799999999999</v>
      </c>
      <c r="D164" t="s">
        <v>275</v>
      </c>
      <c r="E164">
        <v>0</v>
      </c>
      <c r="F164" t="s">
        <v>70</v>
      </c>
      <c r="G164">
        <v>1.5620000000000001</v>
      </c>
      <c r="H164" t="s">
        <v>70</v>
      </c>
      <c r="I164">
        <v>4</v>
      </c>
      <c r="K164">
        <v>346</v>
      </c>
      <c r="L164" t="s">
        <v>106</v>
      </c>
      <c r="M164">
        <v>100000</v>
      </c>
      <c r="N164">
        <v>1.43767</v>
      </c>
      <c r="O164">
        <v>1.43767</v>
      </c>
      <c r="P164" t="s">
        <v>71</v>
      </c>
      <c r="Q164" s="7">
        <v>0.155</v>
      </c>
      <c r="R164" s="7">
        <v>0.155</v>
      </c>
      <c r="S164" s="7">
        <v>-0.31</v>
      </c>
      <c r="T164" s="7" t="s">
        <v>343</v>
      </c>
      <c r="U164">
        <v>1</v>
      </c>
    </row>
    <row r="165" spans="1:21" ht="19" customHeight="1">
      <c r="A165" t="s">
        <v>44</v>
      </c>
      <c r="B165" t="s">
        <v>44</v>
      </c>
      <c r="C165">
        <v>47.998199999999997</v>
      </c>
      <c r="D165" t="s">
        <v>275</v>
      </c>
      <c r="E165">
        <v>0.53369999999999995</v>
      </c>
      <c r="F165" t="s">
        <v>69</v>
      </c>
      <c r="G165">
        <v>3.0790000000000002</v>
      </c>
      <c r="H165" t="s">
        <v>70</v>
      </c>
      <c r="I165">
        <v>2</v>
      </c>
      <c r="K165">
        <v>400</v>
      </c>
      <c r="L165" t="s">
        <v>110</v>
      </c>
      <c r="M165">
        <v>3.5536659164387601</v>
      </c>
      <c r="N165">
        <v>0.44528318320803101</v>
      </c>
      <c r="O165">
        <v>0.39475179192132898</v>
      </c>
      <c r="P165" t="s">
        <v>69</v>
      </c>
      <c r="Q165" s="7">
        <v>9.1999999999999993</v>
      </c>
      <c r="R165" s="7">
        <v>-17.100000000000001</v>
      </c>
      <c r="S165" s="7">
        <v>7.9</v>
      </c>
      <c r="T165" s="7" t="s">
        <v>343</v>
      </c>
      <c r="U165">
        <v>2</v>
      </c>
    </row>
    <row r="166" spans="1:21" ht="19" customHeight="1">
      <c r="A166" t="s">
        <v>45</v>
      </c>
      <c r="B166" t="s">
        <v>45</v>
      </c>
      <c r="C166">
        <v>60.075000000000003</v>
      </c>
      <c r="D166" t="s">
        <v>275</v>
      </c>
      <c r="E166">
        <v>0.71499999999999997</v>
      </c>
      <c r="F166" t="s">
        <v>69</v>
      </c>
      <c r="G166">
        <v>5.09</v>
      </c>
      <c r="H166" t="s">
        <v>73</v>
      </c>
      <c r="I166">
        <v>2</v>
      </c>
      <c r="K166">
        <v>413</v>
      </c>
      <c r="L166" t="s">
        <v>91</v>
      </c>
      <c r="M166">
        <v>100000</v>
      </c>
      <c r="N166">
        <v>0.20285674097911999</v>
      </c>
      <c r="O166">
        <v>0.20285674097911999</v>
      </c>
      <c r="P166" t="s">
        <v>69</v>
      </c>
      <c r="Q166" s="7">
        <v>0.29199999999999998</v>
      </c>
      <c r="R166" s="7">
        <v>0.29199999999999998</v>
      </c>
      <c r="S166" s="7">
        <v>-0.58399999999999996</v>
      </c>
      <c r="T166" s="7" t="s">
        <v>343</v>
      </c>
      <c r="U166">
        <v>4</v>
      </c>
    </row>
    <row r="167" spans="1:21" ht="19" customHeight="1">
      <c r="A167" t="s">
        <v>46</v>
      </c>
      <c r="B167" t="s">
        <v>46</v>
      </c>
      <c r="C167">
        <v>17.007300000000001</v>
      </c>
      <c r="D167" t="s">
        <v>275</v>
      </c>
      <c r="E167">
        <v>1.6552</v>
      </c>
      <c r="F167" t="s">
        <v>69</v>
      </c>
      <c r="G167">
        <v>1.1359999999999999</v>
      </c>
      <c r="H167" t="s">
        <v>439</v>
      </c>
      <c r="I167">
        <v>2</v>
      </c>
      <c r="K167">
        <v>336</v>
      </c>
      <c r="L167" t="s">
        <v>119</v>
      </c>
      <c r="M167">
        <v>100000</v>
      </c>
      <c r="N167">
        <v>18.5519677082737</v>
      </c>
      <c r="O167">
        <v>18.5519677082737</v>
      </c>
      <c r="P167" t="s">
        <v>69</v>
      </c>
      <c r="Q167" s="7">
        <v>-1.7629999999999999</v>
      </c>
      <c r="R167" s="7">
        <v>0.223</v>
      </c>
      <c r="S167" s="7">
        <v>1.54</v>
      </c>
      <c r="T167" s="7" t="s">
        <v>350</v>
      </c>
      <c r="U167">
        <v>4</v>
      </c>
    </row>
    <row r="168" spans="1:21" ht="19" customHeight="1">
      <c r="A168" t="s">
        <v>424</v>
      </c>
      <c r="B168" t="s">
        <v>228</v>
      </c>
      <c r="C168">
        <v>87.968970999999996</v>
      </c>
      <c r="D168" t="s">
        <v>275</v>
      </c>
      <c r="E168">
        <v>1.03</v>
      </c>
      <c r="F168" s="3" t="s">
        <v>286</v>
      </c>
      <c r="G168">
        <v>4.4139999999999997</v>
      </c>
      <c r="H168" s="3" t="s">
        <v>286</v>
      </c>
      <c r="I168">
        <v>2</v>
      </c>
      <c r="K168">
        <v>432</v>
      </c>
      <c r="L168" t="s">
        <v>278</v>
      </c>
      <c r="M168">
        <v>0.26400000000000001</v>
      </c>
      <c r="N168">
        <v>0.26400000000000001</v>
      </c>
      <c r="O168">
        <v>0.16600000000000001</v>
      </c>
      <c r="P168" s="3" t="s">
        <v>283</v>
      </c>
      <c r="Q168" s="7">
        <v>-12.05</v>
      </c>
      <c r="R168" s="7">
        <v>-12.05</v>
      </c>
      <c r="S168" s="7">
        <v>24.1</v>
      </c>
      <c r="T168" t="s">
        <v>343</v>
      </c>
    </row>
    <row r="169" spans="1:21" ht="19" customHeight="1">
      <c r="A169" t="s">
        <v>392</v>
      </c>
      <c r="B169" t="s">
        <v>182</v>
      </c>
      <c r="C169">
        <v>31.981587000000001</v>
      </c>
      <c r="D169" t="s">
        <v>275</v>
      </c>
      <c r="E169">
        <v>0.108</v>
      </c>
      <c r="F169" s="3" t="s">
        <v>286</v>
      </c>
      <c r="G169">
        <v>2.1480000000000001</v>
      </c>
      <c r="H169" s="3" t="s">
        <v>277</v>
      </c>
      <c r="I169">
        <v>2</v>
      </c>
      <c r="K169">
        <v>423</v>
      </c>
      <c r="L169" t="s">
        <v>278</v>
      </c>
      <c r="M169">
        <v>100000</v>
      </c>
      <c r="N169">
        <v>8.53904</v>
      </c>
      <c r="O169">
        <v>8.53904</v>
      </c>
      <c r="P169" t="s">
        <v>70</v>
      </c>
      <c r="Q169">
        <f>-S169/2</f>
        <v>-0.21249999999999999</v>
      </c>
      <c r="R169">
        <f>-S169/2</f>
        <v>-0.21249999999999999</v>
      </c>
      <c r="S169" s="4">
        <v>0.42499999999999999</v>
      </c>
      <c r="T169" s="7" t="s">
        <v>350</v>
      </c>
    </row>
    <row r="170" spans="1:21" ht="19" customHeight="1">
      <c r="A170" t="s">
        <v>47</v>
      </c>
      <c r="B170" t="s">
        <v>47</v>
      </c>
      <c r="C170">
        <v>33.997579999999999</v>
      </c>
      <c r="D170" t="s">
        <v>275</v>
      </c>
      <c r="E170">
        <v>0.57999999999999996</v>
      </c>
      <c r="F170" s="8" t="s">
        <v>70</v>
      </c>
      <c r="G170">
        <v>4.2370000000000001</v>
      </c>
      <c r="H170" t="s">
        <v>70</v>
      </c>
      <c r="I170">
        <v>2</v>
      </c>
      <c r="K170">
        <v>450</v>
      </c>
      <c r="L170" t="s">
        <v>93</v>
      </c>
      <c r="M170">
        <v>4.4523599999999997</v>
      </c>
      <c r="N170">
        <v>4.4523599999999997</v>
      </c>
      <c r="O170">
        <v>3.93</v>
      </c>
      <c r="P170" t="s">
        <v>70</v>
      </c>
      <c r="Q170" s="7">
        <v>1.05</v>
      </c>
      <c r="R170" s="7">
        <v>1.05</v>
      </c>
      <c r="S170" s="7">
        <v>-2.1</v>
      </c>
      <c r="T170" s="7" t="s">
        <v>343</v>
      </c>
    </row>
    <row r="171" spans="1:21" ht="19" customHeight="1">
      <c r="A171" t="s">
        <v>393</v>
      </c>
      <c r="B171" t="s">
        <v>183</v>
      </c>
      <c r="C171">
        <v>44.976835999999999</v>
      </c>
      <c r="D171" t="s">
        <v>275</v>
      </c>
      <c r="E171">
        <v>2.7509999999999999</v>
      </c>
      <c r="F171" s="3" t="s">
        <v>286</v>
      </c>
      <c r="G171">
        <v>2.363</v>
      </c>
      <c r="H171" s="3" t="s">
        <v>283</v>
      </c>
      <c r="I171">
        <v>2</v>
      </c>
      <c r="K171">
        <v>416.96500000000003</v>
      </c>
      <c r="L171" t="s">
        <v>278</v>
      </c>
      <c r="M171">
        <v>100000</v>
      </c>
      <c r="N171">
        <v>0.78647999999999996</v>
      </c>
      <c r="O171">
        <v>0.78647999999999996</v>
      </c>
      <c r="P171" t="s">
        <v>70</v>
      </c>
      <c r="Q171">
        <f>-S171/2</f>
        <v>1.266</v>
      </c>
      <c r="R171">
        <f>-S171/2</f>
        <v>1.266</v>
      </c>
      <c r="S171" s="4">
        <v>-2.532</v>
      </c>
      <c r="T171" s="7" t="s">
        <v>350</v>
      </c>
    </row>
    <row r="172" spans="1:21" ht="19" customHeight="1">
      <c r="A172" t="s">
        <v>393</v>
      </c>
      <c r="B172" t="s">
        <v>184</v>
      </c>
      <c r="C172">
        <v>45.973871000000003</v>
      </c>
      <c r="D172" t="s">
        <v>275</v>
      </c>
      <c r="E172">
        <v>2.7509999999999999</v>
      </c>
      <c r="F172" s="3" t="s">
        <v>286</v>
      </c>
      <c r="G172">
        <v>2.363</v>
      </c>
      <c r="H172" s="3" t="s">
        <v>283</v>
      </c>
      <c r="I172">
        <v>2</v>
      </c>
      <c r="K172">
        <v>416.96500000000003</v>
      </c>
      <c r="L172" t="s">
        <v>278</v>
      </c>
      <c r="M172">
        <v>100000</v>
      </c>
      <c r="N172">
        <v>0.78647999999999996</v>
      </c>
      <c r="O172">
        <v>0.78647999999999996</v>
      </c>
      <c r="P172" t="s">
        <v>70</v>
      </c>
      <c r="Q172">
        <f>-S172/2</f>
        <v>1.266</v>
      </c>
      <c r="R172">
        <f>-S172/2</f>
        <v>1.266</v>
      </c>
      <c r="S172" s="4">
        <v>-2.532</v>
      </c>
      <c r="T172" s="7" t="s">
        <v>350</v>
      </c>
    </row>
    <row r="173" spans="1:21" ht="19" customHeight="1">
      <c r="A173" t="s">
        <v>394</v>
      </c>
      <c r="B173" t="s">
        <v>185</v>
      </c>
      <c r="C173">
        <v>46.968677</v>
      </c>
      <c r="D173" t="s">
        <v>275</v>
      </c>
      <c r="E173">
        <v>1.88</v>
      </c>
      <c r="F173" s="3" t="s">
        <v>286</v>
      </c>
      <c r="G173">
        <v>2.6429999999999998</v>
      </c>
      <c r="H173" s="3" t="s">
        <v>277</v>
      </c>
      <c r="I173">
        <v>2</v>
      </c>
      <c r="K173">
        <v>409.01499999999999</v>
      </c>
      <c r="L173" t="s">
        <v>278</v>
      </c>
      <c r="M173">
        <v>100000</v>
      </c>
      <c r="N173">
        <v>0.73370000000000002</v>
      </c>
      <c r="O173">
        <v>0.73370000000000002</v>
      </c>
      <c r="P173" t="s">
        <v>70</v>
      </c>
      <c r="Q173" s="7">
        <v>3.137</v>
      </c>
      <c r="R173" s="7">
        <v>-1.077</v>
      </c>
      <c r="S173" s="4">
        <v>-2.06</v>
      </c>
      <c r="T173" s="7" t="s">
        <v>365</v>
      </c>
    </row>
    <row r="174" spans="1:21" ht="19" customHeight="1">
      <c r="A174" t="s">
        <v>395</v>
      </c>
      <c r="B174" t="s">
        <v>186</v>
      </c>
      <c r="C174">
        <v>62.945833</v>
      </c>
      <c r="D174" t="s">
        <v>275</v>
      </c>
      <c r="E174">
        <v>2.137</v>
      </c>
      <c r="F174" s="3" t="s">
        <v>291</v>
      </c>
      <c r="G174">
        <v>4.3339999999999996</v>
      </c>
      <c r="H174" s="3" t="s">
        <v>277</v>
      </c>
      <c r="I174">
        <v>2</v>
      </c>
      <c r="K174">
        <v>482.06999999999994</v>
      </c>
      <c r="L174" t="s">
        <v>278</v>
      </c>
      <c r="M174">
        <v>100000</v>
      </c>
      <c r="N174">
        <v>0.29672999999999999</v>
      </c>
      <c r="O174">
        <v>0.29672999999999999</v>
      </c>
      <c r="P174" t="s">
        <v>70</v>
      </c>
      <c r="Q174" s="7">
        <v>1.5649999999999999</v>
      </c>
      <c r="R174" s="7">
        <v>-2.6480000000000001</v>
      </c>
      <c r="S174" s="4">
        <v>1.083</v>
      </c>
      <c r="T174" s="7" t="s">
        <v>350</v>
      </c>
    </row>
    <row r="175" spans="1:21" ht="19" customHeight="1">
      <c r="A175" t="s">
        <v>430</v>
      </c>
      <c r="B175" t="s">
        <v>270</v>
      </c>
      <c r="C175">
        <v>63.944141999999999</v>
      </c>
      <c r="D175" t="s">
        <v>275</v>
      </c>
      <c r="E175">
        <v>0</v>
      </c>
      <c r="F175" s="3" t="s">
        <v>86</v>
      </c>
      <c r="G175">
        <v>6.2</v>
      </c>
      <c r="H175" s="3" t="s">
        <v>336</v>
      </c>
      <c r="I175">
        <v>4</v>
      </c>
      <c r="K175">
        <v>447</v>
      </c>
      <c r="L175" s="3" t="s">
        <v>340</v>
      </c>
      <c r="M175">
        <v>100000</v>
      </c>
      <c r="N175">
        <v>0.29547000000000001</v>
      </c>
      <c r="O175">
        <v>0.29547000000000001</v>
      </c>
      <c r="P175" s="3" t="s">
        <v>341</v>
      </c>
      <c r="Q175">
        <f>-S175/2</f>
        <v>-0.99099999999999999</v>
      </c>
      <c r="R175">
        <f>-S175/2</f>
        <v>-0.99099999999999999</v>
      </c>
      <c r="S175" s="4">
        <v>1.982</v>
      </c>
      <c r="T175" s="7" t="s">
        <v>350</v>
      </c>
    </row>
    <row r="176" spans="1:21" ht="19" customHeight="1">
      <c r="A176" t="s">
        <v>396</v>
      </c>
      <c r="B176" t="s">
        <v>187</v>
      </c>
      <c r="C176">
        <v>45.963732999999998</v>
      </c>
      <c r="D176" t="s">
        <v>275</v>
      </c>
      <c r="E176">
        <v>1.74</v>
      </c>
      <c r="F176" s="3" t="s">
        <v>286</v>
      </c>
      <c r="G176">
        <v>16.495000000000001</v>
      </c>
      <c r="H176" s="3" t="s">
        <v>277</v>
      </c>
      <c r="I176">
        <v>2</v>
      </c>
      <c r="K176">
        <v>626.67999999999995</v>
      </c>
      <c r="L176" t="s">
        <v>278</v>
      </c>
      <c r="M176">
        <v>100000</v>
      </c>
      <c r="N176">
        <v>5.4254300000000004</v>
      </c>
      <c r="O176">
        <v>5.4254300000000004</v>
      </c>
      <c r="P176" t="s">
        <v>70</v>
      </c>
      <c r="Q176">
        <f>-S176/2</f>
        <v>0.55349999999999999</v>
      </c>
      <c r="R176">
        <f>-S176/2</f>
        <v>0.55349999999999999</v>
      </c>
      <c r="S176" s="4">
        <v>-1.107</v>
      </c>
      <c r="T176" s="7" t="s">
        <v>359</v>
      </c>
    </row>
    <row r="177" spans="1:21" ht="19" customHeight="1">
      <c r="A177" t="s">
        <v>65</v>
      </c>
      <c r="B177" t="s">
        <v>65</v>
      </c>
      <c r="C177">
        <v>146.05539999999999</v>
      </c>
      <c r="D177" t="s">
        <v>87</v>
      </c>
      <c r="E177">
        <v>0</v>
      </c>
      <c r="F177" t="s">
        <v>86</v>
      </c>
      <c r="G177">
        <v>4.49</v>
      </c>
      <c r="H177" t="s">
        <v>70</v>
      </c>
      <c r="I177">
        <v>4</v>
      </c>
      <c r="K177">
        <v>512.79999999999995</v>
      </c>
      <c r="L177" t="s">
        <v>91</v>
      </c>
      <c r="M177">
        <v>9.1069999999999998E-2</v>
      </c>
      <c r="N177">
        <v>9.1069999999999998E-2</v>
      </c>
      <c r="O177">
        <v>9.1069999999999998E-2</v>
      </c>
      <c r="P177" t="s">
        <v>70</v>
      </c>
      <c r="Q177" s="7">
        <v>0</v>
      </c>
      <c r="R177" s="7">
        <v>0</v>
      </c>
      <c r="S177" s="7">
        <v>0</v>
      </c>
      <c r="T177" s="7" t="s">
        <v>351</v>
      </c>
      <c r="U177">
        <v>5</v>
      </c>
    </row>
    <row r="178" spans="1:21" ht="19" customHeight="1">
      <c r="A178" t="s">
        <v>399</v>
      </c>
      <c r="B178" t="s">
        <v>204</v>
      </c>
      <c r="C178">
        <v>32.979895999999997</v>
      </c>
      <c r="D178" t="s">
        <v>275</v>
      </c>
      <c r="E178">
        <v>0.7571</v>
      </c>
      <c r="F178" s="3" t="s">
        <v>290</v>
      </c>
      <c r="G178">
        <v>1.23</v>
      </c>
      <c r="H178" s="3" t="s">
        <v>277</v>
      </c>
      <c r="I178">
        <v>2</v>
      </c>
      <c r="K178">
        <v>398.30499999999995</v>
      </c>
      <c r="L178" t="s">
        <v>278</v>
      </c>
      <c r="M178">
        <v>100000</v>
      </c>
      <c r="N178">
        <v>9.6002500000000008</v>
      </c>
      <c r="O178">
        <v>9.6002500000000008</v>
      </c>
      <c r="P178" t="s">
        <v>70</v>
      </c>
      <c r="Q178" s="7">
        <v>-3.177</v>
      </c>
      <c r="R178" s="7">
        <v>0.85099999999999998</v>
      </c>
      <c r="S178" s="4">
        <v>2.3250000000000002</v>
      </c>
      <c r="T178" s="7" t="s">
        <v>366</v>
      </c>
    </row>
    <row r="179" spans="1:21" ht="19" customHeight="1">
      <c r="A179" t="s">
        <v>399</v>
      </c>
      <c r="B179" t="s">
        <v>205</v>
      </c>
      <c r="C179">
        <v>33.986173000000001</v>
      </c>
      <c r="D179" t="s">
        <v>275</v>
      </c>
      <c r="E179">
        <v>0.7571</v>
      </c>
      <c r="F179" s="3" t="s">
        <v>290</v>
      </c>
      <c r="G179">
        <v>1.23</v>
      </c>
      <c r="H179" s="3" t="s">
        <v>277</v>
      </c>
      <c r="I179">
        <v>2</v>
      </c>
      <c r="K179">
        <v>398.30499999999995</v>
      </c>
      <c r="L179" t="s">
        <v>278</v>
      </c>
      <c r="M179">
        <v>100000</v>
      </c>
      <c r="N179">
        <v>4.9456439999999997</v>
      </c>
      <c r="O179">
        <v>4.9456439999999997</v>
      </c>
      <c r="P179" t="s">
        <v>279</v>
      </c>
      <c r="Q179" s="7">
        <v>-3.177</v>
      </c>
      <c r="R179" s="7">
        <v>0.85099999999999998</v>
      </c>
      <c r="S179" s="4">
        <v>2.3250000000000002</v>
      </c>
      <c r="T179" s="7" t="s">
        <v>366</v>
      </c>
    </row>
    <row r="180" spans="1:21" ht="19" customHeight="1">
      <c r="A180" t="s">
        <v>399</v>
      </c>
      <c r="B180" t="s">
        <v>206</v>
      </c>
      <c r="C180">
        <v>33.979284</v>
      </c>
      <c r="D180" t="s">
        <v>275</v>
      </c>
      <c r="E180">
        <v>0.7571</v>
      </c>
      <c r="F180" s="3" t="s">
        <v>290</v>
      </c>
      <c r="G180">
        <v>1.23</v>
      </c>
      <c r="H180" s="3" t="s">
        <v>277</v>
      </c>
      <c r="I180">
        <v>2</v>
      </c>
      <c r="K180">
        <v>398.30499999999995</v>
      </c>
      <c r="L180" t="s">
        <v>278</v>
      </c>
      <c r="M180">
        <v>100000</v>
      </c>
      <c r="N180">
        <v>9.6002500000000008</v>
      </c>
      <c r="O180">
        <v>9.6002500000000008</v>
      </c>
      <c r="P180" t="s">
        <v>70</v>
      </c>
      <c r="Q180" s="7">
        <v>-3.177</v>
      </c>
      <c r="R180" s="7">
        <v>0.85099999999999998</v>
      </c>
      <c r="S180" s="4">
        <v>2.3250000000000002</v>
      </c>
      <c r="T180" s="7" t="s">
        <v>366</v>
      </c>
    </row>
    <row r="181" spans="1:21" ht="20" customHeight="1">
      <c r="A181" t="s">
        <v>399</v>
      </c>
      <c r="B181" t="s">
        <v>207</v>
      </c>
      <c r="C181">
        <v>34.975692000000002</v>
      </c>
      <c r="D181" t="s">
        <v>275</v>
      </c>
      <c r="E181">
        <v>0.7571</v>
      </c>
      <c r="F181" s="3" t="s">
        <v>290</v>
      </c>
      <c r="G181">
        <v>1.23</v>
      </c>
      <c r="H181" s="3" t="s">
        <v>277</v>
      </c>
      <c r="I181">
        <v>2</v>
      </c>
      <c r="K181">
        <v>398.30499999999995</v>
      </c>
      <c r="L181" t="s">
        <v>278</v>
      </c>
      <c r="M181">
        <v>100000</v>
      </c>
      <c r="N181">
        <v>9.6002500000000008</v>
      </c>
      <c r="O181">
        <v>9.6002500000000008</v>
      </c>
      <c r="P181" t="s">
        <v>70</v>
      </c>
      <c r="Q181" s="7">
        <v>-3.177</v>
      </c>
      <c r="R181" s="7">
        <v>0.85099999999999998</v>
      </c>
      <c r="S181" s="4">
        <v>2.3250000000000002</v>
      </c>
      <c r="T181" s="7" t="s">
        <v>366</v>
      </c>
    </row>
    <row r="182" spans="1:21" ht="19" customHeight="1">
      <c r="A182" t="s">
        <v>399</v>
      </c>
      <c r="B182" t="s">
        <v>208</v>
      </c>
      <c r="C182">
        <v>36.974905999999997</v>
      </c>
      <c r="D182" t="s">
        <v>275</v>
      </c>
      <c r="E182">
        <v>0.7571</v>
      </c>
      <c r="F182" s="3" t="s">
        <v>290</v>
      </c>
      <c r="G182">
        <v>1.23</v>
      </c>
      <c r="H182" s="3" t="s">
        <v>277</v>
      </c>
      <c r="I182">
        <v>2</v>
      </c>
      <c r="K182">
        <v>398.30499999999995</v>
      </c>
      <c r="L182" t="s">
        <v>278</v>
      </c>
      <c r="M182">
        <v>100000</v>
      </c>
      <c r="N182">
        <v>9.6002500000000008</v>
      </c>
      <c r="O182">
        <v>9.6002500000000008</v>
      </c>
      <c r="P182" t="s">
        <v>70</v>
      </c>
      <c r="Q182" s="7">
        <v>-3.177</v>
      </c>
      <c r="R182" s="7">
        <v>0.85099999999999998</v>
      </c>
      <c r="S182" s="4">
        <v>2.3250000000000002</v>
      </c>
      <c r="T182" s="7" t="s">
        <v>366</v>
      </c>
    </row>
    <row r="183" spans="1:21" ht="19" customHeight="1">
      <c r="A183" t="s">
        <v>397</v>
      </c>
      <c r="B183" t="s">
        <v>188</v>
      </c>
      <c r="C183">
        <v>28.984752</v>
      </c>
      <c r="D183" t="s">
        <v>275</v>
      </c>
      <c r="E183">
        <v>0.188</v>
      </c>
      <c r="F183" s="3" t="s">
        <v>291</v>
      </c>
      <c r="G183">
        <v>3.294</v>
      </c>
      <c r="H183" s="3" t="s">
        <v>277</v>
      </c>
      <c r="I183">
        <v>2</v>
      </c>
      <c r="K183">
        <v>418.87</v>
      </c>
      <c r="L183" t="s">
        <v>278</v>
      </c>
      <c r="M183">
        <v>100000</v>
      </c>
      <c r="N183">
        <v>7.5038999999999998</v>
      </c>
      <c r="O183">
        <v>7.5038999999999998</v>
      </c>
      <c r="P183" t="s">
        <v>70</v>
      </c>
      <c r="Q183" s="7">
        <v>-2.286</v>
      </c>
      <c r="R183" s="7">
        <v>4.5389999999999997</v>
      </c>
      <c r="S183" s="4">
        <v>-2.254</v>
      </c>
      <c r="T183" s="7" t="s">
        <v>350</v>
      </c>
    </row>
    <row r="184" spans="1:21" ht="19" customHeight="1">
      <c r="A184" t="s">
        <v>397</v>
      </c>
      <c r="B184" t="s">
        <v>189</v>
      </c>
      <c r="C184">
        <v>29.991028</v>
      </c>
      <c r="D184" t="s">
        <v>275</v>
      </c>
      <c r="E184">
        <v>0.188</v>
      </c>
      <c r="F184" s="3" t="s">
        <v>291</v>
      </c>
      <c r="G184">
        <v>3.294</v>
      </c>
      <c r="H184" s="3" t="s">
        <v>277</v>
      </c>
      <c r="I184">
        <v>2</v>
      </c>
      <c r="K184">
        <v>418.87</v>
      </c>
      <c r="L184" t="s">
        <v>278</v>
      </c>
      <c r="M184">
        <v>100000</v>
      </c>
      <c r="N184">
        <v>3.8813680000000002</v>
      </c>
      <c r="O184">
        <v>3.8813680000000002</v>
      </c>
      <c r="P184" t="s">
        <v>279</v>
      </c>
      <c r="Q184" s="7">
        <v>-2.286</v>
      </c>
      <c r="R184" s="7">
        <v>4.5389999999999997</v>
      </c>
      <c r="S184" s="4">
        <v>-2.254</v>
      </c>
      <c r="T184" s="7" t="s">
        <v>350</v>
      </c>
    </row>
    <row r="185" spans="1:21" ht="19" customHeight="1">
      <c r="A185" t="s">
        <v>397</v>
      </c>
      <c r="B185" t="s">
        <v>190</v>
      </c>
      <c r="C185">
        <v>29.98432</v>
      </c>
      <c r="D185" t="s">
        <v>275</v>
      </c>
      <c r="E185">
        <v>0.188</v>
      </c>
      <c r="F185" s="3" t="s">
        <v>291</v>
      </c>
      <c r="G185">
        <v>3.294</v>
      </c>
      <c r="H185" s="3" t="s">
        <v>277</v>
      </c>
      <c r="I185">
        <v>2</v>
      </c>
      <c r="K185">
        <v>418.87</v>
      </c>
      <c r="L185" t="s">
        <v>278</v>
      </c>
      <c r="M185">
        <v>100000</v>
      </c>
      <c r="N185">
        <v>7.5038999999999998</v>
      </c>
      <c r="O185">
        <v>7.5038999999999998</v>
      </c>
      <c r="P185" t="s">
        <v>70</v>
      </c>
      <c r="Q185" s="7">
        <v>-2.286</v>
      </c>
      <c r="R185" s="7">
        <v>4.5389999999999997</v>
      </c>
      <c r="S185" s="4">
        <v>-2.254</v>
      </c>
      <c r="T185" s="7" t="s">
        <v>350</v>
      </c>
    </row>
    <row r="186" spans="1:21" ht="19" customHeight="1">
      <c r="A186" t="s">
        <v>397</v>
      </c>
      <c r="B186" t="s">
        <v>191</v>
      </c>
      <c r="C186">
        <v>30.981594999999999</v>
      </c>
      <c r="D186" t="s">
        <v>275</v>
      </c>
      <c r="E186">
        <v>0.188</v>
      </c>
      <c r="F186" s="3" t="s">
        <v>291</v>
      </c>
      <c r="G186">
        <v>3.294</v>
      </c>
      <c r="H186" s="3" t="s">
        <v>277</v>
      </c>
      <c r="I186">
        <v>2</v>
      </c>
      <c r="K186">
        <v>418.87</v>
      </c>
      <c r="L186" t="s">
        <v>278</v>
      </c>
      <c r="M186">
        <v>100000</v>
      </c>
      <c r="N186">
        <v>7.5038999999999998</v>
      </c>
      <c r="O186">
        <v>7.5038999999999998</v>
      </c>
      <c r="P186" t="s">
        <v>70</v>
      </c>
      <c r="Q186" s="7">
        <v>-2.286</v>
      </c>
      <c r="R186" s="7">
        <v>4.5389999999999997</v>
      </c>
      <c r="S186" s="4">
        <v>-2.254</v>
      </c>
      <c r="T186" s="7" t="s">
        <v>350</v>
      </c>
    </row>
    <row r="187" spans="1:21" ht="19" customHeight="1">
      <c r="A187" t="s">
        <v>420</v>
      </c>
      <c r="B187" t="s">
        <v>224</v>
      </c>
      <c r="C187">
        <v>29.992577000000001</v>
      </c>
      <c r="D187" t="s">
        <v>275</v>
      </c>
      <c r="E187">
        <v>0.13600000000000001</v>
      </c>
      <c r="F187" s="3" t="s">
        <v>294</v>
      </c>
      <c r="G187">
        <v>5.5890000000000004</v>
      </c>
      <c r="H187" s="3" t="s">
        <v>295</v>
      </c>
      <c r="I187">
        <v>2</v>
      </c>
      <c r="K187">
        <v>423.67999999999995</v>
      </c>
      <c r="L187" t="s">
        <v>278</v>
      </c>
      <c r="M187">
        <v>8.0989799999999992</v>
      </c>
      <c r="N187">
        <v>7.0236299999999998</v>
      </c>
      <c r="O187">
        <v>3.7025700000000001</v>
      </c>
      <c r="P187" t="s">
        <v>70</v>
      </c>
      <c r="Q187" s="7">
        <v>4.7939999999999996</v>
      </c>
      <c r="R187" s="7">
        <v>-0.874</v>
      </c>
      <c r="S187" s="4">
        <v>-3.9209999999999998</v>
      </c>
      <c r="T187" s="7" t="s">
        <v>359</v>
      </c>
    </row>
    <row r="188" spans="1:21" ht="19" customHeight="1">
      <c r="A188" t="s">
        <v>425</v>
      </c>
      <c r="B188" t="s">
        <v>244</v>
      </c>
      <c r="C188">
        <v>32.008226999999998</v>
      </c>
      <c r="D188" t="s">
        <v>275</v>
      </c>
      <c r="E188">
        <v>0</v>
      </c>
      <c r="F188" s="3" t="s">
        <v>86</v>
      </c>
      <c r="G188">
        <v>4.7770000000000001</v>
      </c>
      <c r="H188" s="3" t="s">
        <v>286</v>
      </c>
      <c r="I188">
        <v>6</v>
      </c>
      <c r="K188">
        <v>408</v>
      </c>
      <c r="L188" s="3" t="s">
        <v>91</v>
      </c>
      <c r="M188">
        <v>2.8650899999999999</v>
      </c>
      <c r="N188">
        <v>2.8650899999999999</v>
      </c>
      <c r="O188">
        <v>2.8650899999999999</v>
      </c>
      <c r="P188" s="3" t="s">
        <v>286</v>
      </c>
      <c r="Q188">
        <f t="shared" ref="Q188:Q210" si="10">-S188/2</f>
        <v>0</v>
      </c>
      <c r="R188">
        <f t="shared" ref="R188:R210" si="11">-S188/2</f>
        <v>0</v>
      </c>
      <c r="S188">
        <v>0</v>
      </c>
      <c r="T188" s="7" t="s">
        <v>351</v>
      </c>
    </row>
    <row r="189" spans="1:21" ht="19" customHeight="1">
      <c r="A189" t="s">
        <v>415</v>
      </c>
      <c r="B189" t="s">
        <v>254</v>
      </c>
      <c r="C189">
        <v>41.980001000000001</v>
      </c>
      <c r="D189" t="s">
        <v>275</v>
      </c>
      <c r="E189">
        <v>2.7719999999999998</v>
      </c>
      <c r="F189" s="3" t="s">
        <v>310</v>
      </c>
      <c r="G189">
        <v>7.351</v>
      </c>
      <c r="H189" s="3" t="s">
        <v>310</v>
      </c>
      <c r="I189">
        <v>2</v>
      </c>
      <c r="K189">
        <v>459.78999999999996</v>
      </c>
      <c r="L189" s="3" t="s">
        <v>320</v>
      </c>
      <c r="M189">
        <v>100000</v>
      </c>
      <c r="N189">
        <v>0.73109999999999997</v>
      </c>
      <c r="O189">
        <v>0.73109999999999997</v>
      </c>
      <c r="P189" s="3" t="s">
        <v>309</v>
      </c>
      <c r="Q189">
        <f t="shared" si="10"/>
        <v>7.0499999999999993E-2</v>
      </c>
      <c r="R189">
        <f t="shared" si="11"/>
        <v>7.0499999999999993E-2</v>
      </c>
      <c r="S189" s="4">
        <v>-0.14099999999999999</v>
      </c>
      <c r="T189" s="7" t="s">
        <v>365</v>
      </c>
    </row>
    <row r="190" spans="1:21" ht="19" customHeight="1">
      <c r="A190" t="s">
        <v>415</v>
      </c>
      <c r="B190" t="s">
        <v>255</v>
      </c>
      <c r="C190">
        <v>42.977035000000001</v>
      </c>
      <c r="D190" t="s">
        <v>275</v>
      </c>
      <c r="E190">
        <v>2.7719999999999998</v>
      </c>
      <c r="F190" s="3" t="s">
        <v>310</v>
      </c>
      <c r="G190">
        <v>7.351</v>
      </c>
      <c r="H190" s="3" t="s">
        <v>310</v>
      </c>
      <c r="I190">
        <v>2</v>
      </c>
      <c r="K190">
        <v>459.78999999999996</v>
      </c>
      <c r="L190" s="3" t="s">
        <v>320</v>
      </c>
      <c r="M190">
        <v>100000</v>
      </c>
      <c r="N190">
        <v>0.73109999999999997</v>
      </c>
      <c r="O190">
        <v>0.73109999999999997</v>
      </c>
      <c r="P190" s="3" t="s">
        <v>309</v>
      </c>
      <c r="Q190">
        <f t="shared" si="10"/>
        <v>7.0499999999999993E-2</v>
      </c>
      <c r="R190">
        <f t="shared" si="11"/>
        <v>7.0499999999999993E-2</v>
      </c>
      <c r="S190" s="4">
        <v>-0.14099999999999999</v>
      </c>
      <c r="T190" s="7" t="s">
        <v>365</v>
      </c>
    </row>
    <row r="191" spans="1:21" ht="19" customHeight="1">
      <c r="A191" t="s">
        <v>415</v>
      </c>
      <c r="B191" t="s">
        <v>256</v>
      </c>
      <c r="C191">
        <v>42.979568999999998</v>
      </c>
      <c r="D191" t="s">
        <v>275</v>
      </c>
      <c r="E191">
        <v>2.7719999999999998</v>
      </c>
      <c r="F191" s="3" t="s">
        <v>310</v>
      </c>
      <c r="G191">
        <v>7.351</v>
      </c>
      <c r="H191" s="3" t="s">
        <v>310</v>
      </c>
      <c r="I191">
        <v>2</v>
      </c>
      <c r="K191">
        <v>459.78999999999996</v>
      </c>
      <c r="L191" s="3" t="s">
        <v>320</v>
      </c>
      <c r="M191">
        <v>100000</v>
      </c>
      <c r="N191">
        <v>0.73109999999999997</v>
      </c>
      <c r="O191">
        <v>0.73109999999999997</v>
      </c>
      <c r="P191" s="3" t="s">
        <v>309</v>
      </c>
      <c r="Q191">
        <f t="shared" si="10"/>
        <v>7.0499999999999993E-2</v>
      </c>
      <c r="R191">
        <f t="shared" si="11"/>
        <v>7.0499999999999993E-2</v>
      </c>
      <c r="S191" s="4">
        <v>-0.14099999999999999</v>
      </c>
      <c r="T191" s="7" t="s">
        <v>365</v>
      </c>
    </row>
    <row r="192" spans="1:21" ht="19" customHeight="1">
      <c r="A192" t="s">
        <v>415</v>
      </c>
      <c r="B192" t="s">
        <v>257</v>
      </c>
      <c r="C192">
        <v>43.976844</v>
      </c>
      <c r="D192" t="s">
        <v>275</v>
      </c>
      <c r="E192">
        <v>2.7719999999999998</v>
      </c>
      <c r="F192" s="3" t="s">
        <v>310</v>
      </c>
      <c r="G192">
        <v>7.351</v>
      </c>
      <c r="H192" s="3" t="s">
        <v>310</v>
      </c>
      <c r="I192">
        <v>2</v>
      </c>
      <c r="K192">
        <v>459.78999999999996</v>
      </c>
      <c r="L192" s="3" t="s">
        <v>320</v>
      </c>
      <c r="M192">
        <v>100000</v>
      </c>
      <c r="N192">
        <v>0.73109999999999997</v>
      </c>
      <c r="O192">
        <v>0.73109999999999997</v>
      </c>
      <c r="P192" s="3" t="s">
        <v>309</v>
      </c>
      <c r="Q192">
        <f t="shared" si="10"/>
        <v>7.0499999999999993E-2</v>
      </c>
      <c r="R192">
        <f t="shared" si="11"/>
        <v>7.0499999999999993E-2</v>
      </c>
      <c r="S192" s="4">
        <v>-0.14099999999999999</v>
      </c>
      <c r="T192" s="7" t="s">
        <v>365</v>
      </c>
    </row>
    <row r="193" spans="1:20" ht="19" customHeight="1">
      <c r="A193" t="s">
        <v>400</v>
      </c>
      <c r="B193" t="s">
        <v>209</v>
      </c>
      <c r="C193">
        <v>43.971840999999998</v>
      </c>
      <c r="D193" t="s">
        <v>275</v>
      </c>
      <c r="E193">
        <v>3.0880000000000001</v>
      </c>
      <c r="F193" s="3" t="s">
        <v>290</v>
      </c>
      <c r="G193">
        <v>3.3719999999999999</v>
      </c>
      <c r="H193" s="3" t="s">
        <v>277</v>
      </c>
      <c r="I193">
        <v>2</v>
      </c>
      <c r="K193">
        <v>431.29999999999995</v>
      </c>
      <c r="L193" t="s">
        <v>278</v>
      </c>
      <c r="M193">
        <v>100000</v>
      </c>
      <c r="N193">
        <v>0.72675000000000001</v>
      </c>
      <c r="O193">
        <v>0.72675000000000001</v>
      </c>
      <c r="P193" t="s">
        <v>70</v>
      </c>
      <c r="Q193">
        <f t="shared" si="10"/>
        <v>2.1084999999999998</v>
      </c>
      <c r="R193">
        <f t="shared" si="11"/>
        <v>2.1084999999999998</v>
      </c>
      <c r="S193" s="4">
        <v>-4.2169999999999996</v>
      </c>
      <c r="T193" s="7" t="s">
        <v>350</v>
      </c>
    </row>
    <row r="194" spans="1:20" ht="19" customHeight="1">
      <c r="A194" t="s">
        <v>400</v>
      </c>
      <c r="B194" t="s">
        <v>210</v>
      </c>
      <c r="C194">
        <v>44.976058000000002</v>
      </c>
      <c r="D194" t="s">
        <v>275</v>
      </c>
      <c r="E194">
        <v>3.0880000000000001</v>
      </c>
      <c r="F194" s="3" t="s">
        <v>290</v>
      </c>
      <c r="G194">
        <v>3.3719999999999999</v>
      </c>
      <c r="H194" s="3" t="s">
        <v>277</v>
      </c>
      <c r="I194">
        <v>2</v>
      </c>
      <c r="K194">
        <v>431.29999999999995</v>
      </c>
      <c r="L194" t="s">
        <v>278</v>
      </c>
      <c r="M194">
        <v>100000</v>
      </c>
      <c r="N194">
        <v>0.72675000000000001</v>
      </c>
      <c r="O194">
        <v>0.72675000000000001</v>
      </c>
      <c r="P194" t="s">
        <v>70</v>
      </c>
      <c r="Q194">
        <f t="shared" si="10"/>
        <v>2.1084999999999998</v>
      </c>
      <c r="R194">
        <f t="shared" si="11"/>
        <v>2.1084999999999998</v>
      </c>
      <c r="S194" s="4">
        <v>-4.2169999999999996</v>
      </c>
      <c r="T194" s="7" t="s">
        <v>350</v>
      </c>
    </row>
    <row r="195" spans="1:20" ht="20" customHeight="1">
      <c r="A195" t="s">
        <v>400</v>
      </c>
      <c r="B195" t="s">
        <v>211</v>
      </c>
      <c r="C195">
        <v>45.976086000000002</v>
      </c>
      <c r="D195" t="s">
        <v>275</v>
      </c>
      <c r="E195">
        <v>3.0880000000000001</v>
      </c>
      <c r="F195" s="3" t="s">
        <v>290</v>
      </c>
      <c r="G195">
        <v>3.3719999999999999</v>
      </c>
      <c r="H195" s="3" t="s">
        <v>277</v>
      </c>
      <c r="I195">
        <v>2</v>
      </c>
      <c r="K195">
        <v>431.29999999999995</v>
      </c>
      <c r="L195" t="s">
        <v>278</v>
      </c>
      <c r="M195">
        <v>100000</v>
      </c>
      <c r="N195">
        <v>0.72675000000000001</v>
      </c>
      <c r="O195">
        <v>0.72675000000000001</v>
      </c>
      <c r="P195" t="s">
        <v>70</v>
      </c>
      <c r="Q195">
        <f t="shared" si="10"/>
        <v>2.1084999999999998</v>
      </c>
      <c r="R195">
        <f t="shared" si="11"/>
        <v>2.1084999999999998</v>
      </c>
      <c r="S195" s="4">
        <v>-4.2169999999999996</v>
      </c>
      <c r="T195" s="7" t="s">
        <v>350</v>
      </c>
    </row>
    <row r="196" spans="1:20" ht="18" customHeight="1">
      <c r="A196" t="s">
        <v>400</v>
      </c>
      <c r="B196" t="s">
        <v>212</v>
      </c>
      <c r="C196">
        <v>44.971409000000001</v>
      </c>
      <c r="D196" t="s">
        <v>275</v>
      </c>
      <c r="E196">
        <v>3.0880000000000001</v>
      </c>
      <c r="F196" s="3" t="s">
        <v>290</v>
      </c>
      <c r="G196">
        <v>3.3719999999999999</v>
      </c>
      <c r="H196" s="3" t="s">
        <v>277</v>
      </c>
      <c r="I196">
        <v>2</v>
      </c>
      <c r="K196">
        <v>431.29999999999995</v>
      </c>
      <c r="L196" t="s">
        <v>278</v>
      </c>
      <c r="M196">
        <v>100000</v>
      </c>
      <c r="N196">
        <v>0.72675000000000001</v>
      </c>
      <c r="O196">
        <v>0.72675000000000001</v>
      </c>
      <c r="P196" t="s">
        <v>70</v>
      </c>
      <c r="Q196">
        <f t="shared" si="10"/>
        <v>2.1084999999999998</v>
      </c>
      <c r="R196">
        <f t="shared" si="11"/>
        <v>2.1084999999999998</v>
      </c>
      <c r="S196" s="4">
        <v>-4.2169999999999996</v>
      </c>
      <c r="T196" s="7" t="s">
        <v>350</v>
      </c>
    </row>
    <row r="197" spans="1:20" ht="18" customHeight="1">
      <c r="A197" t="s">
        <v>400</v>
      </c>
      <c r="B197" t="s">
        <v>213</v>
      </c>
      <c r="C197">
        <v>45.968685000000001</v>
      </c>
      <c r="D197" t="s">
        <v>275</v>
      </c>
      <c r="E197">
        <v>3.0880000000000001</v>
      </c>
      <c r="F197" s="3" t="s">
        <v>290</v>
      </c>
      <c r="G197">
        <v>3.3719999999999999</v>
      </c>
      <c r="H197" s="3" t="s">
        <v>277</v>
      </c>
      <c r="I197">
        <v>2</v>
      </c>
      <c r="K197">
        <v>431.29999999999995</v>
      </c>
      <c r="L197" t="s">
        <v>278</v>
      </c>
      <c r="M197">
        <v>100000</v>
      </c>
      <c r="N197">
        <v>0.72675000000000001</v>
      </c>
      <c r="O197">
        <v>0.72675000000000001</v>
      </c>
      <c r="P197" t="s">
        <v>70</v>
      </c>
      <c r="Q197">
        <f t="shared" si="10"/>
        <v>2.1084999999999998</v>
      </c>
      <c r="R197">
        <f t="shared" si="11"/>
        <v>2.1084999999999998</v>
      </c>
      <c r="S197" s="4">
        <v>-4.2169999999999996</v>
      </c>
      <c r="T197" s="7" t="s">
        <v>350</v>
      </c>
    </row>
    <row r="198" spans="1:20" ht="19" customHeight="1">
      <c r="A198" t="s">
        <v>421</v>
      </c>
      <c r="B198" t="s">
        <v>225</v>
      </c>
      <c r="C198">
        <v>59.966755999999997</v>
      </c>
      <c r="D198" t="s">
        <v>275</v>
      </c>
      <c r="E198">
        <v>0</v>
      </c>
      <c r="F198" s="3" t="s">
        <v>86</v>
      </c>
      <c r="G198">
        <v>3.1970000000000001</v>
      </c>
      <c r="H198" s="3" t="s">
        <v>296</v>
      </c>
      <c r="I198">
        <v>4</v>
      </c>
      <c r="K198">
        <v>436.76</v>
      </c>
      <c r="L198" t="s">
        <v>278</v>
      </c>
      <c r="M198">
        <v>100000</v>
      </c>
      <c r="N198">
        <v>0.218</v>
      </c>
      <c r="O198">
        <v>0.218</v>
      </c>
      <c r="P198" s="3" t="s">
        <v>296</v>
      </c>
      <c r="Q198">
        <f t="shared" si="10"/>
        <v>6.0054999999999996</v>
      </c>
      <c r="R198">
        <f t="shared" si="11"/>
        <v>6.0054999999999996</v>
      </c>
      <c r="S198" s="4">
        <v>-12.010999999999999</v>
      </c>
      <c r="T198" s="7" t="s">
        <v>359</v>
      </c>
    </row>
    <row r="199" spans="1:20" ht="18" customHeight="1">
      <c r="A199" t="s">
        <v>398</v>
      </c>
      <c r="B199" t="s">
        <v>192</v>
      </c>
      <c r="C199">
        <v>59.948998000000003</v>
      </c>
      <c r="D199" t="s">
        <v>275</v>
      </c>
      <c r="E199">
        <v>1.73</v>
      </c>
      <c r="F199" s="3" t="s">
        <v>290</v>
      </c>
      <c r="G199">
        <v>5.3040000000000003</v>
      </c>
      <c r="H199" s="3" t="s">
        <v>277</v>
      </c>
      <c r="I199">
        <v>2</v>
      </c>
      <c r="K199">
        <v>499</v>
      </c>
      <c r="L199" t="s">
        <v>278</v>
      </c>
      <c r="M199">
        <v>100000</v>
      </c>
      <c r="N199">
        <v>0.30353000000000002</v>
      </c>
      <c r="O199">
        <v>0.30353000000000002</v>
      </c>
      <c r="P199" t="s">
        <v>70</v>
      </c>
      <c r="Q199">
        <f t="shared" si="10"/>
        <v>0.1825</v>
      </c>
      <c r="R199">
        <f t="shared" si="11"/>
        <v>0.1825</v>
      </c>
      <c r="S199" s="4">
        <v>-0.36499999999999999</v>
      </c>
      <c r="T199" s="7" t="s">
        <v>350</v>
      </c>
    </row>
    <row r="200" spans="1:20" ht="17" customHeight="1">
      <c r="A200" t="s">
        <v>398</v>
      </c>
      <c r="B200" t="s">
        <v>193</v>
      </c>
      <c r="C200">
        <v>60.948385000000002</v>
      </c>
      <c r="D200" t="s">
        <v>275</v>
      </c>
      <c r="E200">
        <v>1.73</v>
      </c>
      <c r="F200" s="3" t="s">
        <v>290</v>
      </c>
      <c r="G200">
        <v>5.3040000000000003</v>
      </c>
      <c r="H200" s="3" t="s">
        <v>277</v>
      </c>
      <c r="I200">
        <v>2</v>
      </c>
      <c r="K200">
        <v>499</v>
      </c>
      <c r="L200" t="s">
        <v>278</v>
      </c>
      <c r="M200">
        <v>100000</v>
      </c>
      <c r="N200">
        <v>0.30353000000000002</v>
      </c>
      <c r="O200">
        <v>0.30353000000000002</v>
      </c>
      <c r="P200" t="s">
        <v>70</v>
      </c>
      <c r="Q200">
        <f t="shared" si="10"/>
        <v>0.1825</v>
      </c>
      <c r="R200">
        <f t="shared" si="11"/>
        <v>0.1825</v>
      </c>
      <c r="S200" s="4">
        <v>-0.36499999999999999</v>
      </c>
      <c r="T200" s="7" t="s">
        <v>350</v>
      </c>
    </row>
    <row r="201" spans="1:20" ht="17" customHeight="1">
      <c r="A201" t="s">
        <v>398</v>
      </c>
      <c r="B201" t="s">
        <v>194</v>
      </c>
      <c r="C201">
        <v>61.944794000000002</v>
      </c>
      <c r="D201" t="s">
        <v>275</v>
      </c>
      <c r="E201">
        <v>1.73</v>
      </c>
      <c r="F201" s="3" t="s">
        <v>290</v>
      </c>
      <c r="G201">
        <v>5.3040000000000003</v>
      </c>
      <c r="H201" s="3" t="s">
        <v>277</v>
      </c>
      <c r="I201">
        <v>2</v>
      </c>
      <c r="K201">
        <v>499</v>
      </c>
      <c r="L201" t="s">
        <v>278</v>
      </c>
      <c r="M201">
        <v>100000</v>
      </c>
      <c r="N201">
        <v>0.30353000000000002</v>
      </c>
      <c r="O201">
        <v>0.30353000000000002</v>
      </c>
      <c r="P201" t="s">
        <v>70</v>
      </c>
      <c r="Q201">
        <f t="shared" si="10"/>
        <v>0.1825</v>
      </c>
      <c r="R201">
        <f t="shared" si="11"/>
        <v>0.1825</v>
      </c>
      <c r="S201" s="4">
        <v>-0.36499999999999999</v>
      </c>
      <c r="T201" s="7" t="s">
        <v>350</v>
      </c>
    </row>
    <row r="202" spans="1:20" ht="17" customHeight="1">
      <c r="A202" t="s">
        <v>398</v>
      </c>
      <c r="B202" t="s">
        <v>195</v>
      </c>
      <c r="C202">
        <v>63.944006999999999</v>
      </c>
      <c r="D202" t="s">
        <v>275</v>
      </c>
      <c r="E202">
        <v>1.73</v>
      </c>
      <c r="F202" s="3" t="s">
        <v>290</v>
      </c>
      <c r="G202">
        <v>5.3040000000000003</v>
      </c>
      <c r="H202" s="3" t="s">
        <v>277</v>
      </c>
      <c r="I202">
        <v>2</v>
      </c>
      <c r="K202">
        <v>499</v>
      </c>
      <c r="L202" t="s">
        <v>278</v>
      </c>
      <c r="M202">
        <v>100000</v>
      </c>
      <c r="N202">
        <v>0.30353000000000002</v>
      </c>
      <c r="O202">
        <v>0.30353000000000002</v>
      </c>
      <c r="P202" t="s">
        <v>70</v>
      </c>
      <c r="Q202">
        <f t="shared" si="10"/>
        <v>0.1825</v>
      </c>
      <c r="R202">
        <f t="shared" si="11"/>
        <v>0.1825</v>
      </c>
      <c r="S202" s="4">
        <v>-0.36499999999999999</v>
      </c>
      <c r="T202" s="7" t="s">
        <v>350</v>
      </c>
    </row>
    <row r="203" spans="1:20" ht="17" customHeight="1">
      <c r="A203" t="s">
        <v>398</v>
      </c>
      <c r="B203" t="s">
        <v>196</v>
      </c>
      <c r="C203">
        <v>60.948566</v>
      </c>
      <c r="D203" t="s">
        <v>275</v>
      </c>
      <c r="E203">
        <v>1.73</v>
      </c>
      <c r="F203" s="3" t="s">
        <v>290</v>
      </c>
      <c r="G203">
        <v>5.3040000000000003</v>
      </c>
      <c r="H203" s="3" t="s">
        <v>277</v>
      </c>
      <c r="I203">
        <v>2</v>
      </c>
      <c r="K203">
        <v>499</v>
      </c>
      <c r="L203" t="s">
        <v>278</v>
      </c>
      <c r="M203">
        <v>100000</v>
      </c>
      <c r="N203">
        <v>0.30353000000000002</v>
      </c>
      <c r="O203">
        <v>0.30353000000000002</v>
      </c>
      <c r="P203" t="s">
        <v>70</v>
      </c>
      <c r="Q203">
        <f t="shared" si="10"/>
        <v>0.1825</v>
      </c>
      <c r="R203">
        <f t="shared" si="11"/>
        <v>0.1825</v>
      </c>
      <c r="S203" s="4">
        <v>-0.36499999999999999</v>
      </c>
      <c r="T203" s="7" t="s">
        <v>350</v>
      </c>
    </row>
    <row r="204" spans="1:20" ht="18">
      <c r="A204" t="s">
        <v>398</v>
      </c>
      <c r="B204" t="s">
        <v>197</v>
      </c>
      <c r="C204">
        <v>61.947954000000003</v>
      </c>
      <c r="D204" t="s">
        <v>275</v>
      </c>
      <c r="E204">
        <v>1.73</v>
      </c>
      <c r="F204" s="3" t="s">
        <v>290</v>
      </c>
      <c r="G204">
        <v>5.3040000000000003</v>
      </c>
      <c r="H204" s="3" t="s">
        <v>277</v>
      </c>
      <c r="I204">
        <v>2</v>
      </c>
      <c r="K204">
        <v>499</v>
      </c>
      <c r="L204" t="s">
        <v>278</v>
      </c>
      <c r="M204">
        <v>100000</v>
      </c>
      <c r="N204">
        <v>0.30353000000000002</v>
      </c>
      <c r="O204">
        <v>0.30353000000000002</v>
      </c>
      <c r="P204" t="s">
        <v>70</v>
      </c>
      <c r="Q204">
        <f t="shared" si="10"/>
        <v>0.1825</v>
      </c>
      <c r="R204">
        <f t="shared" si="11"/>
        <v>0.1825</v>
      </c>
      <c r="S204" s="4">
        <v>-0.36499999999999999</v>
      </c>
      <c r="T204" s="7" t="s">
        <v>350</v>
      </c>
    </row>
    <row r="205" spans="1:20" ht="18">
      <c r="A205" t="s">
        <v>398</v>
      </c>
      <c r="B205" t="s">
        <v>198</v>
      </c>
      <c r="C205">
        <v>62.944361999999998</v>
      </c>
      <c r="D205" t="s">
        <v>275</v>
      </c>
      <c r="E205">
        <v>1.73</v>
      </c>
      <c r="F205" s="3" t="s">
        <v>290</v>
      </c>
      <c r="G205">
        <v>5.3040000000000003</v>
      </c>
      <c r="H205" s="3" t="s">
        <v>277</v>
      </c>
      <c r="I205">
        <v>2</v>
      </c>
      <c r="K205">
        <v>499</v>
      </c>
      <c r="L205" t="s">
        <v>278</v>
      </c>
      <c r="M205">
        <v>100000</v>
      </c>
      <c r="N205">
        <v>0.30353000000000002</v>
      </c>
      <c r="O205">
        <v>0.30353000000000002</v>
      </c>
      <c r="P205" t="s">
        <v>70</v>
      </c>
      <c r="Q205">
        <f t="shared" si="10"/>
        <v>0.1825</v>
      </c>
      <c r="R205">
        <f t="shared" si="11"/>
        <v>0.1825</v>
      </c>
      <c r="S205" s="4">
        <v>-0.36499999999999999</v>
      </c>
      <c r="T205" s="7" t="s">
        <v>350</v>
      </c>
    </row>
    <row r="206" spans="1:20" ht="18">
      <c r="A206" t="s">
        <v>398</v>
      </c>
      <c r="B206" t="s">
        <v>199</v>
      </c>
      <c r="C206">
        <v>64.943574999999996</v>
      </c>
      <c r="D206" t="s">
        <v>275</v>
      </c>
      <c r="E206">
        <v>1.73</v>
      </c>
      <c r="F206" s="3" t="s">
        <v>290</v>
      </c>
      <c r="G206">
        <v>5.3040000000000003</v>
      </c>
      <c r="H206" s="3" t="s">
        <v>277</v>
      </c>
      <c r="I206">
        <v>2</v>
      </c>
      <c r="K206">
        <v>499</v>
      </c>
      <c r="L206" t="s">
        <v>278</v>
      </c>
      <c r="M206">
        <v>100000</v>
      </c>
      <c r="N206">
        <v>0.30353000000000002</v>
      </c>
      <c r="O206">
        <v>0.30353000000000002</v>
      </c>
      <c r="P206" t="s">
        <v>70</v>
      </c>
      <c r="Q206">
        <f t="shared" si="10"/>
        <v>0.1825</v>
      </c>
      <c r="R206">
        <f t="shared" si="11"/>
        <v>0.1825</v>
      </c>
      <c r="S206" s="4">
        <v>-0.36499999999999999</v>
      </c>
      <c r="T206" s="7" t="s">
        <v>350</v>
      </c>
    </row>
    <row r="207" spans="1:20" ht="18">
      <c r="A207" t="s">
        <v>398</v>
      </c>
      <c r="B207" t="s">
        <v>200</v>
      </c>
      <c r="C207">
        <v>61.945841000000001</v>
      </c>
      <c r="D207" t="s">
        <v>275</v>
      </c>
      <c r="E207">
        <v>1.73</v>
      </c>
      <c r="F207" s="3" t="s">
        <v>290</v>
      </c>
      <c r="G207">
        <v>5.3040000000000003</v>
      </c>
      <c r="H207" s="3" t="s">
        <v>277</v>
      </c>
      <c r="I207">
        <v>2</v>
      </c>
      <c r="K207">
        <v>499</v>
      </c>
      <c r="L207" t="s">
        <v>278</v>
      </c>
      <c r="M207">
        <v>100000</v>
      </c>
      <c r="N207">
        <v>0.30353000000000002</v>
      </c>
      <c r="O207">
        <v>0.30353000000000002</v>
      </c>
      <c r="P207" t="s">
        <v>70</v>
      </c>
      <c r="Q207">
        <f t="shared" si="10"/>
        <v>0.1825</v>
      </c>
      <c r="R207">
        <f t="shared" si="11"/>
        <v>0.1825</v>
      </c>
      <c r="S207" s="4">
        <v>-0.36499999999999999</v>
      </c>
      <c r="T207" s="7" t="s">
        <v>350</v>
      </c>
    </row>
    <row r="208" spans="1:20" ht="18">
      <c r="A208" t="s">
        <v>398</v>
      </c>
      <c r="B208" t="s">
        <v>201</v>
      </c>
      <c r="C208">
        <v>62.945228999999998</v>
      </c>
      <c r="D208" t="s">
        <v>275</v>
      </c>
      <c r="E208">
        <v>1.73</v>
      </c>
      <c r="F208" s="3" t="s">
        <v>290</v>
      </c>
      <c r="G208">
        <v>5.3040000000000003</v>
      </c>
      <c r="H208" s="3" t="s">
        <v>277</v>
      </c>
      <c r="I208">
        <v>2</v>
      </c>
      <c r="K208">
        <v>499</v>
      </c>
      <c r="L208" t="s">
        <v>278</v>
      </c>
      <c r="M208">
        <v>100000</v>
      </c>
      <c r="N208">
        <v>0.30353000000000002</v>
      </c>
      <c r="O208">
        <v>0.30353000000000002</v>
      </c>
      <c r="P208" t="s">
        <v>70</v>
      </c>
      <c r="Q208">
        <f t="shared" si="10"/>
        <v>0.1825</v>
      </c>
      <c r="R208">
        <f t="shared" si="11"/>
        <v>0.1825</v>
      </c>
      <c r="S208" s="4">
        <v>-0.36499999999999999</v>
      </c>
      <c r="T208" s="7" t="s">
        <v>350</v>
      </c>
    </row>
    <row r="209" spans="1:22" ht="18">
      <c r="A209" t="s">
        <v>398</v>
      </c>
      <c r="B209" t="s">
        <v>202</v>
      </c>
      <c r="C209">
        <v>63.941637</v>
      </c>
      <c r="D209" t="s">
        <v>275</v>
      </c>
      <c r="E209">
        <v>1.73</v>
      </c>
      <c r="F209" s="3" t="s">
        <v>290</v>
      </c>
      <c r="G209">
        <v>5.3040000000000003</v>
      </c>
      <c r="H209" s="3" t="s">
        <v>277</v>
      </c>
      <c r="I209">
        <v>2</v>
      </c>
      <c r="K209">
        <v>499</v>
      </c>
      <c r="L209" t="s">
        <v>278</v>
      </c>
      <c r="M209">
        <v>100000</v>
      </c>
      <c r="N209">
        <v>0.30353000000000002</v>
      </c>
      <c r="O209">
        <v>0.30353000000000002</v>
      </c>
      <c r="P209" t="s">
        <v>70</v>
      </c>
      <c r="Q209">
        <f t="shared" si="10"/>
        <v>0.1825</v>
      </c>
      <c r="R209">
        <f t="shared" si="11"/>
        <v>0.1825</v>
      </c>
      <c r="S209" s="4">
        <v>-0.36499999999999999</v>
      </c>
      <c r="T209" s="7" t="s">
        <v>350</v>
      </c>
    </row>
    <row r="210" spans="1:22" ht="18">
      <c r="A210" t="s">
        <v>398</v>
      </c>
      <c r="B210" t="s">
        <v>203</v>
      </c>
      <c r="C210">
        <v>65.940850999999995</v>
      </c>
      <c r="D210" t="s">
        <v>275</v>
      </c>
      <c r="E210">
        <v>1.73</v>
      </c>
      <c r="F210" s="3" t="s">
        <v>290</v>
      </c>
      <c r="G210">
        <v>5.3040000000000003</v>
      </c>
      <c r="H210" s="3" t="s">
        <v>277</v>
      </c>
      <c r="I210">
        <v>2</v>
      </c>
      <c r="K210">
        <v>499</v>
      </c>
      <c r="L210" t="s">
        <v>278</v>
      </c>
      <c r="M210">
        <v>100000</v>
      </c>
      <c r="N210">
        <v>0.30353000000000002</v>
      </c>
      <c r="O210">
        <v>0.30353000000000002</v>
      </c>
      <c r="P210" t="s">
        <v>70</v>
      </c>
      <c r="Q210">
        <f t="shared" si="10"/>
        <v>0.1825</v>
      </c>
      <c r="R210">
        <f t="shared" si="11"/>
        <v>0.1825</v>
      </c>
      <c r="S210" s="4">
        <v>-0.36499999999999999</v>
      </c>
      <c r="T210" s="7" t="s">
        <v>350</v>
      </c>
    </row>
    <row r="211" spans="1:22" ht="18">
      <c r="A211" t="s">
        <v>48</v>
      </c>
      <c r="B211" t="s">
        <v>48</v>
      </c>
      <c r="C211">
        <v>48.064</v>
      </c>
      <c r="D211" t="s">
        <v>275</v>
      </c>
      <c r="E211">
        <v>1.3</v>
      </c>
      <c r="F211" s="8" t="s">
        <v>70</v>
      </c>
      <c r="G211">
        <v>4.2380000000000004</v>
      </c>
      <c r="H211" t="s">
        <v>90</v>
      </c>
      <c r="I211">
        <v>2</v>
      </c>
      <c r="K211">
        <v>400</v>
      </c>
      <c r="L211" t="s">
        <v>113</v>
      </c>
      <c r="M211">
        <f xml:space="preserve"> 100000</f>
        <v>100000</v>
      </c>
      <c r="N211">
        <v>0.72082000000000002</v>
      </c>
      <c r="O211">
        <v>0.72082000000000002</v>
      </c>
      <c r="P211" t="s">
        <v>70</v>
      </c>
      <c r="Q211" s="7">
        <v>0.39200000000000002</v>
      </c>
      <c r="R211" s="7">
        <v>0.39200000000000002</v>
      </c>
      <c r="S211">
        <v>-0.78400000000000003</v>
      </c>
      <c r="T211" s="7" t="s">
        <v>350</v>
      </c>
    </row>
    <row r="212" spans="1:22" ht="18">
      <c r="A212" t="s">
        <v>49</v>
      </c>
      <c r="B212" t="s">
        <v>49</v>
      </c>
      <c r="C212">
        <v>64.063999999999993</v>
      </c>
      <c r="D212" t="s">
        <v>275</v>
      </c>
      <c r="E212">
        <v>1.6331</v>
      </c>
      <c r="F212" t="s">
        <v>71</v>
      </c>
      <c r="G212">
        <v>3.8820000000000001</v>
      </c>
      <c r="H212" t="s">
        <v>73</v>
      </c>
      <c r="I212">
        <v>2</v>
      </c>
      <c r="K212">
        <v>411.2</v>
      </c>
      <c r="L212" t="s">
        <v>107</v>
      </c>
      <c r="M212">
        <v>2.0273542038205599</v>
      </c>
      <c r="N212">
        <v>0.34417390179975699</v>
      </c>
      <c r="O212">
        <v>0.29352649692074601</v>
      </c>
      <c r="P212" t="s">
        <v>71</v>
      </c>
      <c r="Q212" s="7">
        <v>3.86</v>
      </c>
      <c r="R212" s="7">
        <v>-4.91</v>
      </c>
      <c r="S212" s="7">
        <v>1.02</v>
      </c>
      <c r="T212" s="7" t="s">
        <v>343</v>
      </c>
      <c r="U212">
        <v>2</v>
      </c>
    </row>
    <row r="213" spans="1:22" ht="18">
      <c r="A213" t="s">
        <v>13</v>
      </c>
      <c r="B213" t="s">
        <v>13</v>
      </c>
      <c r="C213">
        <v>80.063000000000002</v>
      </c>
      <c r="D213" t="s">
        <v>275</v>
      </c>
      <c r="E213">
        <v>0</v>
      </c>
      <c r="F213" s="8" t="s">
        <v>86</v>
      </c>
      <c r="G213">
        <v>19.029</v>
      </c>
      <c r="H213" t="s">
        <v>76</v>
      </c>
      <c r="I213">
        <v>4</v>
      </c>
      <c r="K213">
        <v>470</v>
      </c>
      <c r="L213" t="s">
        <v>124</v>
      </c>
      <c r="M213">
        <v>0.34599999999999997</v>
      </c>
      <c r="N213">
        <v>0.34599999999999997</v>
      </c>
      <c r="O213">
        <v>0.17299999999999999</v>
      </c>
      <c r="P213" t="s">
        <v>76</v>
      </c>
      <c r="Q213" s="7">
        <v>-3.1190000000000002</v>
      </c>
      <c r="R213" s="7">
        <v>-3.1190000000000002</v>
      </c>
      <c r="S213" s="7">
        <v>6.2370000000000001</v>
      </c>
      <c r="T213" s="7" t="s">
        <v>350</v>
      </c>
      <c r="U213">
        <v>3</v>
      </c>
    </row>
    <row r="214" spans="1:22" ht="18">
      <c r="A214" t="s">
        <v>402</v>
      </c>
      <c r="B214" t="s">
        <v>219</v>
      </c>
      <c r="C214">
        <v>48.955767000000002</v>
      </c>
      <c r="D214" t="s">
        <v>275</v>
      </c>
      <c r="E214">
        <v>2.0550000000000002</v>
      </c>
      <c r="F214" s="3" t="s">
        <v>277</v>
      </c>
      <c r="G214">
        <v>15.206</v>
      </c>
      <c r="H214" s="3" t="s">
        <v>277</v>
      </c>
      <c r="I214">
        <v>2</v>
      </c>
      <c r="K214">
        <v>613.9</v>
      </c>
      <c r="L214" t="s">
        <v>278</v>
      </c>
      <c r="M214">
        <v>100000</v>
      </c>
      <c r="N214">
        <v>5.3620599999999996</v>
      </c>
      <c r="O214">
        <v>5.3620599999999996</v>
      </c>
      <c r="P214" t="s">
        <v>70</v>
      </c>
      <c r="Q214">
        <f t="shared" ref="Q214:Q219" si="12">-S214/2</f>
        <v>3.3639999999999999</v>
      </c>
      <c r="R214">
        <f t="shared" ref="R214:R219" si="13">-S214/2</f>
        <v>3.3639999999999999</v>
      </c>
      <c r="S214" s="4">
        <v>-6.7279999999999998</v>
      </c>
      <c r="T214" s="7" t="s">
        <v>359</v>
      </c>
    </row>
    <row r="215" spans="1:22" ht="18">
      <c r="A215" t="s">
        <v>401</v>
      </c>
      <c r="B215" t="s">
        <v>214</v>
      </c>
      <c r="C215">
        <v>61.947541999999999</v>
      </c>
      <c r="D215" t="s">
        <v>275</v>
      </c>
      <c r="E215">
        <v>4.6719999999999997</v>
      </c>
      <c r="F215" s="3" t="s">
        <v>277</v>
      </c>
      <c r="G215">
        <v>14.865</v>
      </c>
      <c r="H215" s="3" t="s">
        <v>277</v>
      </c>
      <c r="I215">
        <v>2</v>
      </c>
      <c r="K215">
        <v>272</v>
      </c>
      <c r="L215" t="s">
        <v>278</v>
      </c>
      <c r="M215">
        <v>100000</v>
      </c>
      <c r="N215">
        <v>0.53541000000000005</v>
      </c>
      <c r="O215">
        <v>0.53541000000000005</v>
      </c>
      <c r="P215" t="s">
        <v>70</v>
      </c>
      <c r="Q215">
        <f t="shared" si="12"/>
        <v>1.73</v>
      </c>
      <c r="R215">
        <f t="shared" si="13"/>
        <v>1.73</v>
      </c>
      <c r="S215" s="4">
        <v>-3.46</v>
      </c>
      <c r="T215" s="7" t="s">
        <v>359</v>
      </c>
    </row>
    <row r="216" spans="1:22" ht="18">
      <c r="A216" t="s">
        <v>401</v>
      </c>
      <c r="B216" t="s">
        <v>215</v>
      </c>
      <c r="C216">
        <v>62.946672999999997</v>
      </c>
      <c r="D216" t="s">
        <v>275</v>
      </c>
      <c r="E216">
        <v>4.6719999999999997</v>
      </c>
      <c r="F216" s="3" t="s">
        <v>277</v>
      </c>
      <c r="G216">
        <v>14.865</v>
      </c>
      <c r="H216" s="3" t="s">
        <v>277</v>
      </c>
      <c r="I216">
        <v>2</v>
      </c>
      <c r="K216">
        <v>272</v>
      </c>
      <c r="L216" t="s">
        <v>278</v>
      </c>
      <c r="M216">
        <v>100000</v>
      </c>
      <c r="N216">
        <v>0.53541000000000005</v>
      </c>
      <c r="O216">
        <v>0.53541000000000005</v>
      </c>
      <c r="P216" t="s">
        <v>70</v>
      </c>
      <c r="Q216">
        <f t="shared" si="12"/>
        <v>1.73</v>
      </c>
      <c r="R216">
        <f t="shared" si="13"/>
        <v>1.73</v>
      </c>
      <c r="S216" s="4">
        <v>-3.46</v>
      </c>
      <c r="T216" s="7" t="s">
        <v>359</v>
      </c>
    </row>
    <row r="217" spans="1:22" ht="18">
      <c r="A217" t="s">
        <v>401</v>
      </c>
      <c r="B217" t="s">
        <v>216</v>
      </c>
      <c r="C217">
        <v>63.942856999999997</v>
      </c>
      <c r="D217" t="s">
        <v>275</v>
      </c>
      <c r="E217">
        <v>4.6719999999999997</v>
      </c>
      <c r="F217" s="3" t="s">
        <v>277</v>
      </c>
      <c r="G217">
        <v>14.865</v>
      </c>
      <c r="H217" s="3" t="s">
        <v>277</v>
      </c>
      <c r="I217">
        <v>2</v>
      </c>
      <c r="K217">
        <v>272</v>
      </c>
      <c r="L217" t="s">
        <v>278</v>
      </c>
      <c r="M217">
        <v>100000</v>
      </c>
      <c r="N217">
        <v>0.53541000000000005</v>
      </c>
      <c r="O217">
        <v>0.53541000000000005</v>
      </c>
      <c r="P217" t="s">
        <v>70</v>
      </c>
      <c r="Q217">
        <f t="shared" si="12"/>
        <v>1.73</v>
      </c>
      <c r="R217">
        <f t="shared" si="13"/>
        <v>1.73</v>
      </c>
      <c r="S217" s="4">
        <v>-3.46</v>
      </c>
      <c r="T217" s="7" t="s">
        <v>359</v>
      </c>
    </row>
    <row r="218" spans="1:22" ht="18">
      <c r="A218" t="s">
        <v>401</v>
      </c>
      <c r="B218" t="s">
        <v>217</v>
      </c>
      <c r="C218">
        <v>64.942779999999999</v>
      </c>
      <c r="D218" t="s">
        <v>275</v>
      </c>
      <c r="E218">
        <v>4.6719999999999997</v>
      </c>
      <c r="F218" s="3" t="s">
        <v>277</v>
      </c>
      <c r="G218">
        <v>14.865</v>
      </c>
      <c r="H218" s="3" t="s">
        <v>277</v>
      </c>
      <c r="I218">
        <v>2</v>
      </c>
      <c r="K218">
        <v>272</v>
      </c>
      <c r="L218" t="s">
        <v>278</v>
      </c>
      <c r="M218">
        <v>100000</v>
      </c>
      <c r="N218">
        <v>0.53541000000000005</v>
      </c>
      <c r="O218">
        <v>0.53541000000000005</v>
      </c>
      <c r="P218" t="s">
        <v>70</v>
      </c>
      <c r="Q218">
        <f t="shared" si="12"/>
        <v>1.73</v>
      </c>
      <c r="R218">
        <f t="shared" si="13"/>
        <v>1.73</v>
      </c>
      <c r="S218" s="4">
        <v>-3.46</v>
      </c>
      <c r="T218" s="7" t="s">
        <v>359</v>
      </c>
    </row>
    <row r="219" spans="1:22" ht="18">
      <c r="A219" t="s">
        <v>401</v>
      </c>
      <c r="B219" t="s">
        <v>218</v>
      </c>
      <c r="C219">
        <v>65.939701999999997</v>
      </c>
      <c r="D219" t="s">
        <v>275</v>
      </c>
      <c r="E219">
        <v>4.6719999999999997</v>
      </c>
      <c r="F219" s="3" t="s">
        <v>277</v>
      </c>
      <c r="G219">
        <v>14.865</v>
      </c>
      <c r="H219" s="3" t="s">
        <v>277</v>
      </c>
      <c r="I219">
        <v>2</v>
      </c>
      <c r="K219">
        <v>272</v>
      </c>
      <c r="L219" t="s">
        <v>278</v>
      </c>
      <c r="M219">
        <v>100000</v>
      </c>
      <c r="N219">
        <v>0.53541000000000005</v>
      </c>
      <c r="O219">
        <v>0.53541000000000005</v>
      </c>
      <c r="P219" t="s">
        <v>70</v>
      </c>
      <c r="Q219">
        <f t="shared" si="12"/>
        <v>1.73</v>
      </c>
      <c r="R219">
        <f t="shared" si="13"/>
        <v>1.73</v>
      </c>
      <c r="S219" s="4">
        <v>-3.46</v>
      </c>
      <c r="T219" s="7" t="s">
        <v>359</v>
      </c>
    </row>
    <row r="220" spans="1:22" ht="18">
      <c r="A220" t="s">
        <v>429</v>
      </c>
      <c r="B220" t="s">
        <v>267</v>
      </c>
      <c r="C220">
        <v>63.963174000000002</v>
      </c>
      <c r="D220" t="s">
        <v>275</v>
      </c>
      <c r="E220">
        <v>0</v>
      </c>
      <c r="F220" s="3" t="s">
        <v>86</v>
      </c>
      <c r="G220">
        <v>8.2840000000000007</v>
      </c>
      <c r="H220" s="3" t="s">
        <v>331</v>
      </c>
      <c r="I220">
        <v>4</v>
      </c>
      <c r="K220">
        <v>423</v>
      </c>
      <c r="L220" s="3" t="s">
        <v>329</v>
      </c>
      <c r="M220">
        <v>4.3429000000000002</v>
      </c>
      <c r="N220">
        <v>0.25009999999999999</v>
      </c>
      <c r="O220">
        <v>0.2364</v>
      </c>
      <c r="P220" s="3" t="s">
        <v>333</v>
      </c>
      <c r="Q220" s="7">
        <v>2.1059999999999999</v>
      </c>
      <c r="R220" s="7">
        <v>-1.6879999999999999</v>
      </c>
      <c r="S220" s="7">
        <v>-0.41799999999999998</v>
      </c>
      <c r="T220" s="7" t="s">
        <v>435</v>
      </c>
    </row>
    <row r="221" spans="1:22" ht="18">
      <c r="A221" t="s">
        <v>403</v>
      </c>
      <c r="B221" t="s">
        <v>220</v>
      </c>
      <c r="C221">
        <v>66.938872000000003</v>
      </c>
      <c r="D221" t="s">
        <v>275</v>
      </c>
      <c r="E221">
        <v>2.7290000000000001</v>
      </c>
      <c r="F221" s="3" t="s">
        <v>277</v>
      </c>
      <c r="G221">
        <v>10.298</v>
      </c>
      <c r="H221" s="3" t="s">
        <v>277</v>
      </c>
      <c r="I221">
        <v>2</v>
      </c>
      <c r="K221">
        <v>548.48</v>
      </c>
      <c r="L221" t="s">
        <v>278</v>
      </c>
      <c r="M221">
        <v>100000</v>
      </c>
      <c r="N221">
        <v>0.54825000000000002</v>
      </c>
      <c r="O221">
        <v>0.54825000000000002</v>
      </c>
      <c r="P221" t="s">
        <v>70</v>
      </c>
      <c r="Q221">
        <f>-S221/2</f>
        <v>0.60550000000000004</v>
      </c>
      <c r="R221">
        <f>-S221/2</f>
        <v>0.60550000000000004</v>
      </c>
      <c r="S221" s="4">
        <v>-1.2110000000000001</v>
      </c>
      <c r="T221" s="7" t="s">
        <v>359</v>
      </c>
    </row>
    <row r="222" spans="1:22" ht="18">
      <c r="A222" s="14" t="s">
        <v>454</v>
      </c>
      <c r="C222" s="19">
        <v>131.29300000000001</v>
      </c>
      <c r="D222" t="s">
        <v>275</v>
      </c>
      <c r="E222">
        <v>0</v>
      </c>
      <c r="F222" s="19" t="s">
        <v>474</v>
      </c>
      <c r="G222" s="19">
        <v>4.0049999999999999</v>
      </c>
      <c r="H222" s="19" t="s">
        <v>91</v>
      </c>
      <c r="I222">
        <v>6</v>
      </c>
      <c r="K222" s="19">
        <v>408.2</v>
      </c>
      <c r="L222" t="s">
        <v>91</v>
      </c>
      <c r="M222">
        <v>100000</v>
      </c>
      <c r="N222">
        <v>100000</v>
      </c>
      <c r="O222">
        <v>100000</v>
      </c>
      <c r="P222" t="s">
        <v>475</v>
      </c>
      <c r="Q222">
        <v>0</v>
      </c>
      <c r="R222">
        <v>0</v>
      </c>
      <c r="S222">
        <v>0</v>
      </c>
      <c r="T222" s="7" t="s">
        <v>475</v>
      </c>
      <c r="V222" t="str">
        <f>SUBSTITUTE(A222,"-","")</f>
        <v>Xe</v>
      </c>
    </row>
    <row r="223" spans="1:22" ht="18">
      <c r="A223" t="s">
        <v>417</v>
      </c>
      <c r="B223" t="s">
        <v>263</v>
      </c>
      <c r="C223">
        <v>104.900755</v>
      </c>
      <c r="D223" t="s">
        <v>275</v>
      </c>
      <c r="E223">
        <v>4.524</v>
      </c>
      <c r="F223" s="3" t="s">
        <v>315</v>
      </c>
      <c r="G223">
        <v>18.771000000000001</v>
      </c>
      <c r="H223" s="3" t="s">
        <v>310</v>
      </c>
      <c r="I223">
        <v>2</v>
      </c>
      <c r="K223">
        <v>453</v>
      </c>
      <c r="L223" s="3" t="s">
        <v>324</v>
      </c>
      <c r="M223">
        <v>100000</v>
      </c>
      <c r="N223">
        <v>0.3881</v>
      </c>
      <c r="O223">
        <v>0.3881</v>
      </c>
      <c r="P223" s="3" t="s">
        <v>323</v>
      </c>
      <c r="Q223">
        <f t="shared" ref="Q223:Q229" si="14">-S223/2</f>
        <v>1.73</v>
      </c>
      <c r="R223">
        <f t="shared" ref="R223:R229" si="15">-S223/2</f>
        <v>1.73</v>
      </c>
      <c r="S223" s="4">
        <v>-3.46</v>
      </c>
      <c r="T223" s="7" t="s">
        <v>434</v>
      </c>
    </row>
    <row r="224" spans="1:22" ht="18">
      <c r="A224" t="s">
        <v>417</v>
      </c>
      <c r="B224" t="s">
        <v>264</v>
      </c>
      <c r="C224">
        <v>106.905</v>
      </c>
      <c r="D224" t="s">
        <v>275</v>
      </c>
      <c r="E224">
        <v>4.524</v>
      </c>
      <c r="F224" s="3" t="s">
        <v>315</v>
      </c>
      <c r="G224">
        <v>18.771000000000001</v>
      </c>
      <c r="H224" s="3" t="s">
        <v>310</v>
      </c>
      <c r="I224">
        <v>2</v>
      </c>
      <c r="K224">
        <v>453</v>
      </c>
      <c r="L224" s="3" t="s">
        <v>324</v>
      </c>
      <c r="M224">
        <v>100000</v>
      </c>
      <c r="N224">
        <v>0.3881</v>
      </c>
      <c r="O224">
        <v>0.3881</v>
      </c>
      <c r="P224" s="3" t="s">
        <v>323</v>
      </c>
      <c r="Q224">
        <f t="shared" si="14"/>
        <v>1.73</v>
      </c>
      <c r="R224">
        <f t="shared" si="15"/>
        <v>1.73</v>
      </c>
      <c r="S224" s="4">
        <v>-3.46</v>
      </c>
      <c r="T224" s="7" t="s">
        <v>434</v>
      </c>
    </row>
    <row r="225" spans="1:21" ht="18">
      <c r="A225" t="s">
        <v>416</v>
      </c>
      <c r="B225" t="s">
        <v>258</v>
      </c>
      <c r="C225">
        <v>105.899612</v>
      </c>
      <c r="D225" t="s">
        <v>275</v>
      </c>
      <c r="E225">
        <v>2.5510000000000002</v>
      </c>
      <c r="F225" s="3" t="s">
        <v>315</v>
      </c>
      <c r="G225">
        <v>6.7539999999999996</v>
      </c>
      <c r="H225" s="3" t="s">
        <v>322</v>
      </c>
      <c r="I225">
        <v>2</v>
      </c>
      <c r="K225">
        <v>428</v>
      </c>
      <c r="L225" s="3" t="s">
        <v>321</v>
      </c>
      <c r="M225">
        <v>100000</v>
      </c>
      <c r="N225">
        <v>0.42263000000000001</v>
      </c>
      <c r="O225">
        <v>0.42263000000000001</v>
      </c>
      <c r="P225" s="3" t="s">
        <v>323</v>
      </c>
      <c r="Q225">
        <f t="shared" si="14"/>
        <v>1.73</v>
      </c>
      <c r="R225">
        <f t="shared" si="15"/>
        <v>1.73</v>
      </c>
      <c r="S225" s="4">
        <v>-3.46</v>
      </c>
      <c r="T225" s="7" t="s">
        <v>434</v>
      </c>
    </row>
    <row r="226" spans="1:21" ht="18">
      <c r="A226" t="s">
        <v>416</v>
      </c>
      <c r="B226" t="s">
        <v>259</v>
      </c>
      <c r="C226">
        <v>106.900554</v>
      </c>
      <c r="D226" t="s">
        <v>275</v>
      </c>
      <c r="E226">
        <v>2.5510000000000002</v>
      </c>
      <c r="F226" s="3" t="s">
        <v>315</v>
      </c>
      <c r="G226">
        <v>6.7539999999999996</v>
      </c>
      <c r="H226" s="3" t="s">
        <v>322</v>
      </c>
      <c r="I226">
        <v>2</v>
      </c>
      <c r="K226">
        <v>428</v>
      </c>
      <c r="L226" s="3" t="s">
        <v>321</v>
      </c>
      <c r="M226">
        <v>100000</v>
      </c>
      <c r="N226">
        <v>0.42263000000000001</v>
      </c>
      <c r="O226">
        <v>0.42263000000000001</v>
      </c>
      <c r="P226" s="3" t="s">
        <v>323</v>
      </c>
      <c r="Q226">
        <f t="shared" si="14"/>
        <v>1.73</v>
      </c>
      <c r="R226">
        <f t="shared" si="15"/>
        <v>1.73</v>
      </c>
      <c r="S226" s="4">
        <v>-3.46</v>
      </c>
      <c r="T226" s="7" t="s">
        <v>434</v>
      </c>
    </row>
    <row r="227" spans="1:21" ht="18">
      <c r="A227" t="s">
        <v>416</v>
      </c>
      <c r="B227" t="s">
        <v>260</v>
      </c>
      <c r="C227">
        <v>107.89994900000001</v>
      </c>
      <c r="D227" t="s">
        <v>275</v>
      </c>
      <c r="E227">
        <v>2.5510000000000002</v>
      </c>
      <c r="F227" s="3" t="s">
        <v>315</v>
      </c>
      <c r="G227">
        <v>6.7539999999999996</v>
      </c>
      <c r="H227" s="3" t="s">
        <v>322</v>
      </c>
      <c r="I227">
        <v>2</v>
      </c>
      <c r="K227">
        <v>428</v>
      </c>
      <c r="L227" s="3" t="s">
        <v>321</v>
      </c>
      <c r="M227">
        <v>100000</v>
      </c>
      <c r="N227">
        <v>0.42263000000000001</v>
      </c>
      <c r="O227">
        <v>0.42263000000000001</v>
      </c>
      <c r="P227" s="3" t="s">
        <v>323</v>
      </c>
      <c r="Q227">
        <f t="shared" si="14"/>
        <v>1.73</v>
      </c>
      <c r="R227">
        <f t="shared" si="15"/>
        <v>1.73</v>
      </c>
      <c r="S227" s="4">
        <v>-3.46</v>
      </c>
      <c r="T227" s="7" t="s">
        <v>434</v>
      </c>
    </row>
    <row r="228" spans="1:21" ht="18">
      <c r="A228" t="s">
        <v>416</v>
      </c>
      <c r="B228" t="s">
        <v>261</v>
      </c>
      <c r="C228">
        <v>109.901225</v>
      </c>
      <c r="D228" t="s">
        <v>275</v>
      </c>
      <c r="E228">
        <v>2.5510000000000002</v>
      </c>
      <c r="F228" s="3" t="s">
        <v>315</v>
      </c>
      <c r="G228">
        <v>6.7539999999999996</v>
      </c>
      <c r="H228" s="3" t="s">
        <v>322</v>
      </c>
      <c r="I228">
        <v>2</v>
      </c>
      <c r="K228">
        <v>428</v>
      </c>
      <c r="L228" s="3" t="s">
        <v>321</v>
      </c>
      <c r="M228">
        <v>100000</v>
      </c>
      <c r="N228">
        <v>0.42263000000000001</v>
      </c>
      <c r="O228">
        <v>0.42263000000000001</v>
      </c>
      <c r="P228" s="3" t="s">
        <v>323</v>
      </c>
      <c r="Q228">
        <f t="shared" si="14"/>
        <v>1.73</v>
      </c>
      <c r="R228">
        <f t="shared" si="15"/>
        <v>1.73</v>
      </c>
      <c r="S228" s="4">
        <v>-3.46</v>
      </c>
      <c r="T228" s="7" t="s">
        <v>434</v>
      </c>
    </row>
    <row r="229" spans="1:21" ht="18">
      <c r="A229" t="s">
        <v>416</v>
      </c>
      <c r="B229" t="s">
        <v>262</v>
      </c>
      <c r="C229">
        <v>111.90318600000001</v>
      </c>
      <c r="D229" t="s">
        <v>275</v>
      </c>
      <c r="E229">
        <v>2.5510000000000002</v>
      </c>
      <c r="F229" s="3" t="s">
        <v>315</v>
      </c>
      <c r="G229">
        <v>6.7539999999999996</v>
      </c>
      <c r="H229" s="3" t="s">
        <v>322</v>
      </c>
      <c r="I229">
        <v>2</v>
      </c>
      <c r="K229">
        <v>428</v>
      </c>
      <c r="L229" s="3" t="s">
        <v>321</v>
      </c>
      <c r="M229">
        <v>100000</v>
      </c>
      <c r="N229">
        <v>0.42263000000000001</v>
      </c>
      <c r="O229">
        <v>0.42263000000000001</v>
      </c>
      <c r="P229" s="3" t="s">
        <v>323</v>
      </c>
      <c r="Q229">
        <f t="shared" si="14"/>
        <v>1.73</v>
      </c>
      <c r="R229">
        <f t="shared" si="15"/>
        <v>1.73</v>
      </c>
      <c r="S229" s="4">
        <v>-3.46</v>
      </c>
      <c r="T229" s="7" t="s">
        <v>434</v>
      </c>
    </row>
    <row r="230" spans="1:21" ht="18">
      <c r="A230" s="14" t="s">
        <v>503</v>
      </c>
      <c r="B230" s="22"/>
      <c r="C230" s="22">
        <v>75.531000000000006</v>
      </c>
      <c r="D230" t="s">
        <v>275</v>
      </c>
      <c r="E230" s="7">
        <v>4.2649999999999997</v>
      </c>
      <c r="F230" s="3" t="s">
        <v>309</v>
      </c>
      <c r="G230" s="4">
        <v>26.018999999999998</v>
      </c>
      <c r="H230" s="22" t="s">
        <v>508</v>
      </c>
      <c r="I230" s="22">
        <v>2</v>
      </c>
      <c r="J230" s="22"/>
      <c r="K230" s="22">
        <v>574.745</v>
      </c>
      <c r="L230" s="22" t="s">
        <v>511</v>
      </c>
      <c r="M230">
        <v>100000</v>
      </c>
      <c r="N230" s="7">
        <v>0.15223</v>
      </c>
      <c r="O230" s="7">
        <v>0.15223</v>
      </c>
      <c r="P230" s="3" t="s">
        <v>309</v>
      </c>
      <c r="Q230" s="7">
        <v>3.0249999999999999</v>
      </c>
      <c r="R230" s="7">
        <v>3.0249999999999999</v>
      </c>
      <c r="S230" s="7">
        <v>-6.0490000000000004</v>
      </c>
      <c r="T230" s="7" t="s">
        <v>508</v>
      </c>
    </row>
    <row r="231" spans="1:21" ht="18">
      <c r="A231" s="14" t="s">
        <v>504</v>
      </c>
      <c r="B231" s="22"/>
      <c r="C231" s="23">
        <v>60.955309999999997</v>
      </c>
      <c r="D231" t="s">
        <v>275</v>
      </c>
      <c r="E231" s="4">
        <v>3.2090000000000001</v>
      </c>
      <c r="F231" s="23" t="s">
        <v>506</v>
      </c>
      <c r="G231" s="4">
        <v>19.116</v>
      </c>
      <c r="H231" s="23" t="s">
        <v>506</v>
      </c>
      <c r="I231" s="23">
        <v>2</v>
      </c>
      <c r="J231" s="23"/>
      <c r="K231" s="23">
        <v>327.93</v>
      </c>
      <c r="L231" s="23" t="s">
        <v>510</v>
      </c>
      <c r="M231">
        <v>100000</v>
      </c>
      <c r="N231" s="7">
        <v>0.51343000000000005</v>
      </c>
      <c r="O231" s="7">
        <v>0.51343000000000005</v>
      </c>
      <c r="P231" s="3" t="s">
        <v>309</v>
      </c>
      <c r="Q231" s="7">
        <v>3.2120000000000002</v>
      </c>
      <c r="R231" s="7">
        <v>3.2120000000000002</v>
      </c>
      <c r="S231" s="7">
        <v>-6.4249999999999998</v>
      </c>
      <c r="T231" s="7" t="s">
        <v>509</v>
      </c>
    </row>
    <row r="232" spans="1:21" ht="30">
      <c r="A232" s="14" t="s">
        <v>505</v>
      </c>
      <c r="B232" s="22"/>
      <c r="C232" s="23">
        <v>36.0321</v>
      </c>
      <c r="D232" t="s">
        <v>275</v>
      </c>
      <c r="E232" s="23">
        <v>0</v>
      </c>
      <c r="F232" s="4" t="s">
        <v>286</v>
      </c>
      <c r="G232" s="4">
        <v>5.1040000000000001</v>
      </c>
      <c r="H232" s="27" t="s">
        <v>310</v>
      </c>
      <c r="I232" s="23">
        <v>4</v>
      </c>
      <c r="J232" s="23"/>
      <c r="K232" s="23">
        <v>448.46</v>
      </c>
      <c r="L232" s="23" t="s">
        <v>278</v>
      </c>
      <c r="M232">
        <v>100000</v>
      </c>
      <c r="N232" s="7">
        <v>0.43057000000000001</v>
      </c>
      <c r="O232" s="7">
        <v>0.43057000000000001</v>
      </c>
      <c r="P232" s="3" t="s">
        <v>309</v>
      </c>
      <c r="Q232">
        <v>3.1230000000000002</v>
      </c>
      <c r="R232">
        <v>-6.1539999999999999</v>
      </c>
      <c r="S232">
        <v>3.03</v>
      </c>
      <c r="T232" s="28" t="s">
        <v>507</v>
      </c>
    </row>
    <row r="233" spans="1:21">
      <c r="A233" s="22"/>
      <c r="B233" s="22"/>
      <c r="C233" s="23"/>
      <c r="E233" s="23"/>
      <c r="F233" s="23"/>
      <c r="G233" s="23"/>
      <c r="H233" s="23"/>
      <c r="I233" s="23"/>
      <c r="J233" s="23"/>
      <c r="K233" s="23"/>
      <c r="L233" s="23"/>
    </row>
    <row r="234" spans="1:21" ht="18">
      <c r="A234" s="22"/>
      <c r="B234" s="22"/>
      <c r="C234" s="23"/>
      <c r="E234" s="23"/>
      <c r="F234" s="23"/>
      <c r="G234" s="23"/>
      <c r="H234" s="23"/>
      <c r="I234" s="23"/>
      <c r="J234" s="23"/>
      <c r="K234" s="23"/>
      <c r="L234" s="23"/>
      <c r="Q234" s="7"/>
      <c r="R234" s="7"/>
      <c r="S234" s="7"/>
    </row>
    <row r="235" spans="1:21" ht="18">
      <c r="A235" s="22"/>
      <c r="B235" s="22"/>
      <c r="C235" s="23"/>
      <c r="E235" s="23"/>
      <c r="F235" s="23"/>
      <c r="G235" s="23"/>
      <c r="H235" s="23"/>
      <c r="I235" s="23"/>
      <c r="J235" s="7"/>
      <c r="Q235" s="29"/>
      <c r="R235" s="7"/>
      <c r="S235" s="7"/>
      <c r="T235" s="7"/>
    </row>
    <row r="236" spans="1:21" ht="18">
      <c r="A236" s="22"/>
      <c r="B236" s="22"/>
      <c r="C236" s="23"/>
      <c r="E236" s="23"/>
      <c r="F236" s="23"/>
      <c r="G236" s="23"/>
      <c r="I236" s="23"/>
      <c r="J236" s="29"/>
      <c r="Q236" s="29"/>
      <c r="R236" s="7"/>
      <c r="S236" s="7"/>
      <c r="T236" s="7"/>
    </row>
    <row r="237" spans="1:21" ht="18">
      <c r="A237" s="22"/>
      <c r="B237" s="22"/>
      <c r="C237" s="23"/>
      <c r="E237" s="23"/>
      <c r="H237" s="23"/>
      <c r="I237" s="23"/>
      <c r="J237" s="29"/>
      <c r="M237" s="7"/>
    </row>
    <row r="238" spans="1:21">
      <c r="A238" s="22"/>
      <c r="B238" s="22"/>
      <c r="C238" s="23"/>
      <c r="E238" s="8"/>
      <c r="G238" s="23"/>
      <c r="H238" s="23"/>
      <c r="I238" s="23"/>
      <c r="J238" s="23"/>
      <c r="K238" s="23"/>
    </row>
    <row r="240" spans="1:21">
      <c r="U240">
        <f t="shared" ref="P240:U240" si="16">M239-M240</f>
        <v>0</v>
      </c>
    </row>
  </sheetData>
  <sortState xmlns:xlrd2="http://schemas.microsoft.com/office/spreadsheetml/2017/richdata2" ref="A2:V238">
    <sortCondition ref="A1:A238"/>
  </sortState>
  <mergeCells count="1">
    <mergeCell ref="Z16:Z18"/>
  </mergeCells>
  <phoneticPr fontId="4" type="noConversion"/>
  <hyperlinks>
    <hyperlink ref="F156" r:id="rId1" xr:uid="{F512627D-D6D6-EA4C-B7ED-9CAE172E8ACB}"/>
    <hyperlink ref="S27" r:id="rId2" display="https://cccbdb.nist.gov/quadrupole3x.asp?method=11&amp;basis=18" xr:uid="{DC3C87A0-F972-D145-BC6D-7F5AE746C079}"/>
    <hyperlink ref="S52" r:id="rId3" display="https://cccbdb.nist.gov/quadrupole3x.asp?method=8&amp;basis=21" xr:uid="{7D3AAD40-CE44-6D4E-B0ED-30CED7E6A495}"/>
    <hyperlink ref="S53" r:id="rId4" display="https://cccbdb.nist.gov/quadrupole3x.asp?method=11&amp;basis=35" xr:uid="{631223F5-17A6-F144-AC34-DF7523259A09}"/>
    <hyperlink ref="S38" r:id="rId5" display="https://cccbdb.nist.gov/quadrupole3x.asp?method=11&amp;basis=24" xr:uid="{B7C4D187-8111-3C4B-9286-C081259B655F}"/>
    <hyperlink ref="S72" r:id="rId6" display="https://cccbdb.nist.gov/quadrupole3x.asp?method=79&amp;basis=18" xr:uid="{CB2D91E4-48F9-D64A-ACD8-7716220343DC}"/>
    <hyperlink ref="S122" r:id="rId7" display="https://cccbdb.nist.gov/quadrupole3x.asp?method=11&amp;basis=35" xr:uid="{2C6356EB-F6A5-8C4D-89E1-E22735410F76}"/>
    <hyperlink ref="S123" r:id="rId8" display="https://cccbdb.nist.gov/quadrupole3x.asp?method=11&amp;basis=35" xr:uid="{DB1BB821-3BC5-0B42-B539-CB0F1B01524A}"/>
    <hyperlink ref="S124" r:id="rId9" display="https://cccbdb.nist.gov/quadrupole3x.asp?method=11&amp;basis=35" xr:uid="{625FD68E-80EE-B84C-9C44-F0C3A9E22F2C}"/>
    <hyperlink ref="S125" r:id="rId10" display="https://cccbdb.nist.gov/quadrupole3x.asp?method=11&amp;basis=35" xr:uid="{11F32841-4B97-0445-ACB5-37C51B4F9BA4}"/>
    <hyperlink ref="S126" r:id="rId11" display="https://cccbdb.nist.gov/quadrupole3x.asp?method=11&amp;basis=35" xr:uid="{D708B369-1124-1148-8BAC-CA6EE35E50BD}"/>
    <hyperlink ref="S127" r:id="rId12" display="https://cccbdb.nist.gov/quadrupole3x.asp?method=11&amp;basis=35" xr:uid="{CE923ECC-F545-4C45-94CE-6F8A14304670}"/>
    <hyperlink ref="S113" r:id="rId13" display="https://cccbdb.nist.gov/quadrupole3x.asp?method=3&amp;basis=7" xr:uid="{39E6B6AC-1C29-3442-A291-4D7279080DEE}"/>
    <hyperlink ref="S87:S89" r:id="rId14" display="https://cccbdb.nist.gov/quadrupole3x.asp?method=3&amp;basis=7" xr:uid="{898479A9-7AB7-304F-8196-14B2DEB90685}"/>
    <hyperlink ref="S117" r:id="rId15" display="https://cccbdb.nist.gov/quadrupole3x.asp?method=3&amp;basis=7" xr:uid="{61D6F8A9-2750-1C40-897B-115F211C9FAB}"/>
    <hyperlink ref="S118" r:id="rId16" display="https://cccbdb.nist.gov/quadrupole3x.asp?method=3&amp;basis=7" xr:uid="{E58B56CD-8274-BB41-9EBE-CFC37710E18E}"/>
    <hyperlink ref="S131" r:id="rId17" display="https://cccbdb.nist.gov/quadrupole3x.asp?method=79&amp;basis=18" xr:uid="{A79ADA7D-781A-A243-9646-B985BBE60121}"/>
    <hyperlink ref="S93:S94" r:id="rId18" display="https://cccbdb.nist.gov/quadrupole3x.asp?method=79&amp;basis=18" xr:uid="{1CAA7A9D-7576-4D4E-8082-D74B5B703808}"/>
    <hyperlink ref="S134" r:id="rId19" display="https://cccbdb.nist.gov/quadrupole3x.asp?method=11&amp;basis=35" xr:uid="{C3613C2F-D6CC-FB40-913B-7C2227EF9884}"/>
    <hyperlink ref="S96:S97" r:id="rId20" display="https://cccbdb.nist.gov/quadrupole3x.asp?method=11&amp;basis=35" xr:uid="{F95C89F1-F408-3248-BD64-36DC77BA73AB}"/>
    <hyperlink ref="S137" r:id="rId21" display="https://cccbdb.nist.gov/quadrupole3x.asp?method=79&amp;basis=18" xr:uid="{799C2027-D6AF-1E44-829B-553D5824BE43}"/>
    <hyperlink ref="S138" r:id="rId22" display="https://cccbdb.nist.gov/quadrupole3x.asp?method=79&amp;basis=18" xr:uid="{09AF5494-4FF0-DA4F-965C-E014D7BCDCB3}"/>
    <hyperlink ref="S139" r:id="rId23" display="https://cccbdb.nist.gov/quadrupole3x.asp?method=79&amp;basis=18" xr:uid="{965985D9-2E4C-9248-9F48-76B9EB6BA04F}"/>
    <hyperlink ref="S140" r:id="rId24" display="https://cccbdb.nist.gov/quadrupole3x.asp?method=79&amp;basis=18" xr:uid="{9C152A74-CCEC-9840-8F67-4E5CC1C55D6E}"/>
    <hyperlink ref="S141" r:id="rId25" display="https://cccbdb.nist.gov/quadrupole3x.asp?method=79&amp;basis=18" xr:uid="{D8F79ECE-A77E-2D49-882A-34B532DE7D29}"/>
    <hyperlink ref="S145" r:id="rId26" display="https://cccbdb.nist.gov/quadrupole3x.asp?method=65&amp;basis=18" xr:uid="{DB5703C7-1D03-8142-B529-2ABCECDB851E}"/>
    <hyperlink ref="S146" r:id="rId27" display="https://cccbdb.nist.gov/quadrupole3x.asp?method=65&amp;basis=18" xr:uid="{22C7FFD7-820E-8B43-9F0B-9FD3F1116B0B}"/>
    <hyperlink ref="S148" r:id="rId28" display="https://cccbdb.nist.gov/quadrupole3x.asp?method=2&amp;basis=24" xr:uid="{360D21E0-4802-2B47-A947-B3A9DE4C4D72}"/>
    <hyperlink ref="S149" r:id="rId29" display="https://cccbdb.nist.gov/quadrupole3x.asp?method=2&amp;basis=24" xr:uid="{9B77B49E-F602-7C49-9E98-F0AB233CC372}"/>
    <hyperlink ref="S154" r:id="rId30" display="https://cccbdb.nist.gov/quadrupole3x.asp?method=3&amp;basis=27" xr:uid="{850BEE8C-C2A4-074B-B09A-D22A964B10DA}"/>
    <hyperlink ref="S163" r:id="rId31" display="https://cccbdb.nist.gov/quadrupole3x.asp?method=11&amp;basis=33" xr:uid="{D9163EE8-CA83-2F46-8474-12DC7BDEF61E}"/>
    <hyperlink ref="S162" r:id="rId32" display="https://cccbdb.nist.gov/quadrupole3x.asp?method=11&amp;basis=33" xr:uid="{307C47EA-84DB-A446-945D-E1167DE7606D}"/>
    <hyperlink ref="S161" r:id="rId33" display="https://cccbdb.nist.gov/quadrupole3x.asp?method=11&amp;basis=33" xr:uid="{D8E181CF-DF4C-974C-B142-ECFC5E8CEEDA}"/>
    <hyperlink ref="S160" r:id="rId34" display="https://cccbdb.nist.gov/quadrupole3x.asp?method=11&amp;basis=33" xr:uid="{69F85514-6B7A-1642-8FC2-D343FDF0E86E}"/>
    <hyperlink ref="S159" r:id="rId35" display="https://cccbdb.nist.gov/quadrupole3x.asp?method=11&amp;basis=33" xr:uid="{5A232AE4-1E37-2C41-83E1-019CAB791E0E}"/>
    <hyperlink ref="S169" r:id="rId36" display="https://cccbdb.nist.gov/quadrupole3x.asp?method=11&amp;basis=35" xr:uid="{E75A0E7D-6011-2B43-9499-B89A51F25D7B}"/>
    <hyperlink ref="S171" r:id="rId37" display="https://cccbdb.nist.gov/quadrupole3x.asp?method=11&amp;basis=35" xr:uid="{756EE3C6-C4FB-594D-9D04-854FBA9736AB}"/>
    <hyperlink ref="S172" r:id="rId38" display="https://cccbdb.nist.gov/quadrupole3x.asp?method=11&amp;basis=35" xr:uid="{40982002-5515-6E45-8053-2DD7CA10CCA0}"/>
    <hyperlink ref="S173" r:id="rId39" display="https://cccbdb.nist.gov/quadrupole3x.asp?method=11&amp;basis=33" xr:uid="{9CF38FD8-32C9-4948-A07F-14FF5238EC44}"/>
    <hyperlink ref="S174" r:id="rId40" display="https://cccbdb.nist.gov/quadrupole3x.asp?method=11&amp;basis=35" xr:uid="{04D62462-94B3-7140-8B2D-9F83A17B3A02}"/>
    <hyperlink ref="S176" r:id="rId41" display="https://cccbdb.nist.gov/quadrupole3x.asp?method=79&amp;basis=18" xr:uid="{19D1B0E4-3D11-B44E-9B6A-71B9A54BBAE5}"/>
    <hyperlink ref="S183" r:id="rId42" display="https://cccbdb.nist.gov/quadrupole3x.asp?method=11&amp;basis=35" xr:uid="{E4071FBA-A57B-4F4E-A87E-FCC3F6ACFB14}"/>
    <hyperlink ref="S184" r:id="rId43" display="https://cccbdb.nist.gov/quadrupole3x.asp?method=11&amp;basis=35" xr:uid="{49DE2E1E-F629-6D40-B75C-0CD63ABB2EC4}"/>
    <hyperlink ref="S185" r:id="rId44" display="https://cccbdb.nist.gov/quadrupole3x.asp?method=11&amp;basis=35" xr:uid="{E05AAA53-FDF6-8641-A3D3-07B02DD292C4}"/>
    <hyperlink ref="S186" r:id="rId45" display="https://cccbdb.nist.gov/quadrupole3x.asp?method=11&amp;basis=35" xr:uid="{F0F4A51C-7B42-C04D-9964-EDE718D2744C}"/>
    <hyperlink ref="S199" r:id="rId46" display="https://cccbdb.nist.gov/quadrupole3x.asp?method=11&amp;basis=35" xr:uid="{93FC264D-981C-9B44-BF0D-56188D46AE84}"/>
    <hyperlink ref="S200" r:id="rId47" display="https://cccbdb.nist.gov/quadrupole3x.asp?method=11&amp;basis=35" xr:uid="{CF58C922-15EC-A845-8529-8D43B8D7E396}"/>
    <hyperlink ref="S201" r:id="rId48" display="https://cccbdb.nist.gov/quadrupole3x.asp?method=11&amp;basis=35" xr:uid="{51603961-0D48-124E-B8CC-E5FCC3425194}"/>
    <hyperlink ref="S202" r:id="rId49" display="https://cccbdb.nist.gov/quadrupole3x.asp?method=11&amp;basis=35" xr:uid="{2E1C5D5E-2EC9-8C46-934C-4D76BD69CBC4}"/>
    <hyperlink ref="S203" r:id="rId50" display="https://cccbdb.nist.gov/quadrupole3x.asp?method=11&amp;basis=35" xr:uid="{7A47242D-F417-154B-AB8C-0AD760656CA2}"/>
    <hyperlink ref="S204" r:id="rId51" display="https://cccbdb.nist.gov/quadrupole3x.asp?method=11&amp;basis=35" xr:uid="{A45F75F8-0AC4-D24E-88E6-C5AD30D89041}"/>
    <hyperlink ref="S206" r:id="rId52" display="https://cccbdb.nist.gov/quadrupole3x.asp?method=11&amp;basis=35" xr:uid="{58DEFEEC-7F65-A547-9173-CACD2E16CE42}"/>
    <hyperlink ref="S205" r:id="rId53" display="https://cccbdb.nist.gov/quadrupole3x.asp?method=11&amp;basis=35" xr:uid="{4E738492-02CF-5743-9943-5CA31DC8FF74}"/>
    <hyperlink ref="S207" r:id="rId54" display="https://cccbdb.nist.gov/quadrupole3x.asp?method=11&amp;basis=35" xr:uid="{8801BB3E-FCB2-3348-AF99-78CDAE796F77}"/>
    <hyperlink ref="S208" r:id="rId55" display="https://cccbdb.nist.gov/quadrupole3x.asp?method=11&amp;basis=35" xr:uid="{E3EF6650-E595-1547-BE50-3CFF75FEC2DD}"/>
    <hyperlink ref="S209" r:id="rId56" display="https://cccbdb.nist.gov/quadrupole3x.asp?method=11&amp;basis=35" xr:uid="{844DF699-7793-4845-974C-F8FC1629ED47}"/>
    <hyperlink ref="S210" r:id="rId57" display="https://cccbdb.nist.gov/quadrupole3x.asp?method=11&amp;basis=35" xr:uid="{9937D45A-1197-6947-851D-2B6703852530}"/>
    <hyperlink ref="S178" r:id="rId58" display="https://cccbdb.nist.gov/quadrupole3x.asp?method=11&amp;basis=30" xr:uid="{CBE1AAE4-55EF-C644-8DF5-3ACCB6D135E1}"/>
    <hyperlink ref="S179" r:id="rId59" display="https://cccbdb.nist.gov/quadrupole3x.asp?method=11&amp;basis=30" xr:uid="{BF87684E-4B94-FE48-8255-EB8653D69FC2}"/>
    <hyperlink ref="S180" r:id="rId60" display="https://cccbdb.nist.gov/quadrupole3x.asp?method=11&amp;basis=30" xr:uid="{B2580C17-660D-8641-A6C9-AE17147FAC19}"/>
    <hyperlink ref="S181" r:id="rId61" display="https://cccbdb.nist.gov/quadrupole3x.asp?method=11&amp;basis=30" xr:uid="{FE381BA7-99B6-5549-9FB7-59CCDA22F079}"/>
    <hyperlink ref="S182" r:id="rId62" display="https://cccbdb.nist.gov/quadrupole3x.asp?method=11&amp;basis=30" xr:uid="{6B3E673F-AB5D-BC45-82DD-CE209368B3D4}"/>
    <hyperlink ref="S193" r:id="rId63" display="https://cccbdb.nist.gov/quadrupole3x.asp?method=11&amp;basis=35" xr:uid="{E9F021FD-2426-0D4A-9031-997A482B1E72}"/>
    <hyperlink ref="S194" r:id="rId64" display="https://cccbdb.nist.gov/quadrupole3x.asp?method=11&amp;basis=35" xr:uid="{B13325B3-E6D8-2E4E-82FF-847C973D4E60}"/>
    <hyperlink ref="S195" r:id="rId65" display="https://cccbdb.nist.gov/quadrupole3x.asp?method=11&amp;basis=35" xr:uid="{2240ED1E-2724-B045-806D-0E20B2780FFD}"/>
    <hyperlink ref="S196" r:id="rId66" display="https://cccbdb.nist.gov/quadrupole3x.asp?method=11&amp;basis=35" xr:uid="{EC950035-A212-704F-85BD-F5640DE0F38E}"/>
    <hyperlink ref="S197" r:id="rId67" display="https://cccbdb.nist.gov/quadrupole3x.asp?method=11&amp;basis=35" xr:uid="{6534F0E2-D69C-F84D-948B-64204857749C}"/>
    <hyperlink ref="S215" r:id="rId68" display="https://cccbdb.nist.gov/quadrupole3x.asp?method=79&amp;basis=18" xr:uid="{277EC491-3BD8-5F40-A4B5-14303F41111D}"/>
    <hyperlink ref="S216" r:id="rId69" display="https://cccbdb.nist.gov/quadrupole3x.asp?method=79&amp;basis=18" xr:uid="{9E40FDCE-C7CE-ED4E-A3DA-68801F968007}"/>
    <hyperlink ref="S217" r:id="rId70" display="https://cccbdb.nist.gov/quadrupole3x.asp?method=79&amp;basis=18" xr:uid="{DDC89A56-867E-524F-86D9-6774326A67BD}"/>
    <hyperlink ref="S218" r:id="rId71" display="https://cccbdb.nist.gov/quadrupole3x.asp?method=79&amp;basis=18" xr:uid="{26F96DD2-687F-8047-8639-F769000FBD93}"/>
    <hyperlink ref="S219" r:id="rId72" display="https://cccbdb.nist.gov/quadrupole3x.asp?method=79&amp;basis=18" xr:uid="{6356F91A-73E2-F745-B39E-1DCF458362F8}"/>
    <hyperlink ref="S214" r:id="rId73" display="https://cccbdb.nist.gov/quadrupole3x.asp?method=79&amp;basis=18" xr:uid="{CFFB90F5-8BD5-464E-898A-ABB35FE17757}"/>
    <hyperlink ref="S221" r:id="rId74" display="https://cccbdb.nist.gov/quadrupole3x.asp?method=79&amp;basis=18" xr:uid="{5AF979F5-2AD8-D248-90DC-6EB7851D931D}"/>
    <hyperlink ref="S39" r:id="rId75" display="https://cccbdb.nist.gov/quadrupole3x.asp?method=79&amp;basis=6" xr:uid="{BFA43DB6-A13E-304E-8D85-FA2DE1F48B17}"/>
    <hyperlink ref="S151" r:id="rId76" display="https://cccbdb.nist.gov/quadrupole3x.asp?method=79&amp;basis=18" xr:uid="{F9447674-9736-0148-84BD-C4B41D16FE8F}"/>
    <hyperlink ref="S187" r:id="rId77" display="https://cccbdb.nist.gov/quadrupole3x.asp?method=79&amp;basis=18" xr:uid="{3C5FC679-0513-7F47-B146-065035F75E93}"/>
    <hyperlink ref="S198" r:id="rId78" display="https://cccbdb.nist.gov/quadrupole3x.asp?method=79&amp;basis=18" xr:uid="{0297CFBA-93DC-F040-A9FC-351C6D36D75A}"/>
    <hyperlink ref="S17" r:id="rId79" display="https://cccbdb.nist.gov/quadrupole3x.asp?method=65&amp;basis=18" xr:uid="{43FC8A61-E05D-5344-AA60-414625BC88E1}"/>
    <hyperlink ref="S45" r:id="rId80" display="https://cccbdb.nist.gov/quadrupole3x.asp?method=65&amp;basis=18" xr:uid="{39EC1FBD-49D1-EF47-B05C-BBE9A590841D}"/>
    <hyperlink ref="S61" r:id="rId81" display="https://cccbdb.nist.gov/quadrupole3x.asp?method=11&amp;basis=35" xr:uid="{25974D18-6BC0-E448-B7BC-DAC49D94F73F}"/>
    <hyperlink ref="S62" r:id="rId82" display="https://cccbdb.nist.gov/quadrupole3x.asp?method=11&amp;basis=35" xr:uid="{5F950FFF-F7AC-9C4F-BFA0-7E1924544126}"/>
    <hyperlink ref="S63" r:id="rId83" display="https://cccbdb.nist.gov/quadrupole3x.asp?method=11&amp;basis=35" xr:uid="{1917A9E6-667C-C04A-8001-1A3DB8EB03DB}"/>
    <hyperlink ref="S64" r:id="rId84" display="https://cccbdb.nist.gov/quadrupole3x.asp?method=11&amp;basis=35" xr:uid="{6A95CD5C-67D5-C94C-86BB-C639351509F7}"/>
    <hyperlink ref="S129" r:id="rId85" display="https://cccbdb.nist.gov/quadrupole3x.asp?method=11&amp;basis=26" xr:uid="{120DE966-6C27-5946-B951-73B1D21E5F9B}"/>
    <hyperlink ref="S130" r:id="rId86" display="https://cccbdb.nist.gov/quadrupole3x.asp?method=11&amp;basis=26" xr:uid="{E4BF8059-A3B5-9748-9493-B4DF4843B88A}"/>
    <hyperlink ref="S95" r:id="rId87" display="https://cccbdb.nist.gov/quadrupole3x.asp?method=11&amp;basis=26" xr:uid="{14F0FC3F-A566-6F48-818F-1A7DD2BCC74B}"/>
    <hyperlink ref="S88" r:id="rId88" display="https://cccbdb.nist.gov/quadrupole3x.asp?method=11&amp;basis=35" xr:uid="{6AAD74EA-FC77-5344-A8B3-5124F091BB59}"/>
    <hyperlink ref="S43" r:id="rId89" display="https://cccbdb.nist.gov/quadrupole3x.asp?method=11&amp;basis=35" xr:uid="{406430D3-6AA6-DF4C-AC14-36B81F8097C8}"/>
    <hyperlink ref="S44" r:id="rId90" display="https://cccbdb.nist.gov/quadrupole3x.asp?method=11&amp;basis=35" xr:uid="{CCE46D73-1296-244A-A72D-6F818442AF2F}"/>
    <hyperlink ref="S150" r:id="rId91" display="https://cccbdb.nist.gov/quadrupole3x.asp?method=3&amp;basis=24" xr:uid="{1EFB23C2-2E4F-A34F-940E-4BF39AE7B190}"/>
    <hyperlink ref="S21" r:id="rId92" display="https://cccbdb.nist.gov/quadrupole3x.asp?method=3&amp;basis=27" xr:uid="{F9D25B2D-2BF5-2C4B-8BAD-33FC64375807}"/>
    <hyperlink ref="S22" r:id="rId93" display="https://cccbdb.nist.gov/quadrupole3x.asp?method=3&amp;basis=27" xr:uid="{BC2D8486-4121-C94E-88CD-00E462484F6B}"/>
    <hyperlink ref="S8" r:id="rId94" display="https://cccbdb.nist.gov/quadrupole3x.asp?method=11&amp;basis=35" xr:uid="{677EC4A1-9F02-F541-89A1-A01A00F6DE4C}"/>
    <hyperlink ref="S189" r:id="rId95" display="https://cccbdb.nist.gov/quadrupole3x.asp?method=11&amp;basis=33" xr:uid="{F13EDEEC-4788-1249-AE0D-CA8463F38E4A}"/>
    <hyperlink ref="S190" r:id="rId96" display="https://cccbdb.nist.gov/quadrupole3x.asp?method=11&amp;basis=33" xr:uid="{D790EAAA-D7C2-2248-AFDA-3718F6726A6B}"/>
    <hyperlink ref="S191" r:id="rId97" display="https://cccbdb.nist.gov/quadrupole3x.asp?method=11&amp;basis=33" xr:uid="{E38081F3-2228-F64F-BA08-00B22EACF9D9}"/>
    <hyperlink ref="S192" r:id="rId98" display="https://cccbdb.nist.gov/quadrupole3x.asp?method=11&amp;basis=33" xr:uid="{1D6EB120-A0CC-C146-A1AD-B84BDC99A603}"/>
    <hyperlink ref="S175" r:id="rId99" display="https://cccbdb.nist.gov/quadrupole3x.asp?method=11&amp;basis=35" xr:uid="{0F4C5A4F-D7C7-3241-9F44-3288A5541F44}"/>
    <hyperlink ref="S92" r:id="rId100" display="https://cccbdb.nist.gov/quadrupole3x.asp?method=79&amp;basis=18" xr:uid="{1AC7A236-078F-864E-896C-DE51C23567F0}"/>
    <hyperlink ref="S57" r:id="rId101" display="https://cccbdb.nist.gov/quadrupole3x.asp?method=65&amp;basis=18" xr:uid="{8304D21E-7155-F94D-8EDE-4F5EC7C36AA1}"/>
    <hyperlink ref="S58" r:id="rId102" display="https://cccbdb.nist.gov/quadrupole3x.asp?method=65&amp;basis=18" xr:uid="{2E3C62C8-EC40-8D4C-9E1C-9A31E34CE5DF}"/>
    <hyperlink ref="S156" r:id="rId103" display="https://cccbdb.nist.gov/quadrupole3x.asp?method=79&amp;basis=18" xr:uid="{A5FB1890-7870-E542-A92B-DE4454095ADC}"/>
    <hyperlink ref="S84" r:id="rId104" display="https://cccbdb.nist.gov/quadrupole3x.asp?method=79&amp;basis=18" xr:uid="{4A78B461-38D2-3544-B864-B2A68B719657}"/>
    <hyperlink ref="S121" r:id="rId105" display="https://cccbdb.nist.gov/quadrupole3x.asp?method=79&amp;basis=18" xr:uid="{AF4CD157-BD57-E74A-8DF7-56BF661074F8}"/>
    <hyperlink ref="S225" r:id="rId106" display="https://cccbdb.nist.gov/quadrupole3x.asp?method=79&amp;basis=18" xr:uid="{18DD0B73-0CB2-864F-BD0E-A05F0D7C3523}"/>
    <hyperlink ref="S226" r:id="rId107" display="https://cccbdb.nist.gov/quadrupole3x.asp?method=79&amp;basis=18" xr:uid="{D0AE9BE1-A95E-C849-9C2F-F72381294574}"/>
    <hyperlink ref="S227" r:id="rId108" display="https://cccbdb.nist.gov/quadrupole3x.asp?method=79&amp;basis=18" xr:uid="{FEC75BF8-A3AF-4B42-91CC-E7745D521764}"/>
    <hyperlink ref="S228" r:id="rId109" display="https://cccbdb.nist.gov/quadrupole3x.asp?method=79&amp;basis=18" xr:uid="{8FCF14CA-FF04-A14E-9991-A974C9895354}"/>
    <hyperlink ref="S229" r:id="rId110" display="https://cccbdb.nist.gov/quadrupole3x.asp?method=79&amp;basis=18" xr:uid="{F77D4BB0-A89D-5A42-B59F-AA2A61B1DFCF}"/>
    <hyperlink ref="S223" r:id="rId111" display="https://cccbdb.nist.gov/quadrupole3x.asp?method=79&amp;basis=18" xr:uid="{1CF545BD-5902-684C-AFED-CA943AC12E84}"/>
    <hyperlink ref="S224" r:id="rId112" display="https://cccbdb.nist.gov/quadrupole3x.asp?method=79&amp;basis=18" xr:uid="{3177F23C-1E66-D749-AA1E-2049EC3DA237}"/>
    <hyperlink ref="S83" r:id="rId113" display="https://cccbdb.nist.gov/quadrupole3x.asp?method=3&amp;basis=7" xr:uid="{71391E69-673C-9546-8BD8-7119906E2A6E}"/>
    <hyperlink ref="H112" r:id="rId114" xr:uid="{C5C681AD-CA61-CE4A-B40D-790F22CBD074}"/>
    <hyperlink ref="F101" r:id="rId115" xr:uid="{6EE426E5-EAC0-5A45-9B84-E4D3441ACA38}"/>
    <hyperlink ref="S93" r:id="rId116" display="https://cccbdb.nist.gov/quadrupole3x.asp?method=3&amp;basis=7" xr:uid="{19CA754A-DE5E-F84F-874D-AD1A852BD81A}"/>
    <hyperlink ref="S94" r:id="rId117" display="https://cccbdb.nist.gov/quadrupole3x.asp?method=3&amp;basis=7" xr:uid="{454E23B2-5675-0D45-875F-4D81F3BF4BFF}"/>
    <hyperlink ref="F232" r:id="rId118" display="https://discovery.ucl.ac.uk/id/eprint/14899/ (Preparatory work for C 3 line-list calculation)" xr:uid="{622F15E1-512F-D748-8274-AF70779C6351}"/>
    <hyperlink ref="G232" r:id="rId119" display="https://cccbdb.nist.gov/polcalc3x.asp?method=90&amp;basis=35" xr:uid="{29D2DED6-8DFE-714C-B6F0-8919D8C8EBBE}"/>
    <hyperlink ref="G230" r:id="rId120" display="https://cccbdb.nist.gov/polcalc3x.asp?method=90&amp;basis=6" xr:uid="{C0BEED43-3AD3-A041-BCD0-FF3CF5594A49}"/>
    <hyperlink ref="E231" r:id="rId121" display="https://cccbdb.nist.gov/dipole3x.asp?method=90&amp;basis=35" xr:uid="{3DEE7BF9-10B8-674A-8036-9FAD9E1E440D}"/>
    <hyperlink ref="G231" r:id="rId122" display="https://cccbdb.nist.gov/polcalc3x.asp?method=90&amp;basis=35" xr:uid="{39AD4FA9-651D-F542-B9CA-229126A66F0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Guest, Elizabeth</dc:creator>
  <cp:lastModifiedBy>Guest, Elizabeth</cp:lastModifiedBy>
  <dcterms:created xsi:type="dcterms:W3CDTF">2025-07-11T15:49:21Z</dcterms:created>
  <dcterms:modified xsi:type="dcterms:W3CDTF">2026-01-13T13:41:49Z</dcterms:modified>
</cp:coreProperties>
</file>