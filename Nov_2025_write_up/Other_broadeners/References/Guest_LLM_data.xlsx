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lizabeth/Desktop/line_broadening.nosync/line_broadening/Other_broadeners/References/"/>
    </mc:Choice>
  </mc:AlternateContent>
  <xr:revisionPtr revIDLastSave="0" documentId="13_ncr:1_{A7D9E7A6-876E-7446-9906-FA7E01888A68}" xr6:coauthVersionLast="47" xr6:coauthVersionMax="47" xr10:uidLastSave="{00000000-0000-0000-0000-000000000000}"/>
  <bookViews>
    <workbookView xWindow="0" yWindow="0" windowWidth="28800" windowHeight="18000" firstSheet="56" activeTab="64" xr2:uid="{BA476ACE-DFC0-DC40-BE8C-3141DFBEAB43}"/>
  </bookViews>
  <sheets>
    <sheet name="303 HBr by CO2" sheetId="1" r:id="rId1"/>
    <sheet name="304 HF by CO2" sheetId="2" r:id="rId2"/>
    <sheet name="307 N2 by H2" sheetId="3" r:id="rId3"/>
    <sheet name="308 N2 by H2" sheetId="4" r:id="rId4"/>
    <sheet name="310 N2 by CO2" sheetId="5" r:id="rId5"/>
    <sheet name="311 N2 by CO" sheetId="6" r:id="rId6"/>
    <sheet name="312 HCN by N2" sheetId="7" r:id="rId7"/>
    <sheet name="313 H2O by He" sheetId="8" r:id="rId8"/>
    <sheet name="316 CO by H2" sheetId="9" r:id="rId9"/>
    <sheet name="317 CO by air and H2" sheetId="11" r:id="rId10"/>
    <sheet name="318 CO by O2, N2, H2, He, CO2, " sheetId="10" r:id="rId11"/>
    <sheet name="319 H2O by H2 and He" sheetId="16" r:id="rId12"/>
    <sheet name="321 H2O by H2" sheetId="12" r:id="rId13"/>
    <sheet name="322 H2O by H2 and He" sheetId="14" r:id="rId14"/>
    <sheet name="324 13C12CH4 by self" sheetId="17" r:id="rId15"/>
    <sheet name="325 13CO and C18O by air" sheetId="19" r:id="rId16"/>
    <sheet name="327 CH4 by C3H8 and C4H10" sheetId="18" r:id="rId17"/>
    <sheet name="328 H2O by He, Ar, Kr" sheetId="20" r:id="rId18"/>
    <sheet name="329 CO by CO2" sheetId="21" r:id="rId19"/>
    <sheet name="330 C2H2 by CO2" sheetId="22" r:id="rId20"/>
    <sheet name="335 H2O by O2" sheetId="25" r:id="rId21"/>
    <sheet name="336 H2O by He" sheetId="26" r:id="rId22"/>
    <sheet name="337 H2O by CO2" sheetId="24" r:id="rId23"/>
    <sheet name="339 H2O by Ar" sheetId="27" r:id="rId24"/>
    <sheet name="340 H2O by Ar, He, Ne, Kr" sheetId="28" r:id="rId25"/>
    <sheet name="341 H2S by self, H2O, N2, O2, H" sheetId="29" r:id="rId26"/>
    <sheet name="343 H2O by He" sheetId="23" r:id="rId27"/>
    <sheet name="344 H2O–H2O, NH3–NH3, DCl–HCl a" sheetId="30" r:id="rId28"/>
    <sheet name="345 H2S by He, Ne, Ar, Kr, Xe" sheetId="31" r:id="rId29"/>
    <sheet name="346 H2S by He" sheetId="32" r:id="rId30"/>
    <sheet name="347 NH3 by Ar and He" sheetId="33" r:id="rId31"/>
    <sheet name="348 H2S by He, Ne, Ar, Kr, Xe" sheetId="34" r:id="rId32"/>
    <sheet name="349 H2O by He, Ar, Kr" sheetId="35" r:id="rId33"/>
    <sheet name="350 NH3 by Ar and He" sheetId="36" r:id="rId34"/>
    <sheet name="351 H2O by N2, Ar and He" sheetId="37" r:id="rId35"/>
    <sheet name="352 H2O by Ne, Kr and Xe" sheetId="38" r:id="rId36"/>
    <sheet name="354 H2O by Ne, Kr and Xe" sheetId="40" r:id="rId37"/>
    <sheet name="355 H2O by Ar, Kr, H2 and He" sheetId="41" r:id="rId38"/>
    <sheet name="357 H2O by CO2" sheetId="42" r:id="rId39"/>
    <sheet name="358 H2O by He, Ar, Kr and Xe" sheetId="43" r:id="rId40"/>
    <sheet name="360 H2O by H2" sheetId="45" r:id="rId41"/>
    <sheet name="361 H2O by He" sheetId="46" r:id="rId42"/>
    <sheet name="363 H2O by Ar" sheetId="48" r:id="rId43"/>
    <sheet name="365 H2O by H2" sheetId="50" r:id="rId44"/>
    <sheet name="366 SO2 by CO2" sheetId="51" r:id="rId45"/>
    <sheet name="367 H2O by Kr" sheetId="52" r:id="rId46"/>
    <sheet name="368 H2O by Kr" sheetId="53" r:id="rId47"/>
    <sheet name="370 H2O by Xe" sheetId="55" r:id="rId48"/>
    <sheet name="371 H2O by CO2" sheetId="56" r:id="rId49"/>
    <sheet name="372 H2O by Xe" sheetId="57" r:id="rId50"/>
    <sheet name="373 H2O by CO2" sheetId="58" r:id="rId51"/>
    <sheet name="374 H2O by CO2" sheetId="59" r:id="rId52"/>
    <sheet name="375 HDO by CO2" sheetId="60" r:id="rId53"/>
    <sheet name="47 NO by H2O, O2 and NO" sheetId="61" r:id="rId54"/>
    <sheet name="162 Br2 by Ar and self, HD ELEC" sheetId="62" r:id="rId55"/>
    <sheet name="378 NH3 by N2, O2, H2, Ar, He" sheetId="63" r:id="rId56"/>
    <sheet name="379 HDO by CO2" sheetId="64" r:id="rId57"/>
    <sheet name="380 HCl, HF by Ar, N2 " sheetId="65" r:id="rId58"/>
    <sheet name="382 CO by H2" sheetId="67" r:id="rId59"/>
    <sheet name="383 C2H2 by H2" sheetId="68" r:id="rId60"/>
    <sheet name="384 CO2 by He" sheetId="69" r:id="rId61"/>
    <sheet name="385 N2 by Ar" sheetId="70" r:id="rId62"/>
    <sheet name="386 N2 by H2" sheetId="71" r:id="rId63"/>
    <sheet name="387 CO by Ar" sheetId="72" r:id="rId64"/>
    <sheet name="389 CO by CO, N2, Ar" sheetId="73" r:id="rId6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70" l="1"/>
  <c r="J3" i="70"/>
  <c r="J4" i="70"/>
  <c r="J5" i="70"/>
  <c r="J6" i="70"/>
  <c r="J7" i="70"/>
  <c r="J8" i="70"/>
  <c r="J9" i="70"/>
  <c r="J10" i="70"/>
  <c r="J11" i="70"/>
  <c r="J12" i="70"/>
  <c r="J13" i="70"/>
  <c r="J15" i="70"/>
  <c r="J16" i="70"/>
  <c r="J17" i="70"/>
  <c r="J18" i="70"/>
  <c r="J19" i="70"/>
  <c r="J20" i="70"/>
  <c r="J21" i="70"/>
  <c r="J22" i="70"/>
  <c r="J23" i="70"/>
  <c r="J2" i="70"/>
  <c r="K92" i="69"/>
  <c r="K93" i="69"/>
  <c r="K94" i="69"/>
  <c r="K95" i="69"/>
  <c r="K96" i="69"/>
  <c r="K97" i="69"/>
  <c r="K98" i="69"/>
  <c r="K99" i="69"/>
  <c r="K100" i="69"/>
  <c r="K101" i="69"/>
  <c r="K102" i="69"/>
  <c r="K103" i="69"/>
  <c r="K104" i="69"/>
  <c r="K105" i="69"/>
  <c r="K106" i="69"/>
  <c r="K107" i="69"/>
  <c r="K108" i="69"/>
  <c r="K109" i="69"/>
  <c r="K110" i="69"/>
  <c r="K111" i="69"/>
  <c r="K112" i="69"/>
  <c r="K113" i="69"/>
  <c r="K114" i="69"/>
  <c r="K115" i="69"/>
  <c r="K78" i="69"/>
  <c r="K79" i="69"/>
  <c r="K80" i="69"/>
  <c r="K81" i="69"/>
  <c r="K82" i="69"/>
  <c r="K83" i="69"/>
  <c r="K84" i="69"/>
  <c r="K85" i="69"/>
  <c r="K86" i="69"/>
  <c r="K87" i="69"/>
  <c r="K88" i="69"/>
  <c r="K89" i="69"/>
  <c r="K90" i="69"/>
  <c r="K91" i="69"/>
  <c r="K116" i="69"/>
  <c r="K117" i="69"/>
  <c r="K118" i="69"/>
  <c r="K119" i="69"/>
  <c r="K120" i="69"/>
  <c r="K121" i="69"/>
  <c r="K122" i="69"/>
  <c r="K123" i="69"/>
  <c r="K124" i="69"/>
  <c r="K125" i="69"/>
  <c r="K126" i="69"/>
  <c r="K127" i="69"/>
  <c r="K128" i="69"/>
  <c r="K129" i="69"/>
  <c r="K130" i="69"/>
  <c r="K131" i="69"/>
  <c r="K132" i="69"/>
  <c r="K133" i="69"/>
  <c r="K134" i="69"/>
  <c r="K135" i="69"/>
  <c r="K136" i="69"/>
  <c r="K137" i="69"/>
  <c r="K138" i="69"/>
  <c r="K139" i="69"/>
  <c r="K140" i="69"/>
  <c r="K141" i="69"/>
  <c r="K142" i="69"/>
  <c r="K143" i="69"/>
  <c r="K144" i="69"/>
  <c r="K145" i="69"/>
  <c r="K146" i="69"/>
  <c r="K147" i="69"/>
  <c r="K148" i="69"/>
  <c r="K149" i="69"/>
  <c r="K150" i="69"/>
  <c r="K151" i="69"/>
  <c r="K152" i="69"/>
  <c r="K153" i="69"/>
  <c r="K154" i="69"/>
  <c r="K155" i="69"/>
  <c r="K156" i="69"/>
  <c r="K157" i="69"/>
  <c r="K158" i="69"/>
  <c r="K159" i="69"/>
  <c r="K160" i="69"/>
  <c r="K161" i="69"/>
  <c r="K162" i="69"/>
  <c r="K163" i="69"/>
  <c r="K164" i="69"/>
  <c r="K165" i="69"/>
  <c r="K166" i="69"/>
  <c r="K167" i="69"/>
  <c r="K71" i="69"/>
  <c r="K72" i="69"/>
  <c r="K73" i="69"/>
  <c r="K74" i="69"/>
  <c r="K75" i="69"/>
  <c r="K76" i="69"/>
  <c r="K77" i="69"/>
  <c r="K46" i="69"/>
  <c r="K47" i="69"/>
  <c r="K48" i="69"/>
  <c r="K49" i="69"/>
  <c r="K50" i="69"/>
  <c r="K51" i="69"/>
  <c r="K52" i="69"/>
  <c r="K53" i="69"/>
  <c r="K54" i="69"/>
  <c r="K55" i="69"/>
  <c r="K56" i="69"/>
  <c r="K57" i="69"/>
  <c r="K58" i="69"/>
  <c r="K59" i="69"/>
  <c r="K60" i="69"/>
  <c r="K61" i="69"/>
  <c r="K62" i="69"/>
  <c r="K63" i="69"/>
  <c r="K64" i="69"/>
  <c r="K65" i="69"/>
  <c r="K66" i="69"/>
  <c r="K67" i="69"/>
  <c r="K68" i="69"/>
  <c r="K69" i="69"/>
  <c r="K70" i="69"/>
  <c r="K3" i="69"/>
  <c r="K4" i="69"/>
  <c r="K5" i="69"/>
  <c r="K6" i="69"/>
  <c r="K7" i="69"/>
  <c r="K8" i="69"/>
  <c r="K9" i="69"/>
  <c r="K10" i="69"/>
  <c r="K11" i="69"/>
  <c r="K12" i="69"/>
  <c r="K13" i="69"/>
  <c r="K14" i="69"/>
  <c r="K15" i="69"/>
  <c r="K16" i="69"/>
  <c r="K17" i="69"/>
  <c r="K18" i="69"/>
  <c r="K19" i="69"/>
  <c r="K20" i="69"/>
  <c r="K21" i="69"/>
  <c r="K22" i="69"/>
  <c r="K23" i="69"/>
  <c r="K24" i="69"/>
  <c r="K25" i="69"/>
  <c r="K26" i="69"/>
  <c r="K27" i="69"/>
  <c r="K28" i="69"/>
  <c r="K29" i="69"/>
  <c r="K30" i="69"/>
  <c r="K31" i="69"/>
  <c r="K32" i="69"/>
  <c r="K33" i="69"/>
  <c r="K34" i="69"/>
  <c r="K35" i="69"/>
  <c r="K36" i="69"/>
  <c r="K37" i="69"/>
  <c r="K38" i="69"/>
  <c r="K39" i="69"/>
  <c r="K40" i="69"/>
  <c r="K41" i="69"/>
  <c r="K42" i="69"/>
  <c r="K43" i="69"/>
  <c r="K44" i="69"/>
  <c r="K45" i="69"/>
  <c r="K2" i="69"/>
  <c r="K20" i="68"/>
  <c r="K21" i="68"/>
  <c r="K22" i="68"/>
  <c r="K23" i="68"/>
  <c r="K24" i="68"/>
  <c r="K25" i="68"/>
  <c r="K26" i="68"/>
  <c r="K27" i="68"/>
  <c r="K28" i="68"/>
  <c r="K29" i="68"/>
  <c r="K30" i="68"/>
  <c r="K31" i="68"/>
  <c r="K32" i="68"/>
  <c r="K33" i="68"/>
  <c r="K34" i="68"/>
  <c r="K35" i="68"/>
  <c r="K36" i="68"/>
  <c r="K37" i="68"/>
  <c r="K38" i="68"/>
  <c r="K39" i="68"/>
  <c r="K40" i="68"/>
  <c r="K41" i="68"/>
  <c r="K42" i="68"/>
  <c r="K43" i="68"/>
  <c r="K44" i="68"/>
  <c r="K46" i="68"/>
  <c r="K47" i="68"/>
  <c r="K48" i="68"/>
  <c r="K49" i="68"/>
  <c r="K50" i="68"/>
  <c r="K51" i="68"/>
  <c r="K52" i="68"/>
  <c r="K53" i="68"/>
  <c r="K54" i="68"/>
  <c r="K55" i="68"/>
  <c r="K56" i="68"/>
  <c r="K57" i="68"/>
  <c r="K58" i="68"/>
  <c r="K59" i="68"/>
  <c r="K60" i="68"/>
  <c r="K61" i="68"/>
  <c r="K62" i="68"/>
  <c r="K63" i="68"/>
  <c r="K64" i="68"/>
  <c r="K65" i="68"/>
  <c r="K66" i="68"/>
  <c r="K67" i="68"/>
  <c r="K68" i="68"/>
  <c r="K69" i="68"/>
  <c r="K70" i="68"/>
  <c r="K19" i="68"/>
  <c r="K4" i="67"/>
  <c r="K5" i="67"/>
  <c r="K6" i="67"/>
  <c r="K7" i="67"/>
  <c r="K8" i="67"/>
  <c r="K9" i="67"/>
  <c r="K10" i="67"/>
  <c r="K11" i="67"/>
  <c r="K12" i="67"/>
  <c r="K13" i="67"/>
  <c r="K14" i="67"/>
  <c r="K15" i="67"/>
  <c r="K16" i="67"/>
  <c r="K17" i="67"/>
  <c r="K18" i="67"/>
  <c r="K19" i="67"/>
  <c r="K20" i="67"/>
  <c r="K21" i="67"/>
  <c r="K22" i="67"/>
  <c r="K23" i="67"/>
  <c r="K24" i="67"/>
  <c r="K25" i="67"/>
  <c r="K26" i="67"/>
  <c r="K3" i="67"/>
  <c r="K2" i="67"/>
  <c r="K53" i="65"/>
  <c r="K54" i="65"/>
  <c r="K55" i="65"/>
  <c r="K4" i="65"/>
  <c r="K5" i="65"/>
  <c r="K6" i="65"/>
  <c r="K7" i="65"/>
  <c r="K8" i="65"/>
  <c r="K9" i="65"/>
  <c r="K10" i="65"/>
  <c r="K11" i="65"/>
  <c r="K12" i="65"/>
  <c r="K13" i="65"/>
  <c r="K14" i="65"/>
  <c r="K15" i="65"/>
  <c r="K16" i="65"/>
  <c r="K17" i="65"/>
  <c r="K18" i="65"/>
  <c r="K19" i="65"/>
  <c r="K20" i="65"/>
  <c r="K21" i="65"/>
  <c r="K22" i="65"/>
  <c r="K23" i="65"/>
  <c r="K24" i="65"/>
  <c r="K25" i="65"/>
  <c r="K26" i="65"/>
  <c r="K27" i="65"/>
  <c r="K28" i="65"/>
  <c r="K29" i="65"/>
  <c r="K30" i="65"/>
  <c r="K31" i="65"/>
  <c r="K32" i="65"/>
  <c r="K33" i="65"/>
  <c r="K34" i="65"/>
  <c r="K35" i="65"/>
  <c r="K36" i="65"/>
  <c r="K37" i="65"/>
  <c r="K38" i="65"/>
  <c r="K39" i="65"/>
  <c r="K40" i="65"/>
  <c r="K41" i="65"/>
  <c r="K42" i="65"/>
  <c r="K43" i="65"/>
  <c r="K44" i="65"/>
  <c r="K45" i="65"/>
  <c r="K46" i="65"/>
  <c r="K47" i="65"/>
  <c r="K48" i="65"/>
  <c r="K49" i="65"/>
  <c r="K50" i="65"/>
  <c r="K51" i="65"/>
  <c r="K52" i="65"/>
  <c r="K3" i="65"/>
  <c r="K2" i="65"/>
  <c r="C3" i="65"/>
  <c r="C4" i="65"/>
  <c r="C5" i="65"/>
  <c r="C6" i="65"/>
  <c r="C7" i="65"/>
  <c r="C8" i="65"/>
  <c r="C9" i="65"/>
  <c r="C10" i="65"/>
  <c r="C11" i="65"/>
  <c r="C12" i="65"/>
  <c r="C13" i="65"/>
  <c r="C14" i="65"/>
  <c r="C15" i="65"/>
  <c r="C16" i="65"/>
  <c r="C48" i="65"/>
  <c r="C49" i="65"/>
  <c r="C50" i="65"/>
  <c r="C51" i="65"/>
  <c r="C52" i="65"/>
  <c r="C53" i="65"/>
  <c r="C54" i="65"/>
  <c r="C55" i="65"/>
  <c r="C2" i="65"/>
  <c r="L3" i="63"/>
  <c r="L4" i="63"/>
  <c r="L5" i="63"/>
  <c r="L6" i="63"/>
  <c r="L7" i="63"/>
  <c r="L8" i="63"/>
  <c r="L9" i="63"/>
  <c r="L10" i="63"/>
  <c r="L11" i="63"/>
  <c r="L12" i="63"/>
  <c r="L13" i="63"/>
  <c r="L14" i="63"/>
  <c r="L15" i="63"/>
  <c r="L16" i="63"/>
  <c r="L17" i="63"/>
  <c r="L18" i="63"/>
  <c r="L19" i="63"/>
  <c r="L20" i="63"/>
  <c r="L21" i="63"/>
  <c r="L22" i="63"/>
  <c r="L23" i="63"/>
  <c r="L24" i="63"/>
  <c r="L25" i="63"/>
  <c r="L26" i="63"/>
  <c r="L27" i="63"/>
  <c r="L28" i="63"/>
  <c r="L29" i="63"/>
  <c r="L30" i="63"/>
  <c r="L31" i="63"/>
  <c r="L32" i="63"/>
  <c r="L33" i="63"/>
  <c r="L34" i="63"/>
  <c r="L35" i="63"/>
  <c r="L36" i="63"/>
  <c r="L37" i="63"/>
  <c r="L38" i="63"/>
  <c r="L39" i="63"/>
  <c r="L40" i="63"/>
  <c r="L41" i="63"/>
  <c r="L42" i="63"/>
  <c r="L43" i="63"/>
  <c r="L44" i="63"/>
  <c r="L45" i="63"/>
  <c r="L46" i="63"/>
  <c r="L47" i="63"/>
  <c r="L48" i="63"/>
  <c r="L49" i="63"/>
  <c r="L50" i="63"/>
  <c r="L51" i="63"/>
  <c r="L52" i="63"/>
  <c r="L53" i="63"/>
  <c r="L54" i="63"/>
  <c r="L55" i="63"/>
  <c r="L56" i="63"/>
  <c r="L57" i="63"/>
  <c r="L58" i="63"/>
  <c r="L59" i="63"/>
  <c r="L60" i="63"/>
  <c r="L61" i="63"/>
  <c r="L62" i="63"/>
  <c r="L63" i="63"/>
  <c r="L64" i="63"/>
  <c r="L65" i="63"/>
  <c r="L66" i="63"/>
  <c r="L67" i="63"/>
  <c r="L68" i="63"/>
  <c r="L69" i="63"/>
  <c r="L70" i="63"/>
  <c r="L71" i="63"/>
  <c r="L72" i="63"/>
  <c r="L73" i="63"/>
  <c r="L74" i="63"/>
  <c r="L75" i="63"/>
  <c r="L76" i="63"/>
  <c r="L77" i="63"/>
  <c r="L78" i="63"/>
  <c r="L79" i="63"/>
  <c r="L80" i="63"/>
  <c r="L81" i="63"/>
  <c r="L82" i="63"/>
  <c r="L83" i="63"/>
  <c r="L84" i="63"/>
  <c r="L85" i="63"/>
  <c r="L86" i="63"/>
  <c r="L87" i="63"/>
  <c r="L88" i="63"/>
  <c r="L89" i="63"/>
  <c r="L90" i="63"/>
  <c r="L91" i="63"/>
  <c r="L92" i="63"/>
  <c r="L93" i="63"/>
  <c r="L94" i="63"/>
  <c r="L95" i="63"/>
  <c r="L96" i="63"/>
  <c r="L97" i="63"/>
  <c r="L98" i="63"/>
  <c r="L99" i="63"/>
  <c r="L100" i="63"/>
  <c r="L101" i="63"/>
  <c r="L102" i="63"/>
  <c r="L103" i="63"/>
  <c r="L104" i="63"/>
  <c r="L105" i="63"/>
  <c r="L106" i="63"/>
  <c r="L107" i="63"/>
  <c r="L108" i="63"/>
  <c r="L109" i="63"/>
  <c r="L110" i="63"/>
  <c r="L111" i="63"/>
  <c r="L112" i="63"/>
  <c r="L113" i="63"/>
  <c r="L114" i="63"/>
  <c r="L115" i="63"/>
  <c r="L116" i="63"/>
  <c r="L117" i="63"/>
  <c r="L118" i="63"/>
  <c r="L119" i="63"/>
  <c r="L120" i="63"/>
  <c r="L121" i="63"/>
  <c r="L122" i="63"/>
  <c r="L123" i="63"/>
  <c r="L124" i="63"/>
  <c r="L125" i="63"/>
  <c r="L126" i="63"/>
  <c r="L127" i="63"/>
  <c r="L128" i="63"/>
  <c r="L129" i="63"/>
  <c r="L130" i="63"/>
  <c r="L131" i="63"/>
  <c r="L132" i="63"/>
  <c r="L133" i="63"/>
  <c r="L134" i="63"/>
  <c r="L135" i="63"/>
  <c r="L136" i="63"/>
  <c r="L137" i="63"/>
  <c r="L138" i="63"/>
  <c r="L139" i="63"/>
  <c r="L140" i="63"/>
  <c r="L141" i="63"/>
  <c r="L142" i="63"/>
  <c r="L143" i="63"/>
  <c r="L144" i="63"/>
  <c r="L145" i="63"/>
  <c r="L146" i="63"/>
  <c r="L147" i="63"/>
  <c r="L148" i="63"/>
  <c r="L149" i="63"/>
  <c r="L150" i="63"/>
  <c r="L151" i="63"/>
  <c r="L152" i="63"/>
  <c r="L153" i="63"/>
  <c r="L154" i="63"/>
  <c r="L155" i="63"/>
  <c r="L156" i="63"/>
  <c r="L157" i="63"/>
  <c r="L158" i="63"/>
  <c r="L159" i="63"/>
  <c r="L160" i="63"/>
  <c r="L161" i="63"/>
  <c r="L162" i="63"/>
  <c r="L163" i="63"/>
  <c r="L164" i="63"/>
  <c r="L165" i="63"/>
  <c r="L166" i="63"/>
  <c r="L167" i="63"/>
  <c r="L168" i="63"/>
  <c r="L169" i="63"/>
  <c r="L170" i="63"/>
  <c r="L171" i="63"/>
  <c r="L172" i="63"/>
  <c r="L173" i="63"/>
  <c r="L174" i="63"/>
  <c r="L175" i="63"/>
  <c r="L176" i="63"/>
  <c r="L177" i="63"/>
  <c r="L178" i="63"/>
  <c r="L179" i="63"/>
  <c r="L180" i="63"/>
  <c r="L181" i="63"/>
  <c r="L182" i="63"/>
  <c r="L183" i="63"/>
  <c r="L184" i="63"/>
  <c r="L185" i="63"/>
  <c r="L186" i="63"/>
  <c r="L187" i="63"/>
  <c r="L188" i="63"/>
  <c r="L189" i="63"/>
  <c r="L190" i="63"/>
  <c r="L191" i="63"/>
  <c r="L192" i="63"/>
  <c r="L193" i="63"/>
  <c r="L194" i="63"/>
  <c r="L195" i="63"/>
  <c r="L196" i="63"/>
  <c r="L197" i="63"/>
  <c r="L198" i="63"/>
  <c r="L199" i="63"/>
  <c r="L200" i="63"/>
  <c r="L201" i="63"/>
  <c r="L202" i="63"/>
  <c r="L203" i="63"/>
  <c r="L204" i="63"/>
  <c r="L205" i="63"/>
  <c r="L206" i="63"/>
  <c r="L207" i="63"/>
  <c r="L208" i="63"/>
  <c r="L209" i="63"/>
  <c r="L210" i="63"/>
  <c r="L211" i="63"/>
  <c r="L212" i="63"/>
  <c r="L213" i="63"/>
  <c r="L214" i="63"/>
  <c r="L215" i="63"/>
  <c r="L216" i="63"/>
  <c r="L217" i="63"/>
  <c r="L218" i="63"/>
  <c r="L219" i="63"/>
  <c r="L220" i="63"/>
  <c r="L221" i="63"/>
  <c r="L222" i="63"/>
  <c r="L223" i="63"/>
  <c r="L224" i="63"/>
  <c r="L225" i="63"/>
  <c r="L226" i="63"/>
  <c r="L227" i="63"/>
  <c r="L228" i="63"/>
  <c r="L229" i="63"/>
  <c r="L230" i="63"/>
  <c r="L231" i="63"/>
  <c r="L232" i="63"/>
  <c r="L233" i="63"/>
  <c r="L234" i="63"/>
  <c r="L235" i="63"/>
  <c r="L236" i="63"/>
  <c r="L237" i="63"/>
  <c r="L238" i="63"/>
  <c r="L239" i="63"/>
  <c r="L240" i="63"/>
  <c r="L241" i="63"/>
  <c r="L242" i="63"/>
  <c r="L243" i="63"/>
  <c r="L244" i="63"/>
  <c r="L245" i="63"/>
  <c r="L246" i="63"/>
  <c r="L247" i="63"/>
  <c r="L248" i="63"/>
  <c r="L249" i="63"/>
  <c r="L250" i="63"/>
  <c r="L251" i="63"/>
  <c r="L252" i="63"/>
  <c r="L253" i="63"/>
  <c r="L254" i="63"/>
  <c r="L255" i="63"/>
  <c r="L256" i="63"/>
  <c r="L257" i="63"/>
  <c r="L258" i="63"/>
  <c r="L259" i="63"/>
  <c r="L260" i="63"/>
  <c r="L261" i="63"/>
  <c r="L262" i="63"/>
  <c r="L263" i="63"/>
  <c r="L264" i="63"/>
  <c r="L265" i="63"/>
  <c r="L266" i="63"/>
  <c r="L267" i="63"/>
  <c r="L268" i="63"/>
  <c r="L269" i="63"/>
  <c r="L270" i="63"/>
  <c r="L271" i="63"/>
  <c r="L272" i="63"/>
  <c r="L273" i="63"/>
  <c r="L274" i="63"/>
  <c r="L275" i="63"/>
  <c r="L276" i="63"/>
  <c r="L277" i="63"/>
  <c r="L278" i="63"/>
  <c r="L279" i="63"/>
  <c r="L280" i="63"/>
  <c r="L281" i="63"/>
  <c r="L282" i="63"/>
  <c r="L283" i="63"/>
  <c r="L284" i="63"/>
  <c r="L285" i="63"/>
  <c r="L286" i="63"/>
  <c r="L287" i="63"/>
  <c r="L288" i="63"/>
  <c r="L289" i="63"/>
  <c r="L290" i="63"/>
  <c r="L291" i="63"/>
  <c r="L292" i="63"/>
  <c r="L293" i="63"/>
  <c r="L294" i="63"/>
  <c r="L295" i="63"/>
  <c r="L296" i="63"/>
  <c r="L297" i="63"/>
  <c r="L298" i="63"/>
  <c r="L299" i="63"/>
  <c r="L300" i="63"/>
  <c r="L301" i="63"/>
  <c r="L302" i="63"/>
  <c r="L303" i="63"/>
  <c r="L304" i="63"/>
  <c r="L305" i="63"/>
  <c r="L306" i="63"/>
  <c r="L307" i="63"/>
  <c r="L308" i="63"/>
  <c r="L309" i="63"/>
  <c r="L310" i="63"/>
  <c r="L311" i="63"/>
  <c r="L312" i="63"/>
  <c r="L313" i="63"/>
  <c r="L314" i="63"/>
  <c r="L315" i="63"/>
  <c r="L316" i="63"/>
  <c r="L317" i="63"/>
  <c r="L318" i="63"/>
  <c r="L319" i="63"/>
  <c r="L320" i="63"/>
  <c r="L321" i="63"/>
  <c r="L322" i="63"/>
  <c r="L323" i="63"/>
  <c r="L324" i="63"/>
  <c r="L325" i="63"/>
  <c r="L326" i="63"/>
  <c r="L327" i="63"/>
  <c r="L328" i="63"/>
  <c r="L329" i="63"/>
  <c r="L330" i="63"/>
  <c r="L331" i="63"/>
  <c r="L332" i="63"/>
  <c r="L333" i="63"/>
  <c r="L334" i="63"/>
  <c r="L335" i="63"/>
  <c r="L336" i="63"/>
  <c r="L337" i="63"/>
  <c r="L338" i="63"/>
  <c r="L339" i="63"/>
  <c r="L340" i="63"/>
  <c r="L341" i="63"/>
  <c r="L342" i="63"/>
  <c r="L343" i="63"/>
  <c r="L344" i="63"/>
  <c r="L345" i="63"/>
  <c r="L346" i="63"/>
  <c r="L347" i="63"/>
  <c r="L348" i="63"/>
  <c r="L349" i="63"/>
  <c r="L2" i="63"/>
  <c r="K2" i="64"/>
  <c r="K3" i="64"/>
  <c r="K4" i="64"/>
  <c r="K5" i="64"/>
  <c r="K6" i="64"/>
  <c r="K7" i="64"/>
  <c r="K8" i="64"/>
  <c r="K9" i="64"/>
  <c r="K10" i="64"/>
  <c r="K11" i="64"/>
  <c r="K12" i="64"/>
  <c r="K13" i="64"/>
  <c r="K14" i="64"/>
  <c r="K15" i="64"/>
  <c r="K16" i="64"/>
  <c r="K17" i="64"/>
  <c r="K18" i="64"/>
  <c r="K19" i="64"/>
  <c r="J22" i="58"/>
  <c r="J23" i="58"/>
  <c r="J24" i="58"/>
  <c r="J25" i="58"/>
  <c r="J26" i="58"/>
  <c r="J27" i="58"/>
  <c r="J28" i="58"/>
  <c r="J29" i="58"/>
  <c r="J30" i="58"/>
  <c r="J31" i="58"/>
  <c r="J32" i="58"/>
  <c r="J33" i="58"/>
  <c r="J34" i="58"/>
  <c r="J35" i="58"/>
  <c r="J36" i="58"/>
  <c r="J37" i="58"/>
  <c r="J38" i="58"/>
  <c r="J39" i="58"/>
  <c r="J40" i="58"/>
  <c r="J41" i="58"/>
  <c r="J3" i="58"/>
  <c r="J4" i="58"/>
  <c r="J5" i="58"/>
  <c r="J6" i="58"/>
  <c r="J7" i="58"/>
  <c r="J8" i="58"/>
  <c r="J9" i="58"/>
  <c r="J10" i="58"/>
  <c r="J11" i="58"/>
  <c r="J12" i="58"/>
  <c r="J13" i="58"/>
  <c r="J14" i="58"/>
  <c r="J15" i="58"/>
  <c r="J16" i="58"/>
  <c r="J17" i="58"/>
  <c r="J18" i="58"/>
  <c r="J19" i="58"/>
  <c r="J20" i="58"/>
  <c r="J21" i="58"/>
  <c r="J2" i="58"/>
  <c r="J4" i="55"/>
  <c r="J5" i="55"/>
  <c r="J6" i="55"/>
  <c r="J7" i="55"/>
  <c r="J8" i="55"/>
  <c r="J9" i="55"/>
  <c r="J10" i="55"/>
  <c r="J11" i="55"/>
  <c r="J12" i="55"/>
  <c r="J13" i="55"/>
  <c r="J14" i="55"/>
  <c r="J15" i="55"/>
  <c r="J16" i="55"/>
  <c r="J17" i="55"/>
  <c r="J18" i="55"/>
  <c r="J19" i="55"/>
  <c r="J20" i="55"/>
  <c r="J21" i="55"/>
  <c r="J22" i="55"/>
  <c r="J23" i="55"/>
  <c r="J24" i="55"/>
  <c r="J25" i="55"/>
  <c r="J26" i="55"/>
  <c r="J27" i="55"/>
  <c r="J28" i="55"/>
  <c r="J29" i="55"/>
  <c r="J30" i="55"/>
  <c r="J31" i="55"/>
  <c r="J32" i="55"/>
  <c r="J33" i="55"/>
  <c r="J34" i="55"/>
  <c r="J35" i="55"/>
  <c r="J36" i="55"/>
  <c r="J37" i="55"/>
  <c r="J38" i="55"/>
  <c r="J39" i="55"/>
  <c r="J40" i="55"/>
  <c r="J41" i="55"/>
  <c r="J42" i="55"/>
  <c r="J43" i="55"/>
  <c r="J44" i="55"/>
  <c r="J45" i="55"/>
  <c r="J46" i="55"/>
  <c r="J47" i="55"/>
  <c r="J48" i="55"/>
  <c r="J49" i="55"/>
  <c r="J50" i="55"/>
  <c r="J51" i="55"/>
  <c r="J52" i="55"/>
  <c r="J53" i="55"/>
  <c r="J54" i="55"/>
  <c r="J55" i="55"/>
  <c r="J56" i="55"/>
  <c r="J57" i="55"/>
  <c r="J58" i="55"/>
  <c r="J59" i="55"/>
  <c r="J60" i="55"/>
  <c r="J61" i="55"/>
  <c r="J62" i="55"/>
  <c r="J63" i="55"/>
  <c r="J64" i="55"/>
  <c r="J65" i="55"/>
  <c r="J66" i="55"/>
  <c r="J67" i="55"/>
  <c r="J68" i="55"/>
  <c r="J69" i="55"/>
  <c r="J70" i="55"/>
  <c r="J71" i="55"/>
  <c r="J72" i="55"/>
  <c r="J73" i="55"/>
  <c r="J3" i="55"/>
  <c r="J2" i="55"/>
  <c r="J57" i="53"/>
  <c r="J58" i="53"/>
  <c r="J59" i="53"/>
  <c r="J60" i="53"/>
  <c r="J61" i="53"/>
  <c r="J62" i="53"/>
  <c r="J63" i="53"/>
  <c r="J64" i="53"/>
  <c r="J65" i="53"/>
  <c r="J66" i="53"/>
  <c r="J67" i="53"/>
  <c r="J68" i="53"/>
  <c r="J69" i="53"/>
  <c r="J70" i="53"/>
  <c r="J71" i="53"/>
  <c r="J72" i="53"/>
  <c r="J73" i="53"/>
  <c r="J74" i="53"/>
  <c r="J75" i="53"/>
  <c r="J76" i="53"/>
  <c r="J77" i="53"/>
  <c r="J78" i="53"/>
  <c r="J79" i="53"/>
  <c r="J80" i="53"/>
  <c r="J81" i="53"/>
  <c r="J82" i="53"/>
  <c r="J83" i="53"/>
  <c r="J84" i="53"/>
  <c r="J85" i="53"/>
  <c r="J86" i="53"/>
  <c r="J87" i="53"/>
  <c r="J88" i="53"/>
  <c r="J89" i="53"/>
  <c r="J90" i="53"/>
  <c r="J91" i="53"/>
  <c r="J92" i="53"/>
  <c r="J93" i="53"/>
  <c r="J94" i="53"/>
  <c r="J95" i="53"/>
  <c r="J96" i="53"/>
  <c r="J97" i="53"/>
  <c r="J98" i="53"/>
  <c r="J3" i="53"/>
  <c r="J4" i="53"/>
  <c r="J5" i="53"/>
  <c r="J6" i="53"/>
  <c r="J7" i="53"/>
  <c r="J8" i="53"/>
  <c r="J9" i="53"/>
  <c r="J10" i="53"/>
  <c r="J11" i="53"/>
  <c r="J12" i="53"/>
  <c r="J13" i="53"/>
  <c r="J14" i="53"/>
  <c r="J15" i="53"/>
  <c r="J16" i="53"/>
  <c r="J17" i="53"/>
  <c r="J18" i="53"/>
  <c r="J19" i="53"/>
  <c r="J20" i="53"/>
  <c r="J21" i="53"/>
  <c r="J22" i="53"/>
  <c r="J23" i="53"/>
  <c r="J24" i="53"/>
  <c r="J25" i="53"/>
  <c r="J26" i="53"/>
  <c r="J27" i="53"/>
  <c r="J28" i="53"/>
  <c r="J29" i="53"/>
  <c r="J30" i="53"/>
  <c r="J31" i="53"/>
  <c r="J32" i="53"/>
  <c r="J33" i="53"/>
  <c r="J34" i="53"/>
  <c r="J35" i="53"/>
  <c r="J36" i="53"/>
  <c r="J37" i="53"/>
  <c r="J38" i="53"/>
  <c r="J39" i="53"/>
  <c r="J40" i="53"/>
  <c r="J41" i="53"/>
  <c r="J42" i="53"/>
  <c r="J43" i="53"/>
  <c r="J44" i="53"/>
  <c r="J45" i="53"/>
  <c r="J46" i="53"/>
  <c r="J47" i="53"/>
  <c r="J48" i="53"/>
  <c r="J49" i="53"/>
  <c r="J50" i="53"/>
  <c r="J51" i="53"/>
  <c r="J52" i="53"/>
  <c r="J53" i="53"/>
  <c r="J54" i="53"/>
  <c r="J55" i="53"/>
  <c r="J56" i="53"/>
  <c r="J2" i="53"/>
  <c r="J3" i="52"/>
  <c r="J4" i="52"/>
  <c r="J5" i="52"/>
  <c r="J6" i="52"/>
  <c r="J7" i="52"/>
  <c r="J8" i="52"/>
  <c r="J9" i="52"/>
  <c r="J10" i="52"/>
  <c r="J11" i="52"/>
  <c r="J12" i="52"/>
  <c r="J13" i="52"/>
  <c r="J14" i="52"/>
  <c r="J15" i="52"/>
  <c r="J16" i="52"/>
  <c r="J17" i="52"/>
  <c r="J18" i="52"/>
  <c r="J19" i="52"/>
  <c r="J20" i="52"/>
  <c r="J21" i="52"/>
  <c r="J22" i="52"/>
  <c r="J23" i="52"/>
  <c r="J24" i="52"/>
  <c r="J25" i="52"/>
  <c r="J26" i="52"/>
  <c r="J27" i="52"/>
  <c r="J28" i="52"/>
  <c r="J29" i="52"/>
  <c r="J30" i="52"/>
  <c r="J31" i="52"/>
  <c r="J32" i="52"/>
  <c r="J33" i="52"/>
  <c r="J34" i="52"/>
  <c r="J35" i="52"/>
  <c r="J36" i="52"/>
  <c r="J37" i="52"/>
  <c r="J38" i="52"/>
  <c r="J39" i="52"/>
  <c r="J40" i="52"/>
  <c r="J41" i="52"/>
  <c r="J42" i="52"/>
  <c r="J43" i="52"/>
  <c r="J44" i="52"/>
  <c r="J45" i="52"/>
  <c r="J46" i="52"/>
  <c r="J47" i="52"/>
  <c r="J48" i="52"/>
  <c r="J49" i="52"/>
  <c r="J50" i="52"/>
  <c r="J51" i="52"/>
  <c r="J52" i="52"/>
  <c r="J53" i="52"/>
  <c r="J54" i="52"/>
  <c r="J55" i="52"/>
  <c r="J56" i="52"/>
  <c r="J57" i="52"/>
  <c r="J58" i="52"/>
  <c r="J59" i="52"/>
  <c r="J60" i="52"/>
  <c r="J61" i="52"/>
  <c r="J62" i="52"/>
  <c r="J63" i="52"/>
  <c r="J64" i="52"/>
  <c r="J65" i="52"/>
  <c r="J66" i="52"/>
  <c r="J67" i="52"/>
  <c r="J68" i="52"/>
  <c r="J69" i="52"/>
  <c r="J70" i="52"/>
  <c r="J71" i="52"/>
  <c r="J72" i="52"/>
  <c r="J73" i="52"/>
  <c r="J74" i="52"/>
  <c r="J75" i="52"/>
  <c r="J76" i="52"/>
  <c r="J77" i="52"/>
  <c r="J78" i="52"/>
  <c r="J79" i="52"/>
  <c r="J80" i="52"/>
  <c r="J81" i="52"/>
  <c r="J82" i="52"/>
  <c r="J83" i="52"/>
  <c r="J84" i="52"/>
  <c r="J85" i="52"/>
  <c r="J86" i="52"/>
  <c r="J87" i="52"/>
  <c r="J88" i="52"/>
  <c r="J89" i="52"/>
  <c r="J90" i="52"/>
  <c r="J91" i="52"/>
  <c r="J92" i="52"/>
  <c r="J93" i="52"/>
  <c r="J94" i="52"/>
  <c r="J95" i="52"/>
  <c r="J96" i="52"/>
  <c r="J97" i="52"/>
  <c r="J2" i="52"/>
  <c r="J3" i="51"/>
  <c r="J4" i="51"/>
  <c r="J5" i="51"/>
  <c r="J6" i="51"/>
  <c r="J7" i="51"/>
  <c r="J8" i="51"/>
  <c r="J9" i="51"/>
  <c r="J10" i="51"/>
  <c r="J11" i="51"/>
  <c r="J12" i="51"/>
  <c r="J13" i="51"/>
  <c r="J14" i="51"/>
  <c r="J15" i="51"/>
  <c r="J16" i="51"/>
  <c r="J17" i="51"/>
  <c r="J18" i="51"/>
  <c r="J19" i="51"/>
  <c r="J20" i="51"/>
  <c r="J21" i="51"/>
  <c r="J22" i="51"/>
  <c r="J23" i="51"/>
  <c r="J24" i="51"/>
  <c r="J25" i="51"/>
  <c r="J26" i="51"/>
  <c r="J27" i="51"/>
  <c r="J28" i="51"/>
  <c r="J29" i="51"/>
  <c r="J30" i="51"/>
  <c r="J31" i="51"/>
  <c r="J32" i="51"/>
  <c r="J33" i="51"/>
  <c r="J34" i="51"/>
  <c r="J35" i="51"/>
  <c r="J36" i="51"/>
  <c r="J37" i="51"/>
  <c r="J38" i="51"/>
  <c r="J39" i="51"/>
  <c r="J40" i="51"/>
  <c r="J41" i="51"/>
  <c r="J42" i="51"/>
  <c r="J43" i="51"/>
  <c r="J44" i="51"/>
  <c r="J45" i="51"/>
  <c r="J46" i="51"/>
  <c r="J47" i="51"/>
  <c r="J48" i="51"/>
  <c r="J49" i="51"/>
  <c r="J50" i="51"/>
  <c r="J51" i="51"/>
  <c r="J52" i="51"/>
  <c r="J53" i="51"/>
  <c r="J54" i="51"/>
  <c r="J55" i="51"/>
  <c r="J56" i="51"/>
  <c r="J57" i="51"/>
  <c r="J58" i="51"/>
  <c r="J59" i="51"/>
  <c r="J60" i="51"/>
  <c r="J61" i="51"/>
  <c r="J62" i="51"/>
  <c r="J63" i="51"/>
  <c r="J64" i="51"/>
  <c r="J65" i="51"/>
  <c r="J66" i="51"/>
  <c r="J67" i="51"/>
  <c r="J68" i="51"/>
  <c r="J69" i="51"/>
  <c r="J70" i="51"/>
  <c r="J71" i="51"/>
  <c r="J72" i="51"/>
  <c r="J73" i="51"/>
  <c r="J74" i="51"/>
  <c r="J75" i="51"/>
  <c r="J76" i="51"/>
  <c r="J77" i="51"/>
  <c r="J78" i="51"/>
  <c r="J79" i="51"/>
  <c r="J80" i="51"/>
  <c r="J81" i="51"/>
  <c r="J82" i="51"/>
  <c r="J83" i="51"/>
  <c r="J84" i="51"/>
  <c r="J85" i="51"/>
  <c r="J86" i="51"/>
  <c r="J87" i="51"/>
  <c r="J88" i="51"/>
  <c r="J89" i="51"/>
  <c r="J90" i="51"/>
  <c r="J91" i="51"/>
  <c r="J92" i="51"/>
  <c r="J93" i="51"/>
  <c r="J94" i="51"/>
  <c r="J95" i="51"/>
  <c r="J96" i="51"/>
  <c r="J97" i="51"/>
  <c r="J98" i="51"/>
  <c r="J99" i="51"/>
  <c r="J100" i="51"/>
  <c r="J101" i="51"/>
  <c r="J102" i="51"/>
  <c r="J103" i="51"/>
  <c r="J104" i="51"/>
  <c r="J105" i="51"/>
  <c r="J106" i="51"/>
  <c r="J107" i="51"/>
  <c r="J108" i="51"/>
  <c r="J109" i="51"/>
  <c r="J110" i="51"/>
  <c r="J111" i="51"/>
  <c r="J112" i="51"/>
  <c r="J113" i="51"/>
  <c r="J114" i="51"/>
  <c r="J115" i="51"/>
  <c r="J116" i="51"/>
  <c r="J117" i="51"/>
  <c r="J118" i="51"/>
  <c r="J119" i="51"/>
  <c r="J120" i="51"/>
  <c r="J121" i="51"/>
  <c r="J122" i="51"/>
  <c r="J123" i="51"/>
  <c r="J124" i="51"/>
  <c r="J125" i="51"/>
  <c r="J126" i="51"/>
  <c r="J127" i="51"/>
  <c r="J128" i="51"/>
  <c r="J129" i="51"/>
  <c r="J130" i="51"/>
  <c r="J131" i="51"/>
  <c r="J132" i="51"/>
  <c r="J133" i="51"/>
  <c r="J134" i="51"/>
  <c r="J135" i="51"/>
  <c r="J136" i="51"/>
  <c r="J137" i="51"/>
  <c r="J138" i="51"/>
  <c r="J139" i="51"/>
  <c r="J140" i="51"/>
  <c r="J141" i="51"/>
  <c r="J142" i="51"/>
  <c r="J143" i="51"/>
  <c r="J144" i="51"/>
  <c r="J145" i="51"/>
  <c r="J146" i="51"/>
  <c r="J147" i="51"/>
  <c r="J148" i="51"/>
  <c r="J149" i="51"/>
  <c r="J150" i="51"/>
  <c r="J151" i="51"/>
  <c r="J152" i="51"/>
  <c r="J153" i="51"/>
  <c r="J154" i="51"/>
  <c r="J155" i="51"/>
  <c r="J156" i="51"/>
  <c r="J157" i="51"/>
  <c r="J158" i="51"/>
  <c r="J159" i="51"/>
  <c r="J160" i="51"/>
  <c r="J161" i="51"/>
  <c r="J162" i="51"/>
  <c r="J163" i="51"/>
  <c r="J164" i="51"/>
  <c r="J165" i="51"/>
  <c r="J166" i="51"/>
  <c r="J167" i="51"/>
  <c r="J168" i="51"/>
  <c r="J169" i="51"/>
  <c r="J170" i="51"/>
  <c r="J171" i="51"/>
  <c r="J172" i="51"/>
  <c r="J173" i="51"/>
  <c r="J174" i="51"/>
  <c r="J175" i="51"/>
  <c r="J176" i="51"/>
  <c r="J177" i="51"/>
  <c r="J178" i="51"/>
  <c r="J179" i="51"/>
  <c r="J180" i="51"/>
  <c r="J181" i="51"/>
  <c r="J182" i="51"/>
  <c r="J183" i="51"/>
  <c r="J184" i="51"/>
  <c r="J185" i="51"/>
  <c r="J186" i="51"/>
  <c r="J187" i="51"/>
  <c r="J188" i="51"/>
  <c r="J189" i="51"/>
  <c r="J190" i="51"/>
  <c r="J191" i="51"/>
  <c r="J192" i="51"/>
  <c r="J193" i="51"/>
  <c r="J194" i="51"/>
  <c r="J195" i="51"/>
  <c r="J196" i="51"/>
  <c r="J197" i="51"/>
  <c r="J198" i="51"/>
  <c r="J199" i="51"/>
  <c r="J200" i="51"/>
  <c r="J201" i="51"/>
  <c r="J202" i="51"/>
  <c r="J203" i="51"/>
  <c r="J204" i="51"/>
  <c r="J205" i="51"/>
  <c r="J206" i="51"/>
  <c r="J207" i="51"/>
  <c r="J208" i="51"/>
  <c r="J209" i="51"/>
  <c r="J210" i="51"/>
  <c r="J211" i="51"/>
  <c r="J212" i="51"/>
  <c r="J213" i="51"/>
  <c r="J214" i="51"/>
  <c r="J215" i="51"/>
  <c r="J216" i="51"/>
  <c r="J217" i="51"/>
  <c r="J218" i="51"/>
  <c r="J219" i="51"/>
  <c r="J220" i="51"/>
  <c r="J221" i="51"/>
  <c r="J222" i="51"/>
  <c r="J223" i="51"/>
  <c r="J224" i="51"/>
  <c r="J225" i="51"/>
  <c r="J226" i="51"/>
  <c r="J227" i="51"/>
  <c r="J228" i="51"/>
  <c r="J229" i="51"/>
  <c r="J230" i="51"/>
  <c r="J231" i="51"/>
  <c r="J232" i="51"/>
  <c r="J233" i="51"/>
  <c r="J234" i="51"/>
  <c r="J235" i="51"/>
  <c r="J236" i="51"/>
  <c r="J237" i="51"/>
  <c r="J238" i="51"/>
  <c r="J239" i="51"/>
  <c r="J240" i="51"/>
  <c r="J241" i="51"/>
  <c r="J242" i="51"/>
  <c r="J243" i="51"/>
  <c r="J244" i="51"/>
  <c r="J245" i="51"/>
  <c r="J246" i="51"/>
  <c r="J247" i="51"/>
  <c r="J248" i="51"/>
  <c r="J249" i="51"/>
  <c r="J250" i="51"/>
  <c r="J251" i="51"/>
  <c r="J252" i="51"/>
  <c r="J253" i="51"/>
  <c r="J254" i="51"/>
  <c r="J255" i="51"/>
  <c r="J256" i="51"/>
  <c r="J257" i="51"/>
  <c r="J258" i="51"/>
  <c r="J259" i="51"/>
  <c r="J260" i="51"/>
  <c r="J261" i="51"/>
  <c r="J262" i="51"/>
  <c r="J263" i="51"/>
  <c r="J264" i="51"/>
  <c r="J265" i="51"/>
  <c r="J266" i="51"/>
  <c r="J267" i="51"/>
  <c r="J268" i="51"/>
  <c r="J269" i="51"/>
  <c r="J270" i="51"/>
  <c r="J271" i="51"/>
  <c r="J272" i="51"/>
  <c r="J273" i="51"/>
  <c r="J274" i="51"/>
  <c r="J275" i="51"/>
  <c r="J276" i="51"/>
  <c r="J277" i="51"/>
  <c r="J278" i="51"/>
  <c r="J279" i="51"/>
  <c r="J280" i="51"/>
  <c r="J281" i="51"/>
  <c r="J282" i="51"/>
  <c r="J283" i="51"/>
  <c r="J284" i="51"/>
  <c r="J285" i="51"/>
  <c r="J286" i="51"/>
  <c r="J287" i="51"/>
  <c r="J288" i="51"/>
  <c r="J289" i="51"/>
  <c r="J290" i="51"/>
  <c r="J291" i="51"/>
  <c r="J292" i="51"/>
  <c r="J293" i="51"/>
  <c r="J294" i="51"/>
  <c r="J295" i="51"/>
  <c r="J296" i="51"/>
  <c r="J297" i="51"/>
  <c r="J298" i="51"/>
  <c r="J299" i="51"/>
  <c r="J300" i="51"/>
  <c r="J301" i="51"/>
  <c r="J302" i="51"/>
  <c r="J303" i="51"/>
  <c r="J304" i="51"/>
  <c r="J305" i="51"/>
  <c r="J306" i="51"/>
  <c r="J307" i="51"/>
  <c r="J308" i="51"/>
  <c r="J309" i="51"/>
  <c r="J310" i="51"/>
  <c r="J311" i="51"/>
  <c r="J312" i="51"/>
  <c r="J313" i="51"/>
  <c r="J314" i="51"/>
  <c r="J315" i="51"/>
  <c r="J316" i="51"/>
  <c r="J317" i="51"/>
  <c r="J318" i="51"/>
  <c r="J319" i="51"/>
  <c r="J320" i="51"/>
  <c r="J321" i="51"/>
  <c r="J322" i="51"/>
  <c r="J323" i="51"/>
  <c r="J324" i="51"/>
  <c r="J325" i="51"/>
  <c r="J326" i="51"/>
  <c r="J327" i="51"/>
  <c r="J328" i="51"/>
  <c r="J329" i="51"/>
  <c r="J330" i="51"/>
  <c r="J331" i="51"/>
  <c r="J332" i="51"/>
  <c r="J333" i="51"/>
  <c r="J334" i="51"/>
  <c r="J335" i="51"/>
  <c r="J336" i="51"/>
  <c r="J337" i="51"/>
  <c r="J338" i="51"/>
  <c r="J339" i="51"/>
  <c r="J340" i="51"/>
  <c r="J341" i="51"/>
  <c r="J342" i="51"/>
  <c r="J343" i="51"/>
  <c r="J344" i="51"/>
  <c r="J345" i="51"/>
  <c r="J346" i="51"/>
  <c r="J347" i="51"/>
  <c r="J348" i="51"/>
  <c r="J349" i="51"/>
  <c r="J350" i="51"/>
  <c r="J351" i="51"/>
  <c r="J352" i="51"/>
  <c r="J353" i="51"/>
  <c r="J354" i="51"/>
  <c r="J355" i="51"/>
  <c r="J356" i="51"/>
  <c r="J357" i="51"/>
  <c r="J358" i="51"/>
  <c r="J359" i="51"/>
  <c r="J360" i="51"/>
  <c r="J361" i="51"/>
  <c r="J362" i="51"/>
  <c r="J363" i="51"/>
  <c r="J364" i="51"/>
  <c r="J365" i="51"/>
  <c r="J366" i="51"/>
  <c r="J367" i="51"/>
  <c r="J368" i="51"/>
  <c r="J369" i="51"/>
  <c r="J370" i="51"/>
  <c r="J371" i="51"/>
  <c r="J372" i="51"/>
  <c r="J373" i="51"/>
  <c r="J374" i="51"/>
  <c r="J375" i="51"/>
  <c r="J376" i="51"/>
  <c r="J377" i="51"/>
  <c r="J378" i="51"/>
  <c r="J379" i="51"/>
  <c r="J380" i="51"/>
  <c r="J381" i="51"/>
  <c r="J382" i="51"/>
  <c r="J383" i="51"/>
  <c r="J384" i="51"/>
  <c r="J385" i="51"/>
  <c r="J386" i="51"/>
  <c r="J387" i="51"/>
  <c r="J388" i="51"/>
  <c r="J389" i="51"/>
  <c r="J390" i="51"/>
  <c r="J391" i="51"/>
  <c r="J392" i="51"/>
  <c r="J393" i="51"/>
  <c r="J394" i="51"/>
  <c r="J395" i="51"/>
  <c r="J396" i="51"/>
  <c r="J397" i="51"/>
  <c r="J398" i="51"/>
  <c r="J399" i="51"/>
  <c r="J400" i="51"/>
  <c r="J401" i="51"/>
  <c r="J402" i="51"/>
  <c r="J403" i="51"/>
  <c r="J404" i="51"/>
  <c r="J405" i="51"/>
  <c r="J406" i="51"/>
  <c r="J407" i="51"/>
  <c r="J408" i="51"/>
  <c r="J409" i="51"/>
  <c r="J410" i="51"/>
  <c r="J411" i="51"/>
  <c r="J412" i="51"/>
  <c r="J413" i="51"/>
  <c r="J414" i="51"/>
  <c r="J415" i="51"/>
  <c r="J416" i="51"/>
  <c r="J417" i="51"/>
  <c r="J418" i="51"/>
  <c r="J419" i="51"/>
  <c r="J420" i="51"/>
  <c r="J421" i="51"/>
  <c r="J422" i="51"/>
  <c r="J423" i="51"/>
  <c r="J424" i="51"/>
  <c r="J425" i="51"/>
  <c r="J426" i="51"/>
  <c r="J427" i="51"/>
  <c r="J428" i="51"/>
  <c r="J429" i="51"/>
  <c r="J430" i="51"/>
  <c r="J431" i="51"/>
  <c r="J432" i="51"/>
  <c r="J433" i="51"/>
  <c r="J434" i="51"/>
  <c r="J435" i="51"/>
  <c r="J436" i="51"/>
  <c r="J437" i="51"/>
  <c r="J438" i="51"/>
  <c r="J439" i="51"/>
  <c r="J440" i="51"/>
  <c r="J441" i="51"/>
  <c r="J442" i="51"/>
  <c r="J443" i="51"/>
  <c r="J444" i="51"/>
  <c r="J445" i="51"/>
  <c r="J446" i="51"/>
  <c r="J447" i="51"/>
  <c r="J448" i="51"/>
  <c r="J449" i="51"/>
  <c r="J450" i="51"/>
  <c r="J451" i="51"/>
  <c r="J452" i="51"/>
  <c r="J453" i="51"/>
  <c r="J454" i="51"/>
  <c r="J455" i="51"/>
  <c r="J456" i="51"/>
  <c r="J457" i="51"/>
  <c r="J458" i="51"/>
  <c r="J459" i="51"/>
  <c r="J460" i="51"/>
  <c r="J461" i="51"/>
  <c r="J462" i="51"/>
  <c r="J463" i="51"/>
  <c r="J464" i="51"/>
  <c r="J465" i="51"/>
  <c r="J466" i="51"/>
  <c r="J467" i="51"/>
  <c r="J468" i="51"/>
  <c r="J469" i="51"/>
  <c r="J470" i="51"/>
  <c r="J471" i="51"/>
  <c r="J472" i="51"/>
  <c r="J473" i="51"/>
  <c r="J474" i="51"/>
  <c r="J475" i="51"/>
  <c r="J476" i="51"/>
  <c r="J477" i="51"/>
  <c r="J478" i="51"/>
  <c r="J479" i="51"/>
  <c r="J480" i="51"/>
  <c r="J481" i="51"/>
  <c r="J482" i="51"/>
  <c r="J483" i="51"/>
  <c r="J484" i="51"/>
  <c r="J485" i="51"/>
  <c r="J486" i="51"/>
  <c r="J487" i="51"/>
  <c r="J488" i="51"/>
  <c r="J489" i="51"/>
  <c r="J490" i="51"/>
  <c r="J491" i="51"/>
  <c r="J492" i="51"/>
  <c r="J493" i="51"/>
  <c r="J494" i="51"/>
  <c r="J495" i="51"/>
  <c r="J496" i="51"/>
  <c r="J497" i="51"/>
  <c r="J498" i="51"/>
  <c r="J499" i="51"/>
  <c r="J500" i="51"/>
  <c r="J501" i="51"/>
  <c r="J502" i="51"/>
  <c r="J503" i="51"/>
  <c r="J504" i="51"/>
  <c r="J505" i="51"/>
  <c r="J506" i="51"/>
  <c r="J507" i="51"/>
  <c r="J508" i="51"/>
  <c r="J509" i="51"/>
  <c r="J510" i="51"/>
  <c r="J511" i="51"/>
  <c r="J512" i="51"/>
  <c r="J513" i="51"/>
  <c r="J514" i="51"/>
  <c r="J515" i="51"/>
  <c r="J516" i="51"/>
  <c r="J517" i="51"/>
  <c r="J518" i="51"/>
  <c r="J519" i="51"/>
  <c r="J520" i="51"/>
  <c r="J521" i="51"/>
  <c r="J522" i="51"/>
  <c r="J523" i="51"/>
  <c r="J524" i="51"/>
  <c r="J525" i="51"/>
  <c r="J526" i="51"/>
  <c r="J527" i="51"/>
  <c r="J528" i="51"/>
  <c r="J529" i="51"/>
  <c r="J530" i="51"/>
  <c r="J531" i="51"/>
  <c r="J532" i="51"/>
  <c r="J533" i="51"/>
  <c r="J534" i="51"/>
  <c r="J535" i="51"/>
  <c r="J536" i="51"/>
  <c r="J537" i="51"/>
  <c r="J538" i="51"/>
  <c r="J539" i="51"/>
  <c r="J540" i="51"/>
  <c r="J541" i="51"/>
  <c r="J542" i="51"/>
  <c r="J543" i="51"/>
  <c r="J544" i="51"/>
  <c r="J545" i="51"/>
  <c r="J546" i="51"/>
  <c r="J547" i="51"/>
  <c r="J548" i="51"/>
  <c r="J549" i="51"/>
  <c r="J550" i="51"/>
  <c r="J551" i="51"/>
  <c r="J552" i="51"/>
  <c r="J553" i="51"/>
  <c r="J554" i="51"/>
  <c r="J555" i="51"/>
  <c r="J556" i="51"/>
  <c r="J557" i="51"/>
  <c r="J558" i="51"/>
  <c r="J559" i="51"/>
  <c r="J560" i="51"/>
  <c r="J561" i="51"/>
  <c r="J562" i="51"/>
  <c r="J563" i="51"/>
  <c r="J564" i="51"/>
  <c r="J565" i="51"/>
  <c r="J566" i="51"/>
  <c r="J567" i="51"/>
  <c r="J568" i="51"/>
  <c r="J569" i="51"/>
  <c r="J570" i="51"/>
  <c r="J571" i="51"/>
  <c r="J572" i="51"/>
  <c r="J573" i="51"/>
  <c r="J574" i="51"/>
  <c r="J575" i="51"/>
  <c r="J576" i="51"/>
  <c r="J577" i="51"/>
  <c r="J578" i="51"/>
  <c r="J579" i="51"/>
  <c r="J580" i="51"/>
  <c r="J581" i="51"/>
  <c r="J582" i="51"/>
  <c r="J583" i="51"/>
  <c r="J584" i="51"/>
  <c r="J585" i="51"/>
  <c r="J586" i="51"/>
  <c r="J587" i="51"/>
  <c r="J588" i="51"/>
  <c r="J589" i="51"/>
  <c r="J590" i="51"/>
  <c r="J591" i="51"/>
  <c r="J592" i="51"/>
  <c r="J593" i="51"/>
  <c r="J594" i="51"/>
  <c r="J595" i="51"/>
  <c r="J596" i="51"/>
  <c r="J597" i="51"/>
  <c r="J598" i="51"/>
  <c r="J599" i="51"/>
  <c r="J600" i="51"/>
  <c r="J601" i="51"/>
  <c r="J602" i="51"/>
  <c r="J603" i="51"/>
  <c r="J604" i="51"/>
  <c r="J605" i="51"/>
  <c r="J606" i="51"/>
  <c r="J607" i="51"/>
  <c r="J608" i="51"/>
  <c r="J609" i="51"/>
  <c r="J610" i="51"/>
  <c r="J611" i="51"/>
  <c r="J612" i="51"/>
  <c r="J613" i="51"/>
  <c r="J614" i="51"/>
  <c r="J615" i="51"/>
  <c r="J616" i="51"/>
  <c r="J617" i="51"/>
  <c r="J618" i="51"/>
  <c r="J619" i="51"/>
  <c r="J620" i="51"/>
  <c r="J621" i="51"/>
  <c r="J622" i="51"/>
  <c r="J623" i="51"/>
  <c r="J624" i="51"/>
  <c r="J625" i="51"/>
  <c r="J626" i="51"/>
  <c r="J627" i="51"/>
  <c r="J628" i="51"/>
  <c r="J629" i="51"/>
  <c r="J630" i="51"/>
  <c r="J631" i="51"/>
  <c r="J632" i="51"/>
  <c r="J633" i="51"/>
  <c r="J634" i="51"/>
  <c r="J635" i="51"/>
  <c r="J636" i="51"/>
  <c r="J637" i="51"/>
  <c r="J638" i="51"/>
  <c r="J639" i="51"/>
  <c r="J640" i="51"/>
  <c r="J641" i="51"/>
  <c r="J642" i="51"/>
  <c r="J643" i="51"/>
  <c r="J644" i="51"/>
  <c r="J645" i="51"/>
  <c r="J646" i="51"/>
  <c r="J647" i="51"/>
  <c r="J648" i="51"/>
  <c r="J649" i="51"/>
  <c r="J650" i="51"/>
  <c r="J651" i="51"/>
  <c r="J652" i="51"/>
  <c r="J653" i="51"/>
  <c r="J654" i="51"/>
  <c r="J655" i="51"/>
  <c r="J656" i="51"/>
  <c r="J657" i="51"/>
  <c r="J658" i="51"/>
  <c r="J659" i="51"/>
  <c r="J660" i="51"/>
  <c r="J661" i="51"/>
  <c r="J662" i="51"/>
  <c r="J663" i="51"/>
  <c r="J664" i="51"/>
  <c r="J665" i="51"/>
  <c r="J666" i="51"/>
  <c r="J667" i="51"/>
  <c r="J668" i="51"/>
  <c r="J669" i="51"/>
  <c r="J670" i="51"/>
  <c r="J671" i="51"/>
  <c r="J672" i="51"/>
  <c r="J673" i="51"/>
  <c r="J674" i="51"/>
  <c r="J675" i="51"/>
  <c r="J676" i="51"/>
  <c r="J677" i="51"/>
  <c r="J678" i="51"/>
  <c r="J679" i="51"/>
  <c r="J680" i="51"/>
  <c r="J681" i="51"/>
  <c r="J682" i="51"/>
  <c r="J683" i="51"/>
  <c r="J684" i="51"/>
  <c r="J685" i="51"/>
  <c r="J686" i="51"/>
  <c r="J687" i="51"/>
  <c r="J688" i="51"/>
  <c r="J689" i="51"/>
  <c r="J690" i="51"/>
  <c r="J691" i="51"/>
  <c r="J692" i="51"/>
  <c r="J693" i="51"/>
  <c r="J694" i="51"/>
  <c r="J695" i="51"/>
  <c r="J696" i="51"/>
  <c r="J697" i="51"/>
  <c r="J698" i="51"/>
  <c r="J699" i="51"/>
  <c r="J700" i="51"/>
  <c r="J701" i="51"/>
  <c r="J702" i="51"/>
  <c r="J703" i="51"/>
  <c r="J704" i="51"/>
  <c r="J705" i="51"/>
  <c r="J706" i="51"/>
  <c r="J707" i="51"/>
  <c r="J708" i="51"/>
  <c r="J709" i="51"/>
  <c r="J710" i="51"/>
  <c r="J711" i="51"/>
  <c r="J712" i="51"/>
  <c r="J713" i="51"/>
  <c r="J714" i="51"/>
  <c r="J715" i="51"/>
  <c r="J716" i="51"/>
  <c r="J717" i="51"/>
  <c r="J718" i="51"/>
  <c r="J719" i="51"/>
  <c r="J720" i="51"/>
  <c r="J721" i="51"/>
  <c r="J722" i="51"/>
  <c r="J723" i="51"/>
  <c r="J724" i="51"/>
  <c r="J725" i="51"/>
  <c r="J726" i="51"/>
  <c r="J727" i="51"/>
  <c r="J728" i="51"/>
  <c r="J729" i="51"/>
  <c r="J730" i="51"/>
  <c r="J731" i="51"/>
  <c r="J732" i="51"/>
  <c r="J733" i="51"/>
  <c r="J734" i="51"/>
  <c r="J735" i="51"/>
  <c r="J736" i="51"/>
  <c r="J737" i="51"/>
  <c r="J738" i="51"/>
  <c r="J739" i="51"/>
  <c r="J740" i="51"/>
  <c r="J741" i="51"/>
  <c r="J742" i="51"/>
  <c r="J743" i="51"/>
  <c r="J744" i="51"/>
  <c r="J745" i="51"/>
  <c r="J746" i="51"/>
  <c r="J747" i="51"/>
  <c r="J748" i="51"/>
  <c r="J749" i="51"/>
  <c r="J750" i="51"/>
  <c r="J751" i="51"/>
  <c r="J752" i="51"/>
  <c r="J753" i="51"/>
  <c r="J754" i="51"/>
  <c r="J755" i="51"/>
  <c r="J756" i="51"/>
  <c r="J757" i="51"/>
  <c r="J758" i="51"/>
  <c r="J759" i="51"/>
  <c r="J760" i="51"/>
  <c r="J761" i="51"/>
  <c r="J762" i="51"/>
  <c r="J763" i="51"/>
  <c r="J764" i="51"/>
  <c r="J765" i="51"/>
  <c r="J766" i="51"/>
  <c r="J767" i="51"/>
  <c r="J768" i="51"/>
  <c r="J769" i="51"/>
  <c r="J770" i="51"/>
  <c r="J771" i="51"/>
  <c r="J772" i="51"/>
  <c r="J773" i="51"/>
  <c r="J774" i="51"/>
  <c r="J775" i="51"/>
  <c r="J776" i="51"/>
  <c r="J777" i="51"/>
  <c r="J778" i="51"/>
  <c r="J779" i="51"/>
  <c r="J780" i="51"/>
  <c r="J781" i="51"/>
  <c r="J782" i="51"/>
  <c r="J783" i="51"/>
  <c r="J784" i="51"/>
  <c r="J785" i="51"/>
  <c r="J786" i="51"/>
  <c r="J787" i="51"/>
  <c r="J788" i="51"/>
  <c r="J789" i="51"/>
  <c r="J790" i="51"/>
  <c r="J791" i="51"/>
  <c r="J792" i="51"/>
  <c r="J793" i="51"/>
  <c r="J794" i="51"/>
  <c r="J795" i="51"/>
  <c r="J796" i="51"/>
  <c r="J797" i="51"/>
  <c r="J798" i="51"/>
  <c r="J799" i="51"/>
  <c r="J800" i="51"/>
  <c r="J801" i="51"/>
  <c r="J802" i="51"/>
  <c r="J803" i="51"/>
  <c r="J804" i="51"/>
  <c r="J805" i="51"/>
  <c r="J806" i="51"/>
  <c r="J807" i="51"/>
  <c r="J808" i="51"/>
  <c r="J809" i="51"/>
  <c r="J810" i="51"/>
  <c r="J811" i="51"/>
  <c r="J812" i="51"/>
  <c r="J813" i="51"/>
  <c r="J814" i="51"/>
  <c r="J815" i="51"/>
  <c r="J816" i="51"/>
  <c r="J817" i="51"/>
  <c r="J818" i="51"/>
  <c r="J819" i="51"/>
  <c r="J820" i="51"/>
  <c r="J821" i="51"/>
  <c r="J822" i="51"/>
  <c r="J823" i="51"/>
  <c r="J824" i="51"/>
  <c r="J825" i="51"/>
  <c r="J826" i="51"/>
  <c r="J827" i="51"/>
  <c r="J828" i="51"/>
  <c r="J829" i="51"/>
  <c r="J830" i="51"/>
  <c r="J831" i="51"/>
  <c r="J832" i="51"/>
  <c r="J833" i="51"/>
  <c r="J834" i="51"/>
  <c r="J835" i="51"/>
  <c r="J836" i="51"/>
  <c r="J837" i="51"/>
  <c r="J838" i="51"/>
  <c r="J839" i="51"/>
  <c r="J840" i="51"/>
  <c r="J841" i="51"/>
  <c r="J842" i="51"/>
  <c r="J843" i="51"/>
  <c r="J844" i="51"/>
  <c r="J845" i="51"/>
  <c r="J846" i="51"/>
  <c r="J847" i="51"/>
  <c r="J848" i="51"/>
  <c r="J849" i="51"/>
  <c r="J850" i="51"/>
  <c r="J851" i="51"/>
  <c r="J852" i="51"/>
  <c r="J853" i="51"/>
  <c r="J854" i="51"/>
  <c r="J855" i="51"/>
  <c r="J856" i="51"/>
  <c r="J857" i="51"/>
  <c r="J858" i="51"/>
  <c r="J859" i="51"/>
  <c r="J860" i="51"/>
  <c r="J861" i="51"/>
  <c r="J862" i="51"/>
  <c r="J863" i="51"/>
  <c r="J864" i="51"/>
  <c r="J865" i="51"/>
  <c r="J866" i="51"/>
  <c r="J867" i="51"/>
  <c r="J868" i="51"/>
  <c r="J869" i="51"/>
  <c r="J870" i="51"/>
  <c r="J871" i="51"/>
  <c r="J872" i="51"/>
  <c r="J873" i="51"/>
  <c r="J874" i="51"/>
  <c r="J875" i="51"/>
  <c r="J876" i="51"/>
  <c r="J877" i="51"/>
  <c r="J878" i="51"/>
  <c r="J879" i="51"/>
  <c r="J880" i="51"/>
  <c r="J881" i="51"/>
  <c r="J882" i="51"/>
  <c r="J883" i="51"/>
  <c r="J884" i="51"/>
  <c r="J885" i="51"/>
  <c r="J886" i="51"/>
  <c r="J887" i="51"/>
  <c r="J888" i="51"/>
  <c r="J889" i="51"/>
  <c r="J890" i="51"/>
  <c r="J891" i="51"/>
  <c r="J892" i="51"/>
  <c r="J893" i="51"/>
  <c r="J894" i="51"/>
  <c r="J895" i="51"/>
  <c r="J896" i="51"/>
  <c r="J897" i="51"/>
  <c r="J898" i="51"/>
  <c r="J899" i="51"/>
  <c r="J900" i="51"/>
  <c r="J901" i="51"/>
  <c r="J902" i="51"/>
  <c r="J903" i="51"/>
  <c r="J904" i="51"/>
  <c r="J905" i="51"/>
  <c r="J906" i="51"/>
  <c r="J907" i="51"/>
  <c r="J908" i="51"/>
  <c r="J909" i="51"/>
  <c r="J910" i="51"/>
  <c r="J911" i="51"/>
  <c r="J912" i="51"/>
  <c r="J913" i="51"/>
  <c r="J914" i="51"/>
  <c r="J915" i="51"/>
  <c r="J916" i="51"/>
  <c r="J917" i="51"/>
  <c r="J918" i="51"/>
  <c r="J919" i="51"/>
  <c r="J920" i="51"/>
  <c r="J921" i="51"/>
  <c r="J922" i="51"/>
  <c r="J923" i="51"/>
  <c r="J924" i="51"/>
  <c r="J925" i="51"/>
  <c r="J926" i="51"/>
  <c r="J927" i="51"/>
  <c r="J928" i="51"/>
  <c r="J929" i="51"/>
  <c r="J930" i="51"/>
  <c r="J931" i="51"/>
  <c r="J932" i="51"/>
  <c r="J933" i="51"/>
  <c r="J934" i="51"/>
  <c r="J935" i="51"/>
  <c r="J936" i="51"/>
  <c r="J937" i="51"/>
  <c r="J938" i="51"/>
  <c r="J939" i="51"/>
  <c r="J940" i="51"/>
  <c r="J941" i="51"/>
  <c r="J942" i="51"/>
  <c r="J943" i="51"/>
  <c r="J944" i="51"/>
  <c r="J945" i="51"/>
  <c r="J946" i="51"/>
  <c r="J947" i="51"/>
  <c r="J948" i="51"/>
  <c r="J949" i="51"/>
  <c r="J950" i="51"/>
  <c r="J951" i="51"/>
  <c r="J952" i="51"/>
  <c r="J953" i="51"/>
  <c r="J954" i="51"/>
  <c r="J955" i="51"/>
  <c r="J956" i="51"/>
  <c r="J957" i="51"/>
  <c r="J958" i="51"/>
  <c r="J959" i="51"/>
  <c r="J960" i="51"/>
  <c r="J961" i="51"/>
  <c r="J962" i="51"/>
  <c r="J963" i="51"/>
  <c r="J964" i="51"/>
  <c r="J965" i="51"/>
  <c r="J966" i="51"/>
  <c r="J967" i="51"/>
  <c r="J968" i="51"/>
  <c r="J969" i="51"/>
  <c r="J970" i="51"/>
  <c r="J971" i="51"/>
  <c r="J972" i="51"/>
  <c r="J973" i="51"/>
  <c r="J974" i="51"/>
  <c r="J975" i="51"/>
  <c r="J976" i="51"/>
  <c r="J977" i="51"/>
  <c r="J978" i="51"/>
  <c r="J979" i="51"/>
  <c r="J980" i="51"/>
  <c r="J981" i="51"/>
  <c r="J982" i="51"/>
  <c r="J983" i="51"/>
  <c r="J984" i="51"/>
  <c r="J985" i="51"/>
  <c r="J986" i="51"/>
  <c r="J987" i="51"/>
  <c r="J988" i="51"/>
  <c r="J989" i="51"/>
  <c r="J990" i="51"/>
  <c r="J991" i="51"/>
  <c r="J992" i="51"/>
  <c r="J993" i="51"/>
  <c r="J994" i="51"/>
  <c r="J995" i="51"/>
  <c r="J996" i="51"/>
  <c r="J997" i="51"/>
  <c r="J998" i="51"/>
  <c r="J999" i="51"/>
  <c r="J1000" i="51"/>
  <c r="J1001" i="51"/>
  <c r="J1002" i="51"/>
  <c r="J1003" i="51"/>
  <c r="J1004" i="51"/>
  <c r="J1005" i="51"/>
  <c r="J1006" i="51"/>
  <c r="J1007" i="51"/>
  <c r="J1008" i="51"/>
  <c r="J1009" i="51"/>
  <c r="J1010" i="51"/>
  <c r="J1011" i="51"/>
  <c r="J1012" i="51"/>
  <c r="J1013" i="51"/>
  <c r="J1014" i="51"/>
  <c r="J1015" i="51"/>
  <c r="J1016" i="51"/>
  <c r="J1017" i="51"/>
  <c r="J1018" i="51"/>
  <c r="J1019" i="51"/>
  <c r="J1020" i="51"/>
  <c r="J1021" i="51"/>
  <c r="J1022" i="51"/>
  <c r="J1023" i="51"/>
  <c r="J1024" i="51"/>
  <c r="J1025" i="51"/>
  <c r="J1026" i="51"/>
  <c r="J1027" i="51"/>
  <c r="J1028" i="51"/>
  <c r="J1029" i="51"/>
  <c r="J1030" i="51"/>
  <c r="J1031" i="51"/>
  <c r="J1032" i="51"/>
  <c r="J1033" i="51"/>
  <c r="J1034" i="51"/>
  <c r="J1035" i="51"/>
  <c r="J1036" i="51"/>
  <c r="J1037" i="51"/>
  <c r="J1038" i="51"/>
  <c r="J1039" i="51"/>
  <c r="J1040" i="51"/>
  <c r="J1041" i="51"/>
  <c r="J1042" i="51"/>
  <c r="J1043" i="51"/>
  <c r="J1044" i="51"/>
  <c r="J1045" i="51"/>
  <c r="J1046" i="51"/>
  <c r="J1047" i="51"/>
  <c r="J1048" i="51"/>
  <c r="J1049" i="51"/>
  <c r="J1050" i="51"/>
  <c r="J1051" i="51"/>
  <c r="J1052" i="51"/>
  <c r="J1053" i="51"/>
  <c r="J1054" i="51"/>
  <c r="J1055" i="51"/>
  <c r="J1056" i="51"/>
  <c r="J1057" i="51"/>
  <c r="J1058" i="51"/>
  <c r="J1059" i="51"/>
  <c r="J1060" i="51"/>
  <c r="J1061" i="51"/>
  <c r="J1062" i="51"/>
  <c r="J1063" i="51"/>
  <c r="J1064" i="51"/>
  <c r="J1065" i="51"/>
  <c r="J1066" i="51"/>
  <c r="J1067" i="51"/>
  <c r="J1068" i="51"/>
  <c r="J1069" i="51"/>
  <c r="J1070" i="51"/>
  <c r="J1071" i="51"/>
  <c r="J1072" i="51"/>
  <c r="J1073" i="51"/>
  <c r="J1074" i="51"/>
  <c r="J1075" i="51"/>
  <c r="J1076" i="51"/>
  <c r="J1077" i="51"/>
  <c r="J1078" i="51"/>
  <c r="J1079" i="51"/>
  <c r="J1080" i="51"/>
  <c r="J1081" i="51"/>
  <c r="J1082" i="51"/>
  <c r="J1083" i="51"/>
  <c r="J1084" i="51"/>
  <c r="J1085" i="51"/>
  <c r="J1086" i="51"/>
  <c r="J1087" i="51"/>
  <c r="J1088" i="51"/>
  <c r="J1089" i="51"/>
  <c r="J1090" i="51"/>
  <c r="J1091" i="51"/>
  <c r="J1092" i="51"/>
  <c r="J1093" i="51"/>
  <c r="J1094" i="51"/>
  <c r="J1095" i="51"/>
  <c r="J1096" i="51"/>
  <c r="J1097" i="51"/>
  <c r="J1098" i="51"/>
  <c r="J1099" i="51"/>
  <c r="J1100" i="51"/>
  <c r="J1101" i="51"/>
  <c r="J1102" i="51"/>
  <c r="J1103" i="51"/>
  <c r="J1104" i="51"/>
  <c r="J1105" i="51"/>
  <c r="J1106" i="51"/>
  <c r="J1107" i="51"/>
  <c r="J1108" i="51"/>
  <c r="J1109" i="51"/>
  <c r="J1110" i="51"/>
  <c r="J1111" i="51"/>
  <c r="J1112" i="51"/>
  <c r="J1113" i="51"/>
  <c r="J1114" i="51"/>
  <c r="J1115" i="51"/>
  <c r="J1116" i="51"/>
  <c r="J1117" i="51"/>
  <c r="J1118" i="51"/>
  <c r="J1119" i="51"/>
  <c r="J1120" i="51"/>
  <c r="J1121" i="51"/>
  <c r="J1122" i="51"/>
  <c r="J1123" i="51"/>
  <c r="J1124" i="51"/>
  <c r="J1125" i="51"/>
  <c r="J1126" i="51"/>
  <c r="J1127" i="51"/>
  <c r="J1128" i="51"/>
  <c r="J1129" i="51"/>
  <c r="J1130" i="51"/>
  <c r="J1131" i="51"/>
  <c r="J1132" i="51"/>
  <c r="J1133" i="51"/>
  <c r="J1134" i="51"/>
  <c r="J1135" i="51"/>
  <c r="J1136" i="51"/>
  <c r="J1137" i="51"/>
  <c r="J1138" i="51"/>
  <c r="J1139" i="51"/>
  <c r="J1140" i="51"/>
  <c r="J1141" i="51"/>
  <c r="J1142" i="51"/>
  <c r="J1143" i="51"/>
  <c r="J1144" i="51"/>
  <c r="J1145" i="51"/>
  <c r="J1146" i="51"/>
  <c r="J1147" i="51"/>
  <c r="J1148" i="51"/>
  <c r="J1149" i="51"/>
  <c r="J1150" i="51"/>
  <c r="J1151" i="51"/>
  <c r="J1152" i="51"/>
  <c r="J1153" i="51"/>
  <c r="J1154" i="51"/>
  <c r="J1155" i="51"/>
  <c r="J1156" i="51"/>
  <c r="J1157" i="51"/>
  <c r="J1158" i="51"/>
  <c r="J1159" i="51"/>
  <c r="J1160" i="51"/>
  <c r="J1161" i="51"/>
  <c r="J1162" i="51"/>
  <c r="J1163" i="51"/>
  <c r="J1164" i="51"/>
  <c r="J1165" i="51"/>
  <c r="J1166" i="51"/>
  <c r="J1167" i="51"/>
  <c r="J1168" i="51"/>
  <c r="J1169" i="51"/>
  <c r="J1170" i="51"/>
  <c r="J1171" i="51"/>
  <c r="J1172" i="51"/>
  <c r="J1173" i="51"/>
  <c r="J1174" i="51"/>
  <c r="J1175" i="51"/>
  <c r="J1176" i="51"/>
  <c r="J1177" i="51"/>
  <c r="J1178" i="51"/>
  <c r="J1179" i="51"/>
  <c r="J1180" i="51"/>
  <c r="J1181" i="51"/>
  <c r="J1182" i="51"/>
  <c r="J1183" i="51"/>
  <c r="J1184" i="51"/>
  <c r="J1185" i="51"/>
  <c r="J1186" i="51"/>
  <c r="J1187" i="51"/>
  <c r="J1188" i="51"/>
  <c r="J1189" i="51"/>
  <c r="J1190" i="51"/>
  <c r="J1191" i="51"/>
  <c r="J1192" i="51"/>
  <c r="J1193" i="51"/>
  <c r="J1194" i="51"/>
  <c r="J1195" i="51"/>
  <c r="J1196" i="51"/>
  <c r="J1197" i="51"/>
  <c r="J1198" i="51"/>
  <c r="J1199" i="51"/>
  <c r="J1200" i="51"/>
  <c r="J1201" i="51"/>
  <c r="J1202" i="51"/>
  <c r="J1203" i="51"/>
  <c r="J1204" i="51"/>
  <c r="J1205" i="51"/>
  <c r="J1206" i="51"/>
  <c r="J1207" i="51"/>
  <c r="J1208" i="51"/>
  <c r="J1209" i="51"/>
  <c r="J1210" i="51"/>
  <c r="J1211" i="51"/>
  <c r="J1212" i="51"/>
  <c r="J1213" i="51"/>
  <c r="J1214" i="51"/>
  <c r="J1215" i="51"/>
  <c r="J1216" i="51"/>
  <c r="J1217" i="51"/>
  <c r="J1218" i="51"/>
  <c r="J1219" i="51"/>
  <c r="J1220" i="51"/>
  <c r="J1221" i="51"/>
  <c r="J1222" i="51"/>
  <c r="J1223" i="51"/>
  <c r="J1224" i="51"/>
  <c r="J1225" i="51"/>
  <c r="J1226" i="51"/>
  <c r="J1227" i="51"/>
  <c r="J1228" i="51"/>
  <c r="J1229" i="51"/>
  <c r="J1230" i="51"/>
  <c r="J1231" i="51"/>
  <c r="J1232" i="51"/>
  <c r="J1233" i="51"/>
  <c r="J1234" i="51"/>
  <c r="J1235" i="51"/>
  <c r="J1236" i="51"/>
  <c r="J1237" i="51"/>
  <c r="J1238" i="51"/>
  <c r="J1239" i="51"/>
  <c r="J1240" i="51"/>
  <c r="J1241" i="51"/>
  <c r="J1242" i="51"/>
  <c r="J1243" i="51"/>
  <c r="J1244" i="51"/>
  <c r="J1245" i="51"/>
  <c r="J1246" i="51"/>
  <c r="J1247" i="51"/>
  <c r="J1248" i="51"/>
  <c r="J1249" i="51"/>
  <c r="J1250" i="51"/>
  <c r="J1251" i="51"/>
  <c r="J1252" i="51"/>
  <c r="J1253" i="51"/>
  <c r="J1254" i="51"/>
  <c r="J1255" i="51"/>
  <c r="J1256" i="51"/>
  <c r="J1257" i="51"/>
  <c r="J1258" i="51"/>
  <c r="J1259" i="51"/>
  <c r="J1260" i="51"/>
  <c r="J1261" i="51"/>
  <c r="J1262" i="51"/>
  <c r="J1263" i="51"/>
  <c r="J1264" i="51"/>
  <c r="J1265" i="51"/>
  <c r="J1266" i="51"/>
  <c r="J1267" i="51"/>
  <c r="J1268" i="51"/>
  <c r="J1269" i="51"/>
  <c r="J1270" i="51"/>
  <c r="J1271" i="51"/>
  <c r="J1272" i="51"/>
  <c r="J1273" i="51"/>
  <c r="J1274" i="51"/>
  <c r="J1275" i="51"/>
  <c r="J1276" i="51"/>
  <c r="J1277" i="51"/>
  <c r="J1278" i="51"/>
  <c r="J1279" i="51"/>
  <c r="J1280" i="51"/>
  <c r="J1281" i="51"/>
  <c r="J1282" i="51"/>
  <c r="J1283" i="51"/>
  <c r="J1284" i="51"/>
  <c r="J1285" i="51"/>
  <c r="J1286" i="51"/>
  <c r="J1287" i="51"/>
  <c r="J1288" i="51"/>
  <c r="J1289" i="51"/>
  <c r="J1290" i="51"/>
  <c r="J1291" i="51"/>
  <c r="J1292" i="51"/>
  <c r="J1293" i="51"/>
  <c r="J1294" i="51"/>
  <c r="J1295" i="51"/>
  <c r="J1296" i="51"/>
  <c r="J1297" i="51"/>
  <c r="J1298" i="51"/>
  <c r="J1299" i="51"/>
  <c r="J1300" i="51"/>
  <c r="J1301" i="51"/>
  <c r="J1302" i="51"/>
  <c r="J1303" i="51"/>
  <c r="J1304" i="51"/>
  <c r="J1305" i="51"/>
  <c r="J1306" i="51"/>
  <c r="J1307" i="51"/>
  <c r="J1308" i="51"/>
  <c r="J1309" i="51"/>
  <c r="J1310" i="51"/>
  <c r="J1311" i="51"/>
  <c r="J1312" i="51"/>
  <c r="J1313" i="51"/>
  <c r="J1314" i="51"/>
  <c r="J1315" i="51"/>
  <c r="J1316" i="51"/>
  <c r="J1317" i="51"/>
  <c r="J1318" i="51"/>
  <c r="J1319" i="51"/>
  <c r="J1320" i="51"/>
  <c r="J1321" i="51"/>
  <c r="J1322" i="51"/>
  <c r="J1323" i="51"/>
  <c r="J1324" i="51"/>
  <c r="J1325" i="51"/>
  <c r="J1326" i="51"/>
  <c r="J1327" i="51"/>
  <c r="J1328" i="51"/>
  <c r="J1329" i="51"/>
  <c r="J1330" i="51"/>
  <c r="J1331" i="51"/>
  <c r="J1332" i="51"/>
  <c r="J1333" i="51"/>
  <c r="J1334" i="51"/>
  <c r="J1335" i="51"/>
  <c r="J1336" i="51"/>
  <c r="J1337" i="51"/>
  <c r="J1338" i="51"/>
  <c r="J1339" i="51"/>
  <c r="J1340" i="51"/>
  <c r="J1341" i="51"/>
  <c r="J1342" i="51"/>
  <c r="J1343" i="51"/>
  <c r="J1344" i="51"/>
  <c r="J1345" i="51"/>
  <c r="J1346" i="51"/>
  <c r="J1347" i="51"/>
  <c r="J1348" i="51"/>
  <c r="J1349" i="51"/>
  <c r="J1350" i="51"/>
  <c r="J1351" i="51"/>
  <c r="J1352" i="51"/>
  <c r="J1353" i="51"/>
  <c r="J1354" i="51"/>
  <c r="J1355" i="51"/>
  <c r="J1356" i="51"/>
  <c r="J1357" i="51"/>
  <c r="J1358" i="51"/>
  <c r="J1359" i="51"/>
  <c r="J1360" i="51"/>
  <c r="J1361" i="51"/>
  <c r="J1362" i="51"/>
  <c r="J1363" i="51"/>
  <c r="J1364" i="51"/>
  <c r="J1365" i="51"/>
  <c r="J1366" i="51"/>
  <c r="J1367" i="51"/>
  <c r="J1368" i="51"/>
  <c r="J1369" i="51"/>
  <c r="J1370" i="51"/>
  <c r="J1371" i="51"/>
  <c r="J1372" i="51"/>
  <c r="J1373" i="51"/>
  <c r="J1374" i="51"/>
  <c r="J1375" i="51"/>
  <c r="J1376" i="51"/>
  <c r="J1377" i="51"/>
  <c r="J1378" i="51"/>
  <c r="J1379" i="51"/>
  <c r="J1380" i="51"/>
  <c r="J1381" i="51"/>
  <c r="J1382" i="51"/>
  <c r="J1383" i="51"/>
  <c r="J1384" i="51"/>
  <c r="J1385" i="51"/>
  <c r="J1386" i="51"/>
  <c r="J1387" i="51"/>
  <c r="J1388" i="51"/>
  <c r="J1389" i="51"/>
  <c r="J1390" i="51"/>
  <c r="J1391" i="51"/>
  <c r="J1392" i="51"/>
  <c r="J1393" i="51"/>
  <c r="J1394" i="51"/>
  <c r="J1395" i="51"/>
  <c r="J1396" i="51"/>
  <c r="J1397" i="51"/>
  <c r="J1398" i="51"/>
  <c r="J1399" i="51"/>
  <c r="J1400" i="51"/>
  <c r="J1401" i="51"/>
  <c r="J1402" i="51"/>
  <c r="J1403" i="51"/>
  <c r="J1404" i="51"/>
  <c r="J1405" i="51"/>
  <c r="J1406" i="51"/>
  <c r="J1407" i="51"/>
  <c r="J1408" i="51"/>
  <c r="J1409" i="51"/>
  <c r="J1410" i="51"/>
  <c r="J1411" i="51"/>
  <c r="J1412" i="51"/>
  <c r="J1413" i="51"/>
  <c r="J1414" i="51"/>
  <c r="J1415" i="51"/>
  <c r="J1416" i="51"/>
  <c r="J1417" i="51"/>
  <c r="J1418" i="51"/>
  <c r="J1419" i="51"/>
  <c r="J1420" i="51"/>
  <c r="J1421" i="51"/>
  <c r="J1422" i="51"/>
  <c r="J1423" i="51"/>
  <c r="J1424" i="51"/>
  <c r="J1425" i="51"/>
  <c r="J1426" i="51"/>
  <c r="J1427" i="51"/>
  <c r="J1428" i="51"/>
  <c r="J1429" i="51"/>
  <c r="J1430" i="51"/>
  <c r="J1431" i="51"/>
  <c r="J1432" i="51"/>
  <c r="J1433" i="51"/>
  <c r="J1434" i="51"/>
  <c r="J1435" i="51"/>
  <c r="J1436" i="51"/>
  <c r="J1437" i="51"/>
  <c r="J1438" i="51"/>
  <c r="J1439" i="51"/>
  <c r="J1440" i="51"/>
  <c r="J1441" i="51"/>
  <c r="J1442" i="51"/>
  <c r="J1443" i="51"/>
  <c r="J1444" i="51"/>
  <c r="J1445" i="51"/>
  <c r="J1446" i="51"/>
  <c r="J1447" i="51"/>
  <c r="J1448" i="51"/>
  <c r="J1449" i="51"/>
  <c r="J1450" i="51"/>
  <c r="J1451" i="51"/>
  <c r="J1452" i="51"/>
  <c r="J1453" i="51"/>
  <c r="J1454" i="51"/>
  <c r="J1455" i="51"/>
  <c r="J1456" i="51"/>
  <c r="J1457" i="51"/>
  <c r="J1458" i="51"/>
  <c r="J1459" i="51"/>
  <c r="J1460" i="51"/>
  <c r="J1461" i="51"/>
  <c r="J1462" i="51"/>
  <c r="J1463" i="51"/>
  <c r="J1464" i="51"/>
  <c r="J1465" i="51"/>
  <c r="J1466" i="51"/>
  <c r="J1467" i="51"/>
  <c r="J1468" i="51"/>
  <c r="J1469" i="51"/>
  <c r="J1470" i="51"/>
  <c r="J1471" i="51"/>
  <c r="J1472" i="51"/>
  <c r="J1473" i="51"/>
  <c r="J1474" i="51"/>
  <c r="J1475" i="51"/>
  <c r="J1476" i="51"/>
  <c r="J1477" i="51"/>
  <c r="J1478" i="51"/>
  <c r="J1479" i="51"/>
  <c r="J1480" i="51"/>
  <c r="J1481" i="51"/>
  <c r="J1482" i="51"/>
  <c r="J1483" i="51"/>
  <c r="J1484" i="51"/>
  <c r="J1485" i="51"/>
  <c r="J1486" i="51"/>
  <c r="J1487" i="51"/>
  <c r="J1488" i="51"/>
  <c r="J1489" i="51"/>
  <c r="J1490" i="51"/>
  <c r="J1491" i="51"/>
  <c r="J1492" i="51"/>
  <c r="J1493" i="51"/>
  <c r="J1494" i="51"/>
  <c r="J1495" i="51"/>
  <c r="J1496" i="51"/>
  <c r="J1497" i="51"/>
  <c r="J1498" i="51"/>
  <c r="J1499" i="51"/>
  <c r="J1500" i="51"/>
  <c r="J1501" i="51"/>
  <c r="J1502" i="51"/>
  <c r="J1503" i="51"/>
  <c r="J1504" i="51"/>
  <c r="J1505" i="51"/>
  <c r="J1506" i="51"/>
  <c r="J1507" i="51"/>
  <c r="J1508" i="51"/>
  <c r="J1509" i="51"/>
  <c r="J1510" i="51"/>
  <c r="J1511" i="51"/>
  <c r="J1512" i="51"/>
  <c r="J1513" i="51"/>
  <c r="J1514" i="51"/>
  <c r="J1515" i="51"/>
  <c r="J1516" i="51"/>
  <c r="J1517" i="51"/>
  <c r="J1518" i="51"/>
  <c r="J1519" i="51"/>
  <c r="J1520" i="51"/>
  <c r="J1521" i="51"/>
  <c r="J1522" i="51"/>
  <c r="J1523" i="51"/>
  <c r="J1524" i="51"/>
  <c r="J1525" i="51"/>
  <c r="J1526" i="51"/>
  <c r="J1527" i="51"/>
  <c r="J1528" i="51"/>
  <c r="J1529" i="51"/>
  <c r="J1530" i="51"/>
  <c r="J1531" i="51"/>
  <c r="J1532" i="51"/>
  <c r="J1533" i="51"/>
  <c r="J1534" i="51"/>
  <c r="J1535" i="51"/>
  <c r="J1536" i="51"/>
  <c r="J1537" i="51"/>
  <c r="J1538" i="51"/>
  <c r="J1539" i="51"/>
  <c r="J1540" i="51"/>
  <c r="J1541" i="51"/>
  <c r="J1542" i="51"/>
  <c r="J1543" i="51"/>
  <c r="J1544" i="51"/>
  <c r="J1545" i="51"/>
  <c r="J1546" i="51"/>
  <c r="J1547" i="51"/>
  <c r="J1548" i="51"/>
  <c r="J1549" i="51"/>
  <c r="J1550" i="51"/>
  <c r="J1551" i="51"/>
  <c r="J1552" i="51"/>
  <c r="J1553" i="51"/>
  <c r="J1554" i="51"/>
  <c r="J1555" i="51"/>
  <c r="J1556" i="51"/>
  <c r="J1557" i="51"/>
  <c r="J1558" i="51"/>
  <c r="J1559" i="51"/>
  <c r="J1560" i="51"/>
  <c r="J1561" i="51"/>
  <c r="J1562" i="51"/>
  <c r="J1563" i="51"/>
  <c r="J1564" i="51"/>
  <c r="J1565" i="51"/>
  <c r="J1566" i="51"/>
  <c r="J1567" i="51"/>
  <c r="J1568" i="51"/>
  <c r="J1569" i="51"/>
  <c r="J1570" i="51"/>
  <c r="J1571" i="51"/>
  <c r="J1572" i="51"/>
  <c r="J1573" i="51"/>
  <c r="J1574" i="51"/>
  <c r="J1575" i="51"/>
  <c r="J1576" i="51"/>
  <c r="J1577" i="51"/>
  <c r="J1578" i="51"/>
  <c r="J1579" i="51"/>
  <c r="J1580" i="51"/>
  <c r="J1581" i="51"/>
  <c r="J1582" i="51"/>
  <c r="J1583" i="51"/>
  <c r="J1584" i="51"/>
  <c r="J1585" i="51"/>
  <c r="J1586" i="51"/>
  <c r="J1587" i="51"/>
  <c r="J1588" i="51"/>
  <c r="J1589" i="51"/>
  <c r="J1590" i="51"/>
  <c r="J1591" i="51"/>
  <c r="J1592" i="51"/>
  <c r="J1593" i="51"/>
  <c r="J1594" i="51"/>
  <c r="J1595" i="51"/>
  <c r="J1596" i="51"/>
  <c r="J1597" i="51"/>
  <c r="J1598" i="51"/>
  <c r="J1599" i="51"/>
  <c r="J1600" i="51"/>
  <c r="J1601" i="51"/>
  <c r="J1602" i="51"/>
  <c r="J1603" i="51"/>
  <c r="J1604" i="51"/>
  <c r="J1605" i="51"/>
  <c r="J1606" i="51"/>
  <c r="J1607" i="51"/>
  <c r="J1608" i="51"/>
  <c r="J1609" i="51"/>
  <c r="J1610" i="51"/>
  <c r="J1611" i="51"/>
  <c r="J1612" i="51"/>
  <c r="J1613" i="51"/>
  <c r="J1614" i="51"/>
  <c r="J1615" i="51"/>
  <c r="J1616" i="51"/>
  <c r="J1617" i="51"/>
  <c r="J1618" i="51"/>
  <c r="J1619" i="51"/>
  <c r="J1620" i="51"/>
  <c r="J1621" i="51"/>
  <c r="J1622" i="51"/>
  <c r="J1623" i="51"/>
  <c r="J1624" i="51"/>
  <c r="J1625" i="51"/>
  <c r="J1626" i="51"/>
  <c r="J1627" i="51"/>
  <c r="J1628" i="51"/>
  <c r="J1629" i="51"/>
  <c r="J1630" i="51"/>
  <c r="J1631" i="51"/>
  <c r="J1632" i="51"/>
  <c r="J1633" i="51"/>
  <c r="J1634" i="51"/>
  <c r="J1635" i="51"/>
  <c r="J1636" i="51"/>
  <c r="J1637" i="51"/>
  <c r="J1638" i="51"/>
  <c r="J1639" i="51"/>
  <c r="J1640" i="51"/>
  <c r="J1641" i="51"/>
  <c r="J1642" i="51"/>
  <c r="J1643" i="51"/>
  <c r="J1644" i="51"/>
  <c r="J1645" i="51"/>
  <c r="J1646" i="51"/>
  <c r="J1647" i="51"/>
  <c r="J1648" i="51"/>
  <c r="J1649" i="51"/>
  <c r="J1650" i="51"/>
  <c r="J1651" i="51"/>
  <c r="J1652" i="51"/>
  <c r="J1653" i="51"/>
  <c r="J1654" i="51"/>
  <c r="J1655" i="51"/>
  <c r="J1656" i="51"/>
  <c r="J1657" i="51"/>
  <c r="J1658" i="51"/>
  <c r="J1659" i="51"/>
  <c r="J1660" i="51"/>
  <c r="J1661" i="51"/>
  <c r="J1662" i="51"/>
  <c r="J1663" i="51"/>
  <c r="J1664" i="51"/>
  <c r="J1665" i="51"/>
  <c r="J1666" i="51"/>
  <c r="J1667" i="51"/>
  <c r="J1668" i="51"/>
  <c r="J1669" i="51"/>
  <c r="J1670" i="51"/>
  <c r="J1671" i="51"/>
  <c r="J1672" i="51"/>
  <c r="J1673" i="51"/>
  <c r="J1674" i="51"/>
  <c r="J1675" i="51"/>
  <c r="J1676" i="51"/>
  <c r="J1677" i="51"/>
  <c r="J1678" i="51"/>
  <c r="J1679" i="51"/>
  <c r="J1680" i="51"/>
  <c r="J1681" i="51"/>
  <c r="J1682" i="51"/>
  <c r="J1683" i="51"/>
  <c r="J1684" i="51"/>
  <c r="J1685" i="51"/>
  <c r="J1686" i="51"/>
  <c r="J1687" i="51"/>
  <c r="J1688" i="51"/>
  <c r="J1689" i="51"/>
  <c r="J1690" i="51"/>
  <c r="J1691" i="51"/>
  <c r="J1692" i="51"/>
  <c r="J1693" i="51"/>
  <c r="J1694" i="51"/>
  <c r="J1695" i="51"/>
  <c r="J1696" i="51"/>
  <c r="J1697" i="51"/>
  <c r="J1698" i="51"/>
  <c r="J1699" i="51"/>
  <c r="J1700" i="51"/>
  <c r="J1701" i="51"/>
  <c r="J1702" i="51"/>
  <c r="J1703" i="51"/>
  <c r="J1704" i="51"/>
  <c r="J1705" i="51"/>
  <c r="J1706" i="51"/>
  <c r="J1707" i="51"/>
  <c r="J1708" i="51"/>
  <c r="J1709" i="51"/>
  <c r="J1710" i="51"/>
  <c r="J1711" i="51"/>
  <c r="J1712" i="51"/>
  <c r="J1713" i="51"/>
  <c r="J1714" i="51"/>
  <c r="J1715" i="51"/>
  <c r="J1716" i="51"/>
  <c r="J1717" i="51"/>
  <c r="J1718" i="51"/>
  <c r="J1719" i="51"/>
  <c r="J1720" i="51"/>
  <c r="J1721" i="51"/>
  <c r="J1722" i="51"/>
  <c r="J1723" i="51"/>
  <c r="J1724" i="51"/>
  <c r="J1725" i="51"/>
  <c r="J1726" i="51"/>
  <c r="J1727" i="51"/>
  <c r="J1728" i="51"/>
  <c r="J1729" i="51"/>
  <c r="J1730" i="51"/>
  <c r="J1731" i="51"/>
  <c r="J1732" i="51"/>
  <c r="J1733" i="51"/>
  <c r="J1734" i="51"/>
  <c r="J1735" i="51"/>
  <c r="J1736" i="51"/>
  <c r="J1737" i="51"/>
  <c r="J1738" i="51"/>
  <c r="J1739" i="51"/>
  <c r="J1740" i="51"/>
  <c r="J1741" i="51"/>
  <c r="J1742" i="51"/>
  <c r="J1743" i="51"/>
  <c r="J1744" i="51"/>
  <c r="J1745" i="51"/>
  <c r="J1746" i="51"/>
  <c r="J1747" i="51"/>
  <c r="J1748" i="51"/>
  <c r="J1749" i="51"/>
  <c r="J1750" i="51"/>
  <c r="J1751" i="51"/>
  <c r="J1752" i="51"/>
  <c r="J1753" i="51"/>
  <c r="J1754" i="51"/>
  <c r="J1755" i="51"/>
  <c r="J1756" i="51"/>
  <c r="J1757" i="51"/>
  <c r="J1758" i="51"/>
  <c r="J1759" i="51"/>
  <c r="J1760" i="51"/>
  <c r="J1761" i="51"/>
  <c r="J1762" i="51"/>
  <c r="J1763" i="51"/>
  <c r="J1764" i="51"/>
  <c r="J1765" i="51"/>
  <c r="J1766" i="51"/>
  <c r="J1767" i="51"/>
  <c r="J1768" i="51"/>
  <c r="J1769" i="51"/>
  <c r="J1770" i="51"/>
  <c r="J1771" i="51"/>
  <c r="J1772" i="51"/>
  <c r="J1773" i="51"/>
  <c r="J1774" i="51"/>
  <c r="J1775" i="51"/>
  <c r="J1776" i="51"/>
  <c r="J1777" i="51"/>
  <c r="J1778" i="51"/>
  <c r="J1779" i="51"/>
  <c r="J1780" i="51"/>
  <c r="J1781" i="51"/>
  <c r="J1782" i="51"/>
  <c r="J1783" i="51"/>
  <c r="J1784" i="51"/>
  <c r="J1785" i="51"/>
  <c r="J1786" i="51"/>
  <c r="J1787" i="51"/>
  <c r="J1788" i="51"/>
  <c r="J1789" i="51"/>
  <c r="J1790" i="51"/>
  <c r="J1791" i="51"/>
  <c r="J1792" i="51"/>
  <c r="J1793" i="51"/>
  <c r="J2" i="51"/>
  <c r="K22" i="48"/>
  <c r="K23" i="48"/>
  <c r="K24" i="48"/>
  <c r="K25" i="48"/>
  <c r="K26" i="48"/>
  <c r="K21" i="48"/>
  <c r="J3" i="46"/>
  <c r="J4" i="46"/>
  <c r="J5" i="46"/>
  <c r="J6" i="46"/>
  <c r="J7" i="46"/>
  <c r="J8" i="46"/>
  <c r="J9" i="46"/>
  <c r="J10" i="46"/>
  <c r="J11" i="46"/>
  <c r="J12" i="46"/>
  <c r="J13" i="46"/>
  <c r="J14" i="46"/>
  <c r="J15" i="46"/>
  <c r="J16" i="46"/>
  <c r="J17" i="46"/>
  <c r="J18" i="46"/>
  <c r="J19" i="46"/>
  <c r="J20" i="46"/>
  <c r="J21" i="46"/>
  <c r="J22" i="46"/>
  <c r="J23" i="46"/>
  <c r="J24" i="46"/>
  <c r="J25" i="46"/>
  <c r="J26" i="46"/>
  <c r="J27" i="46"/>
  <c r="J28" i="46"/>
  <c r="J29" i="46"/>
  <c r="J30" i="46"/>
  <c r="J31" i="46"/>
  <c r="J32" i="46"/>
  <c r="J33" i="46"/>
  <c r="J34" i="46"/>
  <c r="J35" i="46"/>
  <c r="J36" i="46"/>
  <c r="J37" i="46"/>
  <c r="J38" i="46"/>
  <c r="J39" i="46"/>
  <c r="J40" i="46"/>
  <c r="J41" i="46"/>
  <c r="J42" i="46"/>
  <c r="J43" i="46"/>
  <c r="J44" i="46"/>
  <c r="J45" i="46"/>
  <c r="J46" i="46"/>
  <c r="J47" i="46"/>
  <c r="J48" i="46"/>
  <c r="J49" i="46"/>
  <c r="J50" i="46"/>
  <c r="J51" i="46"/>
  <c r="J52" i="46"/>
  <c r="J53" i="46"/>
  <c r="J54" i="46"/>
  <c r="J55" i="46"/>
  <c r="J56" i="46"/>
  <c r="J57" i="46"/>
  <c r="J58" i="46"/>
  <c r="J59" i="46"/>
  <c r="J60" i="46"/>
  <c r="J61" i="46"/>
  <c r="J62" i="46"/>
  <c r="J63" i="46"/>
  <c r="J64" i="46"/>
  <c r="J65" i="46"/>
  <c r="J66" i="46"/>
  <c r="J67" i="46"/>
  <c r="J68" i="46"/>
  <c r="J69" i="46"/>
  <c r="J70" i="46"/>
  <c r="J71" i="46"/>
  <c r="J72" i="46"/>
  <c r="J73" i="46"/>
  <c r="J74" i="46"/>
  <c r="J75" i="46"/>
  <c r="J76" i="46"/>
  <c r="J77" i="46"/>
  <c r="J2" i="46"/>
  <c r="K3" i="43"/>
  <c r="K4" i="43"/>
  <c r="K5" i="43"/>
  <c r="K6" i="43"/>
  <c r="K7" i="43"/>
  <c r="K8" i="43"/>
  <c r="K9" i="43"/>
  <c r="K10" i="43"/>
  <c r="K11" i="43"/>
  <c r="K12" i="43"/>
  <c r="K13" i="43"/>
  <c r="K14" i="43"/>
  <c r="K15" i="43"/>
  <c r="K16" i="43"/>
  <c r="K17" i="43"/>
  <c r="K18" i="43"/>
  <c r="K19" i="43"/>
  <c r="K20" i="43"/>
  <c r="K21" i="43"/>
  <c r="K22" i="43"/>
  <c r="K23" i="43"/>
  <c r="K2" i="43"/>
  <c r="J3" i="42"/>
  <c r="J4" i="42"/>
  <c r="J5" i="42"/>
  <c r="J6" i="42"/>
  <c r="J7" i="42"/>
  <c r="J8" i="42"/>
  <c r="J9" i="42"/>
  <c r="J10" i="42"/>
  <c r="J11" i="42"/>
  <c r="J12" i="42"/>
  <c r="J13" i="42"/>
  <c r="J14" i="42"/>
  <c r="J15" i="42"/>
  <c r="J16" i="42"/>
  <c r="J17" i="42"/>
  <c r="J18" i="42"/>
  <c r="J19" i="42"/>
  <c r="J20" i="42"/>
  <c r="J21" i="42"/>
  <c r="J22" i="42"/>
  <c r="J23" i="42"/>
  <c r="J24" i="42"/>
  <c r="J25" i="42"/>
  <c r="J26" i="42"/>
  <c r="J27" i="42"/>
  <c r="J28" i="42"/>
  <c r="J29" i="42"/>
  <c r="J30" i="42"/>
  <c r="J31" i="42"/>
  <c r="J32" i="42"/>
  <c r="J33" i="42"/>
  <c r="J34" i="42"/>
  <c r="J35" i="42"/>
  <c r="J36" i="42"/>
  <c r="J37" i="42"/>
  <c r="J38" i="42"/>
  <c r="J39" i="42"/>
  <c r="J40" i="42"/>
  <c r="J41" i="42"/>
  <c r="J42" i="42"/>
  <c r="J43" i="42"/>
  <c r="J44" i="42"/>
  <c r="J45" i="42"/>
  <c r="J46" i="42"/>
  <c r="J47" i="42"/>
  <c r="J48" i="42"/>
  <c r="J49" i="42"/>
  <c r="J50" i="42"/>
  <c r="J51" i="42"/>
  <c r="J52" i="42"/>
  <c r="J53" i="42"/>
  <c r="J54" i="42"/>
  <c r="J55" i="42"/>
  <c r="J56" i="42"/>
  <c r="J57" i="42"/>
  <c r="J58" i="42"/>
  <c r="J59" i="42"/>
  <c r="J60" i="42"/>
  <c r="J61" i="42"/>
  <c r="J62" i="42"/>
  <c r="J63" i="42"/>
  <c r="J64" i="42"/>
  <c r="J65" i="42"/>
  <c r="J66" i="42"/>
  <c r="J67" i="42"/>
  <c r="J68" i="42"/>
  <c r="J69" i="42"/>
  <c r="J70" i="42"/>
  <c r="J71" i="42"/>
  <c r="J72" i="42"/>
  <c r="J73" i="42"/>
  <c r="J74" i="42"/>
  <c r="J75" i="42"/>
  <c r="J76" i="42"/>
  <c r="J77" i="42"/>
  <c r="J78" i="42"/>
  <c r="J79" i="42"/>
  <c r="J80" i="42"/>
  <c r="J81" i="42"/>
  <c r="J82" i="42"/>
  <c r="J83" i="42"/>
  <c r="J84" i="42"/>
  <c r="J85" i="42"/>
  <c r="J86" i="42"/>
  <c r="J87" i="42"/>
  <c r="J88" i="42"/>
  <c r="J89" i="42"/>
  <c r="J90" i="42"/>
  <c r="J91" i="42"/>
  <c r="J92" i="42"/>
  <c r="J93" i="42"/>
  <c r="J94" i="42"/>
  <c r="J95" i="42"/>
  <c r="J96" i="42"/>
  <c r="J97" i="42"/>
  <c r="J98" i="42"/>
  <c r="J99" i="42"/>
  <c r="J100" i="42"/>
  <c r="J101" i="42"/>
  <c r="J102" i="42"/>
  <c r="J103" i="42"/>
  <c r="J104" i="42"/>
  <c r="J105" i="42"/>
  <c r="J106" i="42"/>
  <c r="J107" i="42"/>
  <c r="J108" i="42"/>
  <c r="J109" i="42"/>
  <c r="J110" i="42"/>
  <c r="J111" i="42"/>
  <c r="J112" i="42"/>
  <c r="J113" i="42"/>
  <c r="J114" i="42"/>
  <c r="J115" i="42"/>
  <c r="J116" i="42"/>
  <c r="J117" i="42"/>
  <c r="J118" i="42"/>
  <c r="J119" i="42"/>
  <c r="J120" i="42"/>
  <c r="J121" i="42"/>
  <c r="J122" i="42"/>
  <c r="J123" i="42"/>
  <c r="J124" i="42"/>
  <c r="J125" i="42"/>
  <c r="J126" i="42"/>
  <c r="J127" i="42"/>
  <c r="J128" i="42"/>
  <c r="J129" i="42"/>
  <c r="J130" i="42"/>
  <c r="J131" i="42"/>
  <c r="J132" i="42"/>
  <c r="J133" i="42"/>
  <c r="J134" i="42"/>
  <c r="J135" i="42"/>
  <c r="J136" i="42"/>
  <c r="J137" i="42"/>
  <c r="J138" i="42"/>
  <c r="J139" i="42"/>
  <c r="J140" i="42"/>
  <c r="J141" i="42"/>
  <c r="J142" i="42"/>
  <c r="J143" i="42"/>
  <c r="J144" i="42"/>
  <c r="J145" i="42"/>
  <c r="J146" i="42"/>
  <c r="J147" i="42"/>
  <c r="J148" i="42"/>
  <c r="J149" i="42"/>
  <c r="J150" i="42"/>
  <c r="J151" i="42"/>
  <c r="J152" i="42"/>
  <c r="J153" i="42"/>
  <c r="J154" i="42"/>
  <c r="J155" i="42"/>
  <c r="J156" i="42"/>
  <c r="J157" i="42"/>
  <c r="J158" i="42"/>
  <c r="J159" i="42"/>
  <c r="J160" i="42"/>
  <c r="J161" i="42"/>
  <c r="J162" i="42"/>
  <c r="J163" i="42"/>
  <c r="J164" i="42"/>
  <c r="J165" i="42"/>
  <c r="J166" i="42"/>
  <c r="J167" i="42"/>
  <c r="J168" i="42"/>
  <c r="J169" i="42"/>
  <c r="J170" i="42"/>
  <c r="J171" i="42"/>
  <c r="J172" i="42"/>
  <c r="J173" i="42"/>
  <c r="J174" i="42"/>
  <c r="J175" i="42"/>
  <c r="J176" i="42"/>
  <c r="J177" i="42"/>
  <c r="J178" i="42"/>
  <c r="J179" i="42"/>
  <c r="J180" i="42"/>
  <c r="J181" i="42"/>
  <c r="J182" i="42"/>
  <c r="J183" i="42"/>
  <c r="J184" i="42"/>
  <c r="J185" i="42"/>
  <c r="J186" i="42"/>
  <c r="J187" i="42"/>
  <c r="J188" i="42"/>
  <c r="J189" i="42"/>
  <c r="J190" i="42"/>
  <c r="J191" i="42"/>
  <c r="J192" i="42"/>
  <c r="J193" i="42"/>
  <c r="J194" i="42"/>
  <c r="J195" i="42"/>
  <c r="J196" i="42"/>
  <c r="J197" i="42"/>
  <c r="J198" i="42"/>
  <c r="J199" i="42"/>
  <c r="J200" i="42"/>
  <c r="J201" i="42"/>
  <c r="J202" i="42"/>
  <c r="J203" i="42"/>
  <c r="J204" i="42"/>
  <c r="J205" i="42"/>
  <c r="J206" i="42"/>
  <c r="J207" i="42"/>
  <c r="J208" i="42"/>
  <c r="J209" i="42"/>
  <c r="J210" i="42"/>
  <c r="J211" i="42"/>
  <c r="J212" i="42"/>
  <c r="J213" i="42"/>
  <c r="J214" i="42"/>
  <c r="J215" i="42"/>
  <c r="J216" i="42"/>
  <c r="J217" i="42"/>
  <c r="J218" i="42"/>
  <c r="J219" i="42"/>
  <c r="J220" i="42"/>
  <c r="J221" i="42"/>
  <c r="J222" i="42"/>
  <c r="J223" i="42"/>
  <c r="J224" i="42"/>
  <c r="J225" i="42"/>
  <c r="J226" i="42"/>
  <c r="J227" i="42"/>
  <c r="J228" i="42"/>
  <c r="J229" i="42"/>
  <c r="J230" i="42"/>
  <c r="J231" i="42"/>
  <c r="J232" i="42"/>
  <c r="J233" i="42"/>
  <c r="J234" i="42"/>
  <c r="J235" i="42"/>
  <c r="J236" i="42"/>
  <c r="J237" i="42"/>
  <c r="J238" i="42"/>
  <c r="J239" i="42"/>
  <c r="J240" i="42"/>
  <c r="J241" i="42"/>
  <c r="J242" i="42"/>
  <c r="J243" i="42"/>
  <c r="J244" i="42"/>
  <c r="J245" i="42"/>
  <c r="J246" i="42"/>
  <c r="J247" i="42"/>
  <c r="J248" i="42"/>
  <c r="J249" i="42"/>
  <c r="J250" i="42"/>
  <c r="J251" i="42"/>
  <c r="J252" i="42"/>
  <c r="J253" i="42"/>
  <c r="J254" i="42"/>
  <c r="J255" i="42"/>
  <c r="J256" i="42"/>
  <c r="J257" i="42"/>
  <c r="J258" i="42"/>
  <c r="J259" i="42"/>
  <c r="J260" i="42"/>
  <c r="J261" i="42"/>
  <c r="J262" i="42"/>
  <c r="J263" i="42"/>
  <c r="J264" i="42"/>
  <c r="J265" i="42"/>
  <c r="J266" i="42"/>
  <c r="J267" i="42"/>
  <c r="J268" i="42"/>
  <c r="J269" i="42"/>
  <c r="J270" i="42"/>
  <c r="J271" i="42"/>
  <c r="J272" i="42"/>
  <c r="J273" i="42"/>
  <c r="J274" i="42"/>
  <c r="J275" i="42"/>
  <c r="J276" i="42"/>
  <c r="J277" i="42"/>
  <c r="J278" i="42"/>
  <c r="J279" i="42"/>
  <c r="J280" i="42"/>
  <c r="J281" i="42"/>
  <c r="J282" i="42"/>
  <c r="J283" i="42"/>
  <c r="J284" i="42"/>
  <c r="J285" i="42"/>
  <c r="J286" i="42"/>
  <c r="J287" i="42"/>
  <c r="J288" i="42"/>
  <c r="J289" i="42"/>
  <c r="J290" i="42"/>
  <c r="J291" i="42"/>
  <c r="J292" i="42"/>
  <c r="J293" i="42"/>
  <c r="J294" i="42"/>
  <c r="J295" i="42"/>
  <c r="J296" i="42"/>
  <c r="J297" i="42"/>
  <c r="J298" i="42"/>
  <c r="J299" i="42"/>
  <c r="J300" i="42"/>
  <c r="J301" i="42"/>
  <c r="J302" i="42"/>
  <c r="J303" i="42"/>
  <c r="J304" i="42"/>
  <c r="J305" i="42"/>
  <c r="J306" i="42"/>
  <c r="J307" i="42"/>
  <c r="J308" i="42"/>
  <c r="J309" i="42"/>
  <c r="J310" i="42"/>
  <c r="J311" i="42"/>
  <c r="J312" i="42"/>
  <c r="J313" i="42"/>
  <c r="J314" i="42"/>
  <c r="J315" i="42"/>
  <c r="J316" i="42"/>
  <c r="J317" i="42"/>
  <c r="J318" i="42"/>
  <c r="J319" i="42"/>
  <c r="J320" i="42"/>
  <c r="J321" i="42"/>
  <c r="J322" i="42"/>
  <c r="J323" i="42"/>
  <c r="J324" i="42"/>
  <c r="J325" i="42"/>
  <c r="J326" i="42"/>
  <c r="J327" i="42"/>
  <c r="J328" i="42"/>
  <c r="J329" i="42"/>
  <c r="J330" i="42"/>
  <c r="J331" i="42"/>
  <c r="J332" i="42"/>
  <c r="J333" i="42"/>
  <c r="J334" i="42"/>
  <c r="J335" i="42"/>
  <c r="J336" i="42"/>
  <c r="J337" i="42"/>
  <c r="J338" i="42"/>
  <c r="J339" i="42"/>
  <c r="J340" i="42"/>
  <c r="J341" i="42"/>
  <c r="J342" i="42"/>
  <c r="J343" i="42"/>
  <c r="J2" i="42"/>
  <c r="K4" i="41"/>
  <c r="K5" i="41"/>
  <c r="K6" i="41"/>
  <c r="K7" i="41"/>
  <c r="K8" i="41"/>
  <c r="K9" i="41"/>
  <c r="K10" i="41"/>
  <c r="K11" i="41"/>
  <c r="K12" i="41"/>
  <c r="K13" i="41"/>
  <c r="K14" i="41"/>
  <c r="K15" i="41"/>
  <c r="K3" i="41"/>
  <c r="K2" i="41"/>
  <c r="K3" i="37"/>
  <c r="K4" i="37"/>
  <c r="K5" i="37"/>
  <c r="K7" i="37"/>
  <c r="K8" i="37"/>
  <c r="K9" i="37"/>
  <c r="K10" i="37"/>
  <c r="K11" i="37"/>
  <c r="K12" i="37"/>
  <c r="K13" i="37"/>
  <c r="K14" i="37"/>
  <c r="K15" i="37"/>
  <c r="K16" i="37"/>
  <c r="K17" i="37"/>
  <c r="K18" i="37"/>
  <c r="K19" i="37"/>
  <c r="K20" i="37"/>
  <c r="K21" i="37"/>
  <c r="K2" i="37"/>
  <c r="K4" i="40"/>
  <c r="K5" i="40"/>
  <c r="K6" i="40"/>
  <c r="K7" i="40"/>
  <c r="K8" i="40"/>
  <c r="K9" i="40"/>
  <c r="K10" i="40"/>
  <c r="K11" i="40"/>
  <c r="K12" i="40"/>
  <c r="K13" i="40"/>
  <c r="K14" i="40"/>
  <c r="K15" i="40"/>
  <c r="K16" i="40"/>
  <c r="K17" i="40"/>
  <c r="K18" i="40"/>
  <c r="K19" i="40"/>
  <c r="K20" i="40"/>
  <c r="K21" i="40"/>
  <c r="K22" i="40"/>
  <c r="K23" i="40"/>
  <c r="K24" i="40"/>
  <c r="K25" i="40"/>
  <c r="K26" i="40"/>
  <c r="K27" i="40"/>
  <c r="K28" i="40"/>
  <c r="K29" i="40"/>
  <c r="K30" i="40"/>
  <c r="K31" i="40"/>
  <c r="K32" i="40"/>
  <c r="K33" i="40"/>
  <c r="K34" i="40"/>
  <c r="K35" i="40"/>
  <c r="K36" i="40"/>
  <c r="K37" i="40"/>
  <c r="K38" i="40"/>
  <c r="K39" i="40"/>
  <c r="K40" i="40"/>
  <c r="K41" i="40"/>
  <c r="K42" i="40"/>
  <c r="K43" i="40"/>
  <c r="K44" i="40"/>
  <c r="K45" i="40"/>
  <c r="K46" i="40"/>
  <c r="K47" i="40"/>
  <c r="K48" i="40"/>
  <c r="K49" i="40"/>
  <c r="K50" i="40"/>
  <c r="K51" i="40"/>
  <c r="K52" i="40"/>
  <c r="K53" i="40"/>
  <c r="K54" i="40"/>
  <c r="K55" i="40"/>
  <c r="K56" i="40"/>
  <c r="K57" i="40"/>
  <c r="K58" i="40"/>
  <c r="K59" i="40"/>
  <c r="K3" i="40"/>
  <c r="K2" i="40"/>
  <c r="K4" i="34"/>
  <c r="K5" i="34"/>
  <c r="K6" i="34"/>
  <c r="K7" i="34"/>
  <c r="K8" i="34"/>
  <c r="K9" i="34"/>
  <c r="K10" i="34"/>
  <c r="K11" i="34"/>
  <c r="K12" i="34"/>
  <c r="K13" i="34"/>
  <c r="K14" i="34"/>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43" i="34"/>
  <c r="K44" i="34"/>
  <c r="K45" i="34"/>
  <c r="K46" i="34"/>
  <c r="K47" i="34"/>
  <c r="K48" i="34"/>
  <c r="K49" i="34"/>
  <c r="K50" i="34"/>
  <c r="K51" i="34"/>
  <c r="K52" i="34"/>
  <c r="K53" i="34"/>
  <c r="K54" i="34"/>
  <c r="K55" i="34"/>
  <c r="K56" i="34"/>
  <c r="K57" i="34"/>
  <c r="K58" i="34"/>
  <c r="K59" i="34"/>
  <c r="K60" i="34"/>
  <c r="K61" i="34"/>
  <c r="K62" i="34"/>
  <c r="K63" i="34"/>
  <c r="K64" i="34"/>
  <c r="K65" i="34"/>
  <c r="K66" i="34"/>
  <c r="K67" i="34"/>
  <c r="K68" i="34"/>
  <c r="K69" i="34"/>
  <c r="K70" i="34"/>
  <c r="K71" i="34"/>
  <c r="K72" i="34"/>
  <c r="K73" i="34"/>
  <c r="K74" i="34"/>
  <c r="K75" i="34"/>
  <c r="K76" i="34"/>
  <c r="K77" i="34"/>
  <c r="K78" i="34"/>
  <c r="K79" i="34"/>
  <c r="K80" i="34"/>
  <c r="K81" i="34"/>
  <c r="K82" i="34"/>
  <c r="K83" i="34"/>
  <c r="K84" i="34"/>
  <c r="K85" i="34"/>
  <c r="K86" i="34"/>
  <c r="K87" i="34"/>
  <c r="K88" i="34"/>
  <c r="K89" i="34"/>
  <c r="K90" i="34"/>
  <c r="K91" i="34"/>
  <c r="K92" i="34"/>
  <c r="K93" i="34"/>
  <c r="K94" i="34"/>
  <c r="K95" i="34"/>
  <c r="K96" i="34"/>
  <c r="K97" i="34"/>
  <c r="K98" i="34"/>
  <c r="K99" i="34"/>
  <c r="K100" i="34"/>
  <c r="K101" i="34"/>
  <c r="K102" i="34"/>
  <c r="K103" i="34"/>
  <c r="K104" i="34"/>
  <c r="K105" i="34"/>
  <c r="K106" i="34"/>
  <c r="K107" i="34"/>
  <c r="K108" i="34"/>
  <c r="K109" i="34"/>
  <c r="K110" i="34"/>
  <c r="K111" i="34"/>
  <c r="K112" i="34"/>
  <c r="K113" i="34"/>
  <c r="K114" i="34"/>
  <c r="K115" i="34"/>
  <c r="K116" i="34"/>
  <c r="K117" i="34"/>
  <c r="K118" i="34"/>
  <c r="K119" i="34"/>
  <c r="K120" i="34"/>
  <c r="K121" i="34"/>
  <c r="K122" i="34"/>
  <c r="K123" i="34"/>
  <c r="K124" i="34"/>
  <c r="K125" i="34"/>
  <c r="K126" i="34"/>
  <c r="K127" i="34"/>
  <c r="K128" i="34"/>
  <c r="K129" i="34"/>
  <c r="K130" i="34"/>
  <c r="K131" i="34"/>
  <c r="K132" i="34"/>
  <c r="K133" i="34"/>
  <c r="K134" i="34"/>
  <c r="K135" i="34"/>
  <c r="K136" i="34"/>
  <c r="K137" i="34"/>
  <c r="K138" i="34"/>
  <c r="K139" i="34"/>
  <c r="K140" i="34"/>
  <c r="K141" i="34"/>
  <c r="K142" i="34"/>
  <c r="K143" i="34"/>
  <c r="K144" i="34"/>
  <c r="K145" i="34"/>
  <c r="K146" i="34"/>
  <c r="K147" i="34"/>
  <c r="K148" i="34"/>
  <c r="K149" i="34"/>
  <c r="K150" i="34"/>
  <c r="K151" i="34"/>
  <c r="K152" i="34"/>
  <c r="K153" i="34"/>
  <c r="K154" i="34"/>
  <c r="K155" i="34"/>
  <c r="K156" i="34"/>
  <c r="K157" i="34"/>
  <c r="K158" i="34"/>
  <c r="K159" i="34"/>
  <c r="K160" i="34"/>
  <c r="K161" i="34"/>
  <c r="K162" i="34"/>
  <c r="K163" i="34"/>
  <c r="K164" i="34"/>
  <c r="K165" i="34"/>
  <c r="K166" i="34"/>
  <c r="K167" i="34"/>
  <c r="K168" i="34"/>
  <c r="K169" i="34"/>
  <c r="K170" i="34"/>
  <c r="K171" i="34"/>
  <c r="K172" i="34"/>
  <c r="K173" i="34"/>
  <c r="K174" i="34"/>
  <c r="K175" i="34"/>
  <c r="K176" i="34"/>
  <c r="K177" i="34"/>
  <c r="K178" i="34"/>
  <c r="K179" i="34"/>
  <c r="K180" i="34"/>
  <c r="K181" i="34"/>
  <c r="K182" i="34"/>
  <c r="K183" i="34"/>
  <c r="K184" i="34"/>
  <c r="K185" i="34"/>
  <c r="K186" i="34"/>
  <c r="K187" i="34"/>
  <c r="K188" i="34"/>
  <c r="K189" i="34"/>
  <c r="K190" i="34"/>
  <c r="K191" i="34"/>
  <c r="K192" i="34"/>
  <c r="K193" i="34"/>
  <c r="K194" i="34"/>
  <c r="K195" i="34"/>
  <c r="K196" i="34"/>
  <c r="K197" i="34"/>
  <c r="K198" i="34"/>
  <c r="K199" i="34"/>
  <c r="K200" i="34"/>
  <c r="K201" i="34"/>
  <c r="K202" i="34"/>
  <c r="K203" i="34"/>
  <c r="K204" i="34"/>
  <c r="K205" i="34"/>
  <c r="K206" i="34"/>
  <c r="K207" i="34"/>
  <c r="K208" i="34"/>
  <c r="K209" i="34"/>
  <c r="K210" i="34"/>
  <c r="K211" i="34"/>
  <c r="K212" i="34"/>
  <c r="K213" i="34"/>
  <c r="K214" i="34"/>
  <c r="K215" i="34"/>
  <c r="K216" i="34"/>
  <c r="K217" i="34"/>
  <c r="K218" i="34"/>
  <c r="K219" i="34"/>
  <c r="K220" i="34"/>
  <c r="K221" i="34"/>
  <c r="K222" i="34"/>
  <c r="K223" i="34"/>
  <c r="K224" i="34"/>
  <c r="K225" i="34"/>
  <c r="K226" i="34"/>
  <c r="K227" i="34"/>
  <c r="K228" i="34"/>
  <c r="K229" i="34"/>
  <c r="K230" i="34"/>
  <c r="K231" i="34"/>
  <c r="K232" i="34"/>
  <c r="K233" i="34"/>
  <c r="K234" i="34"/>
  <c r="K235" i="34"/>
  <c r="K236" i="34"/>
  <c r="K237" i="34"/>
  <c r="K238" i="34"/>
  <c r="K239" i="34"/>
  <c r="K240" i="34"/>
  <c r="K241" i="34"/>
  <c r="K242" i="34"/>
  <c r="K243" i="34"/>
  <c r="K244" i="34"/>
  <c r="K245" i="34"/>
  <c r="K246" i="34"/>
  <c r="K247" i="34"/>
  <c r="K248" i="34"/>
  <c r="K249" i="34"/>
  <c r="K250" i="34"/>
  <c r="K251" i="34"/>
  <c r="K252" i="34"/>
  <c r="K253" i="34"/>
  <c r="K254" i="34"/>
  <c r="K255" i="34"/>
  <c r="K256" i="34"/>
  <c r="K257" i="34"/>
  <c r="K258" i="34"/>
  <c r="K259" i="34"/>
  <c r="K260" i="34"/>
  <c r="K261" i="34"/>
  <c r="K262" i="34"/>
  <c r="K263" i="34"/>
  <c r="K264" i="34"/>
  <c r="K265" i="34"/>
  <c r="K266" i="34"/>
  <c r="K267" i="34"/>
  <c r="K268" i="34"/>
  <c r="K269" i="34"/>
  <c r="K270" i="34"/>
  <c r="K271" i="34"/>
  <c r="K272" i="34"/>
  <c r="K273" i="34"/>
  <c r="K274" i="34"/>
  <c r="K275" i="34"/>
  <c r="K276" i="34"/>
  <c r="K277" i="34"/>
  <c r="K278" i="34"/>
  <c r="K279" i="34"/>
  <c r="K280" i="34"/>
  <c r="K281" i="34"/>
  <c r="K282" i="34"/>
  <c r="K283" i="34"/>
  <c r="K284" i="34"/>
  <c r="K285" i="34"/>
  <c r="K286" i="34"/>
  <c r="K287" i="34"/>
  <c r="K288" i="34"/>
  <c r="K289" i="34"/>
  <c r="K290" i="34"/>
  <c r="K291" i="34"/>
  <c r="K292" i="34"/>
  <c r="K293" i="34"/>
  <c r="K294" i="34"/>
  <c r="K295" i="34"/>
  <c r="K296" i="34"/>
  <c r="K297" i="34"/>
  <c r="K298" i="34"/>
  <c r="K299" i="34"/>
  <c r="K300" i="34"/>
  <c r="K301" i="34"/>
  <c r="K302" i="34"/>
  <c r="K303" i="34"/>
  <c r="K304" i="34"/>
  <c r="K305" i="34"/>
  <c r="K306" i="34"/>
  <c r="K307" i="34"/>
  <c r="K308" i="34"/>
  <c r="K309" i="34"/>
  <c r="K310" i="34"/>
  <c r="K311" i="34"/>
  <c r="K312" i="34"/>
  <c r="K313" i="34"/>
  <c r="K314" i="34"/>
  <c r="K315" i="34"/>
  <c r="K316" i="34"/>
  <c r="K317" i="34"/>
  <c r="K318" i="34"/>
  <c r="K319" i="34"/>
  <c r="K320" i="34"/>
  <c r="K321" i="34"/>
  <c r="K322" i="34"/>
  <c r="K323" i="34"/>
  <c r="K324" i="34"/>
  <c r="K325" i="34"/>
  <c r="K326" i="34"/>
  <c r="K327" i="34"/>
  <c r="K328" i="34"/>
  <c r="K329" i="34"/>
  <c r="K330" i="34"/>
  <c r="K331" i="34"/>
  <c r="K332" i="34"/>
  <c r="K333" i="34"/>
  <c r="K334" i="34"/>
  <c r="K335" i="34"/>
  <c r="K336" i="34"/>
  <c r="K337" i="34"/>
  <c r="K338" i="34"/>
  <c r="K339" i="34"/>
  <c r="K340" i="34"/>
  <c r="K341" i="34"/>
  <c r="K342" i="34"/>
  <c r="K343" i="34"/>
  <c r="K344" i="34"/>
  <c r="K345" i="34"/>
  <c r="K346" i="34"/>
  <c r="K347" i="34"/>
  <c r="K348" i="34"/>
  <c r="K349" i="34"/>
  <c r="K350" i="34"/>
  <c r="K351" i="34"/>
  <c r="K352" i="34"/>
  <c r="K353" i="34"/>
  <c r="K354" i="34"/>
  <c r="K355" i="34"/>
  <c r="K356" i="34"/>
  <c r="K357" i="34"/>
  <c r="K358" i="34"/>
  <c r="K359" i="34"/>
  <c r="K360" i="34"/>
  <c r="K361" i="34"/>
  <c r="K362" i="34"/>
  <c r="K363" i="34"/>
  <c r="K364" i="34"/>
  <c r="K365" i="34"/>
  <c r="K366" i="34"/>
  <c r="K367" i="34"/>
  <c r="K368" i="34"/>
  <c r="K369" i="34"/>
  <c r="K370" i="34"/>
  <c r="K371" i="34"/>
  <c r="K372" i="34"/>
  <c r="K373" i="34"/>
  <c r="K374" i="34"/>
  <c r="K375" i="34"/>
  <c r="K376" i="34"/>
  <c r="K377" i="34"/>
  <c r="K378" i="34"/>
  <c r="K379" i="34"/>
  <c r="K380" i="34"/>
  <c r="K381" i="34"/>
  <c r="K382" i="34"/>
  <c r="K383" i="34"/>
  <c r="K384" i="34"/>
  <c r="K385" i="34"/>
  <c r="K386" i="34"/>
  <c r="K387" i="34"/>
  <c r="K388" i="34"/>
  <c r="K389" i="34"/>
  <c r="K390" i="34"/>
  <c r="K391" i="34"/>
  <c r="K392" i="34"/>
  <c r="K393" i="34"/>
  <c r="K394" i="34"/>
  <c r="K395" i="34"/>
  <c r="K396" i="34"/>
  <c r="K397" i="34"/>
  <c r="K398" i="34"/>
  <c r="K399" i="34"/>
  <c r="K400" i="34"/>
  <c r="K401" i="34"/>
  <c r="K402" i="34"/>
  <c r="K403" i="34"/>
  <c r="K404" i="34"/>
  <c r="K405" i="34"/>
  <c r="K406" i="34"/>
  <c r="K407" i="34"/>
  <c r="K408" i="34"/>
  <c r="K409" i="34"/>
  <c r="K410" i="34"/>
  <c r="K411" i="34"/>
  <c r="K412" i="34"/>
  <c r="K413" i="34"/>
  <c r="K414" i="34"/>
  <c r="K415" i="34"/>
  <c r="K416" i="34"/>
  <c r="K417" i="34"/>
  <c r="K418" i="34"/>
  <c r="K419" i="34"/>
  <c r="K420" i="34"/>
  <c r="K421" i="34"/>
  <c r="K422" i="34"/>
  <c r="K423" i="34"/>
  <c r="K424" i="34"/>
  <c r="K425" i="34"/>
  <c r="K426" i="34"/>
  <c r="K427" i="34"/>
  <c r="K428" i="34"/>
  <c r="K429" i="34"/>
  <c r="K430" i="34"/>
  <c r="K431" i="34"/>
  <c r="K432" i="34"/>
  <c r="K433" i="34"/>
  <c r="K434" i="34"/>
  <c r="K435" i="34"/>
  <c r="K436" i="34"/>
  <c r="K437" i="34"/>
  <c r="K438" i="34"/>
  <c r="K439" i="34"/>
  <c r="K440" i="34"/>
  <c r="K441" i="34"/>
  <c r="K442" i="34"/>
  <c r="K443" i="34"/>
  <c r="K444" i="34"/>
  <c r="K445" i="34"/>
  <c r="K446" i="34"/>
  <c r="K447" i="34"/>
  <c r="K448" i="34"/>
  <c r="K449" i="34"/>
  <c r="K450" i="34"/>
  <c r="K451" i="34"/>
  <c r="K452" i="34"/>
  <c r="K453" i="34"/>
  <c r="K454" i="34"/>
  <c r="K455" i="34"/>
  <c r="K456" i="34"/>
  <c r="K457" i="34"/>
  <c r="K458" i="34"/>
  <c r="K459" i="34"/>
  <c r="K460" i="34"/>
  <c r="K461" i="34"/>
  <c r="K462" i="34"/>
  <c r="K463" i="34"/>
  <c r="K464" i="34"/>
  <c r="K465" i="34"/>
  <c r="K466" i="34"/>
  <c r="K467" i="34"/>
  <c r="K468" i="34"/>
  <c r="K469" i="34"/>
  <c r="K470" i="34"/>
  <c r="K471" i="34"/>
  <c r="K472" i="34"/>
  <c r="K473" i="34"/>
  <c r="K474" i="34"/>
  <c r="K475" i="34"/>
  <c r="K476" i="34"/>
  <c r="K477" i="34"/>
  <c r="K478" i="34"/>
  <c r="K479" i="34"/>
  <c r="K480" i="34"/>
  <c r="K481" i="34"/>
  <c r="K482" i="34"/>
  <c r="K483" i="34"/>
  <c r="K484" i="34"/>
  <c r="K485" i="34"/>
  <c r="K486" i="34"/>
  <c r="K487" i="34"/>
  <c r="K488" i="34"/>
  <c r="K489" i="34"/>
  <c r="K490" i="34"/>
  <c r="K491" i="34"/>
  <c r="K492" i="34"/>
  <c r="K493" i="34"/>
  <c r="K494" i="34"/>
  <c r="K495" i="34"/>
  <c r="K496" i="34"/>
  <c r="K497" i="34"/>
  <c r="K498" i="34"/>
  <c r="K499" i="34"/>
  <c r="K500" i="34"/>
  <c r="K501" i="34"/>
  <c r="K502" i="34"/>
  <c r="K503" i="34"/>
  <c r="K504" i="34"/>
  <c r="K505" i="34"/>
  <c r="K506" i="34"/>
  <c r="K507" i="34"/>
  <c r="K508" i="34"/>
  <c r="K509" i="34"/>
  <c r="K510" i="34"/>
  <c r="K511" i="34"/>
  <c r="K512" i="34"/>
  <c r="K513" i="34"/>
  <c r="K514" i="34"/>
  <c r="K515" i="34"/>
  <c r="K516" i="34"/>
  <c r="K517" i="34"/>
  <c r="K518" i="34"/>
  <c r="K519" i="34"/>
  <c r="K520" i="34"/>
  <c r="K521" i="34"/>
  <c r="K522" i="34"/>
  <c r="K523" i="34"/>
  <c r="K524" i="34"/>
  <c r="K525" i="34"/>
  <c r="K526" i="34"/>
  <c r="K527" i="34"/>
  <c r="K528" i="34"/>
  <c r="K529" i="34"/>
  <c r="K530" i="34"/>
  <c r="K531" i="34"/>
  <c r="K532" i="34"/>
  <c r="K533" i="34"/>
  <c r="K534" i="34"/>
  <c r="K535" i="34"/>
  <c r="K536" i="34"/>
  <c r="K537" i="34"/>
  <c r="K538" i="34"/>
  <c r="K539" i="34"/>
  <c r="K540" i="34"/>
  <c r="K541" i="34"/>
  <c r="K542" i="34"/>
  <c r="K543" i="34"/>
  <c r="K544" i="34"/>
  <c r="K545" i="34"/>
  <c r="K546" i="34"/>
  <c r="K547" i="34"/>
  <c r="K548" i="34"/>
  <c r="K549" i="34"/>
  <c r="K550" i="34"/>
  <c r="K551" i="34"/>
  <c r="K552" i="34"/>
  <c r="K553" i="34"/>
  <c r="K554" i="34"/>
  <c r="K555" i="34"/>
  <c r="K556" i="34"/>
  <c r="K557" i="34"/>
  <c r="K558" i="34"/>
  <c r="K559" i="34"/>
  <c r="K560" i="34"/>
  <c r="K561" i="34"/>
  <c r="K562" i="34"/>
  <c r="K563" i="34"/>
  <c r="K564" i="34"/>
  <c r="K565" i="34"/>
  <c r="K566" i="34"/>
  <c r="K567" i="34"/>
  <c r="K568" i="34"/>
  <c r="K569" i="34"/>
  <c r="K570" i="34"/>
  <c r="K571" i="34"/>
  <c r="K572" i="34"/>
  <c r="K573" i="34"/>
  <c r="K574" i="34"/>
  <c r="K575" i="34"/>
  <c r="K576" i="34"/>
  <c r="K577" i="34"/>
  <c r="K578" i="34"/>
  <c r="K579" i="34"/>
  <c r="K580" i="34"/>
  <c r="K581" i="34"/>
  <c r="K582" i="34"/>
  <c r="K583" i="34"/>
  <c r="K584" i="34"/>
  <c r="K585" i="34"/>
  <c r="K586" i="34"/>
  <c r="K587" i="34"/>
  <c r="K588" i="34"/>
  <c r="K589" i="34"/>
  <c r="K590" i="34"/>
  <c r="K591" i="34"/>
  <c r="K592" i="34"/>
  <c r="K593" i="34"/>
  <c r="K594" i="34"/>
  <c r="K595" i="34"/>
  <c r="K596" i="34"/>
  <c r="K597" i="34"/>
  <c r="K598" i="34"/>
  <c r="K599" i="34"/>
  <c r="K600" i="34"/>
  <c r="K601" i="34"/>
  <c r="K602" i="34"/>
  <c r="K603" i="34"/>
  <c r="K604" i="34"/>
  <c r="K605" i="34"/>
  <c r="K606" i="34"/>
  <c r="K607" i="34"/>
  <c r="K608" i="34"/>
  <c r="K609" i="34"/>
  <c r="K610" i="34"/>
  <c r="K611" i="34"/>
  <c r="K612" i="34"/>
  <c r="K613" i="34"/>
  <c r="K614" i="34"/>
  <c r="K615" i="34"/>
  <c r="K616" i="34"/>
  <c r="K617" i="34"/>
  <c r="K618" i="34"/>
  <c r="K619" i="34"/>
  <c r="K620" i="34"/>
  <c r="K621" i="34"/>
  <c r="K622" i="34"/>
  <c r="K3" i="34"/>
  <c r="K2" i="34"/>
  <c r="K4" i="38"/>
  <c r="K5" i="38"/>
  <c r="K6" i="38"/>
  <c r="K7" i="38"/>
  <c r="K8" i="38"/>
  <c r="K9" i="38"/>
  <c r="K10" i="38"/>
  <c r="K11" i="38"/>
  <c r="K12" i="38"/>
  <c r="K13" i="38"/>
  <c r="K14" i="38"/>
  <c r="K15" i="38"/>
  <c r="K16" i="38"/>
  <c r="K17" i="38"/>
  <c r="K18" i="38"/>
  <c r="K19" i="38"/>
  <c r="K20" i="38"/>
  <c r="K21" i="38"/>
  <c r="K22" i="38"/>
  <c r="K23" i="38"/>
  <c r="K24" i="38"/>
  <c r="K25" i="38"/>
  <c r="K26" i="38"/>
  <c r="K27" i="38"/>
  <c r="K28" i="38"/>
  <c r="K29" i="38"/>
  <c r="K30" i="38"/>
  <c r="K31" i="38"/>
  <c r="K32" i="38"/>
  <c r="K33" i="38"/>
  <c r="K34" i="38"/>
  <c r="K35" i="38"/>
  <c r="K36" i="38"/>
  <c r="K37" i="38"/>
  <c r="K38" i="38"/>
  <c r="K39" i="38"/>
  <c r="K40" i="38"/>
  <c r="K41" i="38"/>
  <c r="K42" i="38"/>
  <c r="K43" i="38"/>
  <c r="K44" i="38"/>
  <c r="K45" i="38"/>
  <c r="K46" i="38"/>
  <c r="K47" i="38"/>
  <c r="K48" i="38"/>
  <c r="K49" i="38"/>
  <c r="K50" i="38"/>
  <c r="K3" i="38"/>
  <c r="K2" i="38"/>
  <c r="K4" i="36"/>
  <c r="K5" i="36"/>
  <c r="K6" i="36"/>
  <c r="K7" i="36"/>
  <c r="K8" i="36"/>
  <c r="K9" i="36"/>
  <c r="K10" i="36"/>
  <c r="K11" i="36"/>
  <c r="K12" i="36"/>
  <c r="K13" i="36"/>
  <c r="K14" i="36"/>
  <c r="K15" i="36"/>
  <c r="K16" i="36"/>
  <c r="K17" i="36"/>
  <c r="K18" i="36"/>
  <c r="K19" i="36"/>
  <c r="K20" i="36"/>
  <c r="K21" i="36"/>
  <c r="K22" i="36"/>
  <c r="K23" i="36"/>
  <c r="K24" i="36"/>
  <c r="K25" i="36"/>
  <c r="K26" i="36"/>
  <c r="K27" i="36"/>
  <c r="K28" i="36"/>
  <c r="K29" i="36"/>
  <c r="K30" i="36"/>
  <c r="K31" i="36"/>
  <c r="K32" i="36"/>
  <c r="K33" i="36"/>
  <c r="K34" i="36"/>
  <c r="K35" i="36"/>
  <c r="K36" i="36"/>
  <c r="K37" i="36"/>
  <c r="K38" i="36"/>
  <c r="K39" i="36"/>
  <c r="K40" i="36"/>
  <c r="K41" i="36"/>
  <c r="K42" i="36"/>
  <c r="K43" i="36"/>
  <c r="K44" i="36"/>
  <c r="K45" i="36"/>
  <c r="K46" i="36"/>
  <c r="K47" i="36"/>
  <c r="K48" i="36"/>
  <c r="K49" i="36"/>
  <c r="K50" i="36"/>
  <c r="K51" i="36"/>
  <c r="K52" i="36"/>
  <c r="K53" i="36"/>
  <c r="K54" i="36"/>
  <c r="K55" i="36"/>
  <c r="K56" i="36"/>
  <c r="K57" i="36"/>
  <c r="K58" i="36"/>
  <c r="K59" i="36"/>
  <c r="K60" i="36"/>
  <c r="K61" i="36"/>
  <c r="K62" i="36"/>
  <c r="K63" i="36"/>
  <c r="K64" i="36"/>
  <c r="K65" i="36"/>
  <c r="K66" i="36"/>
  <c r="K67" i="36"/>
  <c r="K68" i="36"/>
  <c r="K69" i="36"/>
  <c r="K3" i="36"/>
  <c r="K2" i="36"/>
  <c r="G67" i="36"/>
  <c r="G66" i="36"/>
  <c r="G63" i="36"/>
  <c r="G59" i="36"/>
  <c r="G58" i="36"/>
  <c r="G55" i="36"/>
  <c r="G51" i="36"/>
  <c r="G50" i="36"/>
  <c r="G47" i="36"/>
  <c r="G43" i="36"/>
  <c r="G42" i="36"/>
  <c r="G39" i="36"/>
  <c r="G35" i="36"/>
  <c r="G34" i="36"/>
  <c r="G31" i="36"/>
  <c r="G27" i="36"/>
  <c r="G26" i="36"/>
  <c r="G23" i="36"/>
  <c r="G19" i="36"/>
  <c r="G18" i="36"/>
  <c r="G15" i="36"/>
  <c r="G11" i="36"/>
  <c r="G10" i="36"/>
  <c r="G7" i="36"/>
  <c r="G3" i="36"/>
  <c r="D3" i="36"/>
  <c r="D4" i="36"/>
  <c r="D5" i="36"/>
  <c r="D6" i="36"/>
  <c r="D7" i="36"/>
  <c r="D8" i="36"/>
  <c r="D9" i="36"/>
  <c r="D10" i="36"/>
  <c r="D11" i="36"/>
  <c r="D12" i="36"/>
  <c r="D13" i="36"/>
  <c r="D14" i="36"/>
  <c r="D15" i="36"/>
  <c r="D16" i="36"/>
  <c r="D17" i="36"/>
  <c r="D18" i="36"/>
  <c r="D19" i="36"/>
  <c r="D20" i="36"/>
  <c r="D21" i="36"/>
  <c r="D22" i="36"/>
  <c r="D23" i="36"/>
  <c r="D24" i="36"/>
  <c r="D25" i="36"/>
  <c r="D26" i="36"/>
  <c r="D27" i="36"/>
  <c r="D28" i="36"/>
  <c r="D29" i="36"/>
  <c r="D30" i="36"/>
  <c r="D31" i="36"/>
  <c r="D32" i="36"/>
  <c r="D33" i="36"/>
  <c r="D34" i="36"/>
  <c r="D35" i="36"/>
  <c r="D36" i="36"/>
  <c r="D37" i="36"/>
  <c r="D38" i="36"/>
  <c r="D39" i="36"/>
  <c r="D40" i="36"/>
  <c r="D41" i="36"/>
  <c r="D42" i="36"/>
  <c r="D43" i="36"/>
  <c r="D44" i="36"/>
  <c r="D45" i="36"/>
  <c r="D46" i="36"/>
  <c r="D47" i="36"/>
  <c r="D48" i="36"/>
  <c r="D49" i="36"/>
  <c r="D50" i="36"/>
  <c r="D51" i="36"/>
  <c r="D52" i="36"/>
  <c r="D53" i="36"/>
  <c r="D54" i="36"/>
  <c r="D55" i="36"/>
  <c r="D56" i="36"/>
  <c r="D57" i="36"/>
  <c r="D58" i="36"/>
  <c r="D59" i="36"/>
  <c r="D60" i="36"/>
  <c r="D61" i="36"/>
  <c r="D62" i="36"/>
  <c r="D63" i="36"/>
  <c r="D64" i="36"/>
  <c r="D65" i="36"/>
  <c r="D66" i="36"/>
  <c r="D67" i="36"/>
  <c r="D68" i="36"/>
  <c r="D69" i="36"/>
  <c r="D2" i="36"/>
  <c r="H3" i="36"/>
  <c r="H4" i="36"/>
  <c r="G4" i="36" s="1"/>
  <c r="H5" i="36"/>
  <c r="G5" i="36" s="1"/>
  <c r="H6" i="36"/>
  <c r="G6" i="36" s="1"/>
  <c r="H7" i="36"/>
  <c r="H8" i="36"/>
  <c r="G8" i="36" s="1"/>
  <c r="H9" i="36"/>
  <c r="G9" i="36" s="1"/>
  <c r="H10" i="36"/>
  <c r="H11" i="36"/>
  <c r="H12" i="36"/>
  <c r="G12" i="36" s="1"/>
  <c r="H13" i="36"/>
  <c r="G13" i="36" s="1"/>
  <c r="H14" i="36"/>
  <c r="G14" i="36" s="1"/>
  <c r="H15" i="36"/>
  <c r="H16" i="36"/>
  <c r="G16" i="36" s="1"/>
  <c r="H17" i="36"/>
  <c r="G17" i="36" s="1"/>
  <c r="H18" i="36"/>
  <c r="H19" i="36"/>
  <c r="H20" i="36"/>
  <c r="G20" i="36" s="1"/>
  <c r="H21" i="36"/>
  <c r="G21" i="36" s="1"/>
  <c r="H22" i="36"/>
  <c r="G22" i="36" s="1"/>
  <c r="H23" i="36"/>
  <c r="H24" i="36"/>
  <c r="G24" i="36" s="1"/>
  <c r="H25" i="36"/>
  <c r="G25" i="36" s="1"/>
  <c r="H26" i="36"/>
  <c r="H27" i="36"/>
  <c r="H28" i="36"/>
  <c r="G28" i="36" s="1"/>
  <c r="H29" i="36"/>
  <c r="G29" i="36" s="1"/>
  <c r="H30" i="36"/>
  <c r="G30" i="36" s="1"/>
  <c r="H31" i="36"/>
  <c r="H32" i="36"/>
  <c r="G32" i="36" s="1"/>
  <c r="H33" i="36"/>
  <c r="G33" i="36" s="1"/>
  <c r="H34" i="36"/>
  <c r="H35" i="36"/>
  <c r="H36" i="36"/>
  <c r="G36" i="36" s="1"/>
  <c r="H37" i="36"/>
  <c r="G37" i="36" s="1"/>
  <c r="H38" i="36"/>
  <c r="G38" i="36" s="1"/>
  <c r="H39" i="36"/>
  <c r="H40" i="36"/>
  <c r="G40" i="36" s="1"/>
  <c r="H41" i="36"/>
  <c r="G41" i="36" s="1"/>
  <c r="H42" i="36"/>
  <c r="H43" i="36"/>
  <c r="H44" i="36"/>
  <c r="G44" i="36" s="1"/>
  <c r="H45" i="36"/>
  <c r="G45" i="36" s="1"/>
  <c r="H46" i="36"/>
  <c r="G46" i="36" s="1"/>
  <c r="H47" i="36"/>
  <c r="H48" i="36"/>
  <c r="G48" i="36" s="1"/>
  <c r="H49" i="36"/>
  <c r="G49" i="36" s="1"/>
  <c r="H50" i="36"/>
  <c r="H51" i="36"/>
  <c r="H52" i="36"/>
  <c r="G52" i="36" s="1"/>
  <c r="H53" i="36"/>
  <c r="G53" i="36" s="1"/>
  <c r="H54" i="36"/>
  <c r="G54" i="36" s="1"/>
  <c r="H55" i="36"/>
  <c r="H56" i="36"/>
  <c r="G56" i="36" s="1"/>
  <c r="H57" i="36"/>
  <c r="G57" i="36" s="1"/>
  <c r="H58" i="36"/>
  <c r="H59" i="36"/>
  <c r="H60" i="36"/>
  <c r="G60" i="36" s="1"/>
  <c r="H61" i="36"/>
  <c r="G61" i="36" s="1"/>
  <c r="H62" i="36"/>
  <c r="G62" i="36" s="1"/>
  <c r="H63" i="36"/>
  <c r="H64" i="36"/>
  <c r="G64" i="36" s="1"/>
  <c r="H65" i="36"/>
  <c r="G65" i="36" s="1"/>
  <c r="H66" i="36"/>
  <c r="H67" i="36"/>
  <c r="H68" i="36"/>
  <c r="G68" i="36" s="1"/>
  <c r="H69" i="36"/>
  <c r="G69" i="36" s="1"/>
  <c r="H2" i="36"/>
  <c r="G2" i="36" s="1"/>
  <c r="K3" i="35"/>
  <c r="K4" i="35"/>
  <c r="K5" i="35"/>
  <c r="K6" i="35"/>
  <c r="K7" i="35"/>
  <c r="K8" i="35"/>
  <c r="K9" i="35"/>
  <c r="K10" i="35"/>
  <c r="K11" i="35"/>
  <c r="K12" i="35"/>
  <c r="K13" i="35"/>
  <c r="K14" i="35"/>
  <c r="K15" i="35"/>
  <c r="K16" i="35"/>
  <c r="K17" i="35"/>
  <c r="K18" i="35"/>
  <c r="K19" i="35"/>
  <c r="K20" i="35"/>
  <c r="K21" i="35"/>
  <c r="K22" i="35"/>
  <c r="K23" i="35"/>
  <c r="K24" i="35"/>
  <c r="K25" i="35"/>
  <c r="K2" i="35"/>
  <c r="K4" i="33"/>
  <c r="K5" i="33"/>
  <c r="K6" i="33"/>
  <c r="K7" i="33"/>
  <c r="K8" i="33"/>
  <c r="K9" i="33"/>
  <c r="K10" i="33"/>
  <c r="K11" i="33"/>
  <c r="K12" i="33"/>
  <c r="K13" i="33"/>
  <c r="K14" i="33"/>
  <c r="K15" i="33"/>
  <c r="K16" i="33"/>
  <c r="K17" i="33"/>
  <c r="K18" i="33"/>
  <c r="K19" i="33"/>
  <c r="K20" i="33"/>
  <c r="K21" i="33"/>
  <c r="K22" i="33"/>
  <c r="K23" i="33"/>
  <c r="K24" i="33"/>
  <c r="K25" i="33"/>
  <c r="K26" i="33"/>
  <c r="K27" i="33"/>
  <c r="K28" i="33"/>
  <c r="K29" i="33"/>
  <c r="K30" i="33"/>
  <c r="K31" i="33"/>
  <c r="K32" i="33"/>
  <c r="K33" i="33"/>
  <c r="K34" i="33"/>
  <c r="K35" i="33"/>
  <c r="K36" i="33"/>
  <c r="K37" i="33"/>
  <c r="K38" i="33"/>
  <c r="K39" i="33"/>
  <c r="K40" i="33"/>
  <c r="K41" i="33"/>
  <c r="K42" i="33"/>
  <c r="K43" i="33"/>
  <c r="K44" i="33"/>
  <c r="K45" i="33"/>
  <c r="K46" i="33"/>
  <c r="K47" i="33"/>
  <c r="K48" i="33"/>
  <c r="K49" i="33"/>
  <c r="K50" i="33"/>
  <c r="K51" i="33"/>
  <c r="K52" i="33"/>
  <c r="K53" i="33"/>
  <c r="K54" i="33"/>
  <c r="K55" i="33"/>
  <c r="K3" i="33"/>
  <c r="K2" i="33"/>
  <c r="K74" i="32"/>
  <c r="K75" i="32"/>
  <c r="K76" i="32"/>
  <c r="K77" i="32"/>
  <c r="K50" i="32"/>
  <c r="K51" i="32"/>
  <c r="K52" i="32"/>
  <c r="K53" i="32"/>
  <c r="K54" i="32"/>
  <c r="K55" i="32"/>
  <c r="K56" i="32"/>
  <c r="K57" i="32"/>
  <c r="K58" i="32"/>
  <c r="K59" i="32"/>
  <c r="K60" i="32"/>
  <c r="K61" i="32"/>
  <c r="K62" i="32"/>
  <c r="K63" i="32"/>
  <c r="K64" i="32"/>
  <c r="K65" i="32"/>
  <c r="K66" i="32"/>
  <c r="K67" i="32"/>
  <c r="K68" i="32"/>
  <c r="K69" i="32"/>
  <c r="K70" i="32"/>
  <c r="K71" i="32"/>
  <c r="K72" i="32"/>
  <c r="K73" i="32"/>
  <c r="K5" i="32"/>
  <c r="K6" i="32"/>
  <c r="K7" i="32"/>
  <c r="K8" i="32"/>
  <c r="K9" i="32"/>
  <c r="K10" i="32"/>
  <c r="K11" i="32"/>
  <c r="K12" i="32"/>
  <c r="K13" i="32"/>
  <c r="K14" i="32"/>
  <c r="K15" i="32"/>
  <c r="K16" i="32"/>
  <c r="K17" i="32"/>
  <c r="K18" i="32"/>
  <c r="K19" i="32"/>
  <c r="K20" i="32"/>
  <c r="K21" i="32"/>
  <c r="K22" i="32"/>
  <c r="K23" i="32"/>
  <c r="K24" i="32"/>
  <c r="K25" i="32"/>
  <c r="K26" i="32"/>
  <c r="K27" i="32"/>
  <c r="K28" i="32"/>
  <c r="K29" i="32"/>
  <c r="K30" i="32"/>
  <c r="K31" i="32"/>
  <c r="K32" i="32"/>
  <c r="K33" i="32"/>
  <c r="K34" i="32"/>
  <c r="K35" i="32"/>
  <c r="K36" i="32"/>
  <c r="K37" i="32"/>
  <c r="K38" i="32"/>
  <c r="K39" i="32"/>
  <c r="K40" i="32"/>
  <c r="K41" i="32"/>
  <c r="K42" i="32"/>
  <c r="K43" i="32"/>
  <c r="K44" i="32"/>
  <c r="K45" i="32"/>
  <c r="K46" i="32"/>
  <c r="K47" i="32"/>
  <c r="K48" i="32"/>
  <c r="K49" i="32"/>
  <c r="K4" i="32"/>
  <c r="K3" i="32"/>
  <c r="K2" i="32"/>
  <c r="K4" i="31"/>
  <c r="K5" i="31"/>
  <c r="K6" i="31"/>
  <c r="K7" i="31"/>
  <c r="K8" i="31"/>
  <c r="K9" i="31"/>
  <c r="K10" i="31"/>
  <c r="K11" i="31"/>
  <c r="K12" i="31"/>
  <c r="K13" i="31"/>
  <c r="K14" i="31"/>
  <c r="K15" i="31"/>
  <c r="K16" i="31"/>
  <c r="K17" i="31"/>
  <c r="K18" i="31"/>
  <c r="K19" i="31"/>
  <c r="K20" i="31"/>
  <c r="K21" i="31"/>
  <c r="K22" i="31"/>
  <c r="K23" i="31"/>
  <c r="K24" i="31"/>
  <c r="K25" i="31"/>
  <c r="K26" i="31"/>
  <c r="K27" i="31"/>
  <c r="K28" i="31"/>
  <c r="K29" i="31"/>
  <c r="K30" i="31"/>
  <c r="K31" i="31"/>
  <c r="K32" i="31"/>
  <c r="K33" i="31"/>
  <c r="K34" i="31"/>
  <c r="K35" i="31"/>
  <c r="K36" i="31"/>
  <c r="K37" i="31"/>
  <c r="K38" i="31"/>
  <c r="K39" i="31"/>
  <c r="K40" i="31"/>
  <c r="K41" i="31"/>
  <c r="K42" i="31"/>
  <c r="K43" i="31"/>
  <c r="K44" i="31"/>
  <c r="K45" i="31"/>
  <c r="K46" i="31"/>
  <c r="K47" i="31"/>
  <c r="K48" i="31"/>
  <c r="K49" i="31"/>
  <c r="K50" i="31"/>
  <c r="K51" i="31"/>
  <c r="K52" i="31"/>
  <c r="K53" i="31"/>
  <c r="K54" i="31"/>
  <c r="K55" i="31"/>
  <c r="K56" i="31"/>
  <c r="K57" i="31"/>
  <c r="K58" i="31"/>
  <c r="K59" i="31"/>
  <c r="K60" i="31"/>
  <c r="K61" i="31"/>
  <c r="K62" i="31"/>
  <c r="K63" i="31"/>
  <c r="K64" i="31"/>
  <c r="K65" i="31"/>
  <c r="K66" i="31"/>
  <c r="K67" i="31"/>
  <c r="K68" i="31"/>
  <c r="K69" i="31"/>
  <c r="K70" i="31"/>
  <c r="K71" i="31"/>
  <c r="K72" i="31"/>
  <c r="K73" i="31"/>
  <c r="K74" i="31"/>
  <c r="K75" i="31"/>
  <c r="K76" i="31"/>
  <c r="K77" i="31"/>
  <c r="K78" i="31"/>
  <c r="K79" i="31"/>
  <c r="K80" i="31"/>
  <c r="K81" i="31"/>
  <c r="K82" i="31"/>
  <c r="K83" i="31"/>
  <c r="K84" i="31"/>
  <c r="K85" i="31"/>
  <c r="K86" i="31"/>
  <c r="K87" i="31"/>
  <c r="K88" i="31"/>
  <c r="K89" i="31"/>
  <c r="K90" i="31"/>
  <c r="K91" i="31"/>
  <c r="K92" i="31"/>
  <c r="K93" i="31"/>
  <c r="K94" i="31"/>
  <c r="K95" i="31"/>
  <c r="K96" i="31"/>
  <c r="K97" i="31"/>
  <c r="K98" i="31"/>
  <c r="K99" i="31"/>
  <c r="K100" i="31"/>
  <c r="K101" i="31"/>
  <c r="K102" i="31"/>
  <c r="K103" i="31"/>
  <c r="K104" i="31"/>
  <c r="K105" i="31"/>
  <c r="K106" i="31"/>
  <c r="K107" i="31"/>
  <c r="K108" i="31"/>
  <c r="K109" i="31"/>
  <c r="K110" i="31"/>
  <c r="K111" i="31"/>
  <c r="K112" i="31"/>
  <c r="K113" i="31"/>
  <c r="K3" i="31"/>
  <c r="K2" i="31"/>
  <c r="K3" i="30"/>
  <c r="K4" i="30"/>
  <c r="K5" i="30"/>
  <c r="K6" i="30"/>
  <c r="K7" i="30"/>
  <c r="K8" i="30"/>
  <c r="K2" i="30"/>
  <c r="K4" i="28"/>
  <c r="K5" i="28"/>
  <c r="K6" i="28"/>
  <c r="K7" i="28"/>
  <c r="K8" i="28"/>
  <c r="K9" i="28"/>
  <c r="K10" i="28"/>
  <c r="K11" i="28"/>
  <c r="K12" i="28"/>
  <c r="K13" i="28"/>
  <c r="K14" i="28"/>
  <c r="K15" i="28"/>
  <c r="K16" i="28"/>
  <c r="K17" i="28"/>
  <c r="K18" i="28"/>
  <c r="K19" i="28"/>
  <c r="K20" i="28"/>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50" i="28"/>
  <c r="K51" i="28"/>
  <c r="K52" i="28"/>
  <c r="K53" i="28"/>
  <c r="K54" i="28"/>
  <c r="K55" i="28"/>
  <c r="K56" i="28"/>
  <c r="K57" i="28"/>
  <c r="K58" i="28"/>
  <c r="K59" i="28"/>
  <c r="K60" i="28"/>
  <c r="K61" i="28"/>
  <c r="K62" i="28"/>
  <c r="K63" i="28"/>
  <c r="K64" i="28"/>
  <c r="K65" i="28"/>
  <c r="K66" i="28"/>
  <c r="K67" i="28"/>
  <c r="K68" i="28"/>
  <c r="K69" i="28"/>
  <c r="K70" i="28"/>
  <c r="K71" i="28"/>
  <c r="K72" i="28"/>
  <c r="K73" i="28"/>
  <c r="K74" i="28"/>
  <c r="K75" i="28"/>
  <c r="K76" i="28"/>
  <c r="K77" i="28"/>
  <c r="K78" i="28"/>
  <c r="K79" i="28"/>
  <c r="K80" i="28"/>
  <c r="K81" i="28"/>
  <c r="K82" i="28"/>
  <c r="K83" i="28"/>
  <c r="K84" i="28"/>
  <c r="K85" i="28"/>
  <c r="K86" i="28"/>
  <c r="K87" i="28"/>
  <c r="K88" i="28"/>
  <c r="K89" i="28"/>
  <c r="K90" i="28"/>
  <c r="K91" i="28"/>
  <c r="K92" i="28"/>
  <c r="K93" i="28"/>
  <c r="K94" i="28"/>
  <c r="K95" i="28"/>
  <c r="K96" i="28"/>
  <c r="K97" i="28"/>
  <c r="K98" i="28"/>
  <c r="K99" i="28"/>
  <c r="K100" i="28"/>
  <c r="K101" i="28"/>
  <c r="K102" i="28"/>
  <c r="K103" i="28"/>
  <c r="K104" i="28"/>
  <c r="K105" i="28"/>
  <c r="K106" i="28"/>
  <c r="K107" i="28"/>
  <c r="K108" i="28"/>
  <c r="K109" i="28"/>
  <c r="K110" i="28"/>
  <c r="K111" i="28"/>
  <c r="K112" i="28"/>
  <c r="K113" i="28"/>
  <c r="K114" i="28"/>
  <c r="K115" i="28"/>
  <c r="K116" i="28"/>
  <c r="K117" i="28"/>
  <c r="K118" i="28"/>
  <c r="K119" i="28"/>
  <c r="K120" i="28"/>
  <c r="K121" i="28"/>
  <c r="K122" i="28"/>
  <c r="K123" i="28"/>
  <c r="K124" i="28"/>
  <c r="K125" i="28"/>
  <c r="K126" i="28"/>
  <c r="K127" i="28"/>
  <c r="K128" i="28"/>
  <c r="K129" i="28"/>
  <c r="K130" i="28"/>
  <c r="K131" i="28"/>
  <c r="K132" i="28"/>
  <c r="K133" i="28"/>
  <c r="K134" i="28"/>
  <c r="K135" i="28"/>
  <c r="K136" i="28"/>
  <c r="K137" i="28"/>
  <c r="K138" i="28"/>
  <c r="K139" i="28"/>
  <c r="K140" i="28"/>
  <c r="K141" i="28"/>
  <c r="K142" i="28"/>
  <c r="K143" i="28"/>
  <c r="K144" i="28"/>
  <c r="K145" i="28"/>
  <c r="K146" i="28"/>
  <c r="K147" i="28"/>
  <c r="K148" i="28"/>
  <c r="K149" i="28"/>
  <c r="K150" i="28"/>
  <c r="K151" i="28"/>
  <c r="K152" i="28"/>
  <c r="K153" i="28"/>
  <c r="K154" i="28"/>
  <c r="K3" i="28"/>
  <c r="K2" i="28"/>
  <c r="K3" i="27"/>
  <c r="K4" i="27"/>
  <c r="K5" i="27"/>
  <c r="K6" i="27"/>
  <c r="K7" i="27"/>
  <c r="K8" i="27"/>
  <c r="K2" i="27"/>
  <c r="J69" i="24"/>
  <c r="J135" i="24"/>
  <c r="J134" i="24"/>
  <c r="J133" i="24"/>
  <c r="J132" i="24"/>
  <c r="J131" i="24"/>
  <c r="J130" i="24"/>
  <c r="J129" i="24"/>
  <c r="J128" i="24"/>
  <c r="J127" i="24"/>
  <c r="J126" i="24"/>
  <c r="J125" i="24"/>
  <c r="J124" i="24"/>
  <c r="J123" i="24"/>
  <c r="J122" i="24"/>
  <c r="J121" i="24"/>
  <c r="J120" i="24"/>
  <c r="J119" i="24"/>
  <c r="J118" i="24"/>
  <c r="J117" i="24"/>
  <c r="J116" i="24"/>
  <c r="J115" i="24"/>
  <c r="J114" i="24"/>
  <c r="J113" i="24"/>
  <c r="J112" i="24"/>
  <c r="J111" i="24"/>
  <c r="J110" i="24"/>
  <c r="J109" i="24"/>
  <c r="J108" i="24"/>
  <c r="J107" i="24"/>
  <c r="J106" i="24"/>
  <c r="J105" i="24"/>
  <c r="J104" i="24"/>
  <c r="J103" i="24"/>
  <c r="J102" i="24"/>
  <c r="J101" i="24"/>
  <c r="J100" i="24"/>
  <c r="J99" i="24"/>
  <c r="J98" i="24"/>
  <c r="J97" i="24"/>
  <c r="J96" i="24"/>
  <c r="J95" i="24"/>
  <c r="J94" i="24"/>
  <c r="J93" i="24"/>
  <c r="J92" i="24"/>
  <c r="J91" i="24"/>
  <c r="J90" i="24"/>
  <c r="J89" i="24"/>
  <c r="J88" i="24"/>
  <c r="J87" i="24"/>
  <c r="J86" i="24"/>
  <c r="J85" i="24"/>
  <c r="J84" i="24"/>
  <c r="J83" i="24"/>
  <c r="J82" i="24"/>
  <c r="J81" i="24"/>
  <c r="J80" i="24"/>
  <c r="J79" i="24"/>
  <c r="J78" i="24"/>
  <c r="J77" i="24"/>
  <c r="J76" i="24"/>
  <c r="J75" i="24"/>
  <c r="J74" i="24"/>
  <c r="J73" i="24"/>
  <c r="J72" i="24"/>
  <c r="J71" i="24"/>
  <c r="J70" i="24"/>
  <c r="J62" i="24"/>
  <c r="J63" i="24"/>
  <c r="J64" i="24"/>
  <c r="J65" i="24"/>
  <c r="J66" i="24"/>
  <c r="J67" i="24"/>
  <c r="J68" i="24"/>
  <c r="J3" i="24"/>
  <c r="J4" i="24"/>
  <c r="J5" i="24"/>
  <c r="J6" i="24"/>
  <c r="J7" i="24"/>
  <c r="J8" i="24"/>
  <c r="J9" i="24"/>
  <c r="J10" i="24"/>
  <c r="J11" i="24"/>
  <c r="J12" i="24"/>
  <c r="J13" i="24"/>
  <c r="J14" i="24"/>
  <c r="J15" i="24"/>
  <c r="J16" i="24"/>
  <c r="J17" i="24"/>
  <c r="J18" i="24"/>
  <c r="J1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J50" i="24"/>
  <c r="J51" i="24"/>
  <c r="J52" i="24"/>
  <c r="J53" i="24"/>
  <c r="J54" i="24"/>
  <c r="J55" i="24"/>
  <c r="J56" i="24"/>
  <c r="J57" i="24"/>
  <c r="J58" i="24"/>
  <c r="J59" i="24"/>
  <c r="J60" i="24"/>
  <c r="J61" i="24"/>
  <c r="J2" i="24"/>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2" i="11"/>
  <c r="K6" i="7"/>
  <c r="K7" i="7"/>
  <c r="K8" i="7"/>
  <c r="K9" i="7"/>
  <c r="K5" i="7"/>
  <c r="J3" i="25"/>
  <c r="J4" i="25"/>
  <c r="J5" i="25"/>
  <c r="J6" i="25"/>
  <c r="J7" i="25"/>
  <c r="J8" i="25"/>
  <c r="J9" i="25"/>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2" i="25"/>
  <c r="K2" i="22"/>
  <c r="K3" i="22"/>
  <c r="K50" i="22"/>
  <c r="K49" i="22"/>
  <c r="K47" i="22"/>
  <c r="K46" i="22"/>
  <c r="K45" i="22"/>
  <c r="K44" i="22"/>
  <c r="K43" i="22"/>
  <c r="K42" i="22"/>
  <c r="K40" i="22"/>
  <c r="K39" i="22"/>
  <c r="K38" i="22"/>
  <c r="K37" i="22"/>
  <c r="K36" i="22"/>
  <c r="K35" i="22"/>
  <c r="K34" i="22"/>
  <c r="K31" i="22"/>
  <c r="K14" i="22"/>
  <c r="K15" i="22"/>
  <c r="K16" i="22"/>
  <c r="K17" i="22"/>
  <c r="K18" i="22"/>
  <c r="K19" i="22"/>
  <c r="K20" i="22"/>
  <c r="K21" i="22"/>
  <c r="K13" i="22"/>
  <c r="K12" i="22"/>
  <c r="K5" i="22"/>
  <c r="K6" i="22"/>
  <c r="K7" i="22"/>
  <c r="K8" i="22"/>
  <c r="K9" i="22"/>
  <c r="K10" i="22"/>
  <c r="K11" i="22"/>
  <c r="K4" i="22"/>
  <c r="K2" i="20"/>
  <c r="K3" i="20"/>
  <c r="K4" i="20"/>
  <c r="K6" i="20"/>
  <c r="K7" i="20"/>
  <c r="K8" i="20"/>
  <c r="K10" i="20"/>
  <c r="K11" i="20"/>
  <c r="K12" i="20"/>
  <c r="K14" i="20"/>
  <c r="K15" i="20"/>
  <c r="K16" i="20"/>
  <c r="K18" i="20"/>
  <c r="K19" i="20"/>
  <c r="K20" i="20"/>
  <c r="K22" i="20"/>
  <c r="K23" i="20"/>
  <c r="K24" i="20"/>
  <c r="K26" i="20"/>
  <c r="K27" i="20"/>
  <c r="K28" i="20"/>
  <c r="K30" i="20"/>
  <c r="K31" i="20"/>
  <c r="K32" i="20"/>
  <c r="K34" i="20"/>
  <c r="K35" i="20"/>
  <c r="K36" i="20"/>
  <c r="K38" i="20"/>
  <c r="K39" i="20"/>
  <c r="K40" i="20"/>
  <c r="K42" i="20"/>
  <c r="K43" i="20"/>
  <c r="K44" i="20"/>
  <c r="K46" i="20"/>
  <c r="K47" i="20"/>
  <c r="K48" i="20"/>
  <c r="K50" i="20"/>
  <c r="K51" i="20"/>
  <c r="K52" i="20"/>
  <c r="K54" i="20"/>
  <c r="K55" i="20"/>
  <c r="K56" i="20"/>
  <c r="K57" i="20"/>
  <c r="K58" i="20"/>
  <c r="K59" i="20"/>
  <c r="K61" i="20"/>
  <c r="K62" i="20"/>
  <c r="K63" i="20"/>
  <c r="K64" i="20"/>
  <c r="K65" i="20"/>
  <c r="K67" i="20"/>
  <c r="K68" i="20"/>
  <c r="K69" i="20"/>
  <c r="K70" i="20"/>
  <c r="K72" i="20"/>
  <c r="K74" i="20"/>
  <c r="K75" i="20"/>
  <c r="K76" i="20"/>
  <c r="K77" i="20"/>
  <c r="K78" i="20"/>
  <c r="K79" i="20"/>
  <c r="K80" i="20"/>
  <c r="K81" i="20"/>
  <c r="K82" i="20"/>
  <c r="K83" i="20"/>
  <c r="K84" i="20"/>
  <c r="K85" i="20"/>
  <c r="K86" i="20"/>
  <c r="K87" i="20"/>
  <c r="K89" i="20"/>
  <c r="K90" i="20"/>
  <c r="K91" i="20"/>
  <c r="K92" i="20"/>
  <c r="K93" i="20"/>
  <c r="K94" i="20"/>
  <c r="K95" i="20"/>
  <c r="K96" i="20"/>
  <c r="K97" i="20"/>
  <c r="K98" i="20"/>
  <c r="K99" i="20"/>
  <c r="K100" i="20"/>
  <c r="K101" i="20"/>
  <c r="K102" i="20"/>
  <c r="K103" i="20"/>
  <c r="K104" i="20"/>
  <c r="K105" i="20"/>
  <c r="K106" i="20"/>
  <c r="K108" i="20"/>
  <c r="K109" i="20"/>
  <c r="K110" i="20"/>
  <c r="K112" i="20"/>
  <c r="K113" i="20"/>
  <c r="K3" i="19"/>
  <c r="K4" i="19"/>
  <c r="K5" i="19"/>
  <c r="K6" i="19"/>
  <c r="K7" i="19"/>
  <c r="K8" i="19"/>
  <c r="K9" i="19"/>
  <c r="K10" i="19"/>
  <c r="K11" i="19"/>
  <c r="K12" i="19"/>
  <c r="K13" i="19"/>
  <c r="K14" i="19"/>
  <c r="K15" i="19"/>
  <c r="K16" i="19"/>
  <c r="K17" i="19"/>
  <c r="K18" i="19"/>
  <c r="K19" i="19"/>
  <c r="K2" i="19"/>
  <c r="K32" i="14"/>
  <c r="K33" i="14"/>
  <c r="K31" i="14"/>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2" i="8"/>
  <c r="K2" i="3"/>
  <c r="K3" i="3"/>
  <c r="K4" i="3"/>
  <c r="K6" i="3"/>
  <c r="K7" i="3"/>
  <c r="K8" i="3"/>
  <c r="K9" i="3"/>
  <c r="K10" i="3"/>
  <c r="K11" i="3"/>
  <c r="K12" i="3"/>
  <c r="K14" i="3"/>
  <c r="K15" i="3"/>
  <c r="K16" i="3"/>
  <c r="K17" i="3"/>
  <c r="K18" i="3"/>
  <c r="K19" i="3"/>
  <c r="K20" i="3"/>
  <c r="K22" i="3"/>
  <c r="K23" i="3"/>
  <c r="K24" i="3"/>
  <c r="K25" i="3"/>
  <c r="K26" i="3"/>
  <c r="K27" i="3"/>
  <c r="K28" i="3"/>
  <c r="K30" i="3"/>
  <c r="K31" i="3"/>
  <c r="K32" i="3"/>
  <c r="K34" i="3"/>
  <c r="K35" i="3"/>
  <c r="K36" i="3"/>
  <c r="K37" i="3"/>
  <c r="K38" i="3"/>
  <c r="K39" i="3"/>
  <c r="K40" i="3"/>
  <c r="K41" i="3"/>
  <c r="K42" i="3"/>
  <c r="K43" i="3"/>
  <c r="K44" i="3"/>
  <c r="K45" i="3"/>
  <c r="K33" i="3"/>
</calcChain>
</file>

<file path=xl/sharedStrings.xml><?xml version="1.0" encoding="utf-8"?>
<sst xmlns="http://schemas.openxmlformats.org/spreadsheetml/2006/main" count="33489" uniqueCount="1819">
  <si>
    <t>active species</t>
  </si>
  <si>
    <t>perturbing species</t>
  </si>
  <si>
    <t>J'</t>
  </si>
  <si>
    <t>Ka'</t>
  </si>
  <si>
    <t>Kc'</t>
  </si>
  <si>
    <t>J"</t>
  </si>
  <si>
    <t>Ka"</t>
  </si>
  <si>
    <t>Kc"</t>
  </si>
  <si>
    <t>gamma</t>
  </si>
  <si>
    <t>percentage error in gamma</t>
  </si>
  <si>
    <t>absolute uncertainty in gamma</t>
  </si>
  <si>
    <t>n</t>
  </si>
  <si>
    <t>temperature (K)</t>
  </si>
  <si>
    <t>line profile</t>
  </si>
  <si>
    <t>notes</t>
  </si>
  <si>
    <t>H79Br</t>
  </si>
  <si>
    <t>HBr</t>
  </si>
  <si>
    <t>N/A</t>
  </si>
  <si>
    <t>Lorentzian</t>
  </si>
  <si>
    <t>Self-broadening parameter from Table I at 296 K. R-branch transition with m = 1;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</si>
  <si>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H81Br</t>
  </si>
  <si>
    <t>Self-broadening parameter from Table I at 296 K. R-branch transition with m = 2;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</si>
  <si>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Self-broadening parameter from Table I at 296 K. R-branch transition with m = 3;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</si>
  <si>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Self-broadening parameter from Table I at 296 K. R-branch transition with m = 4;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</si>
  <si>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Self-broadening parameter from Table I at 296 K. R-branch transition with m = 5;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</si>
  <si>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Self-broadening parameter from Table I at 296 K. R-branch transition with m = 6; J'' = m-1, J' = m as defined in Eq. (5). Linear diatomic molecule; Ka and Kc not defined. Temperature exponent n not reported. Gamma value not visible for this m in the extracted table; gamma, its uncertainty and percentage error treated as N/A. Data from Seoudi et al., J. Mol. Spectrosc. 112, 88–94 (1985), Experimental Results section, Tables I–II.</t>
  </si>
  <si>
    <t>Self-broadening parameter from Table I at 296 K. R-branch transition with m = 7;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</si>
  <si>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Self-broadening parameter from Table I at 296 K. R-branch transition with m = 8;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</si>
  <si>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Self-broadening parameter from Table I at 296 K. R-branch transition with m = 9; J'' = m-1, J' = m as defined in Eq. (5). Linear diatomic molecule; Ka and Kc not defined. Temperature exponent n not reported. Gamma value not visible for this m in the extracted table; gamma, its uncertainty and percentage error treated as N/A. Data from Seoudi et al., J. Mol. Spectrosc. 112, 88–94 (1985), Experimental Results section, Tables I–II.</t>
  </si>
  <si>
    <t>Self-broadening parameter from Table I at 296 K. R-branch transition with m = 10;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</si>
  <si>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Self-broadening parameter from Table I at 296 K. R-branch transition with m = 11;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</si>
  <si>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Self-broadening parameter from Table I at 296 K. R-branch transition with m = 12;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</si>
  <si>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t>
  </si>
  <si>
    <t>CO2-broadening parameter from Table II at 299 K. R-branch transition with m = 1;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</si>
  <si>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2;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</si>
  <si>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3;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</si>
  <si>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4;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</si>
  <si>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5;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</si>
  <si>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6; J'' = m-1, J' = m as defined in Eq. (5). Linear diatomic molecule; Ka and Kc not defined. Temperature exponent n not reported. Gamma value not visible for this m in the extracted table; gamma, its uncertainty and percentage error treated as N/A. Data from Seoudi et al., J. Mol. Spectrosc. 112, 88–94 (1985), Experimental Results section, Tables I–II.</t>
  </si>
  <si>
    <t>CO2-broadening parameter from Table II at 299 K. R-branch transition with m = 7;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</si>
  <si>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8;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</si>
  <si>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9;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</si>
  <si>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10;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</si>
  <si>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11;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</si>
  <si>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CO2-broadening parameter from Table II at 299 K. R-branch transition with m = 12; J'' = m-1, J' = m as defined in Eq. (5). Linear diatomic molecule; Ka and Kc not defined. Temperature exponent n not reported. 5% relative experimental uncertainty applied from Experimental Details section (error in measurements estimated to be about 5%). Data from Seoudi et al., J. Mol. Spectrosc. 112, 88–94 (1985), Experimental Results section, Tables I–II.</t>
  </si>
  <si>
    <t>HF</t>
  </si>
  <si>
    <t>P(4) line. γ = Av/P from Table II. J''=4,J'=3. 2% deviation stated. Ka,Kc undefined for linear molecule. n not reported. No explicit temperature given. Source: Table II.</t>
  </si>
  <si>
    <t>P(3) line. γ = Av/P from Table II. J''=3,J'=2. 2% deviation. Ka,Kc N/A. n not reported. Source: Table II.</t>
  </si>
  <si>
    <t>P(2) line. γ=Av/P Table II. J''=2,J'=1. 2% deviation. Source: Table II.</t>
  </si>
  <si>
    <t>P(1) line. γ=Av/P Table II. J''=1,J'=0. 2% deviation. Source: Table II.</t>
  </si>
  <si>
    <t>R(0) line. γ=Av/P Table II. J''=0,J'=1. 2% deviation. Source: Table II.</t>
  </si>
  <si>
    <t>R(1). Source: Table II.</t>
  </si>
  <si>
    <t>R(2). Source: Table II.</t>
  </si>
  <si>
    <t>R(3). Source: Table II.</t>
  </si>
  <si>
    <t>R(4). Source: Table II.</t>
  </si>
  <si>
    <t>R(5). Source: Table II.</t>
  </si>
  <si>
    <t>R(6). Source: Table II.</t>
  </si>
  <si>
    <t>N2</t>
  </si>
  <si>
    <t>H2</t>
  </si>
  <si>
    <t>Table I S-branch Raman linewidths; J'=J''+2; 2σ=6% uncertainty :contentReference[oaicite:0]{index=0}</t>
  </si>
  <si>
    <t>Table I</t>
  </si>
  <si>
    <t>Isotropic Raman Q-branch Q(0) of N2 broadened by H2; experimental linewidth with 1σ uncertainty from Table 1; values in Table 1 reported in units of 10^-3 cm^-1 atm^-1 and converted here to cm^-1 atm^-1; linear molecule so K quantum numbers not applicable; temperature from column heading (77 K); line profile not explicitly stated in paper.</t>
  </si>
  <si>
    <t>Isotropic Raman Q-branch Q(0) of N2 broadened by H2; experimental linewidth with 1σ uncertainty from Table 1; values in Table 1 reported in units of 10^-3 cm^-1 atm^-1 and converted here to cm^-1 atm^-1; linear molecule so K quantum numbers not applicable; temperature from column heading (298 K); line profile not explicitly stated in paper.</t>
  </si>
  <si>
    <t>Isotropic Raman Q-branch Q(0) of N2 broadened by H2; experimental linewidth with 1σ uncertainty from Table 1; values in Table 1 reported in units of 10^-3 cm^-1 atm^-1 and converted here to cm^-1 atm^-1; linear molecule so K quantum numbers not applicable; temperature from column heading (440 K); line profile not explicitly stated in paper.</t>
  </si>
  <si>
    <t>Isotropic Raman Q-branch Q(0) of N2 broadened by H2; experimental linewidth with 1σ uncertainty from Table 1; values in Table 1 reported in units of 10^-3 cm^-1 atm^-1 and converted here to cm^-1 atm^-1; linear molecule so K quantum numbers not applicable; temperature from column heading (580 K); line profile not explicitly stated in paper.</t>
  </si>
  <si>
    <t>Isotropic Raman Q-branch Q(1) of N2 broadened by H2; experimental linewidth with 1σ uncertainty from Table 1; values in Table 1 reported in units of 10^-3 cm^-1 atm^-1 and converted here to cm^-1 atm^-1; linear molecule so K quantum numbers not applicable; temperature from column heading (77 K); line profile not explicitly stated in paper.</t>
  </si>
  <si>
    <t>Isotropic Raman Q-branch Q(1) of N2 broadened by H2; experimental linewidth with 1σ uncertainty from Table 1; values in Table 1 reported in units of 10^-3 cm^-1 atm^-1 and converted here to cm^-1 atm^-1; linear molecule so K quantum numbers not applicable; temperature from column heading (298 K); line profile not explicitly stated in paper.</t>
  </si>
  <si>
    <t>Isotropic Raman Q-branch Q(1) of N2 broadened by H2; experimental linewidth with 1σ uncertainty from Table 1; values in Table 1 reported in units of 10^-3 cm^-1 atm^-1 and converted here to cm^-1 atm^-1; linear molecule so K quantum numbers not applicable; temperature from column heading (440 K); line profile not explicitly stated in paper.</t>
  </si>
  <si>
    <t>Isotropic Raman Q-branch Q(1) of N2 broadened by H2; experimental linewidth with 1σ uncertainty from Table 1; values in Table 1 reported in units of 10^-3 cm^-1 atm^-1 and converted here to cm^-1 atm^-1; linear molecule so K quantum numbers not applicable; temperature from column heading (580 K); line profile not explicitly stated in paper.</t>
  </si>
  <si>
    <t>Isotropic Raman Q-branch Q(2) of N2 broadened by H2; experimental linewidth with 1σ uncertainty from Table 1; values in Table 1 reported in units of 10^-3 cm^-1 atm^-1 and converted here to cm^-1 atm^-1; linear molecule so K quantum numbers not applicable; temperature from column heading (77 K); line profile not explicitly stated in paper.</t>
  </si>
  <si>
    <t>Isotropic Raman Q-branch Q(2) of N2 broadened by H2; experimental linewidth with 1σ uncertainty from Table 1; values in Table 1 reported in units of 10^-3 cm^-1 atm^-1 and converted here to cm^-1 atm^-1; linear molecule so K quantum numbers not applicable; temperature from column heading (298 K); line profile not explicitly stated in paper.</t>
  </si>
  <si>
    <t>Isotropic Raman Q-branch Q(2) of N2 broadened by H2; experimental linewidth with 1σ uncertainty from Table 1; values in Table 1 reported in units of 10^-3 cm^-1 atm^-1 and converted here to cm^-1 atm^-1; linear molecule so K quantum numbers not applicable; temperature from column heading (440 K); line profile not explicitly stated in paper.</t>
  </si>
  <si>
    <t>Isotropic Raman Q-branch Q(2) of N2 broadened by H2; experimental linewidth with 1σ uncertainty from Table 1; values in Table 1 reported in units of 10^-3 cm^-1 atm^-1 and converted here to cm^-1 atm^-1; linear molecule so K quantum numbers not applicable; temperature from column heading (580 K); line profile not explicitly stated in paper.</t>
  </si>
  <si>
    <t>Isotropic Raman Q-branch Q(3) of N2 broadened by H2; experimental linewidth with 1σ uncertainty from Table 1; values in Table 1 reported in units of 10^-3 cm^-1 atm^-1 and converted here to cm^-1 atm^-1; linear molecule so K quantum numbers not applicable; temperature from column heading (77 K); line profile not explicitly stated in paper.</t>
  </si>
  <si>
    <t>Isotropic Raman Q-branch Q(3) of N2 broadened by H2; experimental linewidth with 1σ uncertainty from Table 1; values in Table 1 reported in units of 10^-3 cm^-1 atm^-1 and converted here to cm^-1 atm^-1; linear molecule so K quantum numbers not applicable; temperature from column heading (298 K); line profile not explicitly stated in paper.</t>
  </si>
  <si>
    <t>Isotropic Raman Q-branch Q(3) of N2 broadened by H2; experimental linewidth with 1σ uncertainty from Table 1; values in Table 1 reported in units of 10^-3 cm^-1 atm^-1 and converted here to cm^-1 atm^-1; linear molecule so K quantum numbers not applicable; temperature from column heading (440 K); line profile not explicitly stated in paper.</t>
  </si>
  <si>
    <t>Isotropic Raman Q-branch Q(3) of N2 broadened by H2; experimental linewidth with 1σ uncertainty from Table 1; values in Table 1 reported in units of 10^-3 cm^-1 atm^-1 and converted here to cm^-1 atm^-1; linear molecule so K quantum numbers not applicable; temperature from column heading (580 K); line profile not explicitly stated in paper.</t>
  </si>
  <si>
    <t>Isotropic Raman Q-branch Q(4) of N2 broadened by H2; experimental linewidth with 1σ uncertainty from Table 1; values in Table 1 reported in units of 10^-3 cm^-1 atm^-1 and converted here to cm^-1 atm^-1; linear molecule so K quantum numbers not applicable; temperature from column heading (77 K); line profile not explicitly stated in paper.</t>
  </si>
  <si>
    <t>Isotropic Raman Q-branch Q(4) of N2 broadened by H2; experimental linewidth with 1σ uncertainty from Table 1; values in Table 1 reported in units of 10^-3 cm^-1 atm^-1 and converted here to cm^-1 atm^-1; linear molecule so K quantum numbers not applicable; temperature from column heading (298 K); line profile not explicitly stated in paper.</t>
  </si>
  <si>
    <t>Isotropic Raman Q-branch Q(4) of N2 broadened by H2; experimental linewidth with 1σ uncertainty from Table 1; values in Table 1 reported in units of 10^-3 cm^-1 atm^-1 and converted here to cm^-1 atm^-1; linear molecule so K quantum numbers not applicable; temperature from column heading (440 K); line profile not explicitly stated in paper.</t>
  </si>
  <si>
    <t>Isotropic Raman Q-branch Q(4) of N2 broadened by H2; experimental linewidth with 1σ uncertainty from Table 1; values in Table 1 reported in units of 10^-3 cm^-1 atm^-1 and converted here to cm^-1 atm^-1; linear molecule so K quantum numbers not applicable; temperature from column heading (580 K); line profile not explicitly stated in paper.</t>
  </si>
  <si>
    <t>Isotropic Raman Q-branch Q(5) of N2 broadened by H2; experimental linewidth with 1σ uncertainty from Table 1; values in Table 1 reported in units of 10^-3 cm^-1 atm^-1 and converted here to cm^-1 atm^-1; linear molecule so K quantum numbers not applicable; temperature from column heading (77 K); line profile not explicitly stated in paper.</t>
  </si>
  <si>
    <t>Isotropic Raman Q-branch Q(5) of N2 broadened by H2; experimental linewidth with 1σ uncertainty from Table 1; values in Table 1 reported in units of 10^-3 cm^-1 atm^-1 and converted here to cm^-1 atm^-1; linear molecule so K quantum numbers not applicable; temperature from column heading (298 K); line profile not explicitly stated in paper.</t>
  </si>
  <si>
    <t>Isotropic Raman Q-branch Q(5) of N2 broadened by H2; experimental linewidth with 1σ uncertainty from Table 1; values in Table 1 reported in units of 10^-3 cm^-1 atm^-1 and converted here to cm^-1 atm^-1; linear molecule so K quantum numbers not applicable; temperature from column heading (440 K); line profile not explicitly stated in paper.</t>
  </si>
  <si>
    <t>Isotropic Raman Q-branch Q(5) of N2 broadened by H2; experimental linewidth with 1σ uncertainty from Table 1; values in Table 1 reported in units of 10^-3 cm^-1 atm^-1 and converted here to cm^-1 atm^-1; linear molecule so K quantum numbers not applicable; temperature from column heading (580 K); line profile not explicitly stated in paper.</t>
  </si>
  <si>
    <t>Isotropic Raman Q-branch Q(6) of N2 broadened by H2; experimental linewidth with 1σ uncertainty from Table 1; values in Table 1 reported in units of 10^-3 cm^-1 atm^-1 and converted here to cm^-1 atm^-1; linear molecule so K quantum numbers not applicable; temperature from column heading (77 K); line profile not explicitly stated in paper.</t>
  </si>
  <si>
    <t>Isotropic Raman Q-branch Q(6) of N2 broadened by H2; experimental linewidth with 1σ uncertainty from Table 1; values in Table 1 reported in units of 10^-3 cm^-1 atm^-1 and converted here to cm^-1 atm^-1; linear molecule so K quantum numbers not applicable; temperature from column heading (298 K); line profile not explicitly stated in paper.</t>
  </si>
  <si>
    <t>Isotropic Raman Q-branch Q(6) of N2 broadened by H2; experimental linewidth with 1σ uncertainty from Table 1; values in Table 1 reported in units of 10^-3 cm^-1 atm^-1 and converted here to cm^-1 atm^-1; linear molecule so K quantum numbers not applicable; temperature from column heading (440 K); line profile not explicitly stated in paper.</t>
  </si>
  <si>
    <t>Isotropic Raman Q-branch Q(6) of N2 broadened by H2; experimental linewidth with 1σ uncertainty from Table 1; values in Table 1 reported in units of 10^-3 cm^-1 atm^-1 and converted here to cm^-1 atm^-1; linear molecule so K quantum numbers not applicable; temperature from column heading (580 K); line profile not explicitly stated in paper.</t>
  </si>
  <si>
    <t>Isotropic Raman Q-branch Q(7)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(298 K); line profile not explicitly stated in paper.</t>
  </si>
  <si>
    <t>Isotropic Raman Q-branch Q(7)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</si>
  <si>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Q(7)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</si>
  <si>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Q(8)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(298 K); line profile not explicitly stated in paper.</t>
  </si>
  <si>
    <t>Isotropic Raman Q-branch Q(8)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</si>
  <si>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Q(8)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</si>
  <si>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Q(9)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(298 K); line profile not explicitly stated in paper.</t>
  </si>
  <si>
    <t>Isotropic Raman Q-branch Q(9)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</si>
  <si>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Q(9)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</si>
  <si>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Q(10)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(298 K); line profile not explicitly stated in paper.</t>
  </si>
  <si>
    <t>Isotropic Raman Q-branch Q(10)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</si>
  <si>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Q(10)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</si>
  <si>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Q(11)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(298 K); line profile not explicitly stated in paper.</t>
  </si>
  <si>
    <t>Isotropic Raman Q-branch Q(11)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</si>
  <si>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Q(11) of N2 broadened by H2; experimental linewidth with 1σ uncertainty from Table 1; no 77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</si>
  <si>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Q(12)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</si>
  <si>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Q(12)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</si>
  <si>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Q(13)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</si>
  <si>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Q(13)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</si>
  <si>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Q(14)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</si>
  <si>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Q(14)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</si>
  <si>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Q(15)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</si>
  <si>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Q(15)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</si>
  <si>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Q(16)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</si>
  <si>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Q(16)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</si>
  <si>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Q(17)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</si>
  <si>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Q(17)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</si>
  <si>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Q(18)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(440 K); line profile not explicitly stated in paper.</t>
  </si>
  <si>
    <t>Isotropic Raman Q-branch Q(18) of N2 broadened by H2; experimental linewidth with 1σ uncertainty from Table 1; no 77 or 298 K experimental value for this J in Table 1; values in Table 1 reported in units of 10^-3 cm^-1 atm^-1 and converted here to cm^-1 atm^-1; linear molecule so K quantum numbers not applicable; temperature from column heading (580 K); line profile not explicitly stated in paper.</t>
  </si>
  <si>
    <t>Isotropic Raman Q-branch Q(19) of N2 broadened by H2; experimental linewidth with 1σ uncertainty from Table 1; only 580 K experimental value reported for this J in Table 1; values in Table 1 reported in units of 10^-3 cm^-1 atm^-1 and converted here to cm^-1 atm^-1; linear molecule so K quantum numbers not applicable; temperature from column heading (580 K); line profile not explicitly stated in paper.</t>
  </si>
  <si>
    <t>Isotropic Raman Q-branch Q(20) of N2 broadened by H2; experimental linewidth with 1σ uncertainty from Table 1; only 580 K experimental value reported for this J in Table 1; values in Table 1 reported in units of 10^-3 cm^-1 atm^-1 and converted here to cm^-1 atm^-1; linear molecule so K quantum numbers not applicable; temperature from column heading (580 K); line profile not explicitly stated in paper.</t>
  </si>
  <si>
    <t>Isotropic Raman Q-branch Q(21) of N2 broadened by H2; experimental linewidth with 1σ uncertainty from Table 1; only 580 K experimental value reported for this J in Table 1; values in Table 1 reported in units of 10^-3 cm^-1 atm^-1 and converted here to cm^-1 atm^-1; linear molecule so K quantum numbers not applicable; temperature from column heading (580 K); line profile not explicitly stated in paper.</t>
  </si>
  <si>
    <t>Isotropic Raman Q-branch Q(22) of N2 broadened by H2; experimental linewidth with 1σ uncertainty from Table 1; only 580 K experimental value reported for this J in Table 1; values in Table 1 reported in units of 10^-3 cm^-1 atm^-1 and converted here to cm^-1 atm^-1; linear molecule so K quantum numbers not applicable; temperature from column heading (580 K); line profile not explicitly stated in paper.</t>
  </si>
  <si>
    <t>Q(2) Raman transition in N2 v1 fundamental; ΔJ=0 so J'=J"=2. K quantum numbers not defined for linear N2/CO2. y_J reported as collisional HWHM per unit pressure in Table 1 (values×10^-3 cm^-1 per atm/amagat); 10^-3 factor converted to give gamma in cm^-1 per unit pressure. Temperature exponent n not reported. Widths from Rosenkranz-type Voigt profile with line mixing (section 3, Table 1).</t>
  </si>
  <si>
    <t>Q(3) Raman transition in N2 v1 fundamental; ΔJ=0 so J'=J"=3. Linear N2/CO2 so K quantum numbers not applicable. y_J from Table 1 (values×10^-3 cm^-1 per unit pressure); converted 10^-3 factor only. n not reported. Linewidths obtained from Rosenkranz Voigt-like profile with line mixing (section 3, Table 1).</t>
  </si>
  <si>
    <t>Q(4) Raman transition in N2 v1 fundamental; ΔJ=0 so J'=J"=4. K quantum numbers not defined for linear N2/CO2. y_J values from Table 1 (×10^-3 cm^-1 per unit pressure); 10^-3 factor converted to cm^-1 per unit pressure. Temperature exponent n not reported. Widths from Rosenkranz-type Voigt profile including line mixing (section 3, Table 1).</t>
  </si>
  <si>
    <t>Q(5) Raman transition in N2 v1 fundamental; ΔJ=0 so J'=J"=5. Linear rotor so Ka/Kc not applicable. y_J (HWHM) from Table 1 in units of 10^-3 cm^-1 per unit pressure; converted by 10^-3 factor. n not reported. Line profile: Rosenkranz Voigt-like with line mixing (section 3, Table 1).</t>
  </si>
  <si>
    <t>Q(6) Raman transition in N2 v1 fundamental; ΔJ=0 so J'=J"=6. K quantum numbers not defined for linear molecules. y_J from Table 1 (values×10^-3 cm^-1 per unit pressure); converted 10^-3 factor only. n not reported. Widths obtained by Rosenkranz Voigt-like profile including line mixing (section 3, Table 1).</t>
  </si>
  <si>
    <t>Q(7) Raman transition in N2 v1 fundamental; ΔJ=0 so J'=J"=7. Ka/Kc not defined for linear N2/CO2. y_J (HWHM) from Table 1 as 10^-3 cm^-1 per unit pressure; 10^-3 factor converted. n not reported. Line profile: Rosenkranz-type Voigt with line mixing (section 3, Table 1).</t>
  </si>
  <si>
    <t>Q(8) Raman transition in N2 v1 fundamental; ΔJ=0 so J'=J"=8. Linear molecules so K quantum numbers not applicable. y_J from Table 1 (values×10^-3 cm^-1 per unit pressure); only 10^-3 factor converted. n not reported. Widths from Rosenkranz Voigt-like profile including line mixing (section 3, Table 1).</t>
  </si>
  <si>
    <t>Q(9) Raman transition in N2 v1 fundamental; ΔJ=0 so J'=J"=9. K quantum numbers not defined for linear N2/CO2. y_J from Table 1 (10^-3 cm^-1 per unit pressure); 10^-3 factor converted. n not reported. Widths derived from Rosenkranz-type Voigt profile with line mixing (section 3, Table 1).</t>
  </si>
  <si>
    <t>Q(10) Raman transition in N2 v1 fundamental; ΔJ=0 so J'=J"=10. Linear rotor so K quantum numbers not applicable. y_J (HWHM) values from Table 1 in units of 10^-3 cm^-1 per unit pressure; 10^-3 factor converted. n not reported. Line shapes fitted with Rosenkranz Voigt-like model including line mixing (section 3, Table 1).</t>
  </si>
  <si>
    <t>Q(12) Raman transition in N2 v1 fundamental; ΔJ=0 so J'=J"=12. K quantum numbers not defined for linear N2/CO2. y_J from Table 1 (values×10^-3 cm^-1 per unit pressure); 10^-3 factor converted. Temperature exponent n not reported. Widths from Rosenkranz-type Voigt profile including line mixing (section 3, Table 1).</t>
  </si>
  <si>
    <t>Q(14) Raman transition in N2 v1 fundamental; ΔJ=0 so J'=J"=14. Linear N2/CO2 so K quantum numbers not applicable. y_J (HWHM) from Table 1 in 10^-3 cm^-1 per unit pressure; 10^-3 factor converted. n not reported. Widths obtained via Rosenkranz Voigt-like profile including line mixing (section 3, Table 1).</t>
  </si>
  <si>
    <t>Q(16) Raman transition in N2 v1 fundamental; ΔJ=0 so J'=J"=16. K quantum numbers not defined for linear N2/CO2. y_J from Table 1 (values×10^-3 cm^-1 per unit pressure); converted 10^-3 factor only. n not reported. Widths from Rosenkranz-type Voigt profile including line mixing (section 3, Table 1).</t>
  </si>
  <si>
    <t>Q(1) Raman transition in N2 v1 fundamental; ΔJ=0 so J'=J"=1. Linear rotor so Ka/Kc not applicable. y_J at 427 K from Table 1 (tabulated as 55.8×10^-3 cm^-1 per unit pressure); 10^-3 factor converted. n not reported. Widths obtained from Rosenkranz Voigt-like profile including line mixing (section 3, Table 1).</t>
  </si>
  <si>
    <t>Q(2) Raman transition in N2 v1 fundamental; ΔJ=0 so J'=J"=2. K quantum numbers not defined for linear N2/CO2. y_J at 427 K from Table 1 (59.8×10^-3 cm^-1 per unit pressure); 10^-3 factor converted. n not reported. Line profile: Rosenkranz Voigt-like with line mixing (section 3, Table 1).</t>
  </si>
  <si>
    <t>Q(3) Raman transition in N2 v1 fundamental; ΔJ=0 so J'=J"=3. Ka/Kc not applicable for linear N2/CO2. y_J at 427 K from Table 1 (56.6×10^-3 cm^-1 per unit pressure); 10^-3 factor converted. n not reported. Widths from Rosenkranz-type Voigt profile with line mixing (section 3, Table 1).</t>
  </si>
  <si>
    <t>Q(4) Raman transition in N2 v1 fundamental; ΔJ=0 so J'=J"=4. Linear molecules so K quantum numbers not defined. y_J at 427 K from Table 1 (55.5×10^-3 cm^-1 per unit pressure); 10^-3 factor converted. n not reported. Widths obtained using Rosenkranz Voigt-like line-mixing profile (section 3, Table 1).</t>
  </si>
  <si>
    <t>Q(5) Raman transition in N2 v1 fundamental; ΔJ=0 so J'=J"=5. K quantum numbers not applicable for linear N2/CO2. y_J at 427 K from Table 1 (53.3×10^-3 cm^-1 per unit pressure); 10^-3 factor converted. n not reported. Line profile: Rosenkranz-type Voigt with line mixing (section 3, Table 1).</t>
  </si>
  <si>
    <t>Q(6) Raman transition in N2 v1 fundamental; ΔJ=0 so J'=J"=6. Linear N2/CO2 so K quantum numbers not defined. y_J at 427 K from Table 1 (51.7×10^-3 cm^-1 per unit pressure); 10^-3 factor converted. n not reported. Widths from Rosenkranz Voigt-like profile including line mixing (section 3, Table 1).</t>
  </si>
  <si>
    <t>Q(7) Raman transition in N2 v1 fundamental; ΔJ=0 so J'=J"=7. K quantum numbers not applicable for linear rotor. y_J at 427 K from Table 1 (48.0×10^-3 cm^-1 per unit pressure); converted 10^-3 factor. n not reported. Widths obtained with Rosenkranz Voigt-like line-mixing model (section 3, Table 1).</t>
  </si>
  <si>
    <t>Q(8) Raman transition in N2 v1 fundamental; ΔJ=0 so J'=J"=8. Linear N2/CO2 so Ka/Kc not defined. y_J at 427 K from Table 1 (48.1×10^-3 cm^-1 per unit pressure); 10^-3 factor converted. n not reported. Widths from Rosenkranz-type Voigt profile including line mixing (section 3, Table 1).</t>
  </si>
  <si>
    <t>Q(9) Raman transition in N2 v1 fundamental; ΔJ=0 so J'=J"=9. K quantum numbers not applicable for linear rotor. y_J at 427 K from Table 1 (47.1×10^-3 cm^-1 per unit pressure); 10^-3 factor converted. n not reported. Line profile: Rosenkranz Voigt-like with line mixing (section 3, Table 1).</t>
  </si>
  <si>
    <t>Q(10) Raman transition in N2 v1 fundamental; ΔJ=0 so J'=J"=10. Linear N2/CO2 so Ka/Kc not defined. y_J at 427 K from Table 1 (42.9×10^-3 cm^-1 per unit pressure); 10^-3 factor converted. n not reported. Widths obtained using Rosenkranz Voigt-like profile including line mixing (section 3, Table 1).</t>
  </si>
  <si>
    <t>Q(12) Raman transition in N2 v1 fundamental; ΔJ=0 so J'=J"=12. Linear rotor so K quantum numbers not applicable. y_J at 427 K from Table 1 (41.1×10^-3 cm^-1 per unit pressure); 10^-3 factor converted. n not reported. Widths from Rosenkranz-type Voigt line-mixing profile (section 3, Table 1).</t>
  </si>
  <si>
    <t>Q(14) Raman transition in N2 v1 fundamental; ΔJ=0 so J'=J"=14. K quantum numbers not defined for linear N2/CO2. y_J at 427 K from Table 1 (37.4×10^-3 cm^-1 per unit pressure); 10^-3 factor converted. n not reported. Widths obtained using Rosenkranz Voigt-like model including line mixing (section 3, Table 1).</t>
  </si>
  <si>
    <t>Q(16) Raman transition in N2 v1 fundamental; ΔJ=0 so J'=J"=16. Linear rotor so Ka/Kc not applicable. y_J at 427 K from Table 1 (35.8×10^-3 cm^-1 per unit pressure); 10^-3 factor converted. n not reported. Widths derived from Rosenkranz-type Voigt profile including line mixing (section 3, Table 1).</t>
  </si>
  <si>
    <t>Q(1) Raman transition in N2 v1 fundamental at 600 K; ΔJ=0 so J'=J"=1. K quantum numbers not defined for linear N2/CO2. y_J from Table 1 (43.3×10^-3 cm^-1 per unit pressure); converted via 10^-3 factor. n not reported. Widths obtained using Rosenkranz Voigt-like line-mixing profile (section 3, Table 1).</t>
  </si>
  <si>
    <t>Q(2) Raman transition in N2 v1 fundamental at 600 K; ΔJ=0 so J'=J"=2. Linear rotor so Ka/Kc not applicable. y_J from Table 1 (46.1×10^-3 cm^-1 per unit pressure); 10^-3 factor converted. n not reported. Line profile: Rosenkranz Voigt-like with line mixing (section 3, Table 1).</t>
  </si>
  <si>
    <t>Q(3) Raman transition in N2 v1 fundamental at 600 K; ΔJ=0 so J'=J"=3. K quantum numbers not applicable for linear N2/CO2. y_J from Table 1 (44.6×10^-3 cm^-1 per unit pressure); 10^-3 factor converted. n not reported. Widths from Rosenkranz-type Voigt line-mixing profile (section 3, Table 1).</t>
  </si>
  <si>
    <t>Q(4) Raman transition in N2 v1 fundamental at 600 K; ΔJ=0 so J'=J"=4. Linear N2/CO2 so K quantum numbers not defined. y_J from Table 1 (43.1×10^-3 cm^-1 per unit pressure); converted 10^-3 factor. n not reported. Widths obtained with Rosenkranz Voigt-like profile including line mixing (section 3, Table 1).</t>
  </si>
  <si>
    <t>Q(5) Raman transition in N2 v1 fundamental at 600 K; ΔJ=0 so J'=J"=5. K quantum numbers not defined for linear rotor. y_J from Table 1 (41.8×10^-3 cm^-1 per unit pressure); 10^-3 factor converted. n not reported. Line profile: Rosenkranz Voigt-like with line mixing (section 3, Table 1).</t>
  </si>
  <si>
    <t>Q(6) Raman transition in N2 v1 fundamental at 600 K; ΔJ=0 so J'=J"=6. Linear N2/CO2 so K quantum numbers not applicable. y_J from Table 1 (41.1×10^-3 cm^-1 per unit pressure); converted by 10^-3 factor. n not reported. Widths from Rosenkranz-type Voigt profile including line mixing (section 3, Table 1).</t>
  </si>
  <si>
    <t>Q(7) Raman transition in N2 v1 fundamental at 600 K; ΔJ=0 so J'=J"=7. Ka/Kc not defined for linear molecules. y_J from Table 1 (41.2×10^-3 cm^-1 per unit pressure); 10^-3 factor converted. n not reported. Widths obtained using Rosenkranz Voigt-like profile including line mixing (section 3, Table 1).</t>
  </si>
  <si>
    <t>Q(8) Raman transition in N2 v1 fundamental at 600 K; ΔJ=0 so J'=J"=8. Linear N2/CO2 so K quantum numbers not applicable. y_J from Table 1 (39.5×10^-3 cm^-1 per unit pressure); 10^-3 factor converted. n not reported. Line profile: Rosenkranz-type Voigt with line mixing (section 3, Table 1).</t>
  </si>
  <si>
    <t>Q(9) Raman transition in N2 v1 fundamental at 600 K; ΔJ=0 so J'=J"=9. K quantum numbers not defined for linear N2/CO2. y_J from Table 1 (40.4×10^-3 cm^-1 per unit pressure); 10^-3 factor converted. n not reported. Widths derived from Rosenkranz Voigt-like profile including line mixing (section 3, Table 1).</t>
  </si>
  <si>
    <t>Q(10) Raman transition in N2 v1 fundamental at 600 K; ΔJ=0 so J'=J"=10. Linear rotor so Ka/Kc not applicable. y_J from Table 1 (35.8×10^-3 cm^-1 per unit pressure); 10^-3 factor converted. n not reported. Line shapes from Rosenkranz Voigt-like profile including line mixing (section 3, Table 1).</t>
  </si>
  <si>
    <t>Q(12) Raman transition in N2 v1 fundamental at 600 K; ΔJ=0 so J'=J"=12. K quantum numbers not defined for linear N2/CO2. y_J from Table 1 (34.1×10^-3 cm^-1 per unit pressure); converted by 10^-3 factor. n not reported. Widths obtained using Rosenkranz-type Voigt line-mixing profile (section 3, Table 1).</t>
  </si>
  <si>
    <t>Q(14) Raman transition in N2 v1 fundamental at 600 K; ΔJ=0 so J'=J"=14. Linear rotor so Ka/Kc not applicable. y_J from Table 1 (32.4×10^-3 cm^-1 per unit pressure); 10^-3 factor converted. n not reported. Linewidths from Rosenkranz Voigt-like profile including line mixing (section 3, Table 1).</t>
  </si>
  <si>
    <t>Q(16) Raman transition in N2 v1 fundamental at 600 K; ΔJ=0 so J'=J"=16. K quantum numbers not defined for linear N2/CO2. y_J from Table 1 (28.9×10^-3 cm^-1 per unit pressure); converted by 10^-3 factor. n not reported. Widths obtained with Rosenkranz-type Voigt profile including line mixing (section 3, Table 1).</t>
  </si>
  <si>
    <t>Q(1) Raman transition in N2 v1 fundamental at 900 K; ΔJ=0 so J'=J"=1. Linear N2/CO2 so K quantum numbers not applicable. y_J from Table 1 (35.6×10^-3 cm^-1 per unit pressure); 10^-3 factor converted. n not reported. Line widths obtained using Rosenkranz Voigt-like profile including line mixing (section 3, Table 1).</t>
  </si>
  <si>
    <t>Q(2) Raman transition in N2 v1 fundamental at 900 K; ΔJ=0 so J'=J"=2. Ka/Kc not defined for linear rotor. y_J from Table 1 (35.5×10^-3 cm^-1 per unit pressure); converted via 10^-3 factor. n not reported. Widths from Rosenkranz-type Voigt line-mixing profile (section 3, Table 1).</t>
  </si>
  <si>
    <t>Q(3) Raman transition in N2 v1 fundamental at 900 K; ΔJ=0 so J'=J"=3. Linear N2/CO2 so K quantum numbers not applicable. y_J from Table 1 (34.4×10^-3 cm^-1 per unit pressure); 10^-3 factor converted. n not reported. Widths obtained with Rosenkranz Voigt-like profile including line mixing (section 3, Table 1).</t>
  </si>
  <si>
    <t>Q(4) Raman transition in N2 v1 fundamental at 900 K; ΔJ=0 so J'=J"=4. K quantum numbers not defined for linear N2/CO2. y_J from Table 1 (35.3×10^-3 cm^-1 per unit pressure); 10^-3 factor converted. n not reported. Widths obtained using Rosenkranz Voigt-like line-mixing model (section 3, Table 1).</t>
  </si>
  <si>
    <t>Q(5) Raman transition in N2 v1 fundamental at 900 K; ΔJ=0 so J'=J"=5. Linear rotor so Ka/Kc not applicable. y_J from Table 1 (32.7×10^-3 cm^-1 per unit pressure); 10^-3 factor converted. n not reported. Widths derived from Rosenkranz-type Voigt profile including line mixing (section 3, Table 1).</t>
  </si>
  <si>
    <t>Q(6) Raman transition in N2 v1 fundamental at 900 K; ΔJ=0 so J'=J"=6. K quantum numbers not defined for linear N2/CO2. y_J from Table 1 (31.8×10^-3 cm^-1 per unit pressure); 10^-3 factor converted. n not reported. Line widths obtained via Rosenkranz Voigt-like line-mixing profile (section 3, Table 1).</t>
  </si>
  <si>
    <t>Q(7) Raman transition in N2 v1 fundamental at 900 K; ΔJ=0 so J'=J"=7. Linear molecules so K quantum numbers not applicable. y_J from Table 1 (31.0×10^-3 cm^-1 per unit pressure); 10^-3 factor converted. n not reported. Widths derived from Rosenkranz-type Voigt profile including line mixing (section 3, Table 1).</t>
  </si>
  <si>
    <t>Q(8) Raman transition in N2 v1 fundamental at 900 K; ΔJ=0 so J'=J"=8. Ka/Kc not applicable for linear N2/CO2. y_J from Table 1 (29.9×10^-3 cm^-1 per unit pressure); 10^-3 factor converted. n not reported. Line profile: Rosenkranz Voigt-like with line mixing (section 3, Table 1).</t>
  </si>
  <si>
    <t>Q(9) Raman transition in N2 v1 fundamental at 900 K; ΔJ=0 so J'=J"=9. Linear rotor so Ka/Kc not applicable. y_J from Table 1 (29.7×10^-3 cm^-1 per unit pressure); 10^-3 factor converted. n not reported. Widths from Rosenkranz-type Voigt profile including line mixing (section 3, Table 1).</t>
  </si>
  <si>
    <t>Q(10) Raman transition in N2 v1 fundamental at 900 K; ΔJ=0 so J'=J"=10. K quantum numbers not defined for linear N2/CO2. y_J from Table 1 (28.8×10^-3 cm^-1 per unit pressure); converted via 10^-3 factor. n not reported. Widths obtained using Rosenkranz Voigt-like profile including line mixing (section 3, Table 1).</t>
  </si>
  <si>
    <t>Q(12) Raman transition in N2 v1 fundamental at 900 K; ΔJ=0 so J'=J"=12. Linear N2/CO2 so Ka/Kc not applicable. y_J from Table 1 (27.3×10^-3 cm^-1 per unit pressure); converted 10^-3 factor. n not reported. Widths from Rosenkranz-type Voigt line-mixing model (section 3, Table 1).</t>
  </si>
  <si>
    <t>Q(14) Raman transition in N2 v1 fundamental at 900 K; ΔJ=0 so J'=J"=14. K quantum numbers not defined for linear N2/CO2. y_J from Table 1 (26.4×10^-3 cm^-1 per unit pressure); 10^-3 factor converted. n not reported. Line widths obtained using Rosenkranz Voigt-like profile including line mixing (section 3, Table 1).</t>
  </si>
  <si>
    <t>Q(16) Raman transition in N2 v1 fundamental at 900 K; ΔJ=0 so J'=J"=16. Linear rotor so Ka/Kc not applicable. y_J from Table 1 (25.0×10^-3 cm^-1 per unit pressure); converted via 10^-3 factor. n not reported. Line widths from Rosenkranz-type Voigt profile including line mixing (section 3, Table 1).</t>
  </si>
  <si>
    <t>CO</t>
  </si>
  <si>
    <t>Converted from 26 mK/atm using 1 mK = 6.95e-4 cm^-1; Q-branch assumed; digitised from figure; uncertainty inflated to 2 mK.</t>
  </si>
  <si>
    <t>Converted from 24 mK/atm using 1 mK = 6.95e-4 cm^-1; Q-branch assumed.</t>
  </si>
  <si>
    <t>Converted from 25 mK/atm.</t>
  </si>
  <si>
    <t>Linear interpolation digitised.</t>
  </si>
  <si>
    <t>Digitised.</t>
  </si>
  <si>
    <t>Converted from 20 mK/atm.</t>
  </si>
  <si>
    <t>HCN</t>
  </si>
  <si>
    <t>qSDVP (quadratic speed-dependent Voigt)</t>
  </si>
  <si>
    <t xml:space="preserve">Experimental γ₀ for R(0) of HCN broadened by N₂ at 296 K from Table 1, Exp. column (167.08(44) in 10⁻³ cm⁻¹/atm, converted to 0.16708 ± 0.00044 cm⁻¹/atm by multiplying by 1×10⁻³); γ₀ is the Lorentzian half-width (HWHM) obtained from qSDVP fits as described in Section 2.2; R(J) notation means R(0) = 1←0 so J''=0, J'=1 (footnote 1); HCN is linear so K quantum numbers Ka, Kc are not defined (set to N/A). </t>
  </si>
  <si>
    <t xml:space="preserve">Experimental γ₀ for R(1) of HCN broadened by N₂ at 296 K from Table 1, Exp. column (172.17(81) in 10⁻³ cm⁻¹/atm, converted to 0.17217 ± 0.00081 cm⁻¹/atm by multiplying by 1×10⁻³); γ₀ is the Lorentzian half-width (HWHM) from qSDVP fits; R(1) = 2←1 so J''=1, J'=2; HCN is linear so Ka, Kc not applicable (N/A). </t>
  </si>
  <si>
    <t xml:space="preserve">Experimental γ₀ for R(2) of HCN broadened by N₂ at 296 K from Table 1, Exp. column (160.51(61) in 10⁻³ cm⁻¹/atm, converted to 0.16051 ± 0.00061 cm⁻¹/atm by multiplying by 1×10⁻³); γ₀ is the Lorentzian half-width (HWHM) from qSDVP fits; R(2) = 3←2 so J''=2, J'=3; HCN is linear so Ka, Kc not applicable (N/A). </t>
  </si>
  <si>
    <t xml:space="preserve">Theoretical γ₀(T) coefficient g₀ and exponent n for R(0) of HCN–N₂ from Table 3 (γ₀(T) = g₀ (Tref/T)ⁿ with Tref=296 K; g₀=0.161 cm⁻¹/atm, n=0.817, so at T=296 K γ₀ = g₀); these values come from ab initio open-channels scattering calculations, not from a profile fit, so no explicit line-profile model or numerical uncertainty is given; authors state expected uncertainties of order 5–10% for these theoretical coefficients, but no per-line errors are tabulated, so percentage and absolute uncertainties are set to N/A; HCN is linear so Ka, Kc not applicable (N/A); R(0)=1←0 so J''=0, J'=1. </t>
  </si>
  <si>
    <t xml:space="preserve">Theoretical γ₀(T) coefficient g₀ and exponent n for R(1) of HCN–N₂ from Table 3 (g₀=0.160 cm⁻¹/atm, n=0.718 at Tref=296 K); values obtained from ab initio open-channels scattering calculations, not experimental fits; no explicit numerical uncertainties for g₀ are reported beyond the statement that theoretical coefficients have expected uncertainties of 5–10%, so percentage error and absolute uncertainty are set to N/A; HCN is linear so Ka, Kc not applicable; R(1)=2←1 so J''=1, J'=2. </t>
  </si>
  <si>
    <t xml:space="preserve">Theoretical γ₀(T) coefficient g₀ and exponent n for R(2) of HCN–N₂ from Table 3 (g₀=0.159 cm⁻¹/atm, n=0.623 at Tref=296 K); derived from ab initio open-channels scattering calculations; no explicit per-line uncertainty given, only a general 5–10% estimate for theoretical coefficients, so percentage error and absolute uncertainty fields are N/A; HCN is linear so Ka, Kc not applicable; R(2)=3←2 so J''=2, J'=3. </t>
  </si>
  <si>
    <t xml:space="preserve">Theoretical γ₀(T) coefficient g₀ and exponent n for R(3) of HCN–N₂ from Table 3 (g₀=0.149 cm⁻¹/atm, n=0.605 at Tref=296 K); only theoretical values are given for R(3), with no experimental γ₀ reported in this paper; uncertainties are only qualitatively stated (5–10%) so percentage and absolute uncertainties are set to N/A; HCN is linear so Ka, Kc not applicable; R(3)=4←3 so J''=3, J'=4. </t>
  </si>
  <si>
    <t xml:space="preserve">Theoretical γ₀(T) coefficient g₀ and exponent n for R(4) of HCN–N₂ from Table 3 (g₀=0.142 cm⁻¹/atm, n=0.555 at Tref=296 K); only theoretical γ₀(T) is provided for R(4) in this work; authors note typical uncertainties of order 5–10% for these theoretical coefficients but do not provide explicit errors for g₀, so percentage error and absolute uncertainty are set to N/A; HCN is linear so Ka, Kc not applicable; R(4)=5←4 so J''=4, J'=5. </t>
  </si>
  <si>
    <t>H2O</t>
  </si>
  <si>
    <t>He</t>
  </si>
  <si>
    <t>uncertain</t>
  </si>
  <si>
    <t>Lorentz</t>
  </si>
  <si>
    <t>Total pressure-broadening coefficient g_if (inelastic + elastic) for this H2O:He rotational line taken from Table 2 of Hernández et al. (2015), converted from MHz Torr^-1 to cm^-1 atm^-1 by dividing by 39.45; rotational quantum numbers J, Ka, Kc taken from Table 1; n is not defined because the authors use the non-power-law temperature fit of Eq. (9); individual uncertainties in gamma are not given in the paper.</t>
  </si>
  <si>
    <t>Table 1+2; conversion ÷39.45; n not defined; no individual uncertainties.</t>
  </si>
  <si>
    <t>Total pressure-broadening coefficient g_if (inelastic + elastic) for this H2O:He rotational line taken from Table 2 of Hernández et al. (2015), converted from MHz Torr^-1 to cm^-1 atm^-1 by dividing by 39.45; rotational quantum numbers J, Ka, Kc taken from Table 1; n is not defined because the authors use the non-power-law temperature fit of Eq. (9); individual uncertainties in gamma are not given in the paper. Uncertainty assumed as 20% (model choice); line-resolved errors not provided in Hernández et al., so γ uncertainties are not directly available.</t>
  </si>
  <si>
    <t>Table 1+2; conversion ÷39.45; n not defined; no individual uncertainties. Uncertainty assumed as 20% (model choice); line-resolved errors not provided in Hernández et al., so γ uncertainties are not directly available.</t>
  </si>
  <si>
    <t>Table I (CO–H2 J'=1←J"=0). Linear CO so Ka',Kc',Ka",Kc" not applicable. Lorentzian half-width g in MHz/Torr converted to HWHM in cm^-1 atm^-1 using 1 MHz/Torr = 0.0253509. Percentage and absolute uncertainties propagated from pressure-broadening cross-section error bars (low-T values are 2σ; high-T values ~3% relative) as described in the paper.</t>
  </si>
  <si>
    <t>Table II (CO–H2 J'=2←J"=1). Linear CO so Ka',Kc',Ka",Kc" not applicable. Lorentzian half-width g in MHz/Torr converted to HWHM in cm^-1 atm^-1 using 1 MHz/Torr = 0.0253509. Percentage and absolute uncertainties propagated from pressure-broadening cross-section error bars (low-T values are 2σ; high-T values ~3% relative) as described in the paper.</t>
  </si>
  <si>
    <t>Table II (CO–H₂ J′=2←J″=1). Linear CO: Ka/Kc not applicable. γ from Table II at 300 K (converted from MHz/Torr). Exact % uncertainty not printed; paper specifies ≈3% at high T → used as given.</t>
  </si>
  <si>
    <t>Voigt</t>
  </si>
  <si>
    <t>Linear CO; Ka and Kc not defined. R(4) rotational transition (J''=4, J'=5). γ0 = 2.5030(66) MHz/Torr and n = 0.7725(31) taken from Table 1, where γ0 is the Lorentzian half-width at 296 K in MHz/Torr. Converted to γ = 0.063453 cm^-1 atm^-1 using 1 MHz = 3.33564×10^-5 cm^-1 and 1 atm = 760 Torr; 1σ uncertainty 0.0066 MHz/Torr becomes 0.000167 cm^-1 atm^-1, giving 0.264% relative error. Temperature exponent n as reported. Line shapes fitted with modulated Voigt profiles to retrieve Lorentzian widths (Section 4, Eq. (1), Table 1). Underlying measurements span 88–200 K and are extrapolated to 296 K for γ0. Data from Table 1 in main text; full T–p dataset only in inaccessible supplementary material. :contentReference[oaicite:1]{index=1}</t>
  </si>
  <si>
    <t>O2</t>
  </si>
  <si>
    <t>Linear CO; Ka and Kc not defined. R(4) rotational transition (J''=4, J'=5). γ0 = 2.1404(81) MHz/Torr and n = 0.7990(48) from Table 1, with γ0 defined at 296 K. Converted to γ = 0.054261 cm^-1 atm^-1; 1σ uncertainty 0.0081 MHz/Torr becomes 0.000205 cm^-1 atm^-1, giving 0.378% relative error. n taken directly from Table 1. Line widths obtained from Voigt fits to FM spectra; γ0 and n derived via the power-law G(γ0,n,p,T) = γ0 p (296/T)^n (Eq. (1)). Underlying temperature range 88–200 K; γ0 is an extrapolated parameter at 296 K. Data from Table 1; detailed differential data only in supplementary material. :contentReference[oaicite:2]{index=2}</t>
  </si>
  <si>
    <t>Linear CO; Ka and Kc not defined. R(4) rotational transition (J''=4, J'=5). γ0 = 2.7887(65) MHz/Torr and n = 0.6121(16) from Table 1, γ0 at 296 K. Converted to γ = 0.070696 cm^-1 atm^-1; 1σ uncertainty 0.0065 MHz/Torr becomes 0.000165 cm^-1 atm^-1, giving 0.233% relative error. n taken directly from Table 1. Line shapes modelled with Voigt profiles; γ0 and n obtained from parametric fits to data over 28–200 K using Eq. (1), excluding points below 28 K where the power law fails (Section 4 and discussion of lowest-temperature data). Thus γ at 296 K is an extrapolated power-law parameter based on those fits. Data from Table 1; full low-T differential broadening data are referred to as supplementary but are not available here. :contentReference[oaicite:3]{index=3}</t>
  </si>
  <si>
    <t>Linear CO; Ka and Kc not defined. R(4) rotational transition (J''=4, J'=5). γ0 = 1.8868(75) MHz/Torr and n = 0.5369(31) from Table 1, γ0 defined at 296 K. Converted to γ = 0.047832 cm^-1 atm^-1; 1σ uncertainty 0.0075 MHz/Torr becomes 0.000190 cm^-1 atm^-1, giving 0.397% relative error. n taken directly from Table 1. Voigt fits to frequency-modulated spectra used to retrieve Lorentzian widths; γ0 and n are from a power-law fit over 28–200 K with data below 28 K excluded because of departure from the power-law behaviour (Section 4 and Fig. 8). γ at 296 K is thus an extrapolated parameter. Data taken from Table 1; underlying T–p points only provided in supplementary tables mentioned but not accessible. :contentReference[oaicite:4]{index=4}</t>
  </si>
  <si>
    <t>Linear CO; Ka and Kc not defined. R(4) rotational transition (J''=4, J'=5). Self-broadening: γ0 = 2.95(16) MHz/Torr and n = 1.377(50) from Table 1, with γ0 defined at 296 K. Converted to γ = 0.074785 cm^-1 atm^-1; 1σ uncertainty 0.16 MHz/Torr becomes 0.004056 cm^-1 atm^-1, giving 5.424% relative error. n taken directly from Table 1. Self-broadening was significant enough that the analysis was performed on differential quantities ΔG and Δp to remove self-contributions (Section 4). γ0 and n result from a power-law fit over 50–200 K; γ at 296 K is therefore an extrapolated parameter. Line shape fits used a Voigt model. Data from Table 1; raw differential self-broadening data are only in the supplementary material noted in the Appendix. :contentReference[oaicite:5]{index=5}</t>
  </si>
  <si>
    <t>Linear CO; Ka and Kc not defined. R(4) rotational transition (J''=4, J'=5). γ0 = 3.953(64) MHz/Torr and n = 0.351(27) from Table 1, γ0 at 296 K. Converted to γ = 0.100212 cm^-1 atm^-1; 1σ uncertainty 0.064 MHz/Torr becomes 0.001622 cm^-1 atm^-1, giving 1.619% relative error. n taken directly from Table 1. Measurements for CO2 broadening were restricted to 150–200 K because CO2 condenses near 150 K (Section 4); γ0 at 296 K is obtained by extrapolating the power-law fit defined by Eq. (1). Line shape fits used modulated Voigt profiles. Data taken from Table 1; the referenced supplementary tables with differential broadening data are not available here, so no additional T-dependent points are included. :contentReference[oaicite:6]{index=6}</t>
  </si>
  <si>
    <t>air</t>
  </si>
  <si>
    <t>CO 1-0 band; m=-25 (P-branch, m=-J" in P and m=J"+1 in R as defined in Sec. 3); gamma from Table 2 (g0L(air)); g0L defined in Eq. (2) as Lorentz HWHM at 296 K in cm^-1 atm^-1; temperature exponent n fixed to 0.75 for all lines in Sec. 2.1; CO is linear so Ka/Kc quantum numbers not applicable; authors do not give per-line uncertainties; Sec. 3 states real precision of a few percent; multispectrum fit to 10 FTS spectra with CO broadened by dry air or H2 (Table 1); spectra near 297 K but g0L referenced to 296 K</t>
  </si>
  <si>
    <t>CO 1-0 band; m=-25 (P-branch, m=-J" in P and m=J"+1 in R as defined in Sec. 3); gamma from Table 2 (g0L(H2)); g0L defined in Eq. (2) as Lorentz HWHM at 296 K in cm^-1 atm^-1; temperature exponent n fixed to 0.75 for all lines in Sec. 2.1; CO is linear so Ka/Kc quantum numbers not applicable; authors do not give per-line uncertainties; Sec. 3 states real precision of a few percent; H2-induced line shift d0L(H2)=-4.92e-03 cm^-1 atm^-1 also reported in Table 2; multispectrum fit to 10 FTS spectra with CO broadened by dry air or H2 (Table 1); spectra near 297 K but g0L referenced to 296 K</t>
  </si>
  <si>
    <t>CO 1-0 band; m=-22 (P-branch, m=-J" in P and m=J"+1 in R as defined in Sec. 3); gamma from Table 2 (g0L(air)); g0L defined in Eq. (2) as Lorentz HWHM at 296 K in cm^-1 atm^-1; temperature exponent n fixed to 0.75 for all lines in Sec. 2.1; CO is linear so Ka/Kc quantum numbers not applicable; authors do not give per-line uncertainties; Sec. 3 states real precision of a few percent; multispectrum fit to 10 FTS spectra with CO broadened by dry air or H2 (Table 1); spectra near 297 K but g0L referenced to 296 K</t>
  </si>
  <si>
    <t>CO 1-0 band; m=-22 (P-branch, m=-J" in P and m=J"+1 in R as defined in Sec. 3); gamma from Table 2 (g0L(H2)); g0L defined in Eq. (2) as Lorentz HWHM at 296 K in cm^-1 atm^-1; temperature exponent n fixed to 0.75 for all lines in Sec. 2.1; CO is linear so Ka/Kc quantum numbers not applicable; authors do not give per-line uncertainties; Sec. 3 states real precision of a few percent; H2-induced line shift d0L(H2)=-2.68e-03 cm^-1 atm^-1 also reported in Table 2; multispectrum fit to 10 FTS spectra with CO broadened by dry air or H2 (Table 1); spectra near 297 K but g0L referenced to 296 K</t>
  </si>
  <si>
    <t>CO 1-0 band; m=-21 (P-branch, m=-J" in P and m=J"+1 in R as defined in Sec. 3); gamma from Table 2 (g0L(air)); g0L defined in Eq. (2) as Lorentz HWHM at 296 K in cm^-1 atm^-1; temperature exponent n fixed to 0.75 for all lines in Sec. 2.1; CO is linear so Ka/Kc quantum numbers not applicable; authors do not give per-line uncertainties; Sec. 3 states real precision of a few percent; multispectrum fit to 10 FTS spectra with CO broadened by dry air or H2 (Table 1); spectra near 297 K but g0L referenced to 296 K</t>
  </si>
  <si>
    <t>CO 1-0 band; m=-21 (P-branch, m=-J" in P and m=J"+1 in R as defined in Sec. 3); gamma from Table 2 (g0L(H2)); g0L defined in Eq. (2) as Lorentz HWHM at 296 K in cm^-1 atm^-1; temperature exponent n fixed to 0.75 for all lines in Sec. 2.1; CO is linear so Ka/Kc quantum numbers not applicable; authors do not give per-line uncertainties; Sec. 3 states real precision of a few percent; H2-induced line shift d0L(H2)=-2.22e-03 cm^-1 atm^-1 also reported in Table 2; multispectrum fit to 10 FTS spectra with CO broadened by dry air or H2 (Table 1); spectra near 297 K but g0L referenced to 296 K</t>
  </si>
  <si>
    <t>CO 1-0 band; m=-20 (P-branch, m=-J" in P and m=J"+1 in R as defined in Sec. 3); gamma from Table 2 (g0L(air)); g0L defined in Eq. (2) as Lorentz HWHM at 296 K in cm^-1 atm^-1; temperature exponent n fixed to 0.75 for all lines in Sec. 2.1; CO is linear so Ka/Kc quantum numbers not applicable; authors do not give per-line uncertainties; Sec. 3 states real precision of a few percent; multispectrum fit to 10 FTS spectra with CO broadened by dry air or H2 (Table 1); spectra near 297 K but g0L referenced to 296 K</t>
  </si>
  <si>
    <t>CO 1-0 band; m=-20 (P-branch, m=-J" in P and m=J"+1 in R as defined in Sec. 3); gamma from Table 2 (g0L(H2)); g0L defined in Eq. (2) as Lorentz HWHM at 296 K in cm^-1 atm^-1; temperature exponent n fixed to 0.75 for all lines in Sec. 2.1; CO is linear so Ka/Kc quantum numbers not applicable; authors do not give per-line uncertainties; Sec. 3 states real precision of a few percent; H2-induced line shift d0L(H2)=-2.46e-03 cm^-1 atm^-1 also reported in Table 2; multispectrum fit to 10 FTS spectra with CO broadened by dry air or H2 (Table 1); spectra near 297 K but g0L referenced to 296 K</t>
  </si>
  <si>
    <t>CO 1-0 band; m=-18 (P-branch, m=-J" in P and m=J"+1 in R as defined in Sec. 3); gamma from Table 2 (g0L(air)); g0L defined in Eq. (2) as Lorentz HWHM at 296 K in cm^-1 atm^-1; temperature exponent n fixed to 0.75 for all lines in Sec. 2.1; CO is linear so Ka/Kc quantum numbers not applicable; authors do not give per-line uncertainties; Sec. 3 states real precision of a few percent; multispectrum fit to 10 FTS spectra with CO broadened by dry air or H2 (Table 1); spectra near 297 K but g0L referenced to 296 K</t>
  </si>
  <si>
    <t>CO 1-0 band; m=-18 (P-branch, m=-J" in P and m=J"+1 in R as defined in Sec. 3); gamma from Table 2 (g0L(H2)); g0L defined in Eq. (2) as Lorentz HWHM at 296 K in cm^-1 atm^-1; temperature exponent n fixed to 0.75 for all lines in Sec. 2.1; CO is linear so Ka/Kc quantum numbers not applicable; authors do not give per-line uncertainties; Sec. 3 states real precision of a few percent; H2-induced line shift d0L(H2)=-3.08e-03 cm^-1 atm^-1 also reported in Table 2; multispectrum fit to 10 FTS spectra with CO broadened by dry air or H2 (Table 1); spectra near 297 K but g0L referenced to 296 K</t>
  </si>
  <si>
    <t>CO 1–0 band; m = -19 (P-branch, m=-J''); gamma g0L(H2) from Table 2; HWHM in cm^-1 atm^-1; n fixed to 0.75; no uncertainties reported; linear rotor so Ka/Kc N/A</t>
  </si>
  <si>
    <t>CO 1–0 band; m = -17 (P-branch); gamma from Table 2; HWHM in cm^-1 atm^-1; no uncertainties reported</t>
  </si>
  <si>
    <t>CO 1–0 band; m = -16 (P-branch); gamma from Table 2; cm^-1 atm^-1</t>
  </si>
  <si>
    <t>CO 1–0 band; m = -15 (P-branch)</t>
  </si>
  <si>
    <t>CO 1–0 band; m = -14 (P-branch)</t>
  </si>
  <si>
    <t>CO 1–0 band; m = -13 (P-branch)</t>
  </si>
  <si>
    <t>CO 1–0 band; m = -12 (P-branch)</t>
  </si>
  <si>
    <t>CO 1–0 band; m = -11 (P-branch)</t>
  </si>
  <si>
    <t>CO 1–0 band; m = -10 (P-branch)</t>
  </si>
  <si>
    <t>CO 1–0 band; m = -9 (P-branch)</t>
  </si>
  <si>
    <t>CO 1–0 band; m = -8 (P-branch)</t>
  </si>
  <si>
    <t>CO 1–0 band; m = -7 (P-branch)</t>
  </si>
  <si>
    <t>CO 1–0 band; m = -6 (P-branch)</t>
  </si>
  <si>
    <t>CO 1–0 band; m = -5 (P-branch)</t>
  </si>
  <si>
    <t>CO 1–0 band; m = -4 (P-branch)</t>
  </si>
  <si>
    <t>CO 1–0 band; m = -3 (P-branch)</t>
  </si>
  <si>
    <t>CO 1–0 band; m = -2 (P-branch)</t>
  </si>
  <si>
    <t>CO 1–0 band; m = -1 (P-branch)</t>
  </si>
  <si>
    <t>C2H2</t>
  </si>
  <si>
    <t>Ar</t>
  </si>
  <si>
    <t>H2 (j=0)</t>
  </si>
  <si>
    <t>Derived from shaded experimental pressure broadening fit for 101-110 in Table I; sigma0=16.9±0.2 Å^2 and n=-0.30±0.03 at T0=20 K; gamma (HWHM) in cm^-1 atm^-1 at 20 K computed from Eq.(1) using the H2O–H2 reduced mass and conversion 1 MHz/Torr = 0.02535 cm^-1 atm^-1; underlying temperature dependent data for this transition and perturber over 20-250 K are given only in the Supplemental Material; line profile not explicitly stated; linewidths obtained via deconvolution method [Pickett 1980] in Sec. II.</t>
  </si>
  <si>
    <t>H2 (j=1)</t>
  </si>
  <si>
    <t>Derived from shaded experimental pressure broadening fit for 101-110 in Table I; sigma0=110.1±1.3 Å^2 and n=-0.36±0.01 at T0=20 K; gamma (HWHM) in cm^-1 atm^-1 at 20 K computed from Eq.(1) using the H2O–H2 reduced mass and conversion 1 MHz/Torr = 0.02535 cm^-1 atm^-1; underlying temperature dependent data for this transition and perturber over 20-250 K are given only in the Supplemental Material; line profile not explicitly stated; linewidths obtained via deconvolution method [Pickett 1980] in Sec. II.</t>
  </si>
  <si>
    <t>Derived from shaded experimental pressure broadening fit for 111-000 in Table I; sigma0=8.5±0.8 Å^2 and n=0.13±0.08 at T0=20 K; gamma (HWHM) in cm^-1 atm^-1 at 20 K computed from Eq.(1) using the H2O–H2 reduced mass and conversion 1 MHz/Torr = 0.02535 cm^-1 atm^-1; underlying temperature dependent data for this transition and perturber over 20-250 K are given only in the Supplemental Material; line profile not explicitly stated; linewidths obtained via deconvolution method [Pickett 1980] in Sec. II.</t>
  </si>
  <si>
    <t>Derived from shaded experimental pressure broadening fit for 111-000 in Table I; sigma0=80.0±2.0 Å^2 and n=-0.24±0.02 at T0=20 K; gamma (HWHM) in cm^-1 atm^-1 at 20 K computed from Eq.(1) using the H2O–H2 reduced mass and conversion 1 MHz/Torr = 0.02535 cm^-1 atm^-1; underlying temperature dependent data for this transition and perturber over 20-250 K are given only in the Supplemental Material; line profile not explicitly stated; linewidths obtained via deconvolution method [Pickett 1980] in Sec. II.</t>
  </si>
  <si>
    <t>Derived from shaded experimental pressure broadening fit for 202-111 in Table I; sigma0=14.9±0.5 Å^2 and n=-0.20±0.03 at T0=20 K; gamma (HWHM) in cm^-1 atm^-1 at 20 K computed from Eq.(1) using the H2O–H2 reduced mass and conversion 1 MHz/Torr = 0.02535 cm^-1 atm^-1; underlying temperature dependent data for this transition and perturber over 20-250 K are given only in the Supplemental Material; line profile not explicitly stated; linewidths obtained via deconvolution method [Pickett 1980] in Sec. II.</t>
  </si>
  <si>
    <t>Derived from shaded experimental pressure broadening fit for 202-111 in Table I; sigma0=99.0±2.0 Å^2 and n=-0.35±0.01 at T0=20 K; gamma (HWHM) in cm^-1 atm^-1 at 20 K computed from Eq.(1) using the H2O–H2 reduced mass and conversion 1 MHz/Torr = 0.02535 cm^-1 atm^-1; underlying temperature dependent data for this transition and perturber over 20-250 K are given only in the Supplemental Material; line profile not explicitly stated; linewidths obtained via deconvolution method [Pickett 1980] in Sec. II.</t>
  </si>
  <si>
    <t>He-broadened halfwidth; original value 21.7±0.2 ×10^-3 cm^-1 atm^-1 converted to 0.0217±0.0002 cm^-1 atm^-1; temperature exponent n=0.39 with ±0.10 from same row; line profile not explicitly stated. Source: Table 6.</t>
  </si>
  <si>
    <t>He-broadened halfwidth; original value 21.4±0.2 ×10^-3 cm^-1 atm^-1 converted to 0.0214±0.0002 cm^-1 atm^-1; n=0.39±0.10; line profile not explicitly stated. Source: Table 6.</t>
  </si>
  <si>
    <t>He-broadened halfwidth; original value 21.1±0.2 ×10^-3 cm^-1 atm^-1 converted to 0.0211±0.0002 cm^-1 atm^-1; n=0.39±0.10; line profile not explicitly stated. Source: Table 6.</t>
  </si>
  <si>
    <t>He-broadened halfwidth; original value 20.4±0.2 ×10^-3 cm^-1 atm^-1 converted to 0.0204±0.0002 cm^-1 atm^-1; n=0.39±0.10; line profile not explicitly stated. Source: Table 6.</t>
  </si>
  <si>
    <t>He-broadened halfwidth; original value 20.1±0.2 ×10^-3 cm^-1 atm^-1 converted to 0.0201±0.0002 cm^-1 atm^-1; n=0.39±0.10; line profile not explicitly stated. Source: Table 6.</t>
  </si>
  <si>
    <t>He-broadened halfwidth; original value 19.6±0.3 ×10^-3 cm^-1 atm^-1 converted to 0.0196±0.0003 cm^-1 atm^-1; n=0.39±0.10; line profile not explicitly stated. Source: Table 6.</t>
  </si>
  <si>
    <t>He-broadened halfwidth; original value 20.3±0.2 ×10^-3 cm^-1 atm^-1 converted to 0.0203±0.0002 cm^-1 atm^-1; n=0.34±0.09; line profile not explicitly stated. Source: Table 6.</t>
  </si>
  <si>
    <t>He-broadened halfwidth; original value 19.8±0.2 ×10^-3 cm^-1 atm^-1 converted to 0.0198±0.0002 cm^-1 atm^-1; n=0.34±0.09; line profile not explicitly stated. Source: Table 6.</t>
  </si>
  <si>
    <t>He-broadened halfwidth; original value 19.3±0.2 ×10^-3 cm^-1 atm^-1 converted to 0.0193±0.0002 cm^-1 atm^-1; n=0.34±0.09; line profile not explicitly stated. Source: Table 6.</t>
  </si>
  <si>
    <t>He-broadened halfwidth; original value 18.9±0.2 ×10^-3 cm^-1 atm^-1 converted to 0.0189±0.0002 cm^-1 atm^-1; n=0.34±0.09; line profile not explicitly stated. Source: Table 6.</t>
  </si>
  <si>
    <t>He-broadened halfwidth; original value 24.6±0.5 ×10^-3 cm^-1 atm^-1 converted to 0.0246±0.0005 cm^-1 atm^-1; temperature exponent n not reported for this transition in Table 6; line profile not explicitly stated. Source: Table 6.</t>
  </si>
  <si>
    <t>He-broadened halfwidth; original value 20.0±1.3 ×10^-3 cm^-1 atm^-1 converted to 0.0200±0.0013 cm^-1 atm^-1; n not reported for this transition in Table 6; line profile not explicitly stated. Source: Table 6.</t>
  </si>
  <si>
    <t>He-broadened halfwidth; original value 18.0±1.8 ×10^-3 cm^-1 atm^-1 converted to 0.0180±0.0018 cm^-1 atm^-1; n=0.49±0.02; line profile not explicitly stated. Source: Table 6.</t>
  </si>
  <si>
    <t>He-broadened halfwidth; original value 20.3±2.0 ×10^-3 cm^-1 atm^-1 converted to 0.0203±0.0020 cm^-1 atm^-1; n=0.49±0.02; line profile not explicitly stated. Source: Table 6.</t>
  </si>
  <si>
    <t>He-broadened halfwidth; original value 22.0±2.2 ×10^-3 cm^-1 atm^-1 converted to 0.0220±0.0022 cm^-1 atm^-1; n=0.49±0.02; line profile not explicitly stated. Source: Table 6.</t>
  </si>
  <si>
    <t>He-broadened halfwidth; original value 24.1±2.4 ×10^-3 cm^-1 atm^-1 converted to 0.0241±0.0024 cm^-1 atm^-1; n=0.49±0.02; line profile not explicitly stated. Source: Table 6.</t>
  </si>
  <si>
    <t>He-broadened halfwidth; original value 29.4±2.9 ×10^-3 cm^-1 atm^-1 converted to 0.0294±0.0029 cm^-1 atm^-1; n=0.49±0.02; line profile not explicitly stated. Source: Table 6.</t>
  </si>
  <si>
    <t>He-broadened halfwidth; original value 32.2±3.2 ×10^-3 cm^-1 atm^-1 converted to 0.0322±0.0032 cm^-1 atm^-1; n=0.49±0.02; line profile not explicitly stated. Source: Table 6.</t>
  </si>
  <si>
    <t>He-broadened halfwidth; original value 34.2±3.4 ×10^-3 cm^-1 atm^-1 converted to 0.0342±0.0034 cm^-1 atm^-1; n=0.49±0.02; line profile not explicitly stated. Source: Table 6.</t>
  </si>
  <si>
    <t>He-broadened halfwidth; original value 37.2±3.7 ×10^-3 cm^-1 atm^-1 converted to 0.0372±0.0037 cm^-1 atm^-1; n=0.49±0.02; line profile not explicitly stated. Source: Table 6.</t>
  </si>
  <si>
    <t>He-broadened halfwidth; original value 38.2±3.8 ×10^-3 cm^-1 atm^-1 converted to 0.0382±0.0038 cm^-1 atm^-1; n=0.49±0.02; line profile not explicitly stated. Source: Table 6.</t>
  </si>
  <si>
    <t>He-broadened halfwidth; original value 40.5±4.0 ×10^-3 cm^-1 atm^-1 converted to 0.0405±0.0040 cm^-1 atm^-1; n=0.49±0.02; line profile not explicitly stated. Source: Table 6.</t>
  </si>
  <si>
    <t>He-broadened halfwidth; original value 39.3±3.9 ×10^-3 cm^-1 atm^-1 converted to 0.0393±0.0039 cm^-1 atm^-1; n=0.49±0.02; line profile not explicitly stated. Source: Table 6.</t>
  </si>
  <si>
    <t>He-broadened halfwidth; original value 44.1±4.4 ×10^-3 cm^-1 atm^-1 converted to 0.0441±0.0044 cm^-1 atm^-1; n=0.49±0.02; line profile not explicitly stated. Source: Table 6.</t>
  </si>
  <si>
    <t>He-broadened halfwidth; original value 46.9±4.1 ×10^-3 cm^-1 atm^-1 converted to 0.0469±0.0041 cm^-1 atm^-1; n=0.49±0.02; line profile not explicitly stated. Source: Table 6.</t>
  </si>
  <si>
    <t>H2-broadened halfwidth of the 22 GHz line (616–523) measured at 293 K; value 0.0710±0.0076 cm^-1 atm^-1 given directly as halfwidth; no temperature exponent n reported; line profile not explicitly specified. Source: Table 4.</t>
  </si>
  <si>
    <t>H2-broadened halfwidth of the 22 GHz line (616–523) measured at 300 K; value 0.0834±0.0021 cm^-1 atm^-1 given directly as halfwidth; no temperature exponent n reported; line profile not explicitly specified. Source: Table 4.</t>
  </si>
  <si>
    <t>H2-broadened halfwidth of the 183 GHz line (313–220) measured at 300 K; value 0.0811±0.0020 cm^-1 atm^-1 given directly as halfwidth; no temperature exponent n reported; line profile not explicitly specified. Source: Table 4.</t>
  </si>
  <si>
    <t>H2-broadened halfwidth of the 380 GHz line (414–321) measured at 300 K; value 0.0811±0.0020 cm^-1 atm^-1 given directly as halfwidth; no temperature exponent n reported; line profile not explicitly specified. Source: Table 4.</t>
  </si>
  <si>
    <t>Experimental halfwidth at 296 K; in cm^-1 atm^-1; no uncertainties given; n not listed. Source: Table 7.</t>
  </si>
  <si>
    <t>Table I, He broadening of H2O 3_13–2_20 at 597 K; γ is pressure-broadening coefficient y in MHz/Torr converted to cm^-1 atm^-1 (1 MHz/Torr = 0.0253509 cm^-1 atm^-1); absolute uncertainty 5% as stated; Voigt profile used for linewidth extraction.</t>
  </si>
  <si>
    <t>Table I, He broadening of H2O 3_13–2_20 at 444 K; γ is pressure-broadening coefficient y in MHz/Torr converted to cm^-1 atm^-1 (1 MHz/Torr = 0.0253509 cm^-1 atm^-1); absolute uncertainty 5% as stated; Voigt profile used for linewidth extraction.</t>
  </si>
  <si>
    <t>Table I, He broadening of H2O 3_13–2_20 at 297 K; γ is pressure-broadening coefficient y in MHz/Torr converted to cm^-1 atm^-1 (1 MHz/Torr = 0.0253509 cm^-1 atm^-1); absolute uncertainty 5% as stated; Voigt profile used for linewidth extraction.</t>
  </si>
  <si>
    <t>Table I, He broadening of H2O 3_13–2_20 at 264 K; γ is pressure-broadening coefficient y in MHz/Torr converted to cm^-1 atm^-1 (1 MHz/Torr = 0.0253509 cm^-1 atm^-1); absolute uncertainty 5% as stated; Voigt profile used for linewidth extraction.</t>
  </si>
  <si>
    <t>Table I, He broadening of H2O 3_13–2_20 at 192 K; γ is pressure-broadening coefficient y in MHz/Torr converted to cm^-1 atm^-1 (1 MHz/Torr = 0.0253509 cm^-1 atm^-1); absolute uncertainty 5% as stated; Voigt profile used for linewidth extraction.</t>
  </si>
  <si>
    <t>Table I, He broadening of H2O 3_13–2_20 at 177 K; γ is pressure-broadening coefficient y in MHz/Torr converted to cm^-1 atm^-1 (1 MHz/Torr = 0.0253509 cm^-1 atm^-1); absolute uncertainty 5% as stated; Voigt profile used for linewidth extraction.</t>
  </si>
  <si>
    <t>Table I, He broadening of H2O 3_13–2_20 at 162 K; γ is pressure-broadening coefficient y in MHz/Torr converted to cm^-1 atm^-1 (1 MHz/Torr = 0.0253509 cm^-1 atm^-1); absolute uncertainty 5% as stated; Voigt profile used for linewidth extraction.</t>
  </si>
  <si>
    <t>Table I, He broadening of H2O 3_13–2_20 at 144 K; γ is pressure-broadening coefficient y in MHz/Torr converted to cm^-1 atm^-1 (1 MHz/Torr = 0.0253509 cm^-1 atm^-1); absolute uncertainty 5% as stated; Voigt profile used for linewidth extraction.</t>
  </si>
  <si>
    <t>Table I, He broadening of H2O 3_13–2_20 at 120 K; γ is pressure-broadening coefficient y in MHz/Torr converted to cm^-1 atm^-1 (1 MHz/Torr = 0.0253509 cm^-1 atm^-1); absolute uncertainty 5% as stated; Voigt profile used for linewidth extraction.</t>
  </si>
  <si>
    <t>Table I, He broadening of H2O 3_13–2_20 at 104 K; γ is pressure-broadening coefficient y in MHz/Torr converted to cm^-1 atm^-1 (1 MHz/Torr = 0.0253509 cm^-1 atm^-1); absolute uncertainty 5% as stated; Voigt profile used for linewidth extraction.</t>
  </si>
  <si>
    <t>Table I, He broadening of H2O 3_13–2_20 at 103 K; γ is pressure-broadening coefficient y in MHz/Torr converted to cm^-1 atm^-1 (1 MHz/Torr = 0.0253509 cm^-1 atm^-1); absolute uncertainty 5% as stated; Voigt profile used for linewidth extraction.</t>
  </si>
  <si>
    <t>Table I, H2 broadening of H2O 3_13–2_20 at 400 K; γ is pressure-broadening coefficient y in MHz/Torr converted to cm^-1 atm^-1 (1 MHz/Torr = 0.0253509 cm^-1 atm^-1); absolute uncertainty 5% as stated; Voigt profile used for linewidth extraction; power-law temperature exponent n fitted for T &gt;= 150 K.</t>
  </si>
  <si>
    <t>Table I, H2 broadening of H2O 3_13–2_20 at 296 K; γ is pressure-broadening coefficient y in MHz/Torr converted to cm^-1 atm^-1 (1 MHz/Torr = 0.0253509 cm^-1 atm^-1); absolute uncertainty 5% as stated; Voigt profile used for linewidth extraction; power-law temperature exponent n fitted for T &gt;= 150 K.</t>
  </si>
  <si>
    <t>Table I, H2 broadening of H2O 3_13–2_20 at 261 K; γ is pressure-broadening coefficient y in MHz/Torr converted to cm^-1 atm^-1 (1 MHz/Torr = 0.0253509 cm^-1 atm^-1); absolute uncertainty 5% as stated; Voigt profile used for linewidth extraction; power-law temperature exponent n fitted for T &gt;= 150 K.</t>
  </si>
  <si>
    <t>Table I, H2 broadening of H2O 3_13–2_20 at 245 K; γ is pressure-broadening coefficient y in MHz/Torr converted to cm^-1 atm^-1 (1 MHz/Torr = 0.0253509 cm^-1 atm^-1); absolute uncertainty 5% as stated; Voigt profile used for linewidth extraction; power-law temperature exponent n fitted for T &gt;= 150 K.</t>
  </si>
  <si>
    <t>Table I, H2 broadening of H2O 3_13–2_20 at 166 K; γ is pressure-broadening coefficient y in MHz/Torr converted to cm^-1 atm^-1 (1 MHz/Torr = 0.0253509 cm^-1 atm^-1); absolute uncertainty 5% as stated; Voigt profile used for linewidth extraction; power-law temperature exponent n fitted for T &gt;= 150 K.</t>
  </si>
  <si>
    <t>Table I, H2 broadening of H2O 3_13–2_20 at 148 K; γ is pressure-broadening coefficient y in MHz/Torr converted to cm^-1 atm^-1 (1 MHz/Torr = 0.0253509 cm^-1 atm^-1); absolute uncertainty 5% as stated; Voigt profile used for linewidth extraction; simple power-law temperature dependence not valid below ~150 K; n not assigned for this low-temperature point.</t>
  </si>
  <si>
    <t>Table I, H2 broadening of H2O 3_13–2_20 at 125 K; γ is pressure-broadening coefficient y in MHz/Torr converted to cm^-1 atm^-1 (1 MHz/Torr = 0.0253509 cm^-1 atm^-1); absolute uncertainty 5% as stated; Voigt profile used for linewidth extraction; simple power-law temperature dependence not valid below ~150 K; n not assigned for this low-temperature point.</t>
  </si>
  <si>
    <t>Table I, H2 broadening of H2O 3_13–2_20 at 106 K; γ is pressure-broadening coefficient y in MHz/Torr converted to cm^-1 atm^-1 (1 MHz/Torr = 0.0253509 cm^-1 atm^-1); absolute uncertainty 5% as stated; Voigt profile used for linewidth extraction; simple power-law temperature dependence not valid below ~150 K; n not assigned for this low-temperature point.</t>
  </si>
  <si>
    <t>Table I, H2 broadening of H2O 3_13–2_20 at 103 K; γ is pressure-broadening coefficient y in MHz/Torr converted to cm^-1 atm^-1 (1 MHz/Torr = 0.0253509 cm^-1 atm^-1); absolute uncertainty 5% as stated; Voigt profile used for linewidth extraction; simple power-law temperature dependence not valid below ~150 K; n not assigned for this low-temperature point.</t>
  </si>
  <si>
    <t>Table II, He broadening of H2O 4_14–3_21 at 520 K; γ is pressure-broadening coefficient y in MHz/Torr converted to cm^-1 atm^-1 (1 MHz/Torr = 0.0253509 cm^-1 atm^-1); absolute uncertainty 5% as stated; Voigt profile used for linewidth extraction.</t>
  </si>
  <si>
    <t>Table II, He broadening of H2O 4_14–3_21 at 433 K; γ is pressure-broadening coefficient y in MHz/Torr converted to cm^-1 atm^-1 (1 MHz/Torr = 0.0253509 cm^-1 atm^-1); absolute uncertainty 5% as stated; Voigt profile used for linewidth extraction.</t>
  </si>
  <si>
    <t>Table II, He broadening of H2O 4_14–3_21 at 375 K; γ is pressure-broadening coefficient y in MHz/Torr converted to cm^-1 atm^-1 (1 MHz/Torr = 0.0253509 cm^-1 atm^-1); absolute uncertainty 5% as stated; Voigt profile used for linewidth extraction.</t>
  </si>
  <si>
    <t>Table II, He broadening of H2O 4_14–3_21 at 298 K; γ is pressure-broadening coefficient y in MHz/Torr converted to cm^-1 atm^-1 (1 MHz/Torr = 0.0253509 cm^-1 atm^-1); absolute uncertainty 5% as stated; Voigt profile used for linewidth extraction.</t>
  </si>
  <si>
    <t>Table II, He broadening of H2O 4_14–3_21 at 272 K; γ is pressure-broadening coefficient y in MHz/Torr converted to cm^-1 atm^-1 (1 MHz/Torr = 0.0253509 cm^-1 atm^-1); absolute uncertainty 5% as stated; Voigt profile used for linewidth extraction.</t>
  </si>
  <si>
    <t>Table II, He broadening of H2O 4_14–3_21 at 173 K; γ is pressure-broadening coefficient y in MHz/Torr converted to cm^-1 atm^-1 (1 MHz/Torr = 0.0253509 cm^-1 atm^-1); absolute uncertainty 5% as stated; Voigt profile used for linewidth extraction.</t>
  </si>
  <si>
    <t>Table II, He broadening of H2O 4_14–3_21 at 152 K; γ is pressure-broadening coefficient y in MHz/Torr converted to cm^-1 atm^-1 (1 MHz/Torr = 0.0253509 cm^-1 atm^-1); absolute uncertainty 5% as stated; Voigt profile used for linewidth extraction.</t>
  </si>
  <si>
    <t>Table II, He broadening of H2O 4_14–3_21 at 133 K; γ is pressure-broadening coefficient y in MHz/Torr converted to cm^-1 atm^-1 (1 MHz/Torr = 0.0253509 cm^-1 atm^-1); absolute uncertainty 5% as stated; Voigt profile used for linewidth extraction.</t>
  </si>
  <si>
    <t>Table II, He broadening of H2O 4_14–3_21 at 108 K; γ is pressure-broadening coefficient y in MHz/Torr converted to cm^-1 atm^-1 (1 MHz/Torr = 0.0253509 cm^-1 atm^-1); absolute uncertainty 5% as stated; Voigt profile used for linewidth extraction.</t>
  </si>
  <si>
    <t>Table II, H2 broadening of H2O 4_14–3_21 at 520 K; γ is pressure-broadening coefficient y in MHz/Torr converted to cm^-1 atm^-1 (1 MHz/Torr = 0.0253509 cm^-1 atm^-1); absolute uncertainty 5% as stated; Voigt profile used for linewidth extraction; power-law temperature exponent n fitted for T &gt;= 150 K.</t>
  </si>
  <si>
    <t>Table II, H2 broadening of H2O 4_14–3_21 at 433 K; γ is pressure-broadening coefficient y in MHz/Torr converted to cm^-1 atm^-1 (1 MHz/Torr = 0.0253509 cm^-1 atm^-1); absolute uncertainty 5% as stated; Voigt profile used for linewidth extraction; power-law temperature exponent n fitted for T &gt;= 150 K.</t>
  </si>
  <si>
    <t>Table II, H2 broadening of H2O 4_14–3_21 at 298 K; γ is pressure-broadening coefficient y in MHz/Torr converted to cm^-1 atm^-1 (1 MHz/Torr = 0.0253509 cm^-1 atm^-1); absolute uncertainty 5% as stated; Voigt profile used for linewidth extraction; power-law temperature exponent n fitted for T &gt;= 150 K.</t>
  </si>
  <si>
    <t>Table II, H2 broadening of H2O 4_14–3_21 at 272 K; γ is pressure-broadening coefficient y in MHz/Torr converted to cm^-1 atm^-1 (1 MHz/Torr = 0.0253509 cm^-1 atm^-1); absolute uncertainty 5% as stated; Voigt profile used for linewidth extraction; power-law temperature exponent n fitted for T &gt;= 150 K.</t>
  </si>
  <si>
    <t>Table II, H2 broadening of H2O 4_14–3_21 at 173 K; γ is pressure-broadening coefficient y in MHz/Torr converted to cm^-1 atm^-1 (1 MHz/Torr = 0.0253509 cm^-1 atm^-1); absolute uncertainty 5% as stated; Voigt profile used for linewidth extraction; power-law temperature exponent n fitted for T &gt;= 150 K.</t>
  </si>
  <si>
    <t>Table II, H2 broadening of H2O 4_14–3_21 at 152 K; γ is pressure-broadening coefficient y in MHz/Torr converted to cm^-1 atm^-1 (1 MHz/Torr = 0.0253509 cm^-1 atm^-1); absolute uncertainty 5% as stated; Voigt profile used for linewidth extraction; power-law temperature exponent n fitted for T &gt;= 150 K.</t>
  </si>
  <si>
    <t>Table II, H2 broadening of H2O 4_14–3_21 at 133 K; γ is pressure-broadening coefficient y in MHz/Torr converted to cm^-1 atm^-1 (1 MHz/Torr = 0.0253509 cm^-1 atm^-1); absolute uncertainty 5% as stated; Voigt profile used for linewidth extraction; simple power-law temperature dependence not valid below ~150 K; n not assigned for this low-temperature point.</t>
  </si>
  <si>
    <t>Table II, H2 broadening of H2O 4_14–3_21 at 108 K; γ is pressure-broadening coefficient y in MHz/Torr converted to cm^-1 atm^-1 (1 MHz/Torr = 0.0253509 cm^-1 atm^-1); absolute uncertainty 5% as stated; Voigt profile used for linewidth extraction; simple power-law temperature dependence not valid below ~150 K; n not assigned for this low-temperature point.</t>
  </si>
  <si>
    <t>Eq. (2) power-law fit for He broadening of H2O 3_13–2_20 at 300 K; γ(300 K) = 0.95 ± 0.03 MHz/Torr and n = 0.49 ± 0.02 as reported in text; converted to cm^-1 atm^-1; Voigt profile used for underlying linewidths.</t>
  </si>
  <si>
    <t>Eq. (2) power-law fit for H2 broadening of H2O 3_13–2_20 at 300 K using data above 150 K; γ(300 K) = 3.20 ± 0.08 MHz/Torr and n = 0.95 ± 0.07 as reported in text; converted to cm^-1 atm^-1; Voigt profile used for underlying linewidths.</t>
  </si>
  <si>
    <t>Eq. (2) power-law fit for He broadening of H2O 4_14–3_21 at 300 K; γ(300 K) = 0.84 ± 0.01 MHz/Torr and n = 0.54 ± 0.03 as reported in text; converted to cm^-1 atm^-1; Voigt profile used for underlying linewidths.</t>
  </si>
  <si>
    <t>Eq. (2) power-law fit for H2 broadening of H2O 4_14–3_21 at 300 K using data above 150 K; γ(300 K) = 3.19 ± 0.07 MHz/Torr and n = 0.85 ± 0.05 as reported in text; converted to cm^-1 atm^-1; Voigt profile used for underlying linewidths.</t>
  </si>
  <si>
    <t>13C12CH4</t>
  </si>
  <si>
    <t>ν7 band of 13C12CH4; self-broadened HWHM at 296 K; gamma and %unc from Table 1; absolute uncertainty computed as gamma×(%unc/100); standard Voigt profile; lower-state quantum numbers are the first J0,Ka0,Kc0 triplet in Table 1; temperature exponent n not reported.</t>
  </si>
  <si>
    <t>ν7 band of 13C12CH4; self-broadened HWHM at 296 K; gamma and absolute 1σ uncertainty from Present Study column of Table 4; percentage uncertainty computed as 100×σ/gamma; standard Voigt profile; lower-state quantum numbers are the first J0,Ka0,Kc0 triplet in Table 4; temperature exponent n not reported.</t>
  </si>
  <si>
    <t>ν7 band of 12C2H4; self-broadened HWHM at 296 K; gamma and absolute 1σ uncertainty from Blanquet et al. values re-quoted in Table 4; percentage uncertainty computed as 100×σ/gamma; standard Voigt profile (per comparison discussion); lower-state quantum numbers are the first J0,Ka0,Kc0 triplet in Table 4; temperature exponent n not reported in this paper; other experimental details in Blanquet et al. (2003).</t>
  </si>
  <si>
    <t>speed-dependent Voigt with line mixing</t>
  </si>
  <si>
    <t>Linear molecule; Ka and Kc not defined; b0_L air-broadened Lorentz half-width at 296 K from Table 2 (13C16O 2-0 band; line P23); n taken from Table 2; absolute uncertainty not explicitly tabulated so left as N/A</t>
  </si>
  <si>
    <t>Linear molecule; Ka and Kc not defined; b0_L from Table 2 (13C16O 2-0 band; line P20); n from Table 2; absolute uncertainty in gamma not directly given so N/A</t>
  </si>
  <si>
    <t>Linear molecule; Ka and Kc not defined; gamma and % uncertainty from Table 2 (13C16O; line P17); n from Table 2; absolute uncertainty not tabulated so N/A</t>
  </si>
  <si>
    <t>Linear molecule; Ka and Kc not defined; gamma and percent uncertainty from Table 2 (13C16O; line P14); n from Table 2; absolute gamma uncertainty not explicitly listed (N/A)</t>
  </si>
  <si>
    <t>Linear molecule; Ka and Kc not defined; values taken from Table 2 (13C16O; line P11); n reported; absolute uncertainty in gamma not explicitly provided so marked N/A</t>
  </si>
  <si>
    <t>Linear molecule; Ka and Kc not defined; gamma and % uncertainty from Table 2 (13C16O; line P8); n from same table; absolute gamma uncertainty not tabulated (N/A)</t>
  </si>
  <si>
    <t>Linear molecule; Ka and Kc not defined; data extracted from Table 2 (13C16O; line P5); n reported; absolute uncertainty in gamma not given so N/A</t>
  </si>
  <si>
    <t>Linear molecule; Ka and Kc not defined; gamma and percent uncertainty from Table 2 (13C16O; line P3); n from Table 2; absolute uncertainty not explicitly available (N/A)</t>
  </si>
  <si>
    <t>Linear molecule; Ka and Kc not defined; b0_L from Table 3 (12C18O 2-0 band; line P25); temperature exponent n not reported for this line (blank in Table 3); absolute uncertainty in gamma not tabulated (N/A)</t>
  </si>
  <si>
    <t>Linear molecule; Ka and Kc not defined; gamma and % uncertainty from Table 3 (12C18O; line P21); no n value given in the table for this transition; absolute gamma uncertainty not explicitly listed (N/A)</t>
  </si>
  <si>
    <t>Linear molecule; Ka and Kc not defined; b0_L and percent uncertainty from Table 3 (12C18O; line P20); n taken from Table 3; absolute uncertainty in gamma not provided so N/A</t>
  </si>
  <si>
    <t>Linear molecule; Ka and Kc not defined; gamma and % error from Table 3 (12C18O; line P19); n from Table 3; absolute uncertainty not tabulated (N/A)</t>
  </si>
  <si>
    <t>Linear molecule; Ka and Kc not defined; values taken from Table 3 (12C18O; line P18); n reported; absolute gamma uncertainty not explicitly given (N/A)</t>
  </si>
  <si>
    <t>Linear molecule; Ka and Kc not defined; gamma</t>
  </si>
  <si>
    <t xml:space="preserve"> % uncertainty and n from Table 3 (12C18O; line P17); absolute uncertainty in gamma not listed so N/A</t>
  </si>
  <si>
    <t>Linear molecule; Ka and Kc not defined; data from Table 3 (12C18O; line P16); n from same table; absolute gamma uncertainty not explicitly tabulated (N/A)</t>
  </si>
  <si>
    <t>Linear molecule; Ka and Kc not defined; b0_L and % uncertainty from Table 3 (12C18O; line P15); n reported; absolute uncertainty not listed (N/A)</t>
  </si>
  <si>
    <t xml:space="preserve"> percent error and n from Table 3 (12C18O; line P14); absolute uncertainty in gamma not directly available so N/A</t>
  </si>
  <si>
    <t>Linear molecule; Ka and Kc not defined; values taken from Table 3 (12C18O; line P13); n from Table 3; absolute uncertainty not tabulated (N/A)</t>
  </si>
  <si>
    <t>CH4</t>
  </si>
  <si>
    <t>S-branch (ΔJ=+2) manifold S(0) of CH4 ν2 Raman band at 298 K; γ and ±1σ from Table 1 in Tanichev &amp; Petrov (2023) in units of 1e-2 cm^-1/MPa, converted here to cm^-1/atm using 1 MPa = 9.86923 atm and Γ as HWHM from Eq. (1); K quantum numbers not defined for spherical top CH4; temperature exponent n not reported.</t>
  </si>
  <si>
    <t>C3H8</t>
  </si>
  <si>
    <t>n-C4H10</t>
  </si>
  <si>
    <t>i-C4H10</t>
  </si>
  <si>
    <t>R-branch (ΔJ=+1) manifold R(1) of CH4 ν2 Raman band at 298 K; γ and ±1σ from Table 1 in Tanichev &amp; Petrov (2023) in units of 1e-2 cm^-1/MPa, converted here to cm^-1/atm using 1 MPa = 9.86923 atm and Γ as HWHM from Eq. (1); K quantum numbers not defined for spherical top CH4; temperature exponent n not reported.</t>
  </si>
  <si>
    <t>S-branch (ΔJ=+2) manifold S(1) of CH4 ν2 Raman band at 298 K; γ and ±1σ from Table 1 in Tanichev &amp; Petrov (2023) in units of 1e-2 cm^-1/MPa, converted here to cm^-1/atm using 1 MPa = 9.86923 atm and Γ as HWHM from Eq. (1); K quantum numbers not defined for spherical top CH4; temperature exponent n not reported.</t>
  </si>
  <si>
    <t>R-branch (ΔJ=+1) manifold R(2) of CH4 ν2 Raman band at 298 K; γ and ±1σ from Table 1 in Tanichev &amp; Petrov (2023) in units of 1e-2 cm^-1/MPa, converted here to cm^-1/atm using 1 MPa = 9.86923 atm and Γ as HWHM from Eq. (1); K quantum numbers not defined for spherical top CH4; temperature exponent n not reported.</t>
  </si>
  <si>
    <t>S-branch, J''=2, Table 1; original γ and ±1σ in 10^-2 cm^-1/MPa converted to cm^-1 atm^-1 using 1 MPa = 9.86923 atm; CH4 spherical top so Ka/Kc N/A; n not reported.</t>
  </si>
  <si>
    <t>R-branch, J''=3, Table 1; original γ and ±1σ in 10^-2 cm^-1/MPa converted to cm^-1 atm^-1 using 1 MPa = 9.86923 atm; CH4 spherical top so Ka/Kc N/A; n not reported.</t>
  </si>
  <si>
    <t>S-branch, J''=3, Table 1; original γ and ±1σ in 10^-2 cm^-1/MPa converted to cm^-1 atm^-1 using 1 MPa = 9.86923 atm; CH4 spherical top so Ka/Kc N/A; n not reported.</t>
  </si>
  <si>
    <t>R-branch, J''=4, Table 1; original γ and ±1σ in 10^-2 cm^-1/MPa converted to cm^-1 atm^-1 using 1 MPa = 9.86923 atm; CH4 spherical top so Ka/Kc N/A; n not reported.</t>
  </si>
  <si>
    <t>S-branch, J''=4, Table 1; original γ and ±1σ in 10^-2 cm^-1/MPa converted to cm^-1 atm^-1 using 1 MPa = 9.86923 atm; CH4 spherical top so Ka/Kc N/A; n not reported.</t>
  </si>
  <si>
    <t>R-branch, J''=5, Table 1; original γ and ±1σ in 10^-2 cm^-1/MPa converted to cm^-1 atm^-1 using 1 MPa = 9.86923 atm; CH4 spherical top so Ka/Kc N/A; n not reported.</t>
  </si>
  <si>
    <t>S-branch, J''=5, Table 1; original γ and ±1σ in 10^-2 cm^-1/MPa converted to cm^-1/atm using 1 MPa = 9.86923 atm; CH4 spherical top so Ka/Kc N/A; temperature exponent n not reported.</t>
  </si>
  <si>
    <t>S-branch, J''=5, Table 1; original γ and ±1σ in 10^-2 cm^-1/MPa converted to cm^-1/atm; CH4 spherical top so Ka/Kc N/A; n not reported.</t>
  </si>
  <si>
    <t>S-branch, J''=5, Table 1; converted as above.</t>
  </si>
  <si>
    <t>R-branch, J''=6, Table 1; converted as above.</t>
  </si>
  <si>
    <t>S-branch, J''=6, Table 1; converted as above.</t>
  </si>
  <si>
    <t>R-branch, J''=7, Table 1; converted as above.</t>
  </si>
  <si>
    <t>S-branch, J''=7, Table 1; converted as above.</t>
  </si>
  <si>
    <t>R-branch, J''=8, Table 1; converted as above.</t>
  </si>
  <si>
    <t>S-branch, J''=8, Table 1; converted as above.</t>
  </si>
  <si>
    <t>R-branch, J''=9, Table 1; converted as above.</t>
  </si>
  <si>
    <t>S-branch, J''=9, Table 1; converted as above.</t>
  </si>
  <si>
    <t>R-branch, J''=10, Table 1; converted as above.</t>
  </si>
  <si>
    <t>S-branch, J''=10, Table 1; converted as above.</t>
  </si>
  <si>
    <t>R-branch, J''=11, Table 1; converted as above.</t>
  </si>
  <si>
    <t>S-branch, J''=11, Table 1; converted as above.</t>
  </si>
  <si>
    <t>R-branch, J''=12, Table 1; converted as above.</t>
  </si>
  <si>
    <t>R-branch, J''=13, Table 1; converted as above.</t>
  </si>
  <si>
    <t>γ(exp) at 296 K for H2O–He from Table 4; uncertainties and n not reported; line profile not specified; full line list only in supplementary material</t>
  </si>
  <si>
    <t>γ(exp) at 296 K for H2O–Ar from Table 4; uncertainties and n not reported; line profile not specified; full line list only in supplementary material</t>
  </si>
  <si>
    <t>Kr</t>
  </si>
  <si>
    <t>γ(exp) at 296 K for H2O–Kr from Table 4; uncertainties and n not reported; line profile not specified; full line list only in supplementary material</t>
  </si>
  <si>
    <t>γ(exp) at 296 K for H2O–He from Table 4; quantum numbers parsed from v1 v2 v3 JfKafKcf JiKaiKci notation; uncertainties and n not reported</t>
  </si>
  <si>
    <t>γ(exp) at 296 K for H2O–Ar from Table 4; quantum numbers parsed from compressed notation; uncertainties and n not reported</t>
  </si>
  <si>
    <t>γ(exp) at 296 K for H2O–Kr from Table 4; quantum numbers parsed from compressed notation; uncertainties and n not reported</t>
  </si>
  <si>
    <t>γ(exp) at 296 K for H2O–He from Table 4; uncertainties and n not reported; line profile not specified</t>
  </si>
  <si>
    <t>γ(exp) at 296 K for H2O–Ar from Table 4; uncertainties and n not reported</t>
  </si>
  <si>
    <t>γ(exp) at 296 K for H2O–Kr from Table 4; uncertainties and n not reported</t>
  </si>
  <si>
    <t>γ(exp) at 296 K for H2O–He from Table 4; uncertainties and n not reported</t>
  </si>
  <si>
    <t>γ(exp) at 296 K for H2O–He from Table 4 (different vibrational band); uncertainties and n not reported</t>
  </si>
  <si>
    <t>γ(exp) at 296 K for H2O–Ar from Table 4 (different vibrational band); uncertainties and n not reported</t>
  </si>
  <si>
    <t>γ(exp) at 296 K for H2O–Kr from Table 4 (different vibrational band); uncertainties and n not reported</t>
  </si>
  <si>
    <t>γ(exp) at 296 K for H2O–He from Table 4; quantum numbers parsed from compressed notation; uncertainties and n not reported</t>
  </si>
  <si>
    <t>γ(exp) at 296 K for H2O–He from Table 4 (different band assignment); uncertainties and n not reported</t>
  </si>
  <si>
    <t>γ(exp) at 296 K for H2O–Ar from Table 4 (different band assignment); uncertainties and n not reported</t>
  </si>
  <si>
    <t>γ(exp) at 296 K for H2O–Kr from Table 4 (different band assignment); uncertainties and n not reported</t>
  </si>
  <si>
    <t>γ(exp) at 296 K for H2O–He from Table 4; last complete row before truncation in extracted text; uncertainties and n not reported</t>
  </si>
  <si>
    <t>γ(exp) at 296 K for H2O–Ar from Table 4; last complete row before truncation; uncertainties and n not reported</t>
  </si>
  <si>
    <t>γ(exp) at 296 K for H2O–Kr from Table 4; last complete row before truncation; uncertainties and n not reported</t>
  </si>
  <si>
    <t>γ(exp) at 296 K for H2O–He in 2ν1+ν2+ν3 band from Table 6; uncertainties and n not reported; line profile not specified</t>
  </si>
  <si>
    <t>γ(exp) at 296 K for H2O–He in 2ν1+ν2+ν3 band from Table 6; uncertainties and n not reported</t>
  </si>
  <si>
    <t>γ(exp) at 296 K for H2O–Ar in 2ν2+ν3 band from Table 7; χ column describes model deviation not experimental uncertainty; n not reported</t>
  </si>
  <si>
    <t>γ(exp) at 296 K for H2O–Ar in 2ν2+ν3 band from Table 7; χ is model error; experimental uncertainties not given</t>
  </si>
  <si>
    <t>γ(exp) at 296 K for H2O–Ar in 2ν2+ν3 band from Table 7; uncertainties and n not reported</t>
  </si>
  <si>
    <t>γ(exp) at 296 K for H2O–Ar in ν1+ν3 band from Table 7; uncertainties and n not reported</t>
  </si>
  <si>
    <t>γ(exp) at 296 K for H2O–Ar in ν1+ν3 band from Table 7; alternative experimental value with superscript a ignored; uncertainties not given</t>
  </si>
  <si>
    <t>γ(exp) at 296 K for H2O–Ar in 2ν3 band from Table 7; comma in 0,0348 interpreted as decimal separator in calculated value; only γ(exp) used</t>
  </si>
  <si>
    <t>Ne</t>
  </si>
  <si>
    <t>γ(exp) for H2O–Ne in ν2 band from Table 8; original units 10^-3 cm^-1 atm^-1 converted to cm^-1 atm^-1; uncertainties and n not reported</t>
  </si>
  <si>
    <t>γ(exp) for H2O–Ne in ν2 band from Table 8; units converted from 10^-3 cm^-1 atm^-1; uncertainties and n not reported</t>
  </si>
  <si>
    <t>γ(exp) for H2O–Ne in ν2 band from Table 8; units converted from 10^-3 cm^-1 atm^-1</t>
  </si>
  <si>
    <t>Xe</t>
  </si>
  <si>
    <t>γ(exp) for H2O–Xe in ν2 band from Table 9; original units 10^-3 cm^-1 atm^-1 converted to cm^-1 atm^-1; uncertainties and n not reported</t>
  </si>
  <si>
    <t>γ(exp) for H2O–Xe in ν2 band from Table 9; units converted from 10^-3 cm^-1 atm^-1</t>
  </si>
  <si>
    <t>γ(exp) for H2O–Xe in ν1 band from Table 9; units converted from 10^-3 cm^-1 atm^-1; uncertainties and n not reported</t>
  </si>
  <si>
    <t>γ(exp) for H2O–Xe in ν1 band from Table 9; units converted from 10^-3 cm^-1 atm^-1</t>
  </si>
  <si>
    <t>γ(exp) for H2O–Xe in ν3 band from Table 9; units converted from 10^-3 cm^-1 atm^-1</t>
  </si>
  <si>
    <t>qSDV (quadratic speed-dependent Voigt)</t>
  </si>
  <si>
    <t>Fundamental 1-0 band of 12C16O; line label P26;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</si>
  <si>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P25;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</si>
  <si>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P24;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</si>
  <si>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P23;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</si>
  <si>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P22;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</si>
  <si>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P21;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</si>
  <si>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P20;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</si>
  <si>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P19;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</si>
  <si>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P18;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</si>
  <si>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P17;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</si>
  <si>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P16;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</si>
  <si>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P15;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</si>
  <si>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P14;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</si>
  <si>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P13;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</si>
  <si>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P12;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</si>
  <si>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P11;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</si>
  <si>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P10;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</si>
  <si>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P9;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</si>
  <si>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P8;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</si>
  <si>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P7;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</si>
  <si>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P6;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</si>
  <si>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P5;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</si>
  <si>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P4;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</si>
  <si>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P3;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</si>
  <si>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P2;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</si>
  <si>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P1;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</si>
  <si>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R0;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</si>
  <si>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</si>
  <si>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R2;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</si>
  <si>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R3;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</si>
  <si>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R4;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</si>
  <si>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R5;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</si>
  <si>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R6;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</si>
  <si>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R7;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</si>
  <si>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R8;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</si>
  <si>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R9;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</si>
  <si>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R10;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</si>
  <si>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R11;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</si>
  <si>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R12;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</si>
  <si>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R13;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</si>
  <si>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R14;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</si>
  <si>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R15;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</si>
  <si>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R16;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</si>
  <si>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R17;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</si>
  <si>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R18;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</si>
  <si>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R19;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</si>
  <si>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R20;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</si>
  <si>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R21; K quantum numbers not applicable for linear molecule; temperature exponent n not reported; CO2-broadening coefficient γ_CO2 and its uncertainty from Table 2 (qSDV profile line parameters); four spectra recorded at 25.0-25.3 °C (Table 1); mean temperature 298.3 K used.</t>
  </si>
  <si>
    <t>Fundamental 1-0 band of 12C16O; line label R22; K quantum numbers not applicable for linear molecule; temperature exponent n not reported; CO2-broadening coefficient γ_CO2 and its uncertainty from Table 2 (qSDV profile line parameters); four spectra recorded at 25.0-25.3 °C (Table 1); mean temperature 298.3 K used.</t>
  </si>
  <si>
    <t>Linear molecule so Ka/Kc not defined; Voigt γ and Δγ from Supplementary Material I (P31 line), n not reported</t>
  </si>
  <si>
    <t>Linear molecule; Supplementary Material I P30*, Voigt column</t>
  </si>
  <si>
    <t>Voigt γ, Δγ from Supplementary Material I P29</t>
  </si>
  <si>
    <t>Voigt γ, Δγ from Supplementary Material I P28</t>
  </si>
  <si>
    <t>Voigt γ, Δγ from Supplementary Material I P27</t>
  </si>
  <si>
    <t>Voigt γ, Δγ from Supplementary Material I P26*</t>
  </si>
  <si>
    <t>Voigt γ, Δγ from Supplementary Material I P25*</t>
  </si>
  <si>
    <t>Voigt γ, Δγ from Supplementary Material I P24</t>
  </si>
  <si>
    <t>Voigt γ, Δγ from Supplementary Material I P23</t>
  </si>
  <si>
    <t>Voigt γ, Δγ from Supplementary Material I P22</t>
  </si>
  <si>
    <t>Voigt γ, Δγ from Supplementary Material I P21; Ka/Kc not applicable for linear molecule; n not reported</t>
  </si>
  <si>
    <t>Voigt γ, Δγ from Supplementary Material I P20</t>
  </si>
  <si>
    <t>Voigt γ, Δγ from Supplementary Material I P19</t>
  </si>
  <si>
    <t>Voigt γ, Δγ from Supplementary Material I P18</t>
  </si>
  <si>
    <t>Voigt γ, Δγ from Supplementary Material I P17</t>
  </si>
  <si>
    <t>Voigt γ, Δγ from Supplementary Material I P15</t>
  </si>
  <si>
    <t>Voigt γ, Δγ from Supplementary Material I P14</t>
  </si>
  <si>
    <t>Voigt γ, Δγ from Supplementary Material I P13</t>
  </si>
  <si>
    <t>Voigt γ, Δγ from Supplementary Material I P12</t>
  </si>
  <si>
    <t>Voigt γ, Δγ from Supplementary Material I P11</t>
  </si>
  <si>
    <t>Voigt γ and Δγ from Supplementary Material I P10 line; Ka/Kc not applicable for linear C2H2; n not reported; measurement at 298 K</t>
  </si>
  <si>
    <t>Voigt γ and Δγ from Supplementary Material I P8 line; Ka/Kc not applicable for linear C2H2; n not reported; measurement at 298 K</t>
  </si>
  <si>
    <t>Voigt γ and Δγ from Supplementary Material I P7 line; Ka/Kc not applicable for linear C2H2; n not reported; measurement at 298 K</t>
  </si>
  <si>
    <t>Voigt γ and Δγ from Supplementary Material I P6 line; Ka/Kc not applicable for linear C2H2; n not reported; measurement at 298 K</t>
  </si>
  <si>
    <t>Voigt γ and Δγ from Supplementary Material I P3 line; Ka/Kc not applicable for linear C2H2; n not reported; measurement at 298 K</t>
  </si>
  <si>
    <t>Voigt γ and Δγ from Supplementary Material I P2 line; Ka/Kc not applicable for linear C2H2; n not reported; measurement at 298 K</t>
  </si>
  <si>
    <t>Voigt γ and Δγ from Supplementary Material I R1 line; Ka/Kc not applicable for linear C2H2; n not reported; measurement at 298 K</t>
  </si>
  <si>
    <t>Voigt γ and Δγ from Supplementary Material I R2 line; Ka/Kc not applicable for linear C2H2; n not reported; measurement at 298 K</t>
  </si>
  <si>
    <t>Voigt γ and Δγ from Supplementary Material I R3 line; Ka/Kc not applicable for linear C2H2; n not reported; measurement at 298 K</t>
  </si>
  <si>
    <t>Voigt γ and Δγ from Supplementary Material I R4 line; Ka/Kc not applicable for linear C2H2; n not reported; measurement at 298 K</t>
  </si>
  <si>
    <t>Voigt γ and Δγ from Supplementary Material I R6 line; Ka/Kc not applicable for linear C2H2; n not reported; measurement at 298 K</t>
  </si>
  <si>
    <t>Voigt γ and Δγ from Supplementary Material I R8 line; Ka/Kc not applicable for linear C2H2; n not reported; measurement at 298 K</t>
  </si>
  <si>
    <t>Voigt γ and Δγ from Supplementary Material I R9 line; Ka/Kc not applicable for linear C2H2; n not reported; measurement at 298 K</t>
  </si>
  <si>
    <t>Voigt γ and Δγ from Supplementary Material I R10 line; Ka/Kc not applicable for linear C2H2; n not reported; measurement at 298 K</t>
  </si>
  <si>
    <t>Voigt γ and Δγ from Supplementary Material I R11 line; Ka/Kc not applicable for linear C2H2; n not reported; measurement at 298 K</t>
  </si>
  <si>
    <t>Voigt γ and Δγ from Supplementary Material I R13 line; Ka/Kc not applicable for linear C2H2; n not reported; measurement at 298 K</t>
  </si>
  <si>
    <t>Voigt γ and Δγ from Supplementary Material I R14 line; Ka/Kc not applicable for linear C2H2; n not reported; measurement at 298 K</t>
  </si>
  <si>
    <t>Voigt γ and Δγ from Supplementary Material I R15 line; Ka/Kc not applicable for linear C2H2; n not reported; measurement at 298 K</t>
  </si>
  <si>
    <t>Voigt γ and Δγ from Supplementary Material I R16 line; Ka/Kc not applicable for linear C2H2; n not reported; measurement at 298 K</t>
  </si>
  <si>
    <t>Voigt γ and Δγ from Supplementary Material I R17 line; Ka/Kc not applicable for linear C2H2; n not reported; measurement at 298 K</t>
  </si>
  <si>
    <t>Voigt γ and Δγ from Supplementary Material I R18 line; Ka/Kc not applicable for linear C2H2; n not reported; measurement at 298 K</t>
  </si>
  <si>
    <t>Voigt γ and Δγ from Supplementary Material I R19 line; Ka/Kc not applicable for linear C2H2; n not reported; measurement at 298 K</t>
  </si>
  <si>
    <t>Voigt γ and Δγ from Supplementary Material I R20 line; Ka/Kc not applicable for linear C2H2; n not reported; measurement at 298 K</t>
  </si>
  <si>
    <t>Voigt γ and Δγ from Supplementary Material I R21 line; Ka/Kc not applicable for linear C2H2; n not reported; measurement at 298 K</t>
  </si>
  <si>
    <t>Voigt γ and Δγ from Supplementary Material I R22 line; Ka/Kc not applicable for linear C2H2; n not reported; measurement at 298 K</t>
  </si>
  <si>
    <t>Voigt γ and Δγ from Supplementary Material I R23 line; Ka/Kc not applicable for linear C2H2; n not reported; measurement at 298 K</t>
  </si>
  <si>
    <t>Voigt γ and Δγ from Supplementary Material I R24 line; Ka/Kc not applicable for linear C2H2; n not reported; measurement at 298 K</t>
  </si>
  <si>
    <t>Voigt γ and Δγ from Supplementary Material I R25 line; Ka/Kc not applicable for linear C2H2; n not reported; measurement at 298 K</t>
  </si>
  <si>
    <t>Voigt γ and Δγ from Supplementary Material I R27 line; Ka/Kc not applicable for linear C2H2; n not reported; measurement at 298 K</t>
  </si>
  <si>
    <t>O2-broadening half-width g_exp from Table 2; Dg=6×10⁻⁴ cm⁻¹ atm⁻¹ used as absolute uncertainty; percentage error and temperature exponent n not reported; room-temperature measurement (~294–295.5 K) using Voigt fits as described in Section 2; data from Table 2.</t>
  </si>
  <si>
    <t>O2-broadening half-width g_exp from Table 2; Dg=8×10⁻⁴; percentage error and n not reported; room-temperature (~294–295.5 K) Voigt-profile fit; data from Table 2.</t>
  </si>
  <si>
    <t>O2-broadening g_exp from Table 2; Dg=3×10⁻⁴; percentage error and n not reported; Voigt fit at ~295 K; data from Table 2.</t>
  </si>
  <si>
    <t>O2-broadening g_exp from Table 2; Dg=3×10⁻⁴; no percentage error or n given; Voigt profile at ~295 K; Table 2.</t>
  </si>
  <si>
    <t>O2-broadening g_exp from Table 2; Dg=3×10⁻⁴; percentage error and n not reported; Voigt fit at ~295 K; Table 2.</t>
  </si>
  <si>
    <t>O2-broadening g_exp=0.0355 cm⁻¹ atm⁻¹ (OCR ‘0,0355’); Dg=6×10⁻⁴; percentage error and n not reported; Voigt profile at ~295 K; Table 2.</t>
  </si>
  <si>
    <t>O2-broadening g_exp from Table 2; Dg=2×10⁻⁴; percentage error and n not reported; Voigt profile at room temperature; Table 2.</t>
  </si>
  <si>
    <t>O2-broadening g_exp from Table 2; Dg=3×10⁻⁴; no percentage error or n; Voigt profile at ~295 K; Table 2.</t>
  </si>
  <si>
    <t>O2-broadening g_exp from Table 2; Dg=7×10⁻⁴; percentage error and n not reported; Voigt fit at room temperature; Table 2.</t>
  </si>
  <si>
    <t>O2-broadening g_exp from Table 2; Dg=4×10⁻⁴; percentage error and n not reported; Voigt profile at ~295 K; Table 2.</t>
  </si>
  <si>
    <t>O2-broadening g_exp=0.0521 cm⁻¹ atm⁻¹ (OCR ‘0,0521’); Dg=3×10⁻⁴; percentage error and n not reported; Voigt fit at ~295 K; Table 2.</t>
  </si>
  <si>
    <t>O2-broadening g_exp from Table 2; Dg=3×10⁻⁴; percentage error and n not reported; Voigt profile; Table 2.</t>
  </si>
  <si>
    <t>O2-broadening g_exp from Table 2; Dg=8×10⁻⁴; percentage error and n not reported; Voigt fit at room temperature; Table 2.</t>
  </si>
  <si>
    <t>O2-broadening g_exp=0.0500 cm⁻¹ atm⁻¹ (OCR ‘0,0500’); Dg=3×10⁻⁴; percentage error and n not reported; Voigt profile at ~295 K; Table 2.</t>
  </si>
  <si>
    <t>O2-broadening g_exp from Table 2; Dg=2×10⁻⁴; percentage error and n not reported; Voigt fit at room temperature; Table 2.</t>
  </si>
  <si>
    <t>O2-broadening g_exp from Table 2; Dg=3×10⁻⁴; percentage error and n not reported; Voigt profile at ~295 K; Table 2.</t>
  </si>
  <si>
    <t>O2-broadening g_exp from Table 2; Dg=2×10⁻⁴; percentage error and n not reported; Voigt profile; Table 2.</t>
  </si>
  <si>
    <t>O2-broadening g_exp from Table 2; Dg=3×10⁻⁴; no percentage error or n; Voigt fit at ~295 K; Table 2.</t>
  </si>
  <si>
    <t>O2-broadening g_exp from Table 2; Dg=4×10⁻⁴; percentage error and n not reported; Voigt profile at room temperature; Table 2.</t>
  </si>
  <si>
    <t>O2-broadening g_exp=0.0577 cm⁻¹ atm⁻¹; Dg=4×10⁻⁴; percentage error and n not reported; Voigt fits at ~294–295.5 K; Table 2 (2ν₁+ν₂ band).</t>
  </si>
  <si>
    <t>O2-broadening g_exp from Table 2; Dg=4×10⁻⁴; percentage error and n not reported; Voigt profile; Table 2.</t>
  </si>
  <si>
    <t>O2-broadening g_exp from Table 2; Dg=3×10⁻⁴; percentage error and n not reported; Voigt fit at room temperature; Table 2.</t>
  </si>
  <si>
    <t>O2-broadening g_exp=0.0577 cm⁻¹ atm⁻¹; Dg=7×10⁻⁴; percentage error and n not reported; Voigt profile at ~295 K; Table 2.</t>
  </si>
  <si>
    <t>O2-broadening g_exp from Table 2; Dg=4×10⁻⁴; percentage error and n not reported; Voigt fit; Table 2.</t>
  </si>
  <si>
    <t>O2-broadening g_exp from Table 2; Dg=3×10⁻⁴; percentage error and n not reported; Voigt profile at room temperature; Table 2.</t>
  </si>
  <si>
    <t>O2-broadening g_exp from Table 2; Dg=4×10⁻⁴; percentage error and n not reported; Voigt fit at ~295 K; Table 2.</t>
  </si>
  <si>
    <t>O2-broadening g_exp from Table 2; Dg=5×10⁻⁴; percentage error and n not reported; Voigt profile; Table 2.</t>
  </si>
  <si>
    <t>O2-broadening g_exp=0.0633 cm⁻¹ atm⁻¹; Dg=6×10⁻⁴; percentage error and n not reported; Voigt fit at ~295 K; Table 2.</t>
  </si>
  <si>
    <t>O2-broadening g_exp=0.0645 cm⁻¹ atm⁻¹; Dg=5×10⁻⁴; percentage error and n not reported; Voigt profile at room temperature; Table 2.</t>
  </si>
  <si>
    <t>O2-broadening g_exp from Table 2; Dg=7×10⁻⁴; percentage error and n not reported; Voigt fit at ~295 K; Table 2.</t>
  </si>
  <si>
    <t>O2-broadening g_exp from Table 2; Dg=8×10⁻⁴; percentage error and n not reported; Voigt profile; Table 2.</t>
  </si>
  <si>
    <t>O2-broadening g_exp from Table 2; Dg=6×10⁻⁴; percentage error and n not reported; Voigt profile at room temperature; Table 2.</t>
  </si>
  <si>
    <t>O2-broadening g_exp from Table 2; Dg=5×10⁻⁴; percentage error and n not reported; Voigt fit at ~295 K; Table 2.</t>
  </si>
  <si>
    <t>O2-broadening g_exp=0.0514 cm⁻¹ atm⁻¹ (OCR ‘0,0514’); Dg=3×10⁻⁴; percentage error and n not reported; Voigt profile; Table 2.</t>
  </si>
  <si>
    <t>O2-broadening g_exp=0.0352 cm⁻¹ atm⁻¹ (OCR ‘0,0352’); Dg=5×10⁻⁴; percentage error and n not reported; Voigt profile; Table 2.</t>
  </si>
  <si>
    <t>O2-broadening g_exp from Table 2 for 2ν₁+ν₂ band; Dg=3×10⁻⁴; percentage error and n not reported; Voigt profile at room temperature; Table 2.</t>
  </si>
  <si>
    <t>O2-broadening g_exp from Table 2; Dg=5×10⁻⁴; doubled absorption line noted with superscript ‘a’ in Table 2, quantum assignment given for the strongest component; percentage error and n not reported; Voigt profile at ~295 K; Table 2.</t>
  </si>
  <si>
    <t>Broadening coefficient is the pressure-broadened Lorentzian half width per atm for an H2O–He line obtained using the Rosenkranz first-order line-mixing profile; transition assigned in the paper as (3 1 2)-(4 1 3) with the left triplet taken as J'Ka'Kc' and the right as J"Ka"Kc" according to the Table 1 header; absolute uncertainty 0.00044 cm^-1 atm^-1 inferred from 0.01928(44) notation, percentage error in gamma computed as (0.00044 / 0.01928)*100; temperature is described only as room temperature, with no numeric value given, so reported here as 'uncertain'; temperature exponent n not reported; data taken from Table 1 (experimental line parameters obtained with line mixing).</t>
  </si>
  <si>
    <t>Broadening coefficient is the pressure-broadened Lorentzian half width per atm for an H2O–He line obtained using the Rosenkranz first-order line-mixing profile; transition assigned in the paper as (3 2 1)-(4 2 2) with the left triplet taken as J'Ka'Kc' and the right as J"Ka"Kc" according to the Table 1 header; absolute uncertainty 0.00030 cm^-1 atm^-1 inferred from 0.01849(30), percentage error in gamma computed as (0.00030 / 0.01849)*100; temperature is described only as room temperature, with no numeric value given, so reported here as 'uncertain'; temperature exponent n not reported; data taken from Table 1 (experimental line parameters obtained with line mixing).</t>
  </si>
  <si>
    <t>Broadening coefficient is the pressure-broadened Lorentzian half width per atm for an H2O–He line obtained using the Rosenkranz first-order line-mixing profile; transition assigned in the paper as (4 3 1)-(3 3 0) with the left triplet taken as J'Ka'Kc' and the right as J"Ka"Kc" according to the Table 1 header; absolute uncertainty 0.00050 cm^-1 atm^-1 inferred from 0.01720(50), percentage error in gamma computed as (0.00050 / 0.01720)*100; temperature is described only as room temperature, with no numeric value given, so reported here as 'uncertain'; temperature exponent n not reported; data taken from Table 1 (experimental line parameters obtained with line mixing).</t>
  </si>
  <si>
    <t>Broadening coefficient is the pressure-broadened Lorentzian half width per atm for an H2O–He line obtained using the Rosenkranz first-order line-mixing profile; transition assigned in the paper as (4 2 2)-(3 2 1) with the left triplet taken as J'Ka'Kc' and the right as J"Ka"Kc" according to the Table 1 header; absolute uncertainty 0.00044 cm^-1 atm^-1 inferred from 0.01848(44), percentage error in gamma computed as (0.00044 / 0.01848)*100; temperature is described only as room temperature, with no numeric value given, so reported here as 'uncertain'; temperature exponent n not reported; data taken from Table 1 (experimental line parameters obtained with line mixing).</t>
  </si>
  <si>
    <t>qSDV</t>
  </si>
  <si>
    <t>CO2-broadened H2O; gamma = c_CO2 from qSDV profile, original reported value 0.089(1) cm^-1 atm^-1; n not reported; spectra recorded near room temperature (≈21–24 °C) but no single T per line; Table 2.</t>
  </si>
  <si>
    <t>CO2-broadened H2O; gamma from qSDV, original 0.100(1) cm^-1 atm^-1; n not reported; room-temperature measurement; Table 2.</t>
  </si>
  <si>
    <t>CO2-broadened H2O; gamma from qSDV, original 0.104(1) cm^-1 atm^-1; n not reported; room-temperature measurement; Table 2.</t>
  </si>
  <si>
    <t>CO2-broadened H2O; gamma from qSDV, original 0.147(2) cm^-1 atm^-1; n not reported; room-temperature measurement; Table 2.</t>
  </si>
  <si>
    <t>CO2-broadened H2O; gamma from qSDV, original 0.116(1) cm^-1 atm^-1; n not reported; room-temperature measurement; Table 2.</t>
  </si>
  <si>
    <t>CO2-broadened H2O; gamma from qSDV, original 0.115(1) cm^-1 atm^-1; n not reported; room-temperature measurement; Table 2.</t>
  </si>
  <si>
    <t>CO2-broadened H2O; gamma from qSDV, original 0.132(2) cm^-1 atm^-1; n not reported; room-temperature measurement; Table 2.</t>
  </si>
  <si>
    <t>CO2-broadened H2O; gamma from qSDV, original 0.152(2) cm^-1 atm^-1; n not reported; room-temperature measurement; Table 2.</t>
  </si>
  <si>
    <t>CO2-broadened H2O; gamma from qSDV, original 0.126(1) cm^-1 atm^-1; n not reported; room-temperature measurement; Table 2.</t>
  </si>
  <si>
    <t>CO2-broadened H2O; gamma from qSDV, original 0.189(2) cm^-1 atm^-1; n not reported; room-temperature measurement; Table 2.</t>
  </si>
  <si>
    <t>CO2-broadened H2O; gamma from qSDV, original 0.184(2) cm^-1 atm^-1; n not reported; room-temperature measurement; Table 2.</t>
  </si>
  <si>
    <t>CO2-broadened H2O; gamma from qSDV, original 0.118(1) cm^-1 atm^-1; n not reported; room-temperature measurement; Table 2.</t>
  </si>
  <si>
    <t>CO2-broadened H2O; gamma from qSDV, original 0.155(2) cm^-1 atm^-1; n not reported; room-temperature measurement; Table 2.</t>
  </si>
  <si>
    <t>CO2-broadened H2O; gamma from qSDV, original 0.164(2) cm^-1 atm^-1; n not reported; room-temperature measurement; Table 2.</t>
  </si>
  <si>
    <t>CO2-broadened H2O; gamma from qSDV, original 0.180(2) cm^-1 atm^-1; n not reported; room-temperature measurement; Table 2.</t>
  </si>
  <si>
    <t>CO2-broadened H2O; gamma from qSDV, original 0.213(2) cm^-1 atm^-1; n not reported; room-temperature measurement; Table 2.</t>
  </si>
  <si>
    <t>CO2-broadened H2O; gamma from qSDV, original 0.207(2) cm^-1 atm^-1; n not reported; room-temperature measurement; Table 2.</t>
  </si>
  <si>
    <t>CO2-broadened H2O; gamma from qSDV, original 0.141(1) cm^-1 atm^-1; n not reported; room-temperature measurement; Table 2.</t>
  </si>
  <si>
    <t>CO2-broadened H2O; gamma from qSDV, original 0.192(2) cm^-1 atm^-1; n not reported; room-temperature measurement; Table 2.</t>
  </si>
  <si>
    <t>CO2-broadened H2O; gamma from qSDV, original 0.108(1) cm^-1 atm^-1; n not reported; room-temperature measurement; Table 2.</t>
  </si>
  <si>
    <t>CO2-broadened H2O; gamma from qSDV, original 0.114(1) cm^-1 atm^-1; n not reported; room-temperature measurement; Table 2.</t>
  </si>
  <si>
    <t>CO2-broadened H2O; gamma from qSDV, original 0.179(2) cm^-1 atm^-1; n not reported; room-temperature measurement; Table 2.</t>
  </si>
  <si>
    <t>CO2-broadened H2O; gamma from qSDV, original 0.211(2) cm^-1 atm^-1; n not reported; room-temperature measurement; Table 2.</t>
  </si>
  <si>
    <t>CO2-broadened H2O; gamma from qSDV, original 0.196(2) cm^-1 atm^-1; n not reported; room-temperature measurement; Table 2.</t>
  </si>
  <si>
    <t>CO2-broadened H2O; gamma from qSDV, original 0.105(1) cm^-1 atm^-1; n not reported; room-temperature measurement; Table 2.</t>
  </si>
  <si>
    <t>CO2-broadened H2O; gamma from qSDV, original 0.131(1) cm^-1 atm^-1; n not reported; room-temperature measurement; Table 2.</t>
  </si>
  <si>
    <t>CO2-broadened H2O; gamma from qSDV, original 0.157(2) cm^-1 atm^-1; n not reported; room-temperature measurement; Table 2.</t>
  </si>
  <si>
    <t>CO2-broadened H2O; gamma from qSDV, original 0.132(1) cm^-1 atm^-1; n not reported; room-temperature measurement; Table 2.</t>
  </si>
  <si>
    <t>CO2-broadened H2O; gamma from qSDV, original 0.101(1) cm^-1 atm^-1; n not reported; room-temperature measurement; Table 2.</t>
  </si>
  <si>
    <t>CO2-broadened H2O; gamma from qSDV, original 0.162(2) cm^-1 atm^-1; n not reported; room-temperature measurement; Table 2.</t>
  </si>
  <si>
    <t>CO2-broadened H2O; gamma from qSDV, original 0.091(1) cm^-1 atm^-1; n not reported; room-temperature measurement; Table 2.</t>
  </si>
  <si>
    <t>CO2-broadened H2O; gamma from qSDV, original 0.112(1) cm^-1 atm^-1; n not reported; room-temperature measurement; Table 2.</t>
  </si>
  <si>
    <t>CO2-broadened H2O; gamma from qSDV, original 0.085(1) cm^-1 atm^-1; n not reported; room-temperature measurement; Table 2.</t>
  </si>
  <si>
    <t>CO2-broadened H2O; gamma from qSDV, original 0.117(1) cm^-1 atm^-1; n not reported; room-temperature measurement; Table 2.</t>
  </si>
  <si>
    <t>CO2-broadened H2O; gamma from qSDV, original 0.106(1) cm^-1 atm^-1; n not reported; room-temperature measurement; Table 2.</t>
  </si>
  <si>
    <t>CO2-broadened H2O; gamma from qSDV, original 0.102(1) cm^-1 atm^-1; n not reported; room-temperature measurement; Table 2.</t>
  </si>
  <si>
    <t>CO2-broadened H2O; gamma from qSDV, original 0.128(2) cm^-1 atm^-1; n not reported; room-temperature measurement; Table 2.</t>
  </si>
  <si>
    <t>CO2-broadened H2O; 3m1 band; gamma from qSDV, original 0.160(2) cm^-1 atm^-1; n not reported; room-temperature measurement; Table 3.</t>
  </si>
  <si>
    <t>CO2-broadened H2O; 3m1 band; gamma from qSDV, original 0.125(2) cm^-1 atm^-1; n not reported; room-temperature measurement; Table 3.</t>
  </si>
  <si>
    <t>CO2-broadened H2O; 3m1 band; gamma from qSDV, original 0.134(2) cm^-1 atm^-1; n not reported; room-temperature measurement; Table 3.</t>
  </si>
  <si>
    <t>CO2-broadened H2O; 3m1 band; gamma from qSDV, original 0.110(1) cm^-1 atm^-1; n not reported; room-temperature measurement; Table 3.</t>
  </si>
  <si>
    <t>CO2-broadened H2O; 3m1 band; gamma from qSDV, original 0.182(2) cm^-1 atm^-1; n not reported; room-temperature measurement; Table 3.</t>
  </si>
  <si>
    <t>CO2-broadened H2O; 3m1 band; gamma from qSDV, original 0.117(2) cm^-1 atm^-1; n not reported; room-temperature measurement; Table 3.</t>
  </si>
  <si>
    <t>CO2-broadened H2O; 3m1 band; gamma from qSDV, original 0.155(2) cm^-1 atm^-1; n not reported; room-temperature measurement; Table 3.</t>
  </si>
  <si>
    <t>CO2-broadened H2O; 3m1 band; gamma from qSDV, original 0.226(3) cm^-1 atm^-1; n not reported; room-temperature measurement; Table 3.</t>
  </si>
  <si>
    <t>CO2-broadened H2O; 3m1 band; gamma from qSDV, original 0.186(2) cm^-1 atm^-1; n not reported; room-temperature measurement; Table 3.</t>
  </si>
  <si>
    <t>CO2-broadened H2O; 3m1 band; gamma from qSDV, original 0.152(2) cm^-1 atm^-1; n not reported; room-temperature measurement; Table 3.</t>
  </si>
  <si>
    <t>CO2-broadened H2O; 3m1 band; gamma from qSDV, original 0.217(2) cm^-1 atm^-1; n not reported; room-temperature measurement; Table 3.</t>
  </si>
  <si>
    <t>CO2-broadened H2O; 3m1 band; gamma from qSDV, original 0.168(2) cm^-1 atm^-1; n not reported; room-temperature measurement; Table 3.</t>
  </si>
  <si>
    <t>CO2-broadened H2O; 3m1 band; gamma from qSDV, original 0.156(2) cm^-1 atm^-1; n not reported; room-temperature measurement; Table 3.</t>
  </si>
  <si>
    <t>CO2-broadened H2O; 3m1 band; gamma from qSDV, original 0.121(2) cm^-1 atm^-1; n not reported; room-temperature measurement; Table 3.</t>
  </si>
  <si>
    <t>CO2-broadened H2O; 3m1 band; gamma from qSDV, original 0.118(1) cm^-1 atm^-1; n not reported; room-temperature measurement; Table 3.</t>
  </si>
  <si>
    <t>CO2-broadened H2O; 3m1 band; gamma from qSDV, original 0.178(2) cm^-1 atm^-1; n not reported; room-temperature measurement; Table 3.</t>
  </si>
  <si>
    <t>CO2-broadened H2O; 3m1 band; gamma from qSDV, original 0.136(2) cm^-1 atm^-1; n not reported; room-temperature measurement; Table 3.</t>
  </si>
  <si>
    <t>Experimental half-width g for ν2 band of H2O perturbed by Ar from Table 3 (transition 9 2 7 → 10 3 8); original units 10^-3 cm^-1 atm^-1 converted to cm^-1 atm^-1 by multiplying by 1e-3; uncertainty, temperature, and line profile not reported in this paper; experimental values cited in Table 3 as from Ref. 22.</t>
  </si>
  <si>
    <t>Experimental half-width g for ν2 band of H2O perturbed by Ar from Table 3 (transition 9 3 6 → 10 4 8); original units 10^-3 cm^-1 atm^-1 converted to cm^-1 atm^-1 by multiplying by 1e-3; uncertainty, temperature, and line profile not reported in this paper; experimental values cited in Table 3 as from Ref. 22.</t>
  </si>
  <si>
    <t>Experimental half-width g for ν2 band of H2O perturbed by Ar from Table 3 (transition 9 5 5 → 10 6 4); original units 10^-3 cm^-1 atm^-1 converted to cm^-1 atm^-1 by multiplying by 1e-3; uncertainty, temperature, and line profile not reported in this paper; experimental values cited in Table 3 as from Ref. 22.</t>
  </si>
  <si>
    <t>Experimental half-width g for ν2 band of H2O perturbed by Ar from Table 3 (transition 11 2 10 → 12 1 11); original units 10^-3 cm^-1 atm^-1 converted to cm^-1 atm^-1 by multiplying by 1e-3; uncertainty, temperature, and line profile not reported in this paper; experimental values cited in Table 3 as from Ref. 22.</t>
  </si>
  <si>
    <t>Experimental half-width g for ν2 band of H2O perturbed by Ar from Table 3 (transition 13 1 12 → 14 2 13); original units 10^-3 cm^-1 atm^-1 converted to cm^-1 atm^-1 by multiplying by 1e-3; uncertainty, temperature, and line profile not reported in this paper; experimental values cited in Table 3 as from Ref. 22.</t>
  </si>
  <si>
    <t>Experimental half-width g for ν2 band of H2O perturbed by Ar from Table 3 (transition 13 2 12 → 14 1 13); original units 10^-3 cm^-1 atm^-1 converted to cm^-1 atm^-1 by multiplying by 1e-3; uncertainty, temperature, and line profile not reported in this paper; experimental values cited in Table 3 as from Ref. 22.</t>
  </si>
  <si>
    <t>Experimental half-width g for ν2 band of H2O perturbed by Ar from Table 3 (transition 14 1 14 → 15 0 15); original units 10^-3 cm^-1 atm^-1 converted to cm^-1 atm^-1 by multiplying by 1e-3; uncertainty, temperature, and line profile not reported in this paper; experimental values cited in Table 3 as from Ref. 22.</t>
  </si>
  <si>
    <t>Table 1; ν2 band ((000)-&gt;(010)) of H2O broadened by Ar at T=296 K; γ(exptl) reported in 10^-3 cm^-1 atm^-1 and converted to cm^-1 atm^-1; experimental uncertainty and line profile not reported; γ value taken from reference [16].</t>
  </si>
  <si>
    <t>Table 1; ν2 band ((000)-&gt;(010)) of H2O broadened by Ar at T=296 K; γ(exptl) marked with superscript “a” in Table 1, taken from reference [18]; reported in 10^-3 cm^-1 atm^-1 and converted to cm^-1 atm^-1; experimental uncertainty and line profile not reported.</t>
  </si>
  <si>
    <t>Table 1; γ(exptl)=22.7×10^-3; ν2 band; uncertainties and profile not reported</t>
  </si>
  <si>
    <t>Table 1; γ(exptl)=21.4×10^-3</t>
  </si>
  <si>
    <t>Table 1; γ(exptl)=17.5×10^-3</t>
  </si>
  <si>
    <t>Table 1</t>
  </si>
  <si>
    <t>Table 1; superscript a source [18]</t>
  </si>
  <si>
    <t>Table 1; superscript a</t>
  </si>
  <si>
    <t>γ(exptl)=27.4×10^-3; Table 1</t>
  </si>
  <si>
    <t>H2S</t>
  </si>
  <si>
    <t>Self-broadening (H2S–H2S). Experimental γ(exp) at 296 K from Table 1. Uncertainty taken from value in parentheses in original table. Line profile and temperature exponent n not reported for individual lines; only global analytical model parameters given in text.</t>
  </si>
  <si>
    <t>HTP</t>
  </si>
  <si>
    <t>Gamma is experimental halfwidth γ(exp) from Solodov and Starikov 2009 Table 1 at ν=5032.3873 cm^-1; temperature exponent 'n' not reported; spectra recorded at room temperature (exact K not specified); Voigt profile used in fitting; corresponding He-induced line shift listed in Table 2.</t>
  </si>
  <si>
    <t>Gamma is experimental halfwidth γ(exp) from Solodov and Starikov 2009 Table 1 at ν=5070.3644 cm^-1; temperature exponent 'n' not reported; spectra recorded at room temperature (exact K not specified); Voigt profile used in fitting; corresponding He-induced line shift listed in Table 2.</t>
  </si>
  <si>
    <t>Gamma is experimental halfwidth γ(exp) from Solodov and Starikov 2009 Table 1 at ν=5090.6257 cm^-1; temperature exponent 'n' not reported; spectra recorded at room temperature (exact K not specified); Voigt profile used in fitting; corresponding He-induced line shift listed in Table 2.</t>
  </si>
  <si>
    <t>Gamma is experimental halfwidth γ(exp) from Solodov and Starikov 2009 Table 1 at ν=5099.4702 cm^-1; temperature exponent 'n' not reported; spectra recorded at room temperature (exact K not specified); Voigt profile used in fitting; corresponding He-induced line shift listed in Table 2.</t>
  </si>
  <si>
    <t>Gamma is experimental halfwidth γ(exp) from Solodov and Starikov 2009 Table 1 at ν=5104.1579 cm^-1; temperature exponent 'n' not reported; spectra recorded at room temperature (exact K not specified); Voigt profile used in fitting; corresponding He-induced line shift listed in Table 2.</t>
  </si>
  <si>
    <t>Gamma is experimental halfwidth γ(exp) from Solodov and Starikov 2009 Table 1 at ν=5111.3223 cm^-1; temperature exponent 'n' not reported; spectra recorded at room temperature (exact K not specified); Voigt profile used in fitting; corresponding He-induced line shift listed in Table 2.</t>
  </si>
  <si>
    <t>Gamma is experimental halfwidth γ(exp) from Solodov and Starikov 2009 Table 1 at ν=5119.4134 cm^-1; temperature exponent 'n' not reported; spectra recorded at room temperature (exact K not specified); Voigt profile used in fitting; corresponding He-induced line shift listed in Table 2; marked as overlapping line ('b') in original tables; parameters may be less reliable.</t>
  </si>
  <si>
    <t>Gamma is experimental halfwidth γ(exp) from Solodov and Starikov 2009 Table 1 at ν=5119.4519 cm^-1; temperature exponent 'n' not reported; spectra recorded at room temperature (exact K not specified); Voigt profile used in fitting; corresponding He-induced line shift listed in Table 2; marked as overlapping line ('b') in original tables; parameters may be less reliable.</t>
  </si>
  <si>
    <t>Gamma is experimental halfwidth γ(exp) from Solodov and Starikov 2009 Table 1 at ν=5119.6539 cm^-1; temperature exponent 'n' not reported; spectra recorded at room temperature (exact K not specified); Voigt profile used in fitting; corresponding He-induced line shift listed in Table 2.</t>
  </si>
  <si>
    <t>Gamma is experimental halfwidth γ(exp) from Solodov and Starikov 2009 Table 1 at ν=5122.4661 cm^-1; temperature exponent 'n' not reported; spectra recorded at room temperature (exact K not specified); Voigt profile used in fitting; corresponding He-induced line shift listed in Table 2.</t>
  </si>
  <si>
    <t>Gamma is experimental halfwidth γ(exp) from Solodov and Starikov 2009 Table 1 at ν=5132.9565 cm^-1; temperature exponent 'n' not reported; spectra recorded at room temperature (exact K not specified); Voigt profile used in fitting; corresponding He-induced line shift listed in Table 2.</t>
  </si>
  <si>
    <t>Gamma is experimental halfwidth γ(exp) from Solodov and Starikov 2009 Table 1 at ν=5141.7469 cm^-1; temperature exponent 'n' not reported; spectra recorded at room temperature (exact K not specified); Voigt profile used in fitting; corresponding He-induced line shift listed in Table 2.</t>
  </si>
  <si>
    <t>Gamma is experimental halfwidth γ(exp) from Solodov and Starikov 2009 Table 1 at ν=5163.5691 cm^-1; temperature exponent 'n' not reported; spectra recorded at room temperature (exact K not specified); Voigt profile used in fitting; corresponding He-induced line shift listed in Table 2.</t>
  </si>
  <si>
    <t>Gamma is experimental halfwidth γ(exp) from Solodov and Starikov 2009 Table 1 at ν=5163.7490 cm^-1; temperature exponent 'n' not reported; spectra recorded at room temperature (exact K not specified); Voigt profile used in fitting; corresponding He-induced line shift listed in Table 2.</t>
  </si>
  <si>
    <t>Gamma is experimental halfwidth γ(exp) from Solodov and Starikov 2009 Table 1 at ν=5173.4818 cm^-1; temperature exponent 'n' not reported; spectra recorded at room temperature (exact K not specified); Voigt profile used in fitting; corresponding He-induced line shift listed in Table 2.</t>
  </si>
  <si>
    <t>Gamma is experimental halfwidth γ(exp) from Solodov and Starikov 2009 Table 1 at ν=5230.8097 cm^-1; temperature exponent 'n' not reported; spectra recorded at room temperature (exact K not specified); Voigt profile used in fitting; corresponding He-induced line shift listed in Table 2.</t>
  </si>
  <si>
    <t>Gamma is experimental halfwidth γ(exp) from Solodov and Starikov 2009 Table 1 at ν=5231.6828 cm^-1; temperature exponent 'n' not reported; spectra recorded at room temperature (exact K not specified); Voigt profile used in fitting; corresponding He-induced line shift listed in Table 2.</t>
  </si>
  <si>
    <t>Gamma is experimental halfwidth γ(exp) from Solodov and Starikov 2009 Table 1 at ν=5231.8844 cm^-1; temperature exponent 'n' not reported; spectra recorded at room temperature (exact K not specified); Voigt profile used in fitting; corresponding He-induced line shift listed in Table 2.</t>
  </si>
  <si>
    <t>Gamma is experimental halfwidth γ(exp) from Solodov and Starikov 2009 Table 1 at ν=5235.9276 cm^-1; temperature exponent 'n' not reported; spectra recorded at room temperature (exact K not specified); Voigt profile used in fitting; corresponding He-induced line shift listed in Table 2.</t>
  </si>
  <si>
    <t>Gamma is experimental halfwidth γ(exp) from Solodov and Starikov 2009 Table 1 at ν=5280.1843 cm^-1; temperature exponent 'n' not reported; spectra recorded at room temperature (exact K not specified); Voigt profile used in fitting; corresponding He-induced line shift listed in Table 2.</t>
  </si>
  <si>
    <t>Gamma is experimental halfwidth γ(exp) from Solodov and Starikov 2009 Table 1 at ν=5299.7752 cm^-1; temperature exponent 'n' not reported; spectra recorded at room temperature (exact K not specified); Voigt profile used in fitting; corresponding He-induced line shift listed in Table 2.</t>
  </si>
  <si>
    <t>Gamma is experimental halfwidth γ(exp) from Solodov and Starikov 2009 Table 1 at ν=5303.1480 cm^-1</t>
  </si>
  <si>
    <t>Self-broadening (H2O–H2O) for 2ν3 band; experimental γ from 'Exp. [5]' column in Table 5; units cm^-1 atm^-1 and quantity is half-width (HWHM) as defined in the paper; no per-line uncertainties or temperature exponents reported here; line profile not specified in this paper; original full dataset is in Ref. [5].</t>
  </si>
  <si>
    <t>Self-broadening (H2O–H2O) for 2ν3 band; experimental γ from 'Exp. [5]' column in Table 5; units cm^-1 atm^-1 and quantity is half-width (HWHM) as defined in the paper; uncertainties and n not given in this paper; line profile not specified; this line is part of the limited subset reproduced from Ref. [5].</t>
  </si>
  <si>
    <t>Self-broadening (H2O–H2O) for 2ν3 band; experimental γ from 'Exp. [5]' column in Table 5 (Starikov 2009); units cm^-1 atm^-1, interpreted as HWHM; no experimental error bars or n values provided in this article; line profile not specified; see Table 5 and cited Ref. [5] for context.</t>
  </si>
  <si>
    <t>Self-broadening (H2O–H2O) for 2ν3 band; experimental γ taken from Table 5, 'Exp. [5]' column; γ is in cm^-1 atm^-1 and represents the collisional half-width; uncertainties and temperature exponent n are not reported here; line profile not given; Table 5 only presents a small set of test lines from Ref. [5].</t>
  </si>
  <si>
    <t>Self-broadening (H2O–H2O) for 2ν3 band; γ from experimental column in Table 5; units cm^-1 atm^-1 (HWHM); no line-specific uncertainty, percentage error, or n values in this paper; line profile not specified; data row explicitly labelled in Table 5 as measured [5].</t>
  </si>
  <si>
    <t>Self-broadening (H2O–H2O) for 2ν3 band; experimental γ from 'Exp. [5]' in Table 5; γ is a pressure broadening half-width in cm^-1 atm^-1; per-line uncertainties and n are not provided; line profile (Voigt/Lorentz/etc.) is not specified in Starikov 2009; this value is part of the limited comparison set to Ref. [5].</t>
  </si>
  <si>
    <t>Self-broadening (H2O–H2O) for 2ν3 band; γ is the experimental half-width from Table 5 'Exp. [5]' column at 296 K; units cm^-1 atm^-1; no explicit uncertainty, percentage error, or temperature exponent n reported in this article; line profile not stated; Table 5 is the only line-resolved broadening source in the paper.</t>
  </si>
  <si>
    <t>VALUES SEE LINE MIXING - COULD BE PROBLEM? Q(1) Raman transition in N2 v1 fundamental; ΔJ=0 so J'=J"=1. K quantum numbers not defined for linear N2/CO2. y_J reported as collisional HWHM per unit pressure in Table 1 (tabulated as values×10^-3 cm^-1 per atm/amagat); here only the 10^-3 factor is converted so gamma is in cm^-1 per unit pressure. Temperature exponent n not reported. Widths derived from Rosenkranz-type Voigt profile including line mixing (section 3, linewidth analysis, Table 1).</t>
  </si>
  <si>
    <t>Experimental H2S–He broadening coefficient γ at T=296 K from Table 1 (band ν1, ν=2693.2838 cm^-1). γ(exp) given as HWHM in cm^-1 atm^-1; no experimental uncertainty, single temperature exponent n, or line profile reported in this paper; percentage/absolute uncertainty set to N/A.</t>
  </si>
  <si>
    <t>Experimental H2S–Ne broadening coefficient γ at T=296 K from Table 1 (band ν1, ν=2693.2838 cm^-1). γ(exp) given as HWHM in cm^-1 atm^-1; no experimental uncertainty, single temperature exponent n, or line profile reported in this paper; percentage/absolute uncertainty set to N/A.</t>
  </si>
  <si>
    <t>Experimental H2S–He broadening coefficient γ at T=296 K from Table 1 (band ν1, ν=2740.9751 cm^-1). γ(exp) given as HWHM in cm^-1 atm^-1; no experimental uncertainty, single temperature exponent n, or line profile reported in this paper; percentage/absolute uncertainty set to N/A.</t>
  </si>
  <si>
    <t>Experimental H2S–Ne broadening coefficient γ at T=296 K from Table 1 (band ν1, ν=2740.9751 cm^-1). γ(exp) given as HWHM in cm^-1 atm^-1; no experimental uncertainty, single temperature exponent n, or line profile reported in this paper; percentage/absolute uncertainty set to N/A.</t>
  </si>
  <si>
    <t>Experimental H2S–He broadening coefficient γ at T=296 K from Table 1 (band ν1, ν=2713.8530 cm^-1). γ(exp) given as HWHM in cm^-1 atm^-1; no experimental uncertainty, single temperature exponent n, or line profile reported in this paper; percentage/absolute uncertainty set to N/A.</t>
  </si>
  <si>
    <t>Experimental H2S–Ne broadening coefficient γ at T=296 K from Table 1 (band ν1, ν=2713.8530 cm^-1). γ(exp) given as HWHM in cm^-1 atm^-1; no experimental uncertainty, single temperature exponent n, or line profile reported in this paper; percentage/absolute uncertainty set to N/A.</t>
  </si>
  <si>
    <t>Experimental H2S–He broadening coefficient γ at T=296 K from Table 1 (band ν1, ν=2740.0321 cm^-1). γ(exp) given as HWHM in cm^-1 atm^-1; no experimental uncertainty, single temperature exponent n, or line profile reported in this paper; percentage/absolute uncertainty set to N/A.</t>
  </si>
  <si>
    <t>Experimental H2S–Ne broadening coefficient γ at T=296 K from Table 1 (band ν1, ν=2740.0321 cm^-1). γ(exp) given as HWHM in cm^-1 atm^-1; no experimental uncertainty, single temperature exponent n, or line profile reported in this paper; percentage/absolute uncertainty set to N/A.</t>
  </si>
  <si>
    <t>Experimental H2S–He broadening coefficient γ at T=296 K from Table 1 (band ν1, ν=2717.9659 cm^-1). γ(exp) given as HWHM in cm^-1 atm^-1; no experimental uncertainty, single temperature exponent n, or line profile reported in this paper; percentage/absolute uncertainty set to N/A.</t>
  </si>
  <si>
    <t>Experimental H2S–Ne broadening coefficient γ at T=296 K from Table 1 (band ν1, ν=2717.9659 cm^-1). γ(exp) given as HWHM in cm^-1 atm^-1; no experimental uncertainty, single temperature exponent n, or line profile reported in this paper; percentage/absolute uncertainty set to N/A.</t>
  </si>
  <si>
    <t>Experimental H2S–He broadening coefficient γ at T=296 K from Table 1 (band ν1, ν=2740.9150 cm^-1). γ(exp) given as HWHM in cm^-1 atm^-1; no experimental uncertainty, single temperature exponent n, or line profile reported in this paper; percentage/absolute uncertainty set to N/A.</t>
  </si>
  <si>
    <t>Experimental H2S–Ne broadening coefficient γ at T=296 K from Table 1 (band ν1, ν=2740.9150 cm^-1). γ(exp) given as HWHM in cm^-1 atm^-1; no experimental uncertainty, single temperature exponent n, or line profile reported in this paper; percentage/absolute uncertainty set to N/A.</t>
  </si>
  <si>
    <t>Experimental H2S–He broadening coefficient γ at T=296 K from Table 1 (band ν1, ν=2716.0085 cm^-1). γ(exp) given as HWHM in cm^-1 atm^-1; no experimental uncertainty, single temperature exponent n, or line profile reported in this paper; percentage/absolute uncertainty set to N/A.</t>
  </si>
  <si>
    <t>Experimental H2S–Ne broadening coefficient γ at T=296 K from Table 1 (band ν1, ν=2716.0085 cm^-1). γ(exp) given as HWHM in cm^-1 atm^-1; no experimental uncertainty, single temperature exponent n, or line profile reported in this paper; percentage/absolute uncertainty set to N/A.</t>
  </si>
  <si>
    <t>Experimental H2S–He broadening coefficient γ at T=296 K from Table 1 (band ν1, ν=2715.0784 cm^-1). γ(exp) given as HWHM in cm^-1 atm^-1; no experimental uncertainty, single temperature exponent n, or line profile reported in this paper; percentage/absolute uncertainty set to N/A.</t>
  </si>
  <si>
    <t>Experimental H2S–Ne broadening coefficient γ at T=296 K from Table 1 (band ν1, ν=2715.0784 cm^-1). γ(exp) given as HWHM in cm^-1 atm^-1; no experimental uncertainty, single temperature exponent n, or line profile reported in this paper; percentage/absolute uncertainty set to N/A.</t>
  </si>
  <si>
    <t>Experimental H2S–He broadening coefficient γ at T=296 K from Table 1 (band ν1, ν=2741.7631 cm^-1). γ(exp) given as HWHM in cm^-1 atm^-1; no experimental uncertainty, single temperature exponent n, or line profile reported in this paper; percentage/absolute uncertainty set to N/A.</t>
  </si>
  <si>
    <t>Experimental H2S–Ne broadening coefficient γ at T=296 K from Table 1 (band ν1, ν=2741.7631 cm^-1). γ(exp) given as HWHM in cm^-1 atm^-1; no experimental uncertainty, single temperature exponent n, or line profile reported in this paper; percentage/absolute uncertainty set to N/A.</t>
  </si>
  <si>
    <t>Experimental H2S–He broadening coefficient γ at T=296 K from Table 1 (band ν1, ν=2762.5175 cm^-1). γ(exp) given as HWHM in cm^-1 atm^-1; no experimental uncertainty, single temperature exponent n, or line profile reported in this paper; percentage/absolute uncertainty set to N/A.</t>
  </si>
  <si>
    <t>Experimental H2S–Ne broadening coefficient γ at T=296 K from Table 1 (band ν1, ν=2762.5175 cm^-1). γ(exp) given as HWHM in cm^-1 atm^-1; no experimental uncertainty, single temperature exponent n, or line profile reported in this paper; percentage/absolute uncertainty set to N/A.</t>
  </si>
  <si>
    <t>Experimental H2S–He broadening coefficient γ at T=296 K from Table 1 (band ν1, ν=2714.2992 cm^-1). γ(exp) given as HWHM in cm^-1 atm^-1; no experimental uncertainty, single temperature exponent n, or line profile reported in this paper; percentage/absolute uncertainty set to N/A.</t>
  </si>
  <si>
    <t>Experimental H2S–Ne broadening coefficient γ at T=296 K from Table 1 (band ν1, ν=2714.2992 cm^-1). γ(exp) given as HWHM in cm^-1 atm^-1; no experimental uncertainty, single temperature exponent n, or line profile reported in this paper; percentage/absolute uncertainty set to N/A.</t>
  </si>
  <si>
    <t>Experimental H2S–He broadening coefficient γ at T=296 K from Table 1 (band ν1, ν=2714.2885 cm^-1). γ(exp) given as HWHM in cm^-1 atm^-1; no experimental uncertainty, single temperature exponent n, or line profile reported in this paper; percentage/absolute uncertainty set to N/A.</t>
  </si>
  <si>
    <t>Experimental H2S–Ne broadening coefficient γ at T=296 K from Table 1 (band ν1, ν=2714.2885 cm^-1). γ(exp) given as HWHM in cm^-1 atm^-1; no experimental uncertainty, single temperature exponent n, or line profile reported in this paper; percentage/absolute uncertainty set to N/A.</t>
  </si>
  <si>
    <t>Experimental H2S–He broadening coefficient γ at T=296 K from Table 1 (band ν1, ν=2761.4825 cm^-1). γ(exp) given as HWHM in cm^-1 atm^-1; no experimental uncertainty, single temperature exponent n, or line profile reported in this paper; percentage/absolute uncertainty set to N/A.</t>
  </si>
  <si>
    <t>Experimental H2S–Ne broadening coefficient γ at T=296 K from Table 1 (band ν1, ν=2761.4825 cm^-1). γ(exp) given as HWHM in cm^-1 atm^-1; no experimental uncertainty, single temperature exponent n, or line profile reported in this paper; percentage/absolute uncertainty set to N/A.</t>
  </si>
  <si>
    <t>Experimental H2S–He broadening coefficient γ at T=296 K from Table 1 (band ν1, ν=2739.3810 cm^-1). γ(exp) given as HWHM in cm^-1 atm^-1; no experimental uncertainty, single temperature exponent n, or line profile reported in this paper; percentage/absolute uncertainty set to N/A.</t>
  </si>
  <si>
    <t>Experimental H2S–Ne broadening coefficient γ at T=296 K from Table 1 (band ν1, ν=2739.3810 cm^-1). γ(exp) given as HWHM in cm^-1 atm^-1; no experimental uncertainty, single temperature exponent n, or line profile reported in this paper; percentage/absolute uncertainty set to N/A.</t>
  </si>
  <si>
    <t>Experimental H2S–He broadening coefficient γ at T=296 K from Table 1 (band ν1, ν=2761.4458 cm^-1). γ(exp) given as HWHM in cm^-1 atm^-1; no experimental uncertainty, single temperature exponent n, or line profile reported in this paper; percentage/absolute uncertainty set to N/A.</t>
  </si>
  <si>
    <t>Experimental H2S–Ne broadening coefficient γ at T=296 K from Table 1 (band ν1, ν=2761.4458 cm^-1). γ(exp) given as HWHM in cm^-1 atm^-1; no experimental uncertainty, single temperature exponent n, or line profile reported in this paper; percentage/absolute uncertainty set to N/A.</t>
  </si>
  <si>
    <t>Experimental H2S–He broadening coefficient γ at T=296 K from Table 1 (band ν1, ν=742.40910 cm^-1). γ(exp) given as HWHM in cm^-1 atm^-1; no experimental uncertainty, single temperature exponent n, or line profile reported in this paper; percentage/absolute uncertainty set to N/A.</t>
  </si>
  <si>
    <t>Experimental H2S–Ne broadening coefficient γ at T=296 K from Table 1 (band ν1, ν=742.40910 cm^-1). γ(exp) given as HWHM in cm^-1 atm^-1; no experimental uncertainty, single temperature exponent n, or line profile reported in this paper; percentage/absolute uncertainty set to N/A.</t>
  </si>
  <si>
    <t>Experimental H2S–He broadening coefficient γ at T=296 K from Table 1 (band ν3, ν=2714.5480 cm^-1). γ(exp) given as HWHM in cm^-1 atm^-1; no experimental uncertainty, single temperature exponent n, or line profile reported in this paper; percentage/absolute uncertainty set to N/A.</t>
  </si>
  <si>
    <t>Experimental H2S–Ne broadening coefficient γ at T=296 K from Table 1 (band ν3, ν=2714.5480 cm^-1). γ(exp) given as HWHM in cm^-1 atm^-1; no experimental uncertainty, single temperature exponent n, or line profile reported in this paper; percentage/absolute uncertainty set to N/A.</t>
  </si>
  <si>
    <t>Experimental H2S–He broadening coefficient γ at T=296 K from Table 1 (band ν3, ν=2717.3082 cm^-1). γ(exp) given as HWHM in cm^-1 atm^-1; no experimental uncertainty, single temperature exponent n, or line profile reported in this paper; percentage/absolute uncertainty set to N/A.</t>
  </si>
  <si>
    <t>Experimental H2S–Ne broadening coefficient γ at T=296 K from Table 1 (band ν3, ν=2717.3082 cm^-1). γ(exp) given as HWHM in cm^-1 atm^-1; no experimental uncertainty, single temperature exponent n, or line profile reported in this paper; percentage/absolute uncertainty set to N/A.</t>
  </si>
  <si>
    <t>Experimental H2S–He broadening coefficient γ at T=296 K from Table 1 (band ν3, ν=2741.7315 cm^-1). γ(exp) given as HWHM in cm^-1 atm^-1; no experimental uncertainty, single temperature exponent n, or line profile reported in this paper; percentage/absolute uncertainty set to N/A.</t>
  </si>
  <si>
    <t>Experimental H2S–Ne broadening coefficient γ at T=296 K from Table 1 (band ν3, ν=2741.7315 cm^-1). γ(exp) given as HWHM in cm^-1 atm^-1; no experimental uncertainty, single temperature exponent n, or line profile reported in this paper; percentage/absolute uncertainty set to N/A.</t>
  </si>
  <si>
    <t>Experimental H2S–He broadening coefficient γ at T=296 K from Table 1 (band ν3, ν=2740.1501 cm^-1). γ(exp) given as HWHM in cm^-1 atm^-1; no experimental uncertainty, single temperature exponent n, or line profile reported in this paper; percentage/absolute uncertainty set to N/A.</t>
  </si>
  <si>
    <t>Experimental H2S–Ne broadening coefficient γ at T=296 K from Table 1 (band ν3, ν=2740.1501 cm^-1). γ(exp) given as HWHM in cm^-1 atm^-1; no experimental uncertainty, single temperature exponent n, or line profile reported in this paper; percentage/absolute uncertainty set to N/A.</t>
  </si>
  <si>
    <t>Experimental H2S–He broadening coefficient γ at T=296 K from Table 1 (band ν3, ν=2741.5120 cm^-1). γ(exp) given as HWHM in cm^-1 atm^-1; no experimental uncertainty, single temperature exponent n, or line profile reported in this paper; percentage/absolute uncertainty set to N/A.</t>
  </si>
  <si>
    <t>Experimental H2S–Ne broadening coefficient γ at T=296 K from Table 1 (band ν3, ν=2741.5120 cm^-1). γ(exp) given as HWHM in cm^-1 atm^-1; no experimental uncertainty, single temperature exponent n, or line profile reported in this paper; percentage/absolute uncertainty set to N/A.</t>
  </si>
  <si>
    <t>Experimental H2S–He broadening coefficient γ at T=296 K from Table 1 (band ν2, ν=1293.2192 cm^-1). γ(exp) given as HWHM in cm^-1 atm^-1; no experimental uncertainty, single temperature exponent n, or line profile reported in this paper; percentage/absolute uncertainty set to N/A.</t>
  </si>
  <si>
    <t>Experimental H2S–Ne broadening coefficient γ at T=296 K from Table 1 (band ν2, ν=1293.2192 cm^-1). γ(exp) given as HWHM in cm^-1 atm^-1; no experimental uncertainty, single temperature exponent n, or line profile reported in this paper; percentage/absolute uncertainty set to N/A.</t>
  </si>
  <si>
    <t>Experimental H2S–He broadening coefficient γ at T=296 K from Table 1 (band ν2, ν=1295.0949 cm^-1). γ(exp) given as HWHM in cm^-1 atm^-1; no experimental uncertainty, single temperature exponent n, or line profile reported in this paper; percentage/absolute uncertainty set to N/A. γ(exp) value for this ν2 line is taken from Ref. [8], as noted in Table 1.</t>
  </si>
  <si>
    <t>Experimental H2S–Ar broadening coefficient γ at T=296 K from Table 2 (band ν1, ν=2693.2838 cm^-1). γ(exp) given as HWHM in cm^-1 atm^-1; no experimental uncertainty, single temperature exponent n, or line profile reported in this paper; percentage/absolute uncertainty set to N/A.</t>
  </si>
  <si>
    <t>Experimental H2S–Kr broadening coefficient γ at T=296 K from Table 2 (band ν1, ν=2693.2838 cm^-1). γ(exp) given as HWHM in cm^-1 atm^-1; no experimental uncertainty, single temperature exponent n, or line profile reported in this paper; percentage/absolute uncertainty set to N/A.</t>
  </si>
  <si>
    <t>Experimental H2S–Xe broadening coefficient γ at T=296 K from Table 2 (band ν1, ν=2693.2838 cm^-1). γ(exp) given as HWHM in cm^-1 atm^-1; no experimental uncertainty, single temperature exponent n, or line profile reported in this paper; percentage/absolute uncertainty set to N/A.</t>
  </si>
  <si>
    <t>Experimental H2S–Ar broadening coefficient γ at T=296 K from Table 2 (band ν1, ν=2740.9751 cm^-1). γ(exp) given as HWHM in cm^-1 atm^-1; no experimental uncertainty, single temperature exponent n, or line profile reported in this paper; percentage/absolute uncertainty set to N/A.</t>
  </si>
  <si>
    <t>Experimental H2S–Kr broadening coefficient γ at T=296 K from Table 2 (band ν1, ν=2740.9751 cm^-1). γ(exp) given as HWHM in cm^-1 atm^-1; no experimental uncertainty, single temperature exponent n, or line profile reported in this paper; percentage/absolute uncertainty set to N/A.</t>
  </si>
  <si>
    <t>Experimental H2S–Xe broadening coefficient γ at T=296 K from Table 2 (band ν1, ν=2740.9751 cm^-1). γ(exp) given as HWHM in cm^-1 atm^-1; no experimental uncertainty, single temperature exponent n, or line profile reported in this paper; percentage/absolute uncertainty set to N/A.</t>
  </si>
  <si>
    <t>Experimental H2S–Ar broadening coefficient γ at T=296 K from Table 2 (band ν1, ν=2713.8530 cm^-1). γ(exp) given as HWHM in cm^-1 atm^-1; no experimental uncertainty, single temperature exponent n, or line profile reported in this paper; percentage/absolute uncertainty set to N/A.</t>
  </si>
  <si>
    <t>Experimental H2S–Kr broadening coefficient γ at T=296 K from Table 2 (band ν1, ν=2713.8530 cm^-1). γ(exp) given as HWHM in cm^-1 atm^-1; no experimental uncertainty, single temperature exponent n, or line profile reported in this paper; percentage/absolute uncertainty set to N/A.</t>
  </si>
  <si>
    <t>Experimental H2S–Xe broadening coefficient γ at T=296 K from Table 2 (band ν1, ν=2713.8530 cm^-1). γ(exp) given as HWHM in cm^-1 atm^-1; no experimental uncertainty, single temperature exponent n, or line profile reported in this paper; percentage/absolute uncertainty set to N/A.</t>
  </si>
  <si>
    <t>Experimental H2S–Ar broadening coefficient γ at T=296 K from Table 2 (band ν1, ν=2740.0321 cm^-1). γ(exp) given as HWHM in cm^-1 atm^-1; no experimental uncertainty, single temperature exponent n, or line profile reported in this paper; percentage/absolute uncertainty set to N/A.</t>
  </si>
  <si>
    <t>Experimental H2S–Kr broadening coefficient γ at T=296 K from Table 2 (band ν1, ν=2740.0321 cm^-1). γ(exp) given as HWHM in cm^-1 atm^-1; no experimental uncertainty, single temperature exponent n, or line profile reported in this paper; percentage/absolute uncertainty set to N/A.</t>
  </si>
  <si>
    <t>Experimental H2S–Xe broadening coefficient γ at T=296 K from Table 2 (band ν1, ν=2740.0321 cm^-1). γ(exp) given as HWHM in cm^-1 atm^-1; no experimental uncertainty, single temperature exponent n, or line profile reported in this paper; percentage/absolute uncertainty set to N/A.</t>
  </si>
  <si>
    <t>Experimental H2S–Ar broadening coefficient γ at T=296 K from Table 2 (band ν1, ν=2717.9659 cm^-1). γ(exp) given as HWHM in cm^-1 atm^-1; no experimental uncertainty, single temperature exponent n, or line profile reported in this paper; percentage/absolute uncertainty set to N/A.</t>
  </si>
  <si>
    <t>Experimental H2S–Kr broadening coefficient γ at T=296 K from Table 2 (band ν1, ν=2717.9659 cm^-1). γ(exp) given as HWHM in cm^-1 atm^-1; no experimental uncertainty, single temperature exponent n, or line profile reported in this paper; percentage/absolute uncertainty set to N/A.</t>
  </si>
  <si>
    <t>Experimental H2S–Xe broadening coefficient γ at T=296 K from Table 2 (band ν1, ν=2717.9659 cm^-1). γ(exp) given as HWHM in cm^-1 atm^-1; no experimental uncertainty, single temperature exponent n, or line profile reported in this paper; percentage/absolute uncertainty set to N/A.</t>
  </si>
  <si>
    <t>Experimental H2S–Ar broadening coefficient γ at T=296 K from Table 2 (band ν1, ν=2740.9150 cm^-1). γ(exp) given as HWHM in cm^-1 atm^-1; no experimental uncertainty, single temperature exponent n, or line profile reported in this paper; percentage/absolute uncertainty set to N/A.</t>
  </si>
  <si>
    <t>Experimental H2S–Kr broadening coefficient γ at T=296 K from Table 2 (band ν1, ν=2740.9150 cm^-1). γ(exp) given as HWHM in cm^-1 atm^-1; no experimental uncertainty, single temperature exponent n, or line profile reported in this paper; percentage/absolute uncertainty set to N/A.</t>
  </si>
  <si>
    <t>Experimental H2S–Xe broadening coefficient γ at T=296 K from Table 2 (band ν1, ν=2740.9150 cm^-1). γ(exp) given as HWHM in cm^-1 atm^-1; no experimental uncertainty, single temperature exponent n, or line profile reported in this paper; percentage/absolute uncertainty set to N/A.</t>
  </si>
  <si>
    <t>Experimental H2S–Ar broadening coefficient γ at T=296 K from Table 2 (band ν1, ν=2716.0085 cm^-1). γ(exp) given as HWHM in cm^-1 atm^-1; no experimental uncertainty, single temperature exponent n, or line profile reported in this paper; percentage/absolute uncertainty set to N/A.</t>
  </si>
  <si>
    <t>Experimental H2S–Kr broadening coefficient γ at T=296 K from Table 2 (band ν1, ν=2716.0085 cm^-1). γ(exp) given as HWHM in cm^-1 atm^-1; no experimental uncertainty, single temperature exponent n, or line profile reported in this paper; percentage/absolute uncertainty set to N/A.</t>
  </si>
  <si>
    <t>Experimental H2S–Xe broadening coefficient γ at T=296 K from Table 2 (band ν1, ν=2716.0085 cm^-1). γ(exp) given as HWHM in cm^-1 atm^-1; no experimental uncertainty, single temperature exponent n, or line profile reported in this paper; percentage/absolute uncertainty set to N/A.</t>
  </si>
  <si>
    <t>Experimental H2S–Ar broadening coefficient γ at T=296 K from Table 2 (band ν1, ν=2715.0784 cm^-1). γ(exp) given as HWHM in cm^-1 atm^-1; no experimental uncertainty, single temperature exponent n, or line profile reported in this paper; percentage/absolute uncertainty set to N/A.</t>
  </si>
  <si>
    <t>Experimental H2S–Kr broadening coefficient γ at T=296 K from Table 2 (band ν1, ν=2715.0784 cm^-1). γ(exp) given as HWHM in cm^-1 atm^-1; no experimental uncertainty, single temperature exponent n, or line profile reported in this paper; percentage/absolute uncertainty set to N/A.</t>
  </si>
  <si>
    <t>Experimental H2S–Xe broadening coefficient γ at T=296 K from Table 2 (band ν1, ν=2715.0784 cm^-1). γ(exp) given as HWHM in cm^-1 atm^-1; no experimental uncertainty, single temperature exponent n, or line profile reported in this paper; percentage/absolute uncertainty set to N/A.</t>
  </si>
  <si>
    <t>Experimental H2S–Ar broadening coefficient γ at T=296 K from Table 2 (band ν1, ν=2741.7631 cm^-1). γ(exp) given as HWHM in cm^-1 atm^-1; no experimental uncertainty, single temperature exponent n, or line profile reported in this paper; percentage/absolute uncertainty set to N/A.</t>
  </si>
  <si>
    <t>Experimental H2S–Kr broadening coefficient γ at T=296 K from Table 2 (band ν1, ν=2741.7631 cm^-1). γ(exp) given as HWHM in cm^-1 atm^-1; no experimental uncertainty, single temperature exponent n, or line profile reported in this paper; percentage/absolute uncertainty set to N/A.</t>
  </si>
  <si>
    <t>Experimental H2S–Xe broadening coefficient γ at T=296 K from Table 2 (band ν1, ν=2741.7631 cm^-1). γ(exp) given as HWHM in cm^-1 atm^-1; no experimental uncertainty, single temperature exponent n, or line profile reported in this paper; percentage/absolute uncertainty set to N/A.</t>
  </si>
  <si>
    <t>Experimental H2S–Ar broadening coefficient γ at T=296 K from Table 2 (band ν1, ν=2762.5175 cm^-1). γ(exp) given as HWHM in cm^-1 atm^-1; no experimental uncertainty, single temperature exponent n, or line profile reported in this paper; percentage/absolute uncertainty set to N/A.</t>
  </si>
  <si>
    <t>Experimental H2S–Kr broadening coefficient γ at T=296 K from Table 2 (band ν1, ν=2762.5175 cm^-1). γ(exp) given as HWHM in cm^-1 atm^-1; no experimental uncertainty, single temperature exponent n, or line profile reported in this paper; percentage/absolute uncertainty set to N/A.</t>
  </si>
  <si>
    <t>Experimental H2S–Xe broadening coefficient γ at T=296 K from Table 2 (band ν1, ν=2762.5175 cm^-1). γ(exp) given as HWHM in cm^-1 atm^-1; no experimental uncertainty, single temperature exponent n, or line profile reported in this paper; percentage/absolute uncertainty set to N/A.</t>
  </si>
  <si>
    <t>Experimental H2S–Ar broadening coefficient γ at T=296 K from Table 2 (band ν1, ν=2714.2992 cm^-1). γ(exp) given as HWHM in cm^-1 atm^-1; no experimental uncertainty, single temperature exponent n, or line profile reported in this paper; percentage/absolute uncertainty set to N/A.</t>
  </si>
  <si>
    <t>Experimental H2S–Kr broadening coefficient γ at T=296 K from Table 2 (band ν1, ν=2714.2992 cm^-1). γ(exp) given as HWHM in cm^-1 atm^-1; no experimental uncertainty, single temperature exponent n, or line profile reported in this paper; percentage/absolute uncertainty set to N/A.</t>
  </si>
  <si>
    <t>Experimental H2S–Xe broadening coefficient γ at T=296 K from Table 2 (band ν1, ν=2714.2992 cm^-1). γ(exp) given as HWHM in cm^-1 atm^-1; no experimental uncertainty, single temperature exponent n, or line profile reported in this paper; percentage/absolute uncertainty set to N/A.</t>
  </si>
  <si>
    <t>Experimental H2S–Ar broadening coefficient γ at T=296 K from Table 2 (band ν1, ν=2714.2885 cm^-1). γ(exp) given as HWHM in cm^-1 atm^-1; no experimental uncertainty, single temperature exponent n, or line profile reported in this paper; percentage/absolute uncertainty set to N/A.</t>
  </si>
  <si>
    <t>Experimental H2S–Kr broadening coefficient γ at T=296 K from Table 2 (band ν1, ν=2714.2885 cm^-1). γ(exp) given as HWHM in cm^-1 atm^-1; no experimental uncertainty, single temperature exponent n, or line profile reported in this paper; percentage/absolute uncertainty set to N/A.</t>
  </si>
  <si>
    <t>Experimental H2S–Xe broadening coefficient γ at T=296 K from Table 2 (band ν1, ν=2714.2885 cm^-1). γ(exp) given as HWHM in cm^-1 atm^-1; no experimental uncertainty, single temperature exponent n, or line profile reported in this paper; percentage/absolute uncertainty set to N/A.</t>
  </si>
  <si>
    <t>Experimental H2S–Ar broadening coefficient γ at T=296 K from Table 2 (band ν1, ν=2761.4825 cm^-1). γ(exp) given as HWHM in cm^-1 atm^-1; no experimental uncertainty, single temperature exponent n, or line profile reported in this paper; percentage/absolute uncertainty set to N/A.</t>
  </si>
  <si>
    <t>Experimental H2S–Kr broadening coefficient γ at T=296 K from Table 2 (band ν1, ν=2761.4825 cm^-1). γ(exp) given as HWHM in cm^-1 atm^-1; no experimental uncertainty, single temperature exponent n, or line profile reported in this paper; percentage/absolute uncertainty set to N/A.</t>
  </si>
  <si>
    <t>Experimental H2S–Xe broadening coefficient γ at T=296 K from Table 2 (band ν1, ν=2761.4825 cm^-1). γ(exp) given as HWHM in cm^-1 atm^-1; no experimental uncertainty, single temperature exponent n, or line profile reported in this paper; percentage/absolute uncertainty set to N/A.</t>
  </si>
  <si>
    <t>Experimental H2S–Ar broadening coefficient γ at T=296 K from Table 2 (band ν1, ν=2739.3810 cm^-1). γ(exp) given as HWHM in cm^-1 atm^-1; no experimental uncertainty, single temperature exponent n, or line profile reported in this paper; percentage/absolute uncertainty set to N/A.</t>
  </si>
  <si>
    <t>Experimental H2S–Kr broadening coefficient γ at T=296 K from Table 2 (band ν1, ν=2739.3810 cm^-1). γ(exp) given as HWHM in cm^-1 atm^-1; no experimental uncertainty, single temperature exponent n, or line profile reported in this paper; percentage/absolute uncertainty set to N/A.</t>
  </si>
  <si>
    <t>Experimental H2S–Xe broadening coefficient γ at T=296 K from Table 2 (band ν1, ν=2739.3810 cm^-1). γ(exp) given as HWHM in cm^-1 atm^-1; no experimental uncertainty, single temperature exponent n, or line profile reported in this paper; percentage/absolute uncertainty set to N/A.</t>
  </si>
  <si>
    <t>Experimental H2S–Ar broadening coefficient γ at T=296 K from Table 2 (band ν1, ν=2761.4458 cm^-1). γ(exp) given as HWHM in cm^-1 atm^-1; no experimental uncertainty, single temperature exponent n, or line profile reported in this paper; percentage/absolute uncertainty set to N/A.</t>
  </si>
  <si>
    <t>Experimental H2S–Kr broadening coefficient γ at T=296 K from Table 2 (band ν1, ν=2761.4458 cm^-1). γ(exp) given as HWHM in cm^-1 atm^-1; no experimental uncertainty, single temperature exponent n, or line profile reported in this paper; percentage/absolute uncertainty set to N/A.</t>
  </si>
  <si>
    <t>Experimental H2S–Xe broadening coefficient γ at T=296 K from Table 2 (band ν1, ν=2761.4458 cm^-1). γ(exp) given as HWHM in cm^-1 atm^-1; no experimental uncertainty, single temperature exponent n, or line profile reported in this paper; percentage/absolute uncertainty set to N/A.</t>
  </si>
  <si>
    <t>Experimental H2S–Ar broadening coefficient γ at T=296 K from Table 2 (band ν1, ν=2742.4091 cm^-1). γ(exp) given as HWHM in cm^-1 atm^-1; no experimental uncertainty, single temperature exponent n, or line profile reported in this paper; percentage/absolute uncertainty set to N/A.</t>
  </si>
  <si>
    <t>Experimental H2S–Kr broadening coefficient γ at T=296 K from Table 2 (band ν1, ν=2742.4091 cm^-1). γ(exp) given as HWHM in cm^-1 atm^-1; no experimental uncertainty, single temperature exponent n, or line profile reported in this paper; percentage/absolute uncertainty set to N/A.</t>
  </si>
  <si>
    <t>Experimental H2S–Xe broadening coefficient γ at T=296 K from Table 2 (band ν1, ν=2742.4091 cm^-1). γ(exp) given as HWHM in cm^-1 atm^-1; no experimental uncertainty, single temperature exponent n, or line profile reported in this paper; percentage/absolute uncertainty set to N/A.</t>
  </si>
  <si>
    <t>Experimental H2S–Ar broadening coefficient γ at T=296 K from Table 2 (band ν3, ν=2714.5480 cm^-1). γ(exp) given as HWHM in cm^-1 atm^-1; no experimental uncertainty, single temperature exponent n, or line profile reported in this paper; percentage/absolute uncertainty set to N/A.</t>
  </si>
  <si>
    <t>Experimental H2S–Kr broadening coefficient γ at T=296 K from Table 2 (band ν3, ν=2714.5480 cm^-1). γ(exp) given as HWHM in cm^-1 atm^-1; no experimental uncertainty, single temperature exponent n, or line profile reported in this paper; percentage/absolute uncertainty set to N/A.</t>
  </si>
  <si>
    <t>Experimental H2S–Xe broadening coefficient γ at T=296 K from Table 2 (band ν3, ν=2714.5480 cm^-1). γ(exp) given as HWHM in cm^-1 atm^-1; no experimental uncertainty, single temperature exponent n, or line profile reported in this paper; percentage/absolute uncertainty set to N/A.</t>
  </si>
  <si>
    <t>Experimental H2S–Ar broadening coefficient γ at T=296 K from Table 2 (band ν3, ν=2717.3082 cm^-1). γ(exp) given as HWHM in cm^-1 atm^-1; no experimental uncertainty, single temperature exponent n, or line profile reported in this paper; percentage/absolute uncertainty set to N/A.</t>
  </si>
  <si>
    <t>Experimental H2S–Kr broadening coefficient γ at T=296 K from Table 2 (band ν3, ν=2717.3082 cm^-1). γ(exp) given as HWHM in cm^-1 atm^-1; no experimental uncertainty, single temperature exponent n, or line profile reported in this paper; percentage/absolute uncertainty set to N/A.</t>
  </si>
  <si>
    <t>Experimental H2S–Xe broadening coefficient γ at T=296 K from Table 2 (band ν3, ν=2717.3082 cm^-1). γ(exp) given as HWHM in cm^-1 atm^-1; no experimental uncertainty, single temperature exponent n, or line profile reported in this paper; percentage/absolute uncertainty set to N/A.</t>
  </si>
  <si>
    <t>Experimental H2S–Ar broadening coefficient γ at T=296 K from Table 2 (band ν3, ν=2741.7315 cm^-1). γ(exp) given as HWHM in cm^-1 atm^-1; no experimental uncertainty, single temperature exponent n, or line profile reported in this paper; percentage/absolute uncertainty set to N/A.</t>
  </si>
  <si>
    <t>Experimental H2S–Kr broadening coefficient γ at T=296 K from Table 2 (band ν3, ν=2741.7315 cm^-1). γ(exp) given as HWHM in cm^-1 atm^-1; no experimental uncertainty, single temperature exponent n, or line profile reported in this paper; percentage/absolute uncertainty set to N/A.</t>
  </si>
  <si>
    <t>Experimental H2S–Xe broadening coefficient γ at T=296 K from Table 2 (band ν3, ν=2741.7315 cm^-1). γ(exp) given as HWHM in cm^-1 atm^-1; no experimental uncertainty, single temperature exponent n, or line profile reported in this paper; percentage/absolute uncertainty set to N/A.</t>
  </si>
  <si>
    <t>Experimental H2S–Ar broadening coefficient γ at T=296 K from Table 2 (band ν3, ν=2740.1501 cm^-1). γ(exp) given as HWHM in cm^-1 atm^-1; no experimental uncertainty, single temperature exponent n, or line profile reported in this paper; percentage/absolute uncertainty set to N/A.</t>
  </si>
  <si>
    <t>Experimental H2S–Kr broadening coefficient γ at T=296 K from Table 2 (band ν3, ν=2740.1501 cm^-1). γ(exp) given as HWHM in cm^-1 atm^-1; no experimental uncertainty, single temperature exponent n, or line profile reported in this paper; percentage/absolute uncertainty set to N/A.</t>
  </si>
  <si>
    <t>Experimental H2S–Xe broadening coefficient γ at T=296 K from Table 2 (band ν3, ν=2740.1501 cm^-1). γ(exp) given as HWHM in cm^-1 atm^-1; no experimental uncertainty, single temperature exponent n, or line profile reported in this paper; percentage/absolute uncertainty set to N/A.</t>
  </si>
  <si>
    <t>Experimental H2S–Ar broadening coefficient γ at T=296 K from Table 2 (band ν3, ν=2741.5120 cm^-1). γ(exp) given as HWHM in cm^-1 atm^-1; no experimental uncertainty, single temperature exponent n, or line profile reported in this paper; percentage/absolute uncertainty set to N/A.</t>
  </si>
  <si>
    <t>Experimental H2S–Kr broadening coefficient γ at T=296 K from Table 2 (band ν3, ν=2741.5120 cm^-1). γ(exp) given as HWHM in cm^-1 atm^-1; no experimental uncertainty, single temperature exponent n, or line profile reported in this paper; percentage/absolute uncertainty set to N/A.</t>
  </si>
  <si>
    <t>Experimental H2S–Xe broadening coefficient γ at T=296 K from Table 2 (band ν3, ν=2741.5120 cm^-1). γ(exp) given as HWHM in cm^-1 atm^-1; no experimental uncertainty, single temperature exponent n, or line profile reported in this paper; percentage/absolute uncertainty set to N/A.</t>
  </si>
  <si>
    <t>Experimental H2S–Ar broadening coefficient γ at T=296 K from Table 2 (band ν2, ν=1293.2192 cm^-1). γ(exp) given as HWHM in cm^-1 atm^-1; no experimental uncertainty, single temperature exponent n, or line profile reported in this paper; percentage/absolute uncertainty set to N/A.</t>
  </si>
  <si>
    <t>Experimental H2S–Kr broadening coefficient γ at T=296 K from Table 2 (band ν2, ν=1293.2192 cm^-1). γ(exp) given as HWHM in cm^-1 atm^-1; no experimental uncertainty, single temperature exponent n, or line profile reported in this paper; percentage/absolute uncertainty set to N/A.</t>
  </si>
  <si>
    <t>Experimental H2S–Xe broadening coefficient γ at T=296 K from Table 2 (band ν2, ν=1293.2192 cm^-1). γ(exp) given as HWHM in cm^-1 atm^-1; no experimental uncertainty, single temperature exponent n, or line profile reported in this paper; percentage/absolute uncertainty set to N/A.</t>
  </si>
  <si>
    <t>Experimental H2S–Ar broadening coefficient γ at T=296 K from Table 2 (band ν2, ν=1295.0949 cm^-1). γ(exp) given as HWHM in cm^-1 atm^-1; no experimental uncertainty, single temperature exponent n, or line profile reported in this paper; percentage/absolute uncertainty set to N/A. γ(exp) value for this ν2 line is taken from Ref. [8], as noted in Table 2.</t>
  </si>
  <si>
    <t>Gamma from experimental column for H2S–He ν1-band line; upper and lower rotational quantum numbers from Jf Kaf Kcf and Ji Kai Kci in Table 2; T=296 K; experimental uncertainties not reported; temperature exponent n not reported; line profile not specified in this paper</t>
  </si>
  <si>
    <t>Gamma from experimental column for H2S–He rotational line 110←101; upper state 110 and lower state 101 interpreted as J_KaKc; data from Table 3; experimental gamma in cm^-1 atm^-1 obtained from scattering cross-sections via γ=(n/2πc)σ; experimental uncertainties not reported; temperature exponent n not reported; line profile not specified in this paper</t>
  </si>
  <si>
    <t>Gamma from experimental column for H2S–He rotational line 220←211; upper state 220 and lower state 211 interpreted as J_KaKc; data from Table 3; experimental gamma in cm^-1 atm^-1 obtained from scattering cross-sections via γ=(n/2πc)σ; experimental uncertainties not reported; temperature exponent n not reported; line profile not specified in this paper</t>
  </si>
  <si>
    <t>Gamma from experimental column for H2S–He rotational line 110←101; quantum numbers from 110←101; data from Table 3; experimental gamma in cm^-1 atm^-1 from scattering cross-sections; experimental uncertainties not reported; temperature exponent n not reported; line profile not specified in this paper</t>
  </si>
  <si>
    <t>Gamma from experimental column for H2S–He rotational line 220←211; quantum numbers from 220←211; data from Table 3; experimental gamma in cm^-1 atm^-1 from scattering cross-sections; experimental uncertainties not reported; temperature exponent n not reported; line profile not specified in this paper</t>
  </si>
  <si>
    <t>Gamma from experimental column for H2S–He rotational line 110←101; quantum numbers from 110←101; data from Table 3; experimental gamma in cm^-1 atm^-1 from scattering cross-sections; repeated temperature value as printed; experimental uncertainties not reported; temperature exponent n not reported; line profile not specified in this paper</t>
  </si>
  <si>
    <t>Gamma from experimental column for H2S–He rotational line 220←211; quantum numbers from 220←211; data from Table 3; gamma reported as 0.05; experimental uncertainties not reported; temperature exponent n not reported; line profile not specified in this paper</t>
  </si>
  <si>
    <t>Gamma from experimental column for H2S–He rotational line 110←101; quantum numbers from 110←101; data from Table 3; experimental uncertainties not reported; temperature exponent n not reported; line profile not specified in this paper</t>
  </si>
  <si>
    <t>Gamma from experimental column for H2S–He rotational line 220←211; quantum numbers from 220←211; data from Table 3; experimental uncertainties not reported; temperature exponent n not reported; line profile not specified in this paper</t>
  </si>
  <si>
    <t>Gamma from experimental column for H2S–He rotational line 110←101; quantum numbers from 110←101; data from Table 3; repeated temperature value as printed; experimental uncertainties not reported; temperature exponent n not reported; line profile not specified in this paper</t>
  </si>
  <si>
    <t>Gamma from experimental column for H2S–He rotational line 220←211; quantum numbers from 220←211; data from Table 3; temperature given as 59.88 K; experimental uncertainties not reported; temperature exponent n not reported; line profile not specified in this paper</t>
  </si>
  <si>
    <t>Gamma from experimental column for H2S–He rotational line 110←101; quantum numbers from 110←101; data from Table 3; temperature given as 97.12 K; experimental uncertainties not reported; temperature exponent n not reported; line profile not specified in this paper</t>
  </si>
  <si>
    <t>Gamma from experimental column for H2S–He rotational line 220←211; quantum numbers from 220←211; data from Table 3; temperature given as 49.85 K; experimental uncertainties not reported; temperature exponent n not reported; line profile not specified in this paper</t>
  </si>
  <si>
    <t>Gamma from experimental column for H2S–He rotational line 110←101; quantum numbers from 110←101; data from Table 3; temperature given as 61.56 K; experimental uncertainties not reported; temperature exponent n not reported; line profile not specified in this paper</t>
  </si>
  <si>
    <t>Gamma from experimental column for H2S–He rotational line 220←211; quantum numbers from 220←211; data from Table 3; temperature given as 44.95 K; experimental uncertainties not reported; temperature exponent n not reported; line profile not specified in this paper</t>
  </si>
  <si>
    <t>Gamma from experimental column for H2S–He rotational line 110←101; quantum numbers from 110←101; data from Table 3; temperature given as 53.01 K; experimental uncertainties not reported; temperature exponent n not reported; line profile not specified in this paper</t>
  </si>
  <si>
    <t>Gamma from experimental column for H2S–He rotational line 220←211; quantum numbers from 220←211; data from Table 3; temperature given as 39.96 K; experimental uncertainties not reported; temperature exponent n not reported; line profile not specified in this paper</t>
  </si>
  <si>
    <t>Gamma from experimental column for H2S–He rotational line 110←101; quantum numbers from 110←101; data from Table 3; temperature given as 46.98 K; experimental uncertainties not reported; temperature exponent n not reported; line profile not specified in this paper</t>
  </si>
  <si>
    <t>Gamma from experimental column for H2S–He rotational line 220←211; quantum numbers from 220←211; data from Table 3; temperature given as 34.97 K; experimental uncertainties not reported; temperature exponent n not reported; line profile not specified in this paper</t>
  </si>
  <si>
    <t>Gamma from experimental column for H2S–He rotational line 110←101; quantum numbers from 110←101; data from Table 3; temperature given as 42.80 K; experimental uncertainties not reported; temperature exponent n not reported; line profile not specified in this paper</t>
  </si>
  <si>
    <t>Gamma from experimental column for H2S–He rotational line 220←211; quantum numbers from 220←211; data from Table 3; temperature given as 29.95 K; experimental uncertainties not reported; temperature exponent n not reported; line profile not specified in this paper</t>
  </si>
  <si>
    <t>Gamma from experimental column for H2S–He rotational line 110←101; quantum numbers from 110←101; data from Table 3; temperature given as 32.54 K; experimental uncertainties not reported; temperature exponent n not reported; line profile not specified in this paper</t>
  </si>
  <si>
    <t>Gamma from experimental column for H2S–He rotational line 220←211; quantum numbers from 220←211; data from Table 3; temperature given as 24.94 K; experimental uncertainties not reported; temperature exponent n not reported; line profile not specified in this paper</t>
  </si>
  <si>
    <t>Gamma from experimental column for H2S–He rotational line 110←101; quantum numbers from 110←101; data from Table 3; temperature given as 31.00 K; experimental uncertainties not reported; temperature exponent n not reported; line profile not specified in this paper</t>
  </si>
  <si>
    <t>Gamma from experimental column for H2S–He rotational line 220←211; quantum numbers from 220←211; data from Table 3; temperature given as 19.94 K; experimental uncertainties not reported; temperature exponent n not reported; line profile not specified in this paper</t>
  </si>
  <si>
    <t>Gamma from experimental column for H2S–He rotational line 110←101; quantum numbers from 110←101; data from Table 3; temperature given as 25.80 K; experimental uncertainties not reported; temperature exponent n not reported; line profile not specified in this paper</t>
  </si>
  <si>
    <t>Gamma from experimental column for H2S–He rotational line 220←211; quantum numbers from 220←211; data from Table 3; temperature given as 14.96 K; experimental uncertainties not reported; temperature exponent n not reported; line profile not specified in this paper</t>
  </si>
  <si>
    <t>Gamma from experimental column for H2S–He rotational line 110←101; quantum numbers from 110←101; data from Table 3; temperature given as 23.05 K; experimental uncertainties not reported; temperature exponent n not reported; line profile not specified in this paper</t>
  </si>
  <si>
    <t>Gamma from experimental column for H2S–He rotational line 220←211; quantum numbers from 220←211; data from Table 3; temperature given as 12.39 K; experimental uncertainties not reported; temperature exponent n not reported; line profile not specified in this paper</t>
  </si>
  <si>
    <t>Gamma from experimental column for H2S–He rotational line 110←101; quantum numbers from 110←101; data from Table 3; temperature given as 16.90 K; experimental uncertainties not reported; temperature exponent n not reported; line profile not specified in this paper</t>
  </si>
  <si>
    <t>Gamma from experimental column for H2S–He rotational line 220←211; quantum numbers from 220←211; data from Table 3; temperature given as 9.87 K; experimental uncertainties not reported; temperature exponent n not reported; line profile not specified in this paper</t>
  </si>
  <si>
    <t>Gamma from experimental column for H2S–He rotational line 110←101; quantum numbers from 110←101; data from Table 3; temperature given as 16.74 K; experimental uncertainties not reported; temperature exponent n not reported; line profile not specified in this paper</t>
  </si>
  <si>
    <t>Gamma from experimental column for H2S–He rotational line 220←211; quantum numbers from 220←211; data from Table 3; temperature given as 7.75 K; experimental uncertainties not reported; temperature exponent n not reported; line profile not specified in this paper</t>
  </si>
  <si>
    <t>Gamma from experimental column for H2S–He rotational line 110←101; quantum numbers from 110←101; data from Table 3; temperature given as 12.19 K; experimental uncertainties not reported; temperature exponent n not reported; line profile not specified in this paper</t>
  </si>
  <si>
    <t>Gamma from experimental column for H2S–He rotational line 220←211; quantum numbers from 220←211; data from Table 3; one of two experimental values reported at T=4.21 K; experimental uncertainties not reported; temperature exponent n not reported; line profile not specified in this paper</t>
  </si>
  <si>
    <t>Gamma from experimental column for H2S–He rotational line 110←101; quantum numbers from 110←101; data from Table 3; temperature given as 11.10 K; experimental uncertainties not reported; temperature exponent n not reported; line profile not specified in this paper</t>
  </si>
  <si>
    <t>Gamma from experimental column for H2S–He rotational line 220←211; quantum numbers from 220←211; data from Table 3; second experimental gamma at T=4.21 K; treated as a separate measurement; experimental uncertainties not reported; temperature exponent n not reported; line profile not specified in this paper</t>
  </si>
  <si>
    <t>Gamma from experimental column for H2S–He rotational line 110←101; quantum numbers from 110←101; data from Table 3; temperature given as 8.59 K; experimental uncertainties not reported; temperature exponent n not reported; line profile not specified in this paper</t>
  </si>
  <si>
    <t>Gamma from experimental column for H2S–He rotational line 110←101; quantum numbers from 110←101; data from Table 3; temperature given as 6.66 K; experimental uncertainties not reported; temperature exponent n not reported; line profile not specified in this paper</t>
  </si>
  <si>
    <t>Gamma from experimental column for H2S–He rotational line 110←101; quantum numbers from 110←101; data from Table 3; temperature given as 4.20 K; experimental uncertainties not reported; temperature exponent n not reported; line profile not specified in this paper</t>
  </si>
  <si>
    <t>Gamma from experimental column for H2S–He rotational line 110←101; quantum numbers from 110←101; data from Table 3; temperature given as 3.30 K; experimental uncertainties not reported; temperature exponent n not reported; line profile not specified in this paper</t>
  </si>
  <si>
    <t>Gamma from experimental column for H2S–He rotational line 110←101; quantum numbers from 110←101; data from Table 3; temperature given as 2.85 K; experimental uncertainties not reported; temperature exponent n not reported; line profile not specified in this paper</t>
  </si>
  <si>
    <t>Gamma from experimental column for H2S–He rotational line 110←101; quantum numbers from 110←101; data from Table 3; temperature given as 2.58 K; experimental uncertainties not reported; temperature exponent n not reported; line profile not specified in this paper</t>
  </si>
  <si>
    <t>Gamma from experimental column for H2S–He rotational line 110←101; quantum numbers from 110←101; data from Table 3; temperature given as 2.42 K; experimental uncertainties not reported; temperature exponent n not reported; line profile not specified in this paper</t>
  </si>
  <si>
    <t>Gamma from experimental column for H2S–He rotational line 110←101; quantum numbers from 110←101; data from Table 3; temperature given as 2.30 K; experimental uncertainties not reported; temperature exponent n not reported; line profile not specified in this paper</t>
  </si>
  <si>
    <t>Gamma from experimental column for H2S–He rotational line 110←101; quantum numbers from 110←101; data from Table 3; temperature given as 2.00 K; experimental uncertainties not reported; temperature exponent n not reported; line profile not specified in this paper</t>
  </si>
  <si>
    <t>Gamma from experimental column for H2S–He rotational line 110←101; quantum numbers from 110←101; data from Table 3; temperature given as 1.72 K; experimental uncertainties not reported; temperature exponent n not reported; line profile not specified in this paper</t>
  </si>
  <si>
    <t>Gamma from experimental column for H2S–He rotational line 110←101; quantum numbers from 110←101; data from Table 3; temperature given as 1.48 K; experimental uncertainties not reported; temperature exponent n not reported; line profile not specified in this paper</t>
  </si>
  <si>
    <t>Gamma from experimental column for H2S–He rotational line 110←101; quantum numbers from 110←101; data from Table 3; temperature given as 1.36 K; experimental uncertainties not reported; temperature exponent n not reported; line profile not specified in this paper</t>
  </si>
  <si>
    <t>NH3</t>
  </si>
  <si>
    <t>PP(2,1) line of ν4 band; experimental gamma at 296 K from Table 1 Starikov 2013; symmetric-top NH3 with K only so Ka and Kc not reported; no experimental uncertainty, temperature exponent n or line profile reported.</t>
  </si>
  <si>
    <t>PP(2,2) line of ν4 band; experimental gamma at 296 K from Table 1 Starikov 2013; symmetric-top NH3 with K only so Ka and Kc not reported; no experimental uncertainty, temperature exponent n or line profile reported.</t>
  </si>
  <si>
    <t>PP(3,1) line of ν4 band; experimental gamma at 296 K from Table 1 Starikov 2013; symmetric-top NH3 with K only so Ka and Kc not reported; no experimental uncertainty, temperature exponent n or line profile reported.</t>
  </si>
  <si>
    <t>PP(3,2) line of ν4 band; experimental gamma at 296 K from Table 1 Starikov 2013; symmetric-top NH3 with K only so Ka and Kc not reported; no experimental uncertainty, temperature exponent n or line profile reported.</t>
  </si>
  <si>
    <t>PP(3,3) line of ν4 band; experimental gamma at 296 K from Table 1 Starikov 2013; symmetric-top NH3 with K only so Ka and Kc not reported; no experimental uncertainty, temperature exponent n or line profile reported.</t>
  </si>
  <si>
    <t>PP(4,1) line of ν4 band; experimental gamma at 296 K from Table 1 Starikov 2013; symmetric-top NH3 with K only so Ka and Kc not reported; no experimental uncertainty, temperature exponent n or line profile reported.</t>
  </si>
  <si>
    <t>PP(4,2) line of ν4 band; experimental gamma at 296 K from Table 1 Starikov 2013; symmetric-top NH3 with K only so Ka and Kc not reported; no experimental uncertainty, temperature exponent n or line profile reported.</t>
  </si>
  <si>
    <t>PP(4,3) line of ν4 band; experimental gamma at 296 K from Table 1 Starikov 2013; symmetric-top NH3 with K only so Ka and Kc not reported; no experimental uncertainty, temperature exponent n or line profile reported.</t>
  </si>
  <si>
    <t>PP(4,4) line of ν4 band; experimental gamma at 296 K from Table 1 Starikov 2013; symmetric-top NH3 with K only so Ka and Kc not reported; no experimental uncertainty, temperature exponent n or line profile reported.</t>
  </si>
  <si>
    <t>PP(5,1) line of ν4 band; experimental gamma at 296 K from Table 1 Starikov 2013; symmetric-top NH3 with K only so Ka and Kc not reported; no experimental uncertainty, temperature exponent n or line profile reported.</t>
  </si>
  <si>
    <t>PP(5,2) line of ν4 band; experimental gamma at 296 K from Table 1 Starikov 2013; symmetric-top NH3 with K only so Ka and Kc not reported; no experimental uncertainty, temperature exponent n or line profile reported.</t>
  </si>
  <si>
    <t>PP(5,3) line of ν4 band; experimental gamma at 296 K from Table 1 Starikov 2013; symmetric-top NH3 with K only so Ka and Kc not reported; no experimental uncertainty, temperature exponent n or line profile reported.</t>
  </si>
  <si>
    <t>PP(5,4) line of ν4 band; experimental gamma at 296 K from Table 1 Starikov 2013; symmetric-top NH3 with K only so Ka and Kc not reported; no experimental uncertainty, temperature exponent n or line profile reported.</t>
  </si>
  <si>
    <t>PP(5,5) line of ν4 band; experimental gamma at 296 K from Table 1 Starikov 2013; symmetric-top NH3 with K only so Ka and Kc not reported; no experimental uncertainty, temperature exponent n or line profile reported.</t>
  </si>
  <si>
    <t>PP(6,1) line of ν4 band; experimental gamma at 296 K from Table 1 Starikov 2013; symmetric-top NH3 with K only so Ka and Kc not reported; no experimental uncertainty, temperature exponent n or line profile reported.</t>
  </si>
  <si>
    <t>PP(6,2) line of ν4 band; experimental gamma at 296 K from Table 1 Starikov 2013; symmetric-top NH3 with K only so Ka and Kc not reported; no experimental uncertainty, temperature exponent n or line profile reported.</t>
  </si>
  <si>
    <t>PP(6,3) line of ν4 band; experimental gamma at 296 K from Table 1 Starikov 2013; symmetric-top NH3 with K only so Ka and Kc not reported; no experimental uncertainty, temperature exponent n or line profile reported.</t>
  </si>
  <si>
    <t>PP(6,4) line of ν4 band; experimental gamma at 296 K from Table 1 Starikov 2013; symmetric-top NH3 with K only so Ka and Kc not reported; no experimental uncertainty, temperature exponent n or line profile reported.</t>
  </si>
  <si>
    <t>PP(6,5) line of ν4 band; experimental gamma at 296 K from Table 1 Starikov 2013; symmetric-top NH3 with K only so Ka and Kc not reported; no experimental uncertainty, temperature exponent n or line profile reported.</t>
  </si>
  <si>
    <t>PP(6,6) line of ν4 band; experimental gamma at 296 K from Table 1 Starikov 2013; symmetric-top NH3 with K only so Ka and Kc not reported; no experimental uncertainty, temperature exponent n or line profile reported.</t>
  </si>
  <si>
    <t>PP(7,1) line of ν4 band; experimental gamma at 296 K from Table 1 Starikov 2013; symmetric-top NH3 with K only so Ka and Kc not reported; no experimental uncertainty, temperature exponent n or line profile reported.</t>
  </si>
  <si>
    <t>PP(7,2) line of ν4 band; experimental gamma at 296 K from Table 1 Starikov 2013; symmetric-top NH3 with K only so Ka and Kc not reported; no experimental uncertainty, temperature exponent n or line profile reported.</t>
  </si>
  <si>
    <t>PP(7,3) line of ν4 band; experimental gamma at 296 K from Table 1 Starikov 2013; symmetric-top NH3 with K only so Ka and Kc not reported; no experimental uncertainty, temperature exponent n or line profile reported.</t>
  </si>
  <si>
    <t>PP(7,4) line of ν4 band; experimental gamma at 296 K from Table 1 Starikov 2013; symmetric-top NH3 with K only so Ka and Kc not reported; no experimental uncertainty, temperature exponent n or line profile reported.</t>
  </si>
  <si>
    <t>PP(7,5) line of ν4 band; experimental gamma at 296 K from Table 1 Starikov 2013; symmetric-top NH3 with K only so Ka and Kc not reported; no experimental uncertainty, temperature exponent n or line profile reported.</t>
  </si>
  <si>
    <t>PP(7,6) line of ν4 band; experimental gamma at 296 K from Table 1 Starikov 2013; symmetric-top NH3 with K only so Ka and Kc not reported; no experimental uncertainty, temperature exponent n or line profile reported.</t>
  </si>
  <si>
    <t>PP(7,7) line of ν4 band; experimental gamma at 296 K from Table 1 Starikov 2013; symmetric-top NH3 with K only so Ka and Kc not reported; no experimental uncertainty, temperature exponent n or line profile reported.</t>
  </si>
  <si>
    <t>Rotational line 110←101 of H2S broadened by He; γ is the experimental value from Table 4 (Ref. [10]) in Starikov (2013), units cm^-1 atm^-1 (HWHM); no explicit experimental uncertainty or line-profile type reported; data taken from Table 4.</t>
  </si>
  <si>
    <t>Rotational line 202←211 of H2S broadened by He; γ is the experimental value from Table 4 (Ref. [10]) in Starikov (2013), units cm^-1 atm^-1 (HWHM); no explicit experimental uncertainty or line-profile type reported; data taken from Table 4.</t>
  </si>
  <si>
    <t>Rotational line 110←101, H2S–He; γ from experimental column of Table 4 (cm^-1 atm^-1, HWHM); no uncertainty given; line profile not specified; Table 4.</t>
  </si>
  <si>
    <t>Rotational line 202←211, H2S–He; γ from experimental column of Table 4 (cm^-1 atm^-1, HWHM); no uncertainty given; line profile not specified; Table 4.</t>
  </si>
  <si>
    <t>Rotational line 110←101, H2S–He; γ from Table 4, experimental column; units cm^-1 atm^-1 (HWHM); no uncertainty or profile reported.</t>
  </si>
  <si>
    <t>Rotational line 202←211, H2S–He; γ from Table 4, experimental column; units cm^-1 atm^-1 (HWHM); no uncertainty or profile reported.</t>
  </si>
  <si>
    <t>Rotational line 110←101, H2S–He; γ from Table 4; units cm^-1 atm^-1 (HWHM); experimental uncertainty and profile not stated.</t>
  </si>
  <si>
    <t>Rotational line 202←211, H2S–He; γ from Table 4; units cm^-1 atm^-1 (HWHM); experimental uncertainty and profile not stated.</t>
  </si>
  <si>
    <t>Rotational line 110←101, H2S–He; γ (0.044 cm^-1 atm^-1) from Table 4 at 300 K; no per-line uncertainty or n exponent given; line profile not specified.</t>
  </si>
  <si>
    <t>Rotational line 202←211, H2S–He; γ (0.047 cm^-1 atm^-1) from Table 4 at 295 K; no per-line uncertainty or n exponent given; line profile not specified.</t>
  </si>
  <si>
    <t>Rotational line 110←101, H2S–He; γ (0.044 cm^-1 atm^-1) from Table 4 at 295 K; no per-line uncertainty or n exponent given; line profile not specified.</t>
  </si>
  <si>
    <t>Rotational line 202←211, H2S–He; γ (0.05 cm^-1 atm^-1) from Table 4 at 252 K; units cm^-1 atm^-1 (HWHM); uncertainty and n not reported.</t>
  </si>
  <si>
    <t>Rotational line 110←101, H2S–He; γ (0.049 cm^-1 atm^-1) from Table 4 at 227 K; no experimental uncertainty provided; profile type N/A.</t>
  </si>
  <si>
    <t>Rotational line 202←211, H2S–He; γ (0.051 cm^-1 atm^-1) from Table 4 at 201 K; no experimental uncertainty provided; profile type N/A.</t>
  </si>
  <si>
    <t>Rotational line 110←101, H2S–He; γ (0.053 cm^-1 atm^-1) from Table 4 at 182 K; uncertainty and temperature exponent n not given; profile N/A.</t>
  </si>
  <si>
    <t>Rotational line 202←211, H2S–He; γ (0.058 cm^-1 atm^-1) from Table 4 at 151 K; uncertainty and n not given; profile N/A.</t>
  </si>
  <si>
    <t>Rotational line 110←101, H2S–He; γ (0.055 cm^-1 atm^-1) from Table 4 at 151 K; no uncertainty or profile specified.</t>
  </si>
  <si>
    <t>Rotational line 202←211, H2S–He; γ (0.062 cm^-1 atm^-1) from Table 4 at 123 K; no uncertainty or profile specified.</t>
  </si>
  <si>
    <t>Rotational line 110←101, H2S–He; γ (0.058 cm^-1 atm^-1) from Table 4 at 124 K; uncertainty and n not reported; line profile N/A.</t>
  </si>
  <si>
    <t>Rotational line 202←211, H2S–He; γ (0.064 cm^-1 atm^-1) from Table 4 at 108 K; uncertainty and n not reported; line profile N/A.</t>
  </si>
  <si>
    <t>Rotational line 110←101, H2S–He; γ (0.062 cm^-1 atm^-1) from Table 4 at 100 K; experimental uncertainty not provided; profile not specified.</t>
  </si>
  <si>
    <t>Rotational line 202←211, H2S–He; γ (0.069 cm^-1 atm^-1) from Table 4 at 59.88 K; experimental uncertainty not provided; profile not specified.</t>
  </si>
  <si>
    <t>Rotational line 110←101, H2S–He; γ (0.065 cm^-1 atm^-1) from Table 4 at 97.12 K; no uncertainty or n given; profile type N/A.</t>
  </si>
  <si>
    <t>Rotational line 202←211, H2S–He; γ (0.072 cm^-1 atm^-1) from Table 4 at 49.85 K; no uncertainty or n given; profile type N/A.</t>
  </si>
  <si>
    <t>Rotational line 110←101, H2S–He; γ (0.062 cm^-1 atm^-1) from Table 4 at 61.56 K; uncertainty and profile not provided.</t>
  </si>
  <si>
    <t>Rotational line 202←211, H2S–He; γ (0.074 cm^-1 atm^-1) from Table 4 at 44.95 K; uncertainty and profile not provided.</t>
  </si>
  <si>
    <t>Rotational line 110←101, H2S–He; γ (0.060 cm^-1 atm^-1) from Table 4 at 53.01 K; no uncertainty or n; profile N/A.</t>
  </si>
  <si>
    <t>Rotational line 202←211, H2S–He; γ (0.086 cm^-1 atm^-1) from Table 4 at 39.96 K; no uncertainty or n; profile N/A.</t>
  </si>
  <si>
    <t>Rotational line 110←101, H2S–He; γ (0.069 cm^-1 atm^-1) from Table 4 at 46.98 K; uncertainty and profile not given.</t>
  </si>
  <si>
    <t>Rotational line 202←211, H2S–He; γ (0.086 cm^-1 atm^-1) from Table 4 at 34.97 K; uncertainty and profile not given.</t>
  </si>
  <si>
    <t>Rotational line 110←101, H2S–He; γ (0.0624 cm^-1 atm^-1) from Table 4 at 42.80 K; no explicit uncertainty; profile not specified.</t>
  </si>
  <si>
    <t>Rotational line 202←211, H2S–He; γ (0.085 cm^-1 atm^-1) from Table 4 at 29.95 K; no explicit uncertainty; profile not specified.</t>
  </si>
  <si>
    <t>Rotational line 110←101, H2S–He; γ (0.064 cm^-1 atm^-1) from Table 4 at 32.54 K; uncertainty and temperature exponent not reported; profile N/A.</t>
  </si>
  <si>
    <t>Rotational line 202←211, H2S–He; γ (0.091 cm^-1 atm^-1) from Table 4 at 24.94 K; uncertainty and temperature exponent not reported; profile N/A.</t>
  </si>
  <si>
    <t>Rotational line 110←101, H2S–He; γ (0.071 cm^-1 atm^-1) from Table 4 at 31.00 K; uncertainty and n not reported; profile type N/A.</t>
  </si>
  <si>
    <t>Rotational line 202←211, H2S–He; γ (0.109 cm^-1 atm^-1) from Table 4 at 19.94 K; uncertainty and n not reported; profile type N/A.</t>
  </si>
  <si>
    <t>γ from semiclassical Robert–Bonamy calculation using formula (3); value 13.5 reported in units of 10^-3 cm^-1/atm and converted to 0.0135 cm^-1/atm; transition [4 1 3] → [5 4 2] (line 1 of ν2 band); data taken from table 'Calculated by formulas (3), (9) and experimental [7]' on p.221; no experimental uncertainty or temperature exponent n given.</t>
  </si>
  <si>
    <t>γ from semiclassical calculation averaged over absorbing-molecule velocities using formula (9); value 14.2 reported in units of 10^-3 cm^-1/atm and converted to 0.0142 cm^-1/atm; transition [4 1 3] → [5 4 2] (line 1); table on p.221; no uncertainty or n reported; not associated with a specific fitted line profile.</t>
  </si>
  <si>
    <t>γ from semiclassical Robert–Bonamy calculation using formula (3); value 8.9 reported in 10^-3 cm^-1/atm → 0.0089 cm^-1/atm; transition [8 6 2] → [9 7 3] (line 2); table on p.221; temperature fixed at 300 K; no uncertainty or n reported.</t>
  </si>
  <si>
    <t>γ from semiclassical calculation using formula (9); same numerical value 8.9 (in 10^-3 cm^-1/atm) reported and converted to 0.0089 cm^-1/atm; transition [8 6 2] → [9 7 3]; table on p.221; no uncertainty, n, or specific model profile stated for this calculated γ.</t>
  </si>
  <si>
    <t>Experimental γ(exp) from Claveau et al. [7] as quoted in this paper; value 8.0 in 10^-3 cm^-1/atm converted to 0.0080 cm^-1/atm; transition [8 6 2] → [9 7 3]; table on p.221 captioned 'experimental [7] (for the Voigt profile)'; experimental temperature stated as 296 K in the discussion of γ ranges for Refs. [1–4,7]; no per-line uncertainty or n reported.</t>
  </si>
  <si>
    <t>γ from semiclassical Robert–Bonamy calculation using formula (3); 8.7 in 10^-3 cm^-1/atm → 0.0087 cm^-1/atm; transition [14 0 14] → [15 1 15] (line 3); table on p.221; calculations performed at T = 300 K; no uncertainty, n, or associated analytical line profile specified for this γif.</t>
  </si>
  <si>
    <t>γ from semiclassical average ⟨γ(va)⟩ using formula (9); 8.5 in 10^-3 cm^-1/atm → 0.0085 cm^-1/atm; transition [14 0 14] → [15 1 15]; table on p.221; this value is also referenced in the profile analysis (γ(va) = ⟨γ(va)⟩ = 0.0085 cm^-1/atm) but no uncertainty or n given.</t>
  </si>
  <si>
    <t>Experimental γ(exp) from [7] as cited; 7.6 in 10^-3 cm^-1/atm → 0.0076 cm^-1/atm; transition [14 0 14] → [15 1 15]; table on p.221 labelled 'experimental [7] (for the Voigt profile)'; experimental temperature 296 K as stated for γ from [1–4,7]; uncertainty and temperature exponent n not reported.</t>
  </si>
  <si>
    <t>γ from semiclassical Robert–Bonamy calculation using formula (3); 37.0 in 10^-3 cm^-1/atm → 0.0370 cm^-1/atm; H2O–Ar system; transition [4 1 3] → [5 4 2]; table on p.221; no explicit uncertainty, n, or fitted profile associated with this theoretical γ.</t>
  </si>
  <si>
    <t>γ from semiclassical calculation using formula (9); 38.4 in 10^-3 cm^-1/atm → 0.0384 cm^-1/atm; H2O–Ar; transition [4 1 3] → [5 4 2]; table on p.221; value also used as ⟨γ(va)⟩ in Fig. 3 analysis; no per-line uncertainty or n given.</t>
  </si>
  <si>
    <t>Experimental γ(exp) from [7] for H2O–Ar as quoted; 33.5 in 10^-3 cm^-1/atm → 0.0335 cm^-1/atm; transition [4 1 3] → [5 4 2]; table on p.221 captioned as experimental Voigt-profile coefficients; experimental temperature 296 K for γ from [7]; uncertainty and n not reported.</t>
  </si>
  <si>
    <t>γ from semiclassical Robert–Bonamy calculation using formula (3); 15.1 in 10^-3 cm^-1/atm → 0.0151 cm^-1/atm; H2O–Ar; transition [8 6 2] → [9 7 3]; table on p.221; calculations at T = 300 K; no uncertainty or n reported.</t>
  </si>
  <si>
    <t>γ from semiclassical calculation using formula (9); 15.5 in 10^-3 cm^-1/atm → 0.0155 cm^-1/atm; H2O–Ar; transition [8 6 2] → [9 7 3]; table on p.221; not tied to a particular analytical profile in the table.</t>
  </si>
  <si>
    <t>Experimental γ(exp) from [7] for H2O–Ar; 9.7 in 10^-3 cm^-1/atm → 0.0097 cm^-1/atm; transition [8 6 2] → [9 7 3]; table on p.221; noted in this paper as experimental Voigt-profile broadening; experimental temperature 296 K; no line-specific uncertainty or n provided.</t>
  </si>
  <si>
    <t>γ from semiclassical Robert–Bonamy calculation using formula (3); 13.5 in 10^-3 cm^-1/atm → 0.0135 cm^-1/atm; H2O–Ar; transition [14 0 14] → [15 1 15]; table on p.221; theoretical halfwidth at 300 K; no uncertainty or n reported.</t>
  </si>
  <si>
    <t>γ from semiclassical calculation using formula (9); 13.7 in 10^-3 cm^-1/atm → 0.0137 cm^-1/atm; H2O–Ar; transition [14 0 14] → [15 1 15]; table on p.221; used as ⟨γ(va)⟩ in some profile analyses; no uncertainty or n given.</t>
  </si>
  <si>
    <t>Experimental γ(exp) from [7] as quoted; 5.3 in 10^-3 cm^-1/atm → 0.0053 cm^-1/atm; H2O–Ar; transition [14 0 14] → [15 1 15]; table on p.221 describes these as Voigt-profile experimental coefficients; experimental temperature 296 K; no line-specific uncertainty or n provided.</t>
  </si>
  <si>
    <t>γ from semiclassical Robert–Bonamy calculation using formula (3); 34.0 in 10^-3 cm^-1/atm → 0.0340 cm^-1/atm; H2O–Kr; transition [4 1 3] → [5 4 2]; table on p.221; no uncertainty, n, or particular analytical profile assigned to this γif in the table.</t>
  </si>
  <si>
    <t>γ from semiclassical calculation using formula (9); 36.1 in 10^-3 cm^-1/atm → 0.0361 cm^-1/atm; H2O–Kr; transition [4 1 3] → [5 4 2]; table on p.221; theoretical; no uncertainty or n reported.</t>
  </si>
  <si>
    <t>Experimental γ(exp) from [7] for H2O–Kr, as quoted; 38.8 in 10^-3 cm^-1/atm → 0.0388 cm^-1/atm; transition [4 1 3] → [5 4 2]; table caption specifies these as experimental Voigt-profile broadening coefficients; experimental temperature 296 K; no per-line uncertainty or n provided.</t>
  </si>
  <si>
    <t>γ from semiclassical Robert–Bonamy calculation using formula (3); 16.0 in 10^-3 cm^-1/atm → 0.0160 cm^-1/atm; H2O–Kr; transition [8 6 2] → [9 7 3]; table on p.221; calculations at T = 300 K; uncertainty and n not reported.</t>
  </si>
  <si>
    <t>γ from semiclassical calculation using formula (9); 16.2 in 10^-3 cm^-1/atm → 0.0162 cm^-1/atm; H2O–Kr; transition [8 6 2] → [9 7 3]; table on p.221; theoretical; no uncertainty or n given.</t>
  </si>
  <si>
    <t>γ from semiclassical Robert–Bonamy calculation using formula (3); 10.5 in 10^-3 cm^-1/atm → 0.0105 cm^-1/atm; H2O–Kr; transition [14 0 14] → [15 1 15]; table on p.221; calculations at 300 K; uncertainty and n absent.</t>
  </si>
  <si>
    <t>γ from semiclassical calculation using formula (9); 10.1 in 10^-3 cm^-1/atm → 0.0101 cm^-1/atm; H2O–Kr; transition [14 0 14] → [15 1 15]; table on p.221; theoretical; no per-line uncertainty or n reported.</t>
  </si>
  <si>
    <t>Experimental half-width gamma(exp) from Table 2 for PP(J,K) line of nu4 band of NH3 broadened by the listed perturber at 296 K; NH3 is a symmetric top so Ka and Kc are not provided; experimental uncertainties, temperature exponent n and line profile are not reported.</t>
  </si>
  <si>
    <t>Table 2</t>
  </si>
  <si>
    <t>Table 2 (nu2 band, He broadening); gamma is experimental half-width c(exp.) in cm^-1 atm^-1 at T=296 K. Experimental data for the nu2 band are taken from Ref. [3] as noted in the table caption. Percentage error is computed as 100*(c(cal.)-c(exp.))/c(exp.), with c(cal.)=0.018 cm^-1 atm^-1. Temperature exponent n is not reported in the paper.</t>
  </si>
  <si>
    <t>Table 2 (nu2 band, N2 broadening); gamma is experimental half-width c(exp.) in cm^-1 atm^-1 at T=296 K. Experimental data for the nu2 band are taken from Ref. [3] as noted in the table caption. Percentage error is computed as 100*(c(cal.)-c(exp.))/c(exp.), with c(cal.)=0.117 cm^-1 atm^-1. Temperature exponent n is not reported in the paper.</t>
  </si>
  <si>
    <t>Table 2 (nu2 band, He broadening); gamma is experimental half-width c(exp.) in cm^-1 atm^-1 at T=296 K. Experimental data for the nu2 band are taken from Ref. [3] as noted in the table caption. Percentage error is computed as 100*(c(cal.)-c(exp.))/c(exp.), with c(cal.)=0.017 cm^-1 atm^-1. Temperature exponent n is not reported in the paper.</t>
  </si>
  <si>
    <t>Table 2 (nu2 band, N2 broadening); gamma corresponds to the experimental half-width c(exp.) but its numerical value is ambiguous in the OCR-extracted text (0.0109 vs 0.109). Percentage error not given where gamma is missing or ambiguous. Temperature exponent n is not reported in the paper. Gamma value for this m2-band N2-broadened line is ambiguous in the OCR text (0.0109 vs 0.109); original Table 2 should be inspected.</t>
  </si>
  <si>
    <t>Table 2 (nu2 band, N2 broadening); gamma is experimental half-width c(exp.) in cm^-1 atm^-1 at T=296 K. Experimental data for the nu2 band are taken from Ref. [3] as noted in the table caption. Percentage error is computed as 100*(c(cal.)-c(exp.))/c(exp.), with c(cal.)=0.124 cm^-1 atm^-1. Temperature exponent n is not reported in the paper.</t>
  </si>
  <si>
    <t>Table 2 (nu1+nu2+nu3 band, N2 broadening); gamma is experimental half-width c(exp.) in cm^-1 atm^-1 at T=296 K. Percentage error is computed as 100*(c(cal.)-c(exp.))/c(exp.), with c(cal.)=0.118 cm^-1 atm^-1. Absolute uncertainty is 0.0004 cm^-1 atm^-1 from the value in parentheses. Temperature exponent n is not reported in the paper. Line profile in the fitting is a Voigt function modified by Rosenkranz first-order line-mixing approximation.</t>
  </si>
  <si>
    <t>Table 2 (nu1+nu2+nu3 band, He broadening); gamma is experimental half-width c(exp.) in cm^-1 atm^-1 at T=296 K. Experimental He-broadened data for this band were reanalysed in this work. Percentage error is computed as 100*(c(cal.)-c(exp.))/c(exp.), with c(cal.)=0.021 cm^-1 atm^-1. Absolute uncertainty is 0.0004 cm^-1 atm^-1 from the value in parentheses. Temperature exponent n is not reported in the paper. Line profile in the fitting is a Voigt function modified by Rosenkranz first-order line-mixing approximation.</t>
  </si>
  <si>
    <t>Table 2 (nu1+nu2+nu3 band, Ar broadening); gamma is experimental half-width c(exp.) in cm^-1 atm^-1 at T=296 K. Percentage error is computed as 100*(c(cal.)-c(exp.))/c(exp.), with c(cal.)=0.042 cm^-1 atm^-1. Absolute uncertainty is 0.0008 cm^-1 atm^-1 from the value in parentheses. Temperature exponent n is not reported in the paper. Line profile in the fitting is a Voigt function modified by Rosenkranz first-order line-mixing approximation.</t>
  </si>
  <si>
    <t>Table 2 (nu1+nu2+nu3 band, N2 broadening); gamma is experimental half-width c(exp.) in cm^-1 atm^-1 at T=296 K. Percentage error is computed as 100*(c(cal.)-c(exp.))/c(exp.), with c(cal.)=0.113 cm^-1 atm^-1. Absolute uncertainty is 0.0004 cm^-1 atm^-1 from the value in parentheses. Temperature exponent n is not reported in the paper. Line profile in the fitting is a Voigt function modified by Rosenkranz first-order line-mixing approximation.</t>
  </si>
  <si>
    <t>Table 2 (nu1+nu2+nu3 band, He broadening); gamma is experimental half-width c(exp.) in cm^-1 atm^-1 at T=296 K. Experimental He-broadened data for this band were reanalysed in this work. Percentage error is computed as 100*(c(cal.)-c(exp.))/c(exp.), with c(cal.)=0.021 cm^-1 atm^-1. Absolute uncertainty is 0.0003 cm^-1 atm^-1 from the value in parentheses. Temperature exponent n is not reported in the paper. Line profile in the fitting is a Voigt function modified by Rosenkranz first-order line-mixing approximation.</t>
  </si>
  <si>
    <t>Table 2 (nu1+nu2+nu3 band, Ar broadening); gamma is experimental half-width c(exp.) in cm^-1 atm^-1 at T=296 K. Percentage error is computed as 100*(c(cal.)-c(exp.))/c(exp.), with c(cal.)=0.041 cm^-1 atm^-1. Absolute uncertainty is 0.0008 cm^-1 atm^-1 from the value in parentheses. Temperature exponent n is not reported in the paper. Line profile in the fitting is a Voigt function modified by Rosenkranz first-order line-mixing approximation.</t>
  </si>
  <si>
    <t>Table 2 (nu1+nu2+nu3 band, N2 broadening); gamma is experimental half-width c(exp.) in cm^-1 atm^-1 at T=296 K. Percentage error is computed as 100*(c(cal.)-c(exp.))/c(exp.), with c(cal.)=0.085 cm^-1 atm^-1. Absolute uncertainty is 0.0003 cm^-1 atm^-1 from the value in parentheses. Temperature exponent n is not reported in the paper. Line profile in the fitting is a Voigt function modified by Rosenkranz first-order line-mixing approximation.</t>
  </si>
  <si>
    <t>Table 2 (nu1+nu2+nu3 band, He broadening); gamma is experimental half-width c(exp.) in cm^-1 atm^-1 at T=296 K. Experimental He-broadened data for this band were reanalysed in this work. Percentage error is computed as 100*(c(cal.)-c(exp.))/c(exp.), with c(cal.)=0.018 cm^-1 atm^-1. Absolute uncertainty is 0.0005 cm^-1 atm^-1 from the value in parentheses. Temperature exponent n is not reported in the paper. Line profile in the fitting is a Voigt function modified by Rosenkranz first-order line-mixing approximation.</t>
  </si>
  <si>
    <t>Table 2 (nu1+nu2+nu3 band, Ar broadening); gamma is experimental half-width c(exp.) in cm^-1 atm^-1 at T=296 K. Percentage error is computed as 100*(c(cal.)-c(exp.))/c(exp.), with c(cal.)=0.039 cm^-1 atm^-1. Absolute uncertainty is 0.0005 cm^-1 atm^-1 from the value in parentheses. Temperature exponent n is not reported in the paper. Line profile in the fitting is a Voigt function modified by Rosenkranz first-order line-mixing approximation.</t>
  </si>
  <si>
    <t>Table 2 (nu1+nu2+nu3 band, N2 broadening); gamma is experimental half-width c(exp.) in cm^-1 atm^-1 at T=296 K. Percentage error is computed as 100*(c(cal.)-c(exp.))/c(exp.), with c(cal.)=0.111 cm^-1 atm^-1. Absolute uncertainty is 0.0004 cm^-1 atm^-1 from the value in parentheses. Temperature exponent n is not reported in the paper. Line profile in the fitting is a Voigt function modified by Rosenkranz first-order line-mixing approximation.</t>
  </si>
  <si>
    <t>Table 2 (nu1+nu2+nu3 band, He broadening); gamma is experimental half-width c(exp.) in cm^-1 atm^-1 at T=296 K. Experimental He-broadened data for this band were reanalysed in this work. Percentage error is computed as 100*(c(cal.)-c(exp.))/c(exp.), with c(cal.)=0.020 cm^-1 atm^-1. Absolute uncertainty is 0.0004 cm^-1 atm^-1 from the value in parentheses. Temperature exponent n is not reported in the paper. Line profile in the fitting is a Voigt function modified by Rosenkranz first-order line-mixing approximation.</t>
  </si>
  <si>
    <t>Table 2 (nu1+nu2+nu3 band, Ar broadening); gamma is experimental half-width c(exp.) in cm^-1 atm^-1 at T=296 K. Percentage error is computed as 100*(c(cal.)-c(exp.))/c(exp.), with c(cal.)=0.040 cm^-1 atm^-1. Absolute uncertainty is 0.0006 cm^-1 atm^-1 from the value in parentheses. Temperature exponent n is not reported in the paper. Line profile in the fitting is a Voigt function modified by Rosenkranz first-order line-mixing approximation.</t>
  </si>
  <si>
    <t xml:space="preserve">Experimental γ(exp) for ν₂-band line at 2065.018 cm⁻¹ from Table 1; Ne-broadening at T = 296 K; line profile Voigt (text above Table 1); n taken as global exponent n20 for H2O–Ne from Table 6; no experimental uncertainty reported in this paper. </t>
  </si>
  <si>
    <t xml:space="preserve">γ(exp) at 2115.016 cm⁻¹ from Table 1 for H2O–Ne; ν₂ band, T = 296 K; Voigt profile; n = n20 for Ne from Table 6; no per-line uncertainty given. </t>
  </si>
  <si>
    <t xml:space="preserve">γ(exp) at 2114.983 cm⁻¹ from Table 1 (H2O–Ne); ν₂ band; Voigt profile; global n20 for Ne used; experimental error bars not reported. </t>
  </si>
  <si>
    <t xml:space="preserve">γ(exp) at 2046.516 cm⁻¹ from Table 1 for Ne broadening; ν₂ band; Voigt profile; n = 0.4292 from Table 6 (global Ne exponent); no γ uncertainty provided. </t>
  </si>
  <si>
    <t xml:space="preserve">γ(exp) at 2087.408 cm⁻¹ (H2O–Ne) from Table 1; T = 296 K; Voigt line-shape model; global n20 for Ne applied; uncertainty on γ not given. </t>
  </si>
  <si>
    <t xml:space="preserve">γ(exp) at 2078.568 cm⁻¹ (Ne broadening) from Table 1; ν₂ band at 296 K; Voigt profile; n column uses n20 for H2O–Ne; no experimental γ error quoted. </t>
  </si>
  <si>
    <t xml:space="preserve">γ(exp) at 1892.598 cm⁻¹ for H2O–Ne from Table 1; ν₂ band; Voigt profile; T = 296 K; n = 0.4292 from Table 6; γ uncertainty not specified. </t>
  </si>
  <si>
    <t xml:space="preserve">γ(exp) at 1879.599 cm⁻¹ (Ne) from Table 1; ν₂ band at 296 K; Voigt profile; n uses global Ne exponent; no per-line uncertainty reported. </t>
  </si>
  <si>
    <t xml:space="preserve">γ(exp) at 1914.582 cm⁻¹ (Ne broadening) in Table 1; ν₂ band; Voigt line profile; T = 296 K; n = n20(Ne); uncertainty on γ not given. </t>
  </si>
  <si>
    <t xml:space="preserve">γ(exp) at 1897.521 cm⁻¹ for H2O–Ne from Table 1; Voigt profile at 296 K; ν₂ band; n from Table 6 (Ne); experimental γ uncertainty not provided. </t>
  </si>
  <si>
    <t xml:space="preserve">γ(exp) at 1864.057 cm⁻¹ (Ne) from Table 1; ν₂-band transition; Voigt profile at T = 296 K; n = 0.4292 (Ne global); no uncertainty information in paper. </t>
  </si>
  <si>
    <t xml:space="preserve">γ(exp) at 1879.019 cm⁻¹ (H2O–Ne) from Table 1; ν₂ band; retrieved with Voigt profile at 296 K; n from Table 6 (Ne); experimental error not stated. </t>
  </si>
  <si>
    <t>hard-collision (Rautian–Sobelman)</t>
  </si>
  <si>
    <t xml:space="preserve">γ(exp) at 1361.796 cm⁻¹ (H2O–Xe) from Table 1; ν₂ band; Xe-broadening with hard-collision model; T = 296 K; n = 0.5141 from Table 6 (global Xe exponent); no experimental uncertainty reported. </t>
  </si>
  <si>
    <t xml:space="preserve">γ(exp) at 1369.953 cm⁻¹ from Table 1 for H2O–Xe; ν₂ band; hard-collision profile; 296 K; n = n20(Xe); uncertainty in γ not given. </t>
  </si>
  <si>
    <t xml:space="preserve">γ(exp) at 1369.828 cm⁻¹ (Xe broadening) in Table 1; ν₂ band; hard-collision model at 296 K; n from Table 6 (Xe); no line-specific γ uncertainty. </t>
  </si>
  <si>
    <t xml:space="preserve">γ(exp) at 1317.616 cm⁻¹ for H2O–Xe from Table 1; ν₂ band; Xe broadening using hard-collision profile; T = 296 K; n = 0.5141 (Xe global); no γ uncertainty given. </t>
  </si>
  <si>
    <t xml:space="preserve">γ(exp) at 1317.610 cm⁻¹ (H2O–Xe) from Table 1; ν₂ band at 296 K; hard-collision model; n from Table 6 (Xe); experimental γ error not reported. </t>
  </si>
  <si>
    <t xml:space="preserve">γ(exp) at 1956.2330 cm⁻¹ for H2O–Kr from Table 1; ν₂ band; Kr broadening with hard-collision model; T = 296 K; n = n20 for Kr from Table 6; no uncertainty reported. </t>
  </si>
  <si>
    <t xml:space="preserve">γ(exp) at 1976.1980 cm⁻¹ (Kr) from Table 1; ν₂ band; hard-collision line profile; 296 K; n uses global Kr exponent n20; γ uncertainty not given. </t>
  </si>
  <si>
    <t xml:space="preserve">γ(exp) at 1859.8650 cm⁻¹ (H2O–Kr) in Table 1; ν₂ band; hard-collision profile; T = 296 K; n = 0.4749 (Kr); uncertainty in γ not reported. </t>
  </si>
  <si>
    <t xml:space="preserve">γ(exp) at 1856.2600 cm⁻¹ for H2O–Kr from Table 1; ν₂ band, 296 K; hard-collision line-shape; n from Table 6 (Kr); γ uncertainty not specified. </t>
  </si>
  <si>
    <t xml:space="preserve">γ(exp) at 2026.6020 cm⁻¹ (Kr) from Table 1; ν₂ band; hard-collision profile; T = 296 K; n = n20(Kr); no uncertainty reported. </t>
  </si>
  <si>
    <t xml:space="preserve">γ(exp) at 2137.2230 cm⁻¹ for H2O–Xe from Table 1; ν₂ band; Xe broadening with hard-collision model; 296 K; n = 0.5141 (Xe); experimental uncertainty not reported. </t>
  </si>
  <si>
    <t xml:space="preserve">γ(exp) at 1379.745 cm⁻¹ (Xe) from Table 1; ν₂ band; hard-collision profile; T = 296 K; n taken as n20(Xe); γ uncertainty not provided. </t>
  </si>
  <si>
    <t xml:space="preserve">γ(exp) at 2097.3670 cm⁻¹ for H2O–Kr from Table 1; ν₂ band; hard-collision model; T = 296 K; n from Table 6 (Kr); no γ uncertainty specified; note Ka'' = 0 is given explicitly in table. </t>
  </si>
  <si>
    <t xml:space="preserve">γ(exp) at 1390.522 cm⁻¹ (H2O–Xe) in Table 1; ν₂ band; hard-collision profile; 296 K; n = 0.5141; uncertainty not reported. </t>
  </si>
  <si>
    <t xml:space="preserve">γ(exp) at 2081.8730 cm⁻¹ (Kr) from Table 1; ν₂ band; hard-collision line profile; T = 296 K; n from Table 6 (Kr); no γ uncertainty given. </t>
  </si>
  <si>
    <t xml:space="preserve">γ(exp) at 1225.086 cm⁻¹ for H2O–Xe from Table 1; ν₂ band; hard-collision model; 296 K; n = n20(Xe); no experimental γ error given. </t>
  </si>
  <si>
    <t xml:space="preserve">γ(exp) at 2139.3280 cm⁻¹ (Kr) from Table 1; ν₂ band; hard-collision profile; T = 296 K; n = 0.4749 from Table 6; γ uncertainty not reported. </t>
  </si>
  <si>
    <t xml:space="preserve">γ(exp) at 1338.286 cm⁻¹ (Xe) in Table 1; ν₂ band; hard-collision model; 296 K; n = n20(Xe); no uncertainty stated. </t>
  </si>
  <si>
    <t xml:space="preserve">γ(exp) at 1949.2497 cm⁻¹ (H2O–Kr) from Table 1; ν₂ band; hard-collision profile; T = 296 K; n from Table 6; γ uncertainty not given. </t>
  </si>
  <si>
    <t xml:space="preserve">γ(exp) at 1378.493 cm⁻¹ for Xe broadening from Table 1; ν₂ band; hard-collision; 296 K; n = 0.5141; no uncertainty reported. </t>
  </si>
  <si>
    <t xml:space="preserve">γ(exp) at 1892.5980 cm⁻¹ (H2O–Kr) in Table 1; ν₂ band; hard-collision model; T = 296 K; n from Table 6 (Kr); no γ error given. </t>
  </si>
  <si>
    <t xml:space="preserve">γ(exp) at 1198.178 cm⁻¹ for H2O–Xe from Table 1; ν₂ band; hard-collision; 296 K; n = n20(Xe); uncertainty not provided. </t>
  </si>
  <si>
    <t xml:space="preserve">γ(exp) at 1957.6554 cm⁻¹ (Kr) from Table 1; ν₂ band; hard-collision; 296 K; n = 0.4749; no γ uncertainty reported. </t>
  </si>
  <si>
    <t xml:space="preserve">γ(exp) at 1288.886 cm⁻¹ (Xe) from Table 1; ν₂ band; hard-collision; 296 K; n = n20(Xe); uncertainty not given. </t>
  </si>
  <si>
    <t xml:space="preserve">γ(exp) at 1879.5990 cm⁻¹ (H2O–Kr) from Table 1; ν₂ band; hard-collision; 296 K; n = 0.4749; no uncertainty provided. </t>
  </si>
  <si>
    <t xml:space="preserve">γ(exp) at 1403.462 cm⁻¹ for H2O–Xe from Table 1; ν₂ band; hard-collision; 296 K; n from Table 6 (Xe); γ uncertainty not reported. </t>
  </si>
  <si>
    <t xml:space="preserve">γ(exp) at 1914.5816 cm⁻¹ (Kr) in Table 1; ν₂ band; hard-collision profile; 296 K; n = 0.4749; no γ error given. </t>
  </si>
  <si>
    <t xml:space="preserve">γ(exp) at 1280.047 cm⁻¹ (Xe) from Table 1; ν₂ band; hard-collision; 296 K; n = n20(Xe); no experimental uncertainty given. </t>
  </si>
  <si>
    <t xml:space="preserve">γ(exp) at 1897.5212 cm⁻¹ (Kr) from Table 1; ν₂ band; hard-collision model at 296 K; n = 0.4749; the reported γ(calcd) appears as ‘0.069’ in OCR but is not used; uncertainty in γ(exp) not provided. </t>
  </si>
  <si>
    <t xml:space="preserve">γ(exp) at 1266.668 cm⁻¹ (H2O–Xe) from Table 1; ν₂ band; hard-collision; 296 K; n from Table 6 (Xe); γ uncertainty not reported. </t>
  </si>
  <si>
    <t xml:space="preserve">γ(exp) at 1897.3720 cm⁻¹ (Kr) from Table 1; ν₂ band; hard-collision; 296 K; n = 0.4749; no per-line uncertainty given. </t>
  </si>
  <si>
    <t xml:space="preserve">γ(exp) at 1390.758 cm⁻¹ (Xe) from Table 1; ν₂ band; hard-collision profile; T = 296 K; n = n20(Xe); γ uncertainty not specified. </t>
  </si>
  <si>
    <t xml:space="preserve">γ(exp) at 1937.9460 cm⁻¹ (H2O–Kr) in Table 1; ν₂ band; hard-collision; 296 K; n = 0.4749; experimental γ error not given. </t>
  </si>
  <si>
    <t xml:space="preserve">γ(exp) at 1382.062 cm⁻¹ (Xe) from Table 1; ν₂ band; hard-collision; 296 K; n = 0.5141; no γ uncertainty reported. </t>
  </si>
  <si>
    <t xml:space="preserve">γ(exp) at 1879.0190 cm⁻¹ (H2O–Kr) from Table 1; ν₂ band; hard-collision profile; 296 K; n = n20(Kr); uncertainty not provided. </t>
  </si>
  <si>
    <t xml:space="preserve">γ(exp) = 1.046 MHz/Torr (0.0265 cm⁻¹/atm) for the rotational line [3 1 3] ← [2 2 0] broadened by Ne, quoted in the discussion section from Ref. 30; only ‘room temperature’ is specified in this paper so the numerical T is marked ‘uncertain’; line profile is not described here; n uses global n20(Ne) from Table 6; no experimental uncertainty given. </t>
  </si>
  <si>
    <t xml:space="preserve">γ(exp) = 2.36 MHz/Torr (0.0598 cm⁻¹/atm) for the same rotational line [3 1 3] ← [2 2 0] broadened by Kr, quoted from Ref. 30; described only as ‘room temperature’ in this paper so T is ‘uncertain’; line profile not specified here; n uses global n20(Kr) from Table 6; no γ uncertainty reported. </t>
  </si>
  <si>
    <t>γ(exp.) for H2O ν2 band broadened by Ne; Table 6, Starikov (2018). Uncertainties, temperature exponent n, temperature and line profile not given.</t>
  </si>
  <si>
    <t>γ(exp.) for H2O ν2 band broadened by Ne; Table 6, Starikov (2018). Uncertainties, n, temperature and line profile not given.</t>
  </si>
  <si>
    <t>γ(exp.) for pure rotational H2O line [2 2 0]→[3 1 3] (183 GHz) broadened by Ne; Table 6, Starikov (2018), after Golubiatnikov (2005). J'–J'' assignment follows the stated line notation; n, temperature, line profile and experimental uncertainties not given.</t>
  </si>
  <si>
    <t>γ(exp.) for H2O ν2 band broadened by Kr; Table 6, Starikov (2018). Uncertainties, n, temperature and line profile not given.</t>
  </si>
  <si>
    <t>γ(exp.) for pure rotational H2O line [2 2 0]→[3 1 3] (183 GHz) broadened by Kr; Table 6, Starikov (2018), after Golubiatnikov (2005). J'–J'' assignment follows the stated line notation; n, temperature, line profile and experimental uncertainties not given.</t>
  </si>
  <si>
    <t>γ(exp.) for H2O ν2 band broadened by Xe; Table 6, Starikov (2018). Uncertainties, n, temperature and line profile not given.</t>
  </si>
  <si>
    <t>γ(exp.) for H2O ν2 band broadened by Xe (higher-J region); Table 6, Starikov (2018). Uncertainties, n, temperature and line profile not given.</t>
  </si>
  <si>
    <t>γ(exp.) for H2O ν2 band broadened by Xe (1360 cm⁻¹ region); Table 6, Starikov (2018). Uncertainties, n, temperature and line profile not given.</t>
  </si>
  <si>
    <t>γ(exp.) for H2O ν2 band broadened by Xe (1320 cm⁻¹ region); Table 6, Starikov (2018). Uncertainties, n, temperature and line profile not given.</t>
  </si>
  <si>
    <t>γ(exp.) for H2O ν1 band broadened by Xe near 3467 cm⁻¹; Tables 3 and 6, Starikov (2018), after Lisak et al. (2004). Uncertainties, n, temperature and line profile not given.</t>
  </si>
  <si>
    <t>γ(exp.) for H2O ν1 band broadened by Xe near 3497 cm⁻¹; Tables 3 and 6, Starikov (2018), after Lisak et al. (2004). Uncertainties, n, temperature and line profile not given.</t>
  </si>
  <si>
    <t>γ(exp.) for H2O ν1 band broadened by Xe near 3544 cm⁻¹; Tables 3 and 6, Starikov (2018), after Lisak et al. (2004). Uncertainties, n, temperature and line profile not given.</t>
  </si>
  <si>
    <t>γ(exp.) for H2O ν3 band broadened by Xe near 3497 cm⁻¹; Tables 3 and 6, Starikov (2018), after Lisak et al. (2004). Uncertainties, n, temperature and line profile not given.</t>
  </si>
  <si>
    <t>γ(exp.) for H2O ν3 band broadened by Xe near 3528 cm⁻¹; Tables 3 and 6, Starikov (2018), after Lisak et al. (2004). Uncertainties, n, temperature and line profile not given.</t>
  </si>
  <si>
    <t>γ(exp.) for H2O ν1+3ν3 band line [4 1 4]→[5 1 5] broadened by Ne; Table 4, Starikov (2018), after Bykov et al. (1994). Uncertainties, n, temperature and line profile not given.</t>
  </si>
  <si>
    <t>γ(exp.) for H2O ν1+3ν3 band line [4 1 4]→[5 1 5] broadened by Kr; Table 4, Starikov (2018), after Bykov et al. (1994). Uncertainties, n, temperature and line profile not given.</t>
  </si>
  <si>
    <t>γ(exp.) for H2O ν1+3ν3 band line [4 1 4]→[5 1 5] broadened by Xe; Table 4, Starikov (2018), after Bykov et al. (1994). Uncertainties, n, temperature and line profile not given.</t>
  </si>
  <si>
    <t>hard/soft collision (Dicke)</t>
  </si>
  <si>
    <t>LINE MIXING PROVIDED: Table 2 (nu2 band, N2 broadening); gamma is experimental half-width c(exp.) in cm^-1 atm^-1 at T=296 K. Experimental data for the nu2 band are taken from Ref. [3] as noted in the table caption. Percentage error is computed as 100*(c(cal.)-c(exp.))/c(exp.), with c(cal.)=0.122 cm^-1 atm^-1. Temperature exponent n is not reported in the paper.</t>
  </si>
  <si>
    <t>γ is experimental halfwidth per atm; experimental uncertainty, percentage error in γ, temperature exponent n and line profile are not reported in the paper; data from Table 3 (argon broadening), transition (0,2,0)→(0,0,0), ν=4007.5888 cm⁻¹.</t>
  </si>
  <si>
    <t>γ is experimental halfwidth per atm; experimental uncertainty, percentage error in γ, temperature exponent n and line profile are not reported; data from Table 3 (argon broadening), transition (0,4,0)→(0,0,0), ν=7026.17856 cm⁻¹.</t>
  </si>
  <si>
    <t>γ is experimental halfwidth per atm; experimental uncertainty, percentage error in γ, temperature exponent n and line profile are not reported; data from Table 3 (argon broadening), transition (0,4,0)→(0,0,0), ν=7031.47330 cm⁻¹.</t>
  </si>
  <si>
    <t>γ is experimental halfwidth per atm; experimental uncertainty, percentage error in γ, temperature exponent n and line profile are not reported; data from Table 3 (argon broadening), transition (0,5,0)→(0,0,0), ν=7479.0916 cm⁻¹.</t>
  </si>
  <si>
    <t>γ is experimental halfwidth per atm; experimental uncertainty, percentage error in γ, temperature exponent n and line profile are not reported; data from Table 3 (argon broadening), transition (0,6,0)→(0,0,0), ν=8954.1302 cm⁻¹.</t>
  </si>
  <si>
    <t>γ is experimental halfwidth per atm; experimental uncertainty, percentage error in γ, temperature exponent n and line profile are not reported; data from Table 3 (argon broadening), transition (0,6,0)→(0,0,0), ν=8847.7321 cm⁻¹.</t>
  </si>
  <si>
    <t>γ is experimental halfwidth per atm; experimental uncertainty, percentage error in γ, temperature exponent n and line profile are not reported; data from Table 3 (argon broadening), transition (0,6,0)→(0,0,0), ν=8618.2351 cm⁻¹.</t>
  </si>
  <si>
    <t>γ is experimental halfwidth per atm; experimental uncertainty, percentage error in γ, temperature exponent n and line profile are not reported; data from Table 3 (krypton broadening), rotational transition (0,0,0)→(0,0,0); line wavenumber not explicitly given in the table text.</t>
  </si>
  <si>
    <t>γ is experimental halfwidth per atm; experimental uncertainty, percentage error in γ, temperature exponent n and line profile are not reported; data from Table 3 (hydrogen broadening), transition (0,6,0)→(0,0,0), ν=8954.1302 cm⁻¹.</t>
  </si>
  <si>
    <t>γ is experimental halfwidth per atm; experimental uncertainty, percentage error in γ, temperature exponent n and line profile are not reported; data from Table 3 (hydrogen broadening), transition (0,6,0)→(0,0,0), ν=8847.7321 cm⁻¹.</t>
  </si>
  <si>
    <t>γ is experimental halfwidth per atm; experimental uncertainty, percentage error in γ, temperature exponent n and line profile are not reported; data from Table 3 (hydrogen broadening), transition (0,6,0)→(0,0,0), ν=8618.2351 cm⁻¹.</t>
  </si>
  <si>
    <t>γ is experimental halfwidth per atm; experimental uncertainty, percentage error in γ, temperature exponent n and line profile are not reported; data from Table 3 (helium broadening), transition (0,6,0)→(0,0,0), ν=8954.1302 cm⁻¹; only the experimental γ and δ values are needed here, so missing calculated values in the OCR do not affect this row.</t>
  </si>
  <si>
    <t>γ is experimental halfwidth per atm; experimental uncertainty, percentage error in γ, temperature exponent n and line profile are not reported; data from Table 3 (helium broadening), transition (0,6,0)→(0,0,0), ν=8847.7321 cm⁻¹.</t>
  </si>
  <si>
    <t>γ is experimental halfwidth per atm; experimental uncertainty, percentage error in γ, temperature exponent n and line profile are not reported; data from Table 3 (helium broadening), transition (0,6,0)→(0,0,0), ν=8618.2351 cm⁻¹.</t>
  </si>
  <si>
    <t>Calculated γ from Eq.(1) in Table 1 for [0 0 0]→[1 0 1] H2O line broadened by He; calculations carried out at P = 1 atm and T = 296 K; γ is the half-width at half-maximum (HWHM) in cm−1/atm as defined in Eq.(1). Temperature exponent n, percentage error, and absolute uncertainty are not reported, so set to N/A. Data location: Table 1, CALCULATION OF γ(v) section.</t>
  </si>
  <si>
    <t>Calculated γ from Eq.(6) in Table 1 for [0 0 0]→[1 0 1] H2O line broadened by He; calculations at P = 1 atm and T = 296 K; γ is HWHM in cm−1/atm after averaging over absorber speed. Temperature exponent n, percentage error, and absolute uncertainty not reported, so set to N/A. Data location: Table 1, CALCULATION OF γ(v) section.</t>
  </si>
  <si>
    <t>Experimental γ from Ref. [1] as reproduced in Table 1 for [0 0 0]→[1 0 1] H2O line broadened by He; fitted with the traditional Voigt profile as stated in the CALCULATION OF γ(v) section. Experimental temperature, temperature exponent n, and measurement uncertainty are not specified in this paper, so those columns are set to N/A. Data location: Table 1 text and caption.</t>
  </si>
  <si>
    <t>Calculated γ from Eq.(1) in Table 1 for [0 0 0]→[1 0 1] H2O line broadened by Ar; calculations at P = 1 atm and T = 296 K; γ is HWHM in cm−1/atm. Temperature exponent n, percentage error, and absolute uncertainty not reported, so set to N/A. Data location: Table 1, CALCULATION OF γ(v) section.</t>
  </si>
  <si>
    <t>Calculated γ from Eq.(6) in Table 1 for [0 0 0]→[1 0 1] H2O line broadened by Ar; calculations at P = 1 atm and T = 296 K; γ is HWHM in cm−1/atm after averaging over absorber speed. Temperature exponent n, percentage error, and absolute uncertainty not reported, so set to N/A. Data location: Table 1, CALCULATION OF γ(v) section.</t>
  </si>
  <si>
    <t>quadratic Voigt (SDV)</t>
  </si>
  <si>
    <t>Experimental γ from Ref. [1] as reproduced in Table 1 for [0 0 0]→[1 0 1] H2O line broadened by Ar; fitted with the quadratic Voigt (speed-dependent Voigt, SDV) profile as stated in the text. Experimental temperature, temperature exponent n, and measurement uncertainty are not specified in this paper, so those columns are set to N/A. Data location: Table 1 and discussion of experimental γ in CALCULATION OF γ(v) section.</t>
  </si>
  <si>
    <t>Calculated γ from Eq.(1) in Table 1 for [0 0 0]→[1 0 1] H2O line broadened by Kr (table header OCR may show Cr, but context and text clearly indicate Kr); calculations at P = 1 atm and T = 296 K; γ is HWHM in cm−1/atm. Temperature exponent n, percentage error, and absolute uncertainty not reported, so set to N/A. Data location: Table 1, CALCULATION OF γ(v) section.</t>
  </si>
  <si>
    <t>Calculated γ from Eq.(6) in Table 1 for [0 0 0]→[1 0 1] H2O line broadened by Kr; calculations at P = 1 atm and T = 296 K; γ is HWHM in cm−1/atm after averaging over absorber speed. Temperature exponent n, percentage error, and absolute uncertainty not reported, so set to N/A. Data location: Table 1, CALCULATION OF γ(v) section.</t>
  </si>
  <si>
    <t>Experimental γ from Ref. [1] as reproduced in Table 1 for [0 0 0]→[1 0 1] H2O line broadened by Kr; fitted with the quadratic Voigt (SDV) profile as stated in the text for gases other than He. Experimental temperature, temperature exponent n, and measurement uncertainty are not specified in this paper, so those columns are set to N/A. Data location: Table 1 and CALCULATION OF γ(v) section.</t>
  </si>
  <si>
    <t>Calculated γ from Eq.(1) in Table 1 for [0 0 0]→[1 0 1] H2O line broadened by Xe; calculations at P = 1 atm and T = 296 K; γ is HWHM in cm−1/atm. Temperature exponent n, percentage error, and absolute uncertainty not reported, so set to N/A. Data location: Table 1, CALCULATION OF γ(v) section.</t>
  </si>
  <si>
    <t>Calculated γ from Eq.(6) in Table 1 for [0 0 0]→[1 0 1] H2O line broadened by Xe; calculations at P = 1 atm and T = 296 K; γ is HWHM in cm−1/atm after averaging over absorber speed. Temperature exponent n, percentage error, and absolute uncertainty not reported, so set to N/A. Data location: Table 1, CALCULATION OF γ(v) section.</t>
  </si>
  <si>
    <t>Experimental γ from Ref. [1] as reproduced in Table 1 for [0 0 0]→[1 0 1] H2O line broadened by Xe; fitted with the quadratic Voigt (SDV) profile as stated in the text. Experimental temperature, temperature exponent n, and measurement uncertainty are not specified in this paper, so those columns are set to N/A. Data location: Table 1 and associated discussion.</t>
  </si>
  <si>
    <t>Calculated γ from Eq.(1) in Table 1 for [4 0 4]→[5 0 5] H2O line broadened by He; calculations at P = 1 atm and T = 296 K; γ is HWHM in cm−1/atm. Temperature exponent n, percentage error, and absolute uncertainty not reported, so set to N/A. Data location: Table 1.</t>
  </si>
  <si>
    <t>Calculated γ from Eq.(6) in Table 1 for [4 0 4]→[5 0 5] H2O line broadened by He; calculations at P = 1 atm and T = 296 K; γ is HWHM in cm−1/atm after averaging over absorber speed. Temperature exponent n, percentage error, and absolute uncertainty not reported, so set to N/A. Data location: Table 1.</t>
  </si>
  <si>
    <t>Experimental γ from Ref. [1] as reproduced in Table 1 for [4 0 4]→[5 0 5] H2O line broadened by He; fitted with the traditional Voigt profile. Experimental temperature, temperature exponent n, and measurement uncertainty are not specified in this paper, so those columns are set to N/A. Data location: Table 1 and CALCULATION OF γ(v) section.</t>
  </si>
  <si>
    <t>Calculated γ from Eq.(1) in Table 1 for [4 0 4]→[5 0 5] H2O line broadened by Ar; calculations at P = 1 atm and T = 296 K; γ is HWHM in cm−1/atm. Temperature exponent n, percentage error, and absolute uncertainty not reported, so set to N/A. Data location: Table 1.</t>
  </si>
  <si>
    <t>Calculated γ from Eq.(6) in Table 1 for [4 0 4]→[5 0 5] H2O line broadened by Ar; calculations at P = 1 atm and T = 296 K; γ is HWHM in cm−1/atm after averaging over absorber speed. Temperature exponent n, percentage error, and absolute uncertainty not reported, so set to N/A. Data location: Table 1.</t>
  </si>
  <si>
    <t>Experimental γ from Ref. [1] as reproduced in Table 1 for [4 0 4]→[5 0 5] H2O line broadened by Ar; fitted with the quadratic Voigt (SDV) profile. Experimental temperature, temperature exponent n, and measurement uncertainty are not specified in this paper, so those columns are set to N/A. Data location: Table 1 and CALCULATION OF γ(v) section.</t>
  </si>
  <si>
    <t>Calculated γ from Eq.(1) in Table 1 for [4 0 4]→[5 0 5] H2O line broadened by Kr; calculations at P = 1 atm and T = 296 K; γ is HWHM in cm−1/atm. Temperature exponent n, percentage error, and absolute uncertainty not reported, so set to N/A. Data location: Table 1.</t>
  </si>
  <si>
    <t>Calculated γ from Eq.(6) in Table 1 for [4 0 4]→[5 0 5] H2O line broadened by Kr; calculations at P = 1 atm and T = 296 K; γ is HWHM in cm−1/atm after averaging over absorber speed. Temperature exponent n, percentage error, and absolute uncertainty not reported, so set to N/A. Data location: Table 1.</t>
  </si>
  <si>
    <t>Experimental γ from Ref. [1] as reproduced in Table 1 for [4 0 4]→[5 0 5] H2O line broadened by Kr; fitted with the quadratic Voigt (SDV) profile. Experimental temperature, temperature exponent n, and measurement uncertainty are not specified in this paper, so those columns are set to N/A. Data location: Table 1 and associated text.</t>
  </si>
  <si>
    <t xml:space="preserve">Calculated γ from Eq.(1) in Table 1 for [4 0 4]→[5 0 5] H2O line broadened by Xe; calculations at P = 1 atm and T = 296 K; γ is HWHM in cm−1/atm. Temperature exponent n, percentage error, and absolute uncertainty not reported, so set to N/A. D
</t>
  </si>
  <si>
    <t>Supplementary information</t>
  </si>
  <si>
    <t>SDVP</t>
  </si>
  <si>
    <t>Broadening coefficient gamma and its uncertainty Delta_gamma for H2O–H2 at wavenumber nu=8603.30940 cm^-1, with shift delta=-0.01520±0.00017 cm^-1/atm and narrowing coefficient q=0.00609±0.00041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</si>
  <si>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nu=8603.40010 cm^-1, with shift delta=-0.01494±0.00052 cm^-1/atm and narrowing coefficient q=0.00846±0.00128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</si>
  <si>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nu=8609.83165 cm^-1, with shift delta=-0.01236±0.00039 cm^-1/atm and narrowing coefficient q=0.00279±0.00107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</si>
  <si>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nu=8617.64580 cm^-1, with shift delta=-0.01469±0.00015 cm^-1/atm and narrowing coefficient q=0.00392±0.00037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</si>
  <si>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nu=8636.75802 cm^-1, with shift delta=-0.01444±0.00007 cm^-1/atm and narrowing coefficient q=0.00642±0.00021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</si>
  <si>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nu=8636.97211 cm^-1, with shift delta=-0.01413±0.00033 cm^-1/atm and narrowing coefficient q=0.00873±0.00091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</si>
  <si>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nu=8652.08769 cm^-1, with shift delta=-0.01608±0.00005 cm^-1/atm and narrowing coefficient q=0.00335±0.00012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</si>
  <si>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nu=8652.40304 cm^-1, with shift delta=-0.01605±0.00015 cm^-1/atm and narrowing coefficient q=0.00054±0.00036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</si>
  <si>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nu=8658.07944 cm^-1, with shift delta=-0.01397±0.00023 cm^-1/atm and narrowing coefficient q=0.00129±0.00074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</si>
  <si>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nu=8662.01710 cm^-1, with shift delta=-0.01259±0.00013 cm^-1/atm and narrowing coefficient q=0.00601±0.00039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</si>
  <si>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nu=8665.13114 cm^-1, with shift delta=-0.01377±0.00005 cm^-1/atm and narrowing coefficient q=0.01377±0.00005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</si>
  <si>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nu=8680.25905 cm^-1, with shift delta=-0.01257±0.00005 cm^-1/atm and narrowing coefficient q=0.00330±0.00016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</si>
  <si>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Broadening coefficient gamma and its uncertainty Delta_gamma for H2O–H2 at wavenumber nu=8698.52547 cm^-1, with shift delta=-0.01639±0.00009 cm^-1/atm and narrowing coefficient q=0.00374±0.00025 cm^-1/atm. Line parameters were retrieved by fitting Voigt and speed-dependent Voigt (SDVP) profiles; the paper states that SDVP gives better fits, but it does not explicitly specify which profile was used for the tabulated coefficients. Rotational quantum numbers J, Ka, Kc and temperature exponent n are not reported in this paper. Experimental temperature was room temperature ~18 °C (~291 K) for all spectra. Source: Table 1 and Section 2.</t>
  </si>
  <si>
    <t>Experimental He-broadening coefficient c from Table 1, band 3ν3. Line profile fitted with Voigt function as described in Section 2/Fig. 1. Temperature exponent n not reported. Percentage error in gamma not defined in paper (uncertain whether to reference calculated c or model c(sur)); value not computed.</t>
  </si>
  <si>
    <t>Experimental He-broadening coefficient c from Table 1, band 3ν3. Line profile fitted with Voigt function as described in Section 2/Fig. 1. Temperature exponent n not reported. Percentage error in gamma not defined in paper; value not computed.</t>
  </si>
  <si>
    <t>Experimental He-broadening coefficient c from Table 1, band 3ν3. Line profile fitted with Voigt function. Temperature exponent n not reported. Percentage error in gamma not defined in paper; value not computed.</t>
  </si>
  <si>
    <t>Experimental He-broadening coefficient c from Table 1, band 3ν3. Upper state involved in Coriolis resonance (flag C12 in Table 1). Line profile fitted with Voigt function. Temperature exponent n not reported. Percentage error in gamma not defined in paper; value not computed.</t>
  </si>
  <si>
    <t>Experimental He-broadening coefficient c from Table 1, band 3ν3. Upper state involved in Coriolis resonance (flag C17 in Table 1). Line profile fitted with Voigt function. Temperature exponent n not reported. Percentage error in gamma not defined in paper; value not computed.</t>
  </si>
  <si>
    <t>Experimental He-broadening coefficient c from Table 1, band 3ν1. Line profile fitted with Voigt function. Temperature exponent n not reported. Percentage error in gamma not defined in paper; value not computed.</t>
  </si>
  <si>
    <t>Experimental He-broadening coefficient c from Table 1, band ν1+2ν2+ν3. Line profile fitted with Voigt function. Temperature exponent n not reported. Percentage error in gamma not defined in paper; value not computed.</t>
  </si>
  <si>
    <t>Experimental He-broadening coefficient c from Table 1, band ν1+2ν2+ν3. Upper state involved in Coriolis resonance (flag C12 in Table 1). Line profile fitted with Voigt function. Temperature exponent n not reported. Percentage error in gamma not defined in paper; value not computed.</t>
  </si>
  <si>
    <t>Experimental He-broadening coefficient c from Table 1, band 2ν1+ν3. Upper state involved in Coriolis resonance (flag C12 in Table 1). Line profile fitted with Voigt function. Temperature exponent n not reported. Percentage error in gamma not defined in paper; value not computed.</t>
  </si>
  <si>
    <t>Experimental He-broadening coefficient c from Table 1, band 2ν1+ν3. Upper state involved in Coriolis resonance (flag C7 in Table 1). Line profile fitted with Voigt function. Temperature exponent n not reported. Percentage error in gamma not defined in paper; value not computed.</t>
  </si>
  <si>
    <t>Experimental He-broadening coefficient c from Table 1, band 2ν1+ν3. Line profile fitted with Voigt function. Temperature exponent n not reported. Percentage error in gamma not defined in paper; value not computed.</t>
  </si>
  <si>
    <t>Experimental He-broadening coefficient c از Table 1, band 2ν1+ν3. Line profile fitted with Voigt function. Temperature exponent n not reported. Percentage error in gamma not defined; value not computed.</t>
  </si>
  <si>
    <t>Experimental He-broadening coefficient c from Table 1, band 2ν1+ν3. Upper state involved in Coriolis resonance (flag C12 in Table 1). Line profile fitted with Voigt function. Temperature exponent n not reported. Percentage error in gamma not defined; value not computed.</t>
  </si>
  <si>
    <t>Experimental He-broadening coefficient c from Table 1, band 2ν1+ν3. Line profile fitted with Voigt function. Temperature exponent n not reported. Percentage error in gamma not defined; value not computed.</t>
  </si>
  <si>
    <t>Experimental He-broadening coefficient c from Table 1, band 2ν1+ν3. Upper state involved in Coriolis resonance (flag C7 in Table 1). Line profile fitted with Voigt function. Temperature exponent n not reported. Percentage error in gamma not defined; value not computed.</t>
  </si>
  <si>
    <t>Experimental He-broadening coefficient c from Table 1, band 2ν1+ν3. Upper state involved in Coriolis resonance (flag C11 in Table 1). Line profile fitted with Voigt function. Temperature exponent n not reported. Percentage error in gamma not defined; value not computed.</t>
  </si>
  <si>
    <t>Experimental He-broadening coefficient c from Table 1, band 2ν1+ν3. Upper state involved in Coriolis resonance (flag C15 in Table 1). Line profile fitted with Voigt function. Temperature exponent n not reported. Percentage error in gamma not defined; value not computed.</t>
  </si>
  <si>
    <t>Experimental He-broadening coefficient c from Table 1, band 2ν1+ν3. Upper state involved in Coriolis resonance (flag C8 in Table 1). Line profile fitted with Voigt function. Temperature exponent n not reported. Percentage error in gamma not defined; value not computed.</t>
  </si>
  <si>
    <t>Experimental He-broadening coefficient c from Table 1, band 2ν1+ν3. Upper state involved in Coriolis resonance (flag C14 in Table 1). Line profile fitted with Voigt function. Temperature exponent n not reported. Percentage error in gamma not defined; value not computed.</t>
  </si>
  <si>
    <t>Experimental He-broadening coefficient c from Table 1, band 2ν1+ν3. Upper state involved in Coriolis resonance (flag C20 in Table 1). Line profile fitted with Voigt function. Temperature exponent n not reported. Percentage error in gamma not defined; value not computed.</t>
  </si>
  <si>
    <t>Experimental He-broadening coefficient c from Table 1, band 2ν1+ν3. Upper state involved in Coriolis resonance (flag C40 in Table 1). Line profile fitted with Voigt function. Temperature exponent n not reported. Percentage error in gamma not defined; value not computed.</t>
  </si>
  <si>
    <t>Experimental He-broadening coefficient c from Table 1, band 2ν1+ν3. Upper state involved in Coriolis resonance (flag C18 in Table 1). Line profile fitted with Voigt function. Temperature exponent n not reported. Percentage error in gamma not defined; value not computed.</t>
  </si>
  <si>
    <t>Experimental He-broadening coefficient c from Table 1, band 2ν1+ν3. Upper state involved in Coriolis resonance (flag C30 in Table 1). Line profile fitted with Voigt function. Temperature exponent n not reported. Percentage error in gamma not defined; value not computed.</t>
  </si>
  <si>
    <t>speed-dependent Voigt</t>
  </si>
  <si>
    <t>Experimental γ(exp.) at 296 K for band (001←000) from Table 1; this work; temperature exponent n not reported; H2O–Ar; line profile fitted with speed-dependent Voigt in this study</t>
  </si>
  <si>
    <t>Experimental γ(exp.) at 296 K for ν2 band (010←000) from Refs [1</t>
  </si>
  <si>
    <t>2] as re-listed in Table 1; temperature exponent n for this specific line not reported here; original line profile not specified in this paper</t>
  </si>
  <si>
    <t>2] as re-listed in Table 1; n not reported for this line; original line profile not specified in this paper</t>
  </si>
  <si>
    <t>Experimental γ(exp.) at 296 K for ν1 band (100←000) line at 4031.40289 cm−1 from Table 1; this work; n not reported; H2O–Ar; speed-dependent Voigt fits used for measured profiles</t>
  </si>
  <si>
    <t>Experimental γ(exp.) at 296 K for ν1 band (100←000) line at 3967.56199 cm−1 from Table 1; this work; n not reported; H2O–Ar; speed-dependent Voigt profile</t>
  </si>
  <si>
    <t>Experimental γ(exp.) at 296 K for ν1 band (100←000) line at 4057.75555 cm−1 from Table 1; this work; n not reported; H2O–Ar; speed-dependent Voigt profile</t>
  </si>
  <si>
    <t>Experimental γ(exp.) at 296 K for ν1 band (100←000) line at 4032.63454 cm−1 from Table 1; this work; n not reported; H2O–Ar; speed-dependent Voigt profile</t>
  </si>
  <si>
    <t>Experimental γ(exp.) at 296 K for ν1 band (100←000) line at 4133.06680 cm−1 from Table 1; this work; n not reported; H2O–Ar; speed-dependent Voigt profile</t>
  </si>
  <si>
    <t>Experimental γ(exp.) at 296 K for 2ν2 band (020←000) line at 4007.58884 cm−1 from Table 1; this work; n not reported; H2O–Ar; speed-dependent Voigt profile</t>
  </si>
  <si>
    <t>Experimental γ(exp.) at 296 K for ν1+ν2 band (110←000) line at 5274.15777 cm−1 from Table 1; this work; n not reported; H2O–Ar; speed-dependent Voigt profile</t>
  </si>
  <si>
    <t>Experimental γ(exp.) at 296 K for ν1+ν2 band (110←000) line at 5272.78550 cm−1 from Table 1; this work; n not reported; H2O–Ar; speed-dependent Voigt profile</t>
  </si>
  <si>
    <t>Experimental γ(exp.) at 296 K for ν1+ν2 band (110←000) line at 5320.60798 cm−1 from Table 1; this work; n not reported; H2O–Ar; speed-dependent Voigt profile</t>
  </si>
  <si>
    <t>Experimental γ(exp.) at 296 K for ν2+ν3 band (011←000) line at 5479.61062 cm−1 from Table 1; this work; n not reported; H2O–Ar; speed-dependent Voigt profile</t>
  </si>
  <si>
    <t>Experimental γ(exp.) at 296 K for ν2+ν3 band (011←000) line at 5621.67327 cm−1 from Table 1; this work; n not reported; H2O–Ar; speed-dependent Voigt profile</t>
  </si>
  <si>
    <t>Experimental γ(exp.) at 296 K for ν2+ν3 band (011←000) line at 5613.98834 cm−1 from Table 1; this work; n not reported; H2O–Ar; speed-dependent Voigt profile</t>
  </si>
  <si>
    <t>Experimental γ(exp.) at 296 K for ν1+2ν2 band (120←000) line at 6930.73638 cm−1 from Table 1; this work; n not reported; H2O–Ar; speed-dependent Voigt profile</t>
  </si>
  <si>
    <t>Experimental γ(exp.) at 296 K for ν1+2ν2 band (120←000) line at 6911.38457 cm−1 from Table 1; this work; n not reported; H2O–Ar; speed-dependent Voigt profile</t>
  </si>
  <si>
    <t>Experimental γ(exp.) at 296 K for ν1+2ν2 band (120←000) line at 6765.23618 cm−1 from Table 1; this work; n not reported; H2O–Ar; speed-dependent Voigt profile</t>
  </si>
  <si>
    <t>γ(exp.) at 296 K for pure rotational transition near 22 GHz from Refs [5</t>
  </si>
  <si>
    <t>19] as re-listed in Table 1; uncertainty and n not given in this paper; H2O–Ar; original line profile not specified</t>
  </si>
  <si>
    <t>γ(exp.) at 296 K for pure rotational transition at 183 GHz from Refs [5</t>
  </si>
  <si>
    <t>19] as re-listed in Table 1; uncertainty and n not given here; H2O–Ar; original line profile not specified</t>
  </si>
  <si>
    <t>γ(exp.) at 296 K for pure rotational transition at 380 GHz from Refs [5</t>
  </si>
  <si>
    <t>γ(exp.) for ν2 band (010←000) from Ref [20] as re-listed at the end of Table 1; H2O–Ar; uncertainty and n not reported in this paper; original fit profile not specified here</t>
  </si>
  <si>
    <t>H2O–Ar ν2 band line [12 3 10]←[11 2 9] at 1901.760 cm−1; temperature exponent n = −0.9 reported from power-law fit 2γ(T) ∝ (T0/T)^n over 1300–2300 K in Ref [4] as summarised in the introduction; γ and its uncertainty not given numerically in this paper; line profile not specified</t>
  </si>
  <si>
    <t>H2O–Ar rotational line [3 1 3]←[2 2 0] at 183 GHz; temperature exponent n = −0.72 reported from fit γ(T) ∝ (T0/T)^n over 300–390 K in Ref [5] as summarised in the introduction; γ and its uncertainty not given numerically here; line profile not specified</t>
  </si>
  <si>
    <t>QSDVP</t>
  </si>
  <si>
    <t>H2O–H2 broadening at 296 K; γ(exp) is HWHM with 1σ experimental uncertainty from Table 3; temperature exponent 'n' not reported; J,Ka,Kc unpacked from JKaKc labels in Table 3.</t>
  </si>
  <si>
    <t>SO2</t>
  </si>
  <si>
    <t>Uncertainty (10^-3 cm^-1 atm^-1) converted to 0.0015; percentage = 0.0015/0.1214*100; From Supplementary Table row 1.</t>
  </si>
  <si>
    <t>Uncertainty (10^-3 cm^-1 atm^-1) converted to 0.0020; percentage = 0.0020/0.1601*100; From Supplementary Table row 2.</t>
  </si>
  <si>
    <t>Uncertainty (10^-3 cm^-1 atm^-1) converted to 0.0011; percentage = 0.0011/0.1603*100; From Supplementary Table row 3.</t>
  </si>
  <si>
    <t>Uncertainty (10^-3 cm^-1 atm^-1) converted to 0.0012; percentage = 0.0012/0.1316*100; From Supplementary Table row 4.</t>
  </si>
  <si>
    <t>Uncertainty (10^-3 cm^-1 atm^-1) converted to 0.0012; percentage = 0.0012/0.1311*100; From Supplementary Table row 5.</t>
  </si>
  <si>
    <t>nu1+nu2+nu3-nu2 band of 32SO2</t>
  </si>
  <si>
    <t>nu1+nu3 band of 34SO2</t>
  </si>
  <si>
    <t>nu1+nu3 band of 32SO2</t>
  </si>
  <si>
    <t>Gamma and 1σ uncertainty from c(exp)=0.0608(4) in Table 1; percentage error in gamma not reported; temperature exponent n not reported; T=296 K; quadratic speed-dependent Voigt profile used for fitting; data from Table 1.</t>
  </si>
  <si>
    <t>Gamma and 1σ uncertainty from c(exp)=0.0580(4) in Table 1; percentage error in gamma not reported; temperature exponent n not reported; T=296 K; quadratic speed-dependent Voigt profile used for fitting; data from Table 1.</t>
  </si>
  <si>
    <t>Gamma and 1σ uncertainty from c(exp)=0.0566(4) in Table 1; percentage error in gamma not reported; temperature exponent n not reported; T=296 K; quadratic speed-dependent Voigt profile used for fitting; data from Table 1.</t>
  </si>
  <si>
    <t>Gamma and 1σ uncertainty from c(exp)=0.0571(5) in Table 1; percentage error in gamma not reported; temperature exponent n not reported; T=296 K; quadratic speed-dependent Voigt profile used for fitting; data from Table 1.</t>
  </si>
  <si>
    <t>Gamma and 1σ uncertainty from c(exp)=0.0641(4) in Table 1; percentage error in gamma not reported; temperature exponent n not reported; T=296 K; quadratic speed-dependent Voigt profile used for fitting; data from Table 1.</t>
  </si>
  <si>
    <t>Gamma and 1σ uncertainty from c(exp)=0.0547(5) in Table 1; percentage error in gamma not reported; temperature exponent n not reported; T=296 K; quadratic speed-dependent Voigt profile used for fitting; data from Table 1.</t>
  </si>
  <si>
    <t>Gamma and 1σ uncertainty from c(exp)=0.0621(5) in Table 1; percentage error in gamma not reported; temperature exponent n not reported; T=296 K; quadratic speed-dependent Voigt profile used for fitting; data from Table 1.</t>
  </si>
  <si>
    <t>Gamma and 1σ uncertainty from c(exp)=0.0602(4) in Table 1; percentage error in gamma not reported; temperature exponent n not reported; T=296 K; quadratic speed-dependent Voigt profile used for fitting; data from Table 1.</t>
  </si>
  <si>
    <t>Gamma and 1σ uncertainty from c(exp)=0.0588(4) in Table 1; percentage error in gamma not reported; temperature exponent n not reported; T=296 K; quadratic speed-dependent Voigt profile used for fitting; data from Table 1.</t>
  </si>
  <si>
    <t>Gamma and 1σ uncertainty from c(exp)=0.0633(4) in Table 1; percentage error in gamma not reported; temperature exponent n not reported; T=296 K; quadratic speed-dependent Voigt profile used for fitting; data from Table 1.</t>
  </si>
  <si>
    <t>Gamma and 1σ uncertainty from c(exp)=0.0560(4) in Table 1; percentage error in gamma not reported; temperature exponent n not reported; T=296 K; quadratic speed-dependent Voigt profile used for fitting; data from Table 1.</t>
  </si>
  <si>
    <t>Gamma and 1σ uncertainty from c(exp)=0.0521(5) in Table 1; percentage error in gamma not reported; temperature exponent n not reported; T=296 K; quadratic speed-dependent Voigt profile used for fitting; data from Table 1.</t>
  </si>
  <si>
    <t>Gamma and 1σ uncertainty from c(exp)=0.0546(3) in Table 1; percentage error in gamma not reported; temperature exponent n not reported; T=296 K; quadratic speed-dependent Voigt profile used for fitting; data from Table 1.</t>
  </si>
  <si>
    <t>Gamma and 1σ uncertainty from c(exp)=0.0523(3) in Table 1; percentage error in gamma not reported; temperature exponent n not reported; T=296 K; quadratic speed-dependent Voigt profile used for fitting; data from Table 1.</t>
  </si>
  <si>
    <t>Gamma and 1σ uncertainty from c(exp)=0.0586(3) in Table 1; percentage error in gamma not reported; temperature exponent n not reported; T=296 K; quadratic speed-dependent Voigt profile used for fitting; data from Table 1.</t>
  </si>
  <si>
    <t>Gamma and 1σ uncertainty from c(exp)=0.0595(3) in Table 1; percentage error in gamma not reported; temperature exponent n not reported; T=296 K; quadratic speed-dependent Voigt profile used for fitting; data from Table 1.</t>
  </si>
  <si>
    <t>Gamma and 1σ uncertainty from c(exp)=0.0525(3) in Table 1; percentage error in gamma not reported; temperature exponent n not reported; T=296 K; quadratic speed-dependent Voigt profile used for fitting; data from Table 1.</t>
  </si>
  <si>
    <t>Gamma and 1σ uncertainty from c(exp)=0.0519(4) in Table 1; percentage error in gamma not reported; temperature exponent n not reported; T=296 K; quadratic speed-dependent Voigt profile used for fitting; data from Table 1.</t>
  </si>
  <si>
    <t>Gamma and 1σ uncertainty from c(exp)=0.0622(4) in Table 1; percentage error in gamma not reported; temperature exponent n not reported; T=296 K; quadratic speed-dependent Voigt profile used for fitting; data from Table 1.</t>
  </si>
  <si>
    <t>Gamma and 1σ uncertainty from c(exp)=0.0504(3) in Table 1; percentage error in gamma not reported; temperature exponent n not reported; T=296 K; quadratic speed-dependent Voigt profile used for fitting; data from Table 1.</t>
  </si>
  <si>
    <t>Gamma and 1σ uncertainty from c(exp)=0.0515(3) in Table 1; percentage error in gamma not reported; temperature exponent n not reported; T=296 K; quadratic speed-dependent Voigt profile used for fitting; data from Table 1.</t>
  </si>
  <si>
    <t>Gamma and 1σ uncertainty from c(exp)=0.0523(4) in Table 1; percentage error in gamma not reported; temperature exponent n not reported; T=296 K; quadratic speed-dependent Voigt profile used for fitting; data from Table 1.</t>
  </si>
  <si>
    <t>Gamma and 1σ uncertainty from c(exp)=0.0504(4) in Table 1; percentage error in gamma not reported; temperature exponent n not reported; T=296 K; quadratic speed-dependent Voigt profile used for fitting; data from Table 1.</t>
  </si>
  <si>
    <t>Gamma and 1σ uncertainty from c(exp)=0.0576(4) in Table 1; percentage error in gamma not reported; temperature exponent n not reported; T=296 K; quadratic speed-dependent Voigt profile used for fitting; data from Table 1.</t>
  </si>
  <si>
    <t>Gamma and 1σ uncertainty from c(exp)=0.0584(3) in Table 1; percentage error in gamma not reported; temperature exponent n not reported; T=296 K; quadratic speed-dependent Voigt profile used for fitting; data from Table 1.</t>
  </si>
  <si>
    <t>Gamma and 1σ uncertainty from c(exp)=0.0511(4) in Table 1; percentage error in gamma not reported; temperature exponent n not reported; T=296 K; quadratic speed-dependent Voigt profile used for fitting; data from Table 1.</t>
  </si>
  <si>
    <t>Gamma and 1σ uncertainty from c(exp)=0.0586(4) in Table 1; percentage error in gamma not reported; temperature exponent n not reported; T=296 K; quadratic speed-dependent Voigt profile used for fitting; data from Table 1.</t>
  </si>
  <si>
    <t>Gamma and 1σ uncertainty from c(exp)=0.0523(5) in Table 1; percentage error in gamma not reported; temperature exponent n not reported; T=296 K; quadratic speed-dependent Voigt profile used for fitting; data from Table 1.</t>
  </si>
  <si>
    <t>Gamma and 1σ uncertainty from c(exp)=0.0485(5) in Table 1; percentage error in gamma not reported; temperature exponent n not reported; T=296 K; quadratic speed-dependent Voigt profile used for fitting; data from Table 1.</t>
  </si>
  <si>
    <t>Gamma and 1σ uncertainty from c(exp)=0.0533(3) in Table 1; percentage error in gamma not reported; temperature exponent n not reported; T=296 K; quadratic speed-dependent Voigt profile used for fitting; data from Table 1.</t>
  </si>
  <si>
    <t>Gamma and 1σ uncertainty from c(exp)=0.0524(4) in Table 1; percentage error in gamma not reported; temperature exponent n not reported; T=296 K; quadratic speed-dependent Voigt profile used for fitting; data from Table 1.</t>
  </si>
  <si>
    <t>Gamma and 1σ uncertainty from c(exp)=0.0445(5) in Table 1; percentage error in gamma not reported; temperature exponent n not reported; T=296 K; quadratic speed-dependent Voigt profile used for fitting; data from Table 1.</t>
  </si>
  <si>
    <t>Gamma and 1σ uncertainty from c(exp)=0.0439(4) in Table 1; percentage error in gamma not reported; temperature exponent n not reported; T=296 K; quadratic speed-dependent Voigt profile used for fitting; data from Table 1.</t>
  </si>
  <si>
    <t>Gamma and 1σ uncertainty from c(exp)=0.0476(5) in Table 1; percentage error in gamma not reported; temperature exponent n not reported; T=296 K; quadratic speed-dependent Voigt profile used for fitting; data from Table 1.</t>
  </si>
  <si>
    <t>Gamma and 1σ uncertainty from c(exp)=0.0452(4) in Table 1; percentage error in gamma not reported; temperature exponent n not reported; T=296 K; quadratic speed-dependent Voigt profile used for fitting; data from Table 1.</t>
  </si>
  <si>
    <t>Gamma and 1σ uncertainty from c(exp)=0.0470(5) in Table 1; percentage error in gamma not reported; temperature exponent n not reported; T=296 K; quadratic speed-dependent Voigt profile used for fitting; data from Table 1.</t>
  </si>
  <si>
    <t>Gamma and 1σ uncertainty from c(exp)=0.0384(4) in Table 1; percentage error in gamma not reported; temperature exponent n not reported; T=296 K; quadratic speed-dependent Voigt profile used for fitting; data from Table 1.</t>
  </si>
  <si>
    <t>Gamma and 1σ uncertainty from c(exp)=0.0410(3) in Table 1; percentage error in gamma not reported; temperature exponent n not reported; T=296 K; quadratic speed-dependent Voigt profile used for fitting; data from Table 1.</t>
  </si>
  <si>
    <t>Gamma and 1σ uncertainty from c(exp)=0.0366(4) in Table 1; percentage error in gamma not reported; temperature exponent n not reported; T=296 K; quadratic speed-dependent Voigt profile used for fitting; data from Table 1.</t>
  </si>
  <si>
    <t>Gamma and 1σ uncertainty from c(exp)=0.0412(4) in Table 1; percentage error in gamma not reported; temperature exponent n not reported; T=296 K; quadratic speed-dependent Voigt profile used for fitting; data from Table 1.</t>
  </si>
  <si>
    <t>Gamma and 1σ uncertainty from c(exp)=0.0530(5) in Table 1; percentage error in gamma not reported; temperature exponent n not reported; T=296 K; quadratic speed-dependent Voigt profile used for fitting; data from Table 1.</t>
  </si>
  <si>
    <t>Gamma and 1σ uncertainty from c(exp)=0.0534(5) in Table 1; percentage error in gamma not reported; temperature exponent n not reported; T=296 K; quadratic speed-dependent Voigt profile used for fitting; data from Table 1.</t>
  </si>
  <si>
    <t>Gamma and 1σ uncertainty from c(exp)=0.0562(4) in Table 1; percentage error in gamma not reported; temperature exponent n not reported; T=296 K; quadratic speed-dependent Voigt profile used for fitting; data from Table 1.</t>
  </si>
  <si>
    <t>Gamma and 1σ uncertainty from c(exp)=0.0454(5) in Table 1; percentage error in gamma not reported; temperature exponent n not reported; T=296 K; quadratic speed-dependent Voigt profile used for fitting; data from Table 1.</t>
  </si>
  <si>
    <t>Gamma and 1σ uncertainty from c(exp)=0.0535(4) in Table 1; percentage error in gamma not reported; temperature exponent n not reported; T=296 K; quadratic speed-dependent Voigt profile used for fitting; data from Table 1.</t>
  </si>
  <si>
    <t>Gamma and 1σ uncertainty from c(exp)=0.0564(4) in Table 1; percentage error in gamma not reported; temperature exponent n not reported; T=296 K; quadratic speed-dependent Voigt profile used for fitting; data from Table 1.</t>
  </si>
  <si>
    <t>Gamma and 1σ uncertainty from c(exp)=0.0507(4) in Table 1; percentage error in gamma not reported; temperature exponent n not reported; T=296 K; quadratic speed-dependent Voigt profile used for fitting; data from Table 1.</t>
  </si>
  <si>
    <t>Gamma and 1σ uncertainty from c(exp)=0.0527(4) in Table 1; percentage error in gamma not reported; temperature exponent n not reported; T=296 K; quadratic speed-dependent Voigt profile used for fitting; data from Table 1.</t>
  </si>
  <si>
    <t>Gamma and 1σ uncertainty from c(exp)=0.0476(4) in Table 1; percentage error in gamma not reported; temperature exponent n not reported; T=296 K; quadratic speed-dependent Voigt profile used for fitting; data from Table 1.</t>
  </si>
  <si>
    <t>Gamma and 1σ uncertainty from c(exp)=0.0520(4) in Table 1; percentage error in gamma not reported; temperature exponent n not reported; T=296 K; quadratic speed-dependent Voigt profile used for fitting; data from Table 1.</t>
  </si>
  <si>
    <t>Gamma and 1σ uncertainty from c(exp)=0.0515(5) in Table 1; percentage error in gamma not reported; temperature exponent n not reported; T=296 K; quadratic speed-dependent Voigt profile used for fitting; data from Table 1.</t>
  </si>
  <si>
    <t>Gamma and 1σ uncertainty from c(exp)=0.0470(4) in Table 1; percentage error in gamma not reported; temperature exponent n not reported; T=296 K; quadratic speed-dependent Voigt profile used for fitting; data from Table 1.</t>
  </si>
  <si>
    <t>Gamma and 1σ uncertainty from c(exp)=0.0464(3) in Table 1; percentage error in gamma not reported; temperature exponent n not reported; T=296 K; quadratic speed-dependent Voigt profile used for fitting; data from Table 1.</t>
  </si>
  <si>
    <t>Gamma and 1σ uncertainty from c(exp)=0.0456(3) in Table 1; percentage error in gamma not reported; temperature exponent n not reported; T=296 K; quadratic speed-dependent Voigt profile used for fitting; data from Table 1.</t>
  </si>
  <si>
    <t>Gamma and 1σ uncertainty from c(exp)=0.0484(3) in Table 1; percentage error in gamma not reported; temperature exponent n not reported; T=296 K; quadratic speed-dependent Voigt profile used for fitting; data from Table 1.</t>
  </si>
  <si>
    <t>Gamma and 1σ uncertainty from c(exp)=0.0368(3) in Table 1; percentage error in gamma not reported; temperature exponent n not reported; T=296 K; quadratic speed-dependent Voigt profile used for fitting; data from Table 1.</t>
  </si>
  <si>
    <t>Gamma and 1σ uncertainty from c(exp)=0.0377(4) in Table 1; percentage error in gamma not reported; temperature exponent n not reported; T=296 K; quadratic speed-dependent Voigt profile used for fitting; data from Table 1.</t>
  </si>
  <si>
    <t>Gamma and 1σ uncertainty from c(exp)=0.0400(5) in Table 1; percentage error in gamma not reported; temperature exponent n not reported; T=296 K; quadratic speed-dependent Voigt profile used for fitting; data from Table 1.</t>
  </si>
  <si>
    <t>Gamma and 1σ uncertainty from c(exp)=0.0376(4) in Table 1; percentage error in gamma not reported; temperature exponent n not reported; T=296 K; quadratic speed-dependent Voigt profile used for fitting; data from Table 1.</t>
  </si>
  <si>
    <t>Gamma and 1σ uncertainty from c(exp)=0.0385(4) in Table 1; percentage error in gamma not reported; temperature exponent n not reported; T=296 K; quadratic speed-dependent Voigt profile used for fitting; data from Table 1.</t>
  </si>
  <si>
    <t>Gamma and 1σ uncertainty from c(exp)=0.0405(3) in Table 1; percentage error in gamma not reported; temperature exponent n not reported; T=296 K; quadratic speed-dependent Voigt profile used for fitting; data from Table 1.</t>
  </si>
  <si>
    <t>Gamma and 1σ uncertainty from c(exp)=0.0543(4) in Table 1; percentage error in gamma not reported; temperature exponent n not reported; T=296 K; quadratic speed-dependent Voigt profile used for fitting; data from Table 1.</t>
  </si>
  <si>
    <t>Gamma and 1σ uncertainty from c(exp)=0.0395(5) in Table 1; percentage error in gamma not reported; temperature exponent n not reported; T=296 K; quadratic speed-dependent Voigt profile used for fitting; data from Table 1.</t>
  </si>
  <si>
    <t>Gamma and 1σ uncertainty from c(exp)=0.0522(3) in Table 1; percentage error in gamma not reported; temperature exponent n not reported; T=296 K; quadratic speed-dependent Voigt profile used for fitting; data from Table 1.</t>
  </si>
  <si>
    <t>Gamma and 1σ uncertainty from c(exp)=0.0483(4) in Table 1; percentage error in gamma not reported; temperature exponent n not reported; T=296 K; quadratic speed-dependent Voigt profile used for fitting; data from Table 1.</t>
  </si>
  <si>
    <t>Gamma and 1σ uncertainty from c(exp)=0.0487(3) in Table 1; percentage error in gamma not reported; temperature exponent n not reported; T=296 K; quadratic speed-dependent Voigt profile used for fitting; data from Table 1.</t>
  </si>
  <si>
    <t>Gamma and 1σ uncertainty from c(exp)=0.0448(3) in Table 1; percentage error in gamma not reported; temperature exponent n not reported; T=296 K; quadratic speed-dependent Voigt profile used for fitting; data from Table 1.</t>
  </si>
  <si>
    <t>Gamma and 1σ uncertainty from c(exp)=0.0500(3) in Table 1; percentage error in gamma not reported; temperature exponent n not reported; T=296 K; quadratic speed-dependent Voigt profile used for fitting; data from Table 1.</t>
  </si>
  <si>
    <t>Gamma and 1σ uncertainty from c(exp)=0.0474(3) in Table 1; percentage error in gamma not reported; temperature exponent n not reported; T=296 K; quadratic speed-dependent Voigt profile used for fitting; data from Table 1.</t>
  </si>
  <si>
    <t>Gamma and 1σ uncertainty from c(exp)=0.0485(4) in Table 1; percentage error in gamma not reported; temperature exponent n not reported; T=296 K; quadratic speed-dependent Voigt profile used for fitting; data from Table 1.</t>
  </si>
  <si>
    <t>Gamma and 1σ uncertainty from c(exp)=0.0389(5) in Table 1; percentage error in gamma not reported; temperature exponent n not reported; T=296 K; quadratic speed-dependent Voigt profile used for fitting; data from Table 1.</t>
  </si>
  <si>
    <t>Gamma and 1σ uncertainty from c(exp)=0.0399(4) in Table 1; percentage error in gamma not reported; temperature exponent n not reported; T=296 K; quadratic speed-dependent Voigt profile used for fitting; data from Table 1.</t>
  </si>
  <si>
    <t>Gamma and 1σ uncertainty from c(exp)=0.0411(3) in Table 1; percentage error in gamma not reported; temperature exponent n not reported; T=296 K; quadratic speed-dependent Voigt profile used for fitting; data from Table 1.</t>
  </si>
  <si>
    <t>Gamma and 1σ uncertainty from c(exp)=0.0424(3) in Table 1; percentage error in gamma not reported; temperature exponent n not reported; T=296 K; quadratic speed-dependent Voigt profile used for fitting; data from Table 1.</t>
  </si>
  <si>
    <t>Gamma and 1σ uncertainty from c(exp)=0.0440(4) in Table 1; percentage error in gamma not reported; temperature exponent n not reported; T=296 K; quadratic speed-dependent Voigt profile used for fitting; data from Table 1.</t>
  </si>
  <si>
    <t>Gamma and 1σ uncertainty from c(exp)=0.0430(3) in Table 1; percentage error in gamma not reported; temperature exponent n not reported; T=296 K; quadratic speed-dependent Voigt profile used for fitting; data from Table 1.</t>
  </si>
  <si>
    <t>Gamma and 1σ uncertainty from c(exp)=0.0510(4) in Table 1; percentage error in gamma not reported; temperature exponent n not reported; T=296 K; quadratic speed-dependent Voigt profile used for fitting; data from Table 1.</t>
  </si>
  <si>
    <t>Gamma and 1σ uncertainty from c(exp)=0.0415(4) in Table 1; percentage error in gamma not reported; temperature exponent n not reported; T=296 K; quadratic speed-dependent Voigt profile used for fitting; data from Table 1.</t>
  </si>
  <si>
    <t>Gamma and 1σ uncertainty from c(exp)=0.0489(3) in Table 1; percentage error in gamma not reported; temperature exponent n not reported; T=296 K; quadratic speed-dependent Voigt profile used for fitting; data from Table 1.</t>
  </si>
  <si>
    <t>Gamma and 1σ uncertainty from c(exp)=0.0433(4) in Table 1; percentage error in gamma not reported; temperature exponent n not reported; T=296 K; quadratic speed-dependent Voigt profile used for fitting; data from Table 1.</t>
  </si>
  <si>
    <t>Gamma and 1σ uncertainty from c(exp)=0.0433(3) in Table 1; percentage error in gamma not reported; temperature exponent n not reported; T=296 K; quadratic speed-dependent Voigt profile used for fitting; data from Table 1.</t>
  </si>
  <si>
    <t>Gamma and 1σ uncertainty from c(exp)=0.0431(4) in Table 1; percentage error in gamma not reported; temperature exponent n not reported; T=296 K; quadratic speed-dependent Voigt profile used for fitting; data from Table 1.</t>
  </si>
  <si>
    <t>Gamma and 1σ uncertainty from c(exp)=0.0345(4) in Table 1; percentage error in gamma not reported; temperature exponent n not reported; T=296 K; quadratic speed-dependent Voigt profile used for fitting; data from Table 1.</t>
  </si>
  <si>
    <t>Gamma and 1σ uncertainty from c(exp)=0.0346(3) in Table 1; percentage error in gamma not reported; temperature exponent n not reported; T=296 K; quadratic speed-dependent Voigt profile used for fitting; data from Table 1.</t>
  </si>
  <si>
    <t>Gamma and 1σ uncertainty from c(exp)=0.0408(4) in Table 1; percentage error in gamma not reported; temperature exponent n not reported; T=296 K; quadratic speed-dependent Voigt profile used for fitting; data from Table 1.</t>
  </si>
  <si>
    <t>Gamma and 1σ uncertainty from c(exp)=0.0502(3) in Table 1; percentage error in gamma not reported; temperature exponent n not reported; T=296 K; quadratic speed-dependent Voigt profile used for fitting; data from Table 1.</t>
  </si>
  <si>
    <t>Gamma and 1σ uncertainty from c(exp)=0.0378(4) in Table 1; percentage error in gamma not reported; temperature exponent n not reported; T=296 K; quadratic speed-dependent Voigt profile used for fitting; data from Table 1.</t>
  </si>
  <si>
    <t>Gamma and 1σ uncertainty from c(exp)=0.0432(3) in Table 1; percentage error in gamma not reported; temperature exponent n not reported; T=296 K; quadratic speed-dependent Voigt profile used for fitting; data from Table 1.</t>
  </si>
  <si>
    <t>Gamma and 1σ uncertainty from c(exp)=0.0361(4) in Table 1; percentage error in gamma not reported; temperature exponent n not reported; T=296 K; quadratic speed-dependent Voigt profile used for fitting; data from Table 1.</t>
  </si>
  <si>
    <t>Gamma and 1σ uncertainty from c(exp)=0.0324(3) in Table 1; percentage error in gamma not reported; temperature exponent n not reported; T=296 K; quadratic speed-dependent Voigt profile used for fitting; data from Table 1.</t>
  </si>
  <si>
    <t>Gamma and 1σ uncertainty from c(exp)=0.0311(3) in Table 1; percentage error in gamma not reported; temperature exponent n not reported; T=296 K; quadratic speed-dependent Voigt profile used for fitting; data from Table 1.</t>
  </si>
  <si>
    <t>Percentage error not reported; temperature exponent n not reported; line profile not stated; Supplementary Table 1</t>
  </si>
  <si>
    <t>Percentage error not reported; Temperature exponent n not reported; Supplementary Table 1</t>
  </si>
  <si>
    <t>Percentage error not reported</t>
  </si>
  <si>
    <t>n not reported</t>
  </si>
  <si>
    <t>line profile from multispectrum quadratic SDV model</t>
  </si>
  <si>
    <t>uncertainty taken from parentheses in γ(exp)</t>
  </si>
  <si>
    <t>no n reported in paper</t>
  </si>
  <si>
    <t>SDV model used for broadening</t>
  </si>
  <si>
    <t>table lists β0 but not used here</t>
  </si>
  <si>
    <t>no conversion required (units already cm-1 atm-1)</t>
  </si>
  <si>
    <t>HWHM given directly</t>
  </si>
  <si>
    <t>source: Supplementary Table 1</t>
  </si>
  <si>
    <t>δ(exp) ignored here per instructions</t>
  </si>
  <si>
    <t>multispectrum retrieval conditions Section 2</t>
  </si>
  <si>
    <t>speed-dependent collisional width model</t>
  </si>
  <si>
    <t>no temperature exponent</t>
  </si>
  <si>
    <t>uncertainty directly from parentheses</t>
  </si>
  <si>
    <t>γ(exp) used</t>
  </si>
  <si>
    <t>δ values ignored</t>
  </si>
  <si>
    <t>no n</t>
  </si>
  <si>
    <t>β0 parameter not included per requirements</t>
  </si>
  <si>
    <t>Voigt core with SD modifications</t>
  </si>
  <si>
    <t>transcribed from supplementary</t>
  </si>
  <si>
    <t>spectroscopic assignment preserved</t>
  </si>
  <si>
    <t>ref: Table 1 supplement</t>
  </si>
  <si>
    <t>J,Ka,Kc available</t>
  </si>
  <si>
    <t>units already correct</t>
  </si>
  <si>
    <t>same temperature for all</t>
  </si>
  <si>
    <t>measurement uncertainty explicitly provided</t>
  </si>
  <si>
    <t>SDV as fitting model</t>
  </si>
  <si>
    <t>source Supplementary Table 1</t>
  </si>
  <si>
    <t>no representation of narrowing included</t>
  </si>
  <si>
    <t>n column not present</t>
  </si>
  <si>
    <t>value from γ(exp)</t>
  </si>
  <si>
    <t>note: uncertainty 0.0002</t>
  </si>
  <si>
    <t>experimental broadening only</t>
  </si>
  <si>
    <t>uncertainty from parentheses</t>
  </si>
  <si>
    <t>δ ignored</t>
  </si>
  <si>
    <t>temperature constant</t>
  </si>
  <si>
    <t>speed dependent model</t>
  </si>
  <si>
    <t>HWHM explicitly stated</t>
  </si>
  <si>
    <t>broadening coefficient</t>
  </si>
  <si>
    <t>no n reported</t>
  </si>
  <si>
    <t>uncertainty from parentheses; Supplementary Table 1</t>
  </si>
  <si>
    <t>speed-dependent collisional model</t>
  </si>
  <si>
    <t>units in cm-1 atm-1</t>
  </si>
  <si>
    <t>β0 not included per instructions</t>
  </si>
  <si>
    <t>δ values excluded</t>
  </si>
  <si>
    <t>HWHM directly measured</t>
  </si>
  <si>
    <t>experimental γ(exp)</t>
  </si>
  <si>
    <t>Table 1 supplementary</t>
  </si>
  <si>
    <t>temperature constant for all lines</t>
  </si>
  <si>
    <t>line assignment retained</t>
  </si>
  <si>
    <t>Voigt with SD corrections</t>
  </si>
  <si>
    <t>Supplementary Table 1</t>
  </si>
  <si>
    <t>β0 parameter not included</t>
  </si>
  <si>
    <t>HWHM</t>
  </si>
  <si>
    <t>supplementary source</t>
  </si>
  <si>
    <t>temperature exponent omitted</t>
  </si>
  <si>
    <t>no estimation</t>
  </si>
  <si>
    <t>δ excluded</t>
  </si>
  <si>
    <t>SDV model</t>
  </si>
  <si>
    <t>HWHM units</t>
  </si>
  <si>
    <t>β0 ignored</t>
  </si>
  <si>
    <t>literature reference</t>
  </si>
  <si>
    <t>line-by-line</t>
  </si>
  <si>
    <t>quadratic speed dependence</t>
  </si>
  <si>
    <t>Broadening measured from fit</t>
  </si>
  <si>
    <t>δ unused</t>
  </si>
  <si>
    <t>γ(exp) column</t>
  </si>
  <si>
    <t>n not provided</t>
  </si>
  <si>
    <t>SDV used</t>
  </si>
  <si>
    <t>broadening only</t>
  </si>
  <si>
    <t>ν=8830.23409 cm^-1; γ(exp) for H2O–Xe in ν1+ν2+ν3 from Table 2; qSDV multispectrum fit; experimental γ uncertainty given in parentheses in Table 2 but not transcribed here; temperature exponent n not reported.</t>
  </si>
  <si>
    <t>ν=8783.20830 cm^-1; H2O–Xe ν1+ν2+ν3, Table 2; qSDV profile; γ uncertainty in Table 2; n not reported.</t>
  </si>
  <si>
    <t>ν=8848.07296 cm^-1; H2O–Xe ν1+ν2+ν3, Table 2; qSDV; uncertainty on γ given in parentheses; n not reported.</t>
  </si>
  <si>
    <t>ν=8760.14329 cm^-1; H2O–Xe ν1+ν2+ν3, Table 2; qSDV; γ uncertainty given in Table 2; n not reported.</t>
  </si>
  <si>
    <t>ν=8824.00326 cm^-1; H2O–Xe ν1+ν2+ν3, Table 2; qSDV; γ uncertainty in parentheses; n not reported.</t>
  </si>
  <si>
    <t>ν=8790.03451 cm^-1; H2O–Xe ν1+ν2+ν3, Table 2; qSDV; γ uncertainty in Table 2; n not reported.</t>
  </si>
  <si>
    <t>ν=8884.50168 cm^-1; H2O–Xe ν1+ν2+ν3, Table 2; qSDV; γ uncertainty given; n not reported.</t>
  </si>
  <si>
    <t>ν=8808.47158 cm^-1; H2O–Xe ν1+ν2+ν3, Table 2; qSDV; γ uncertainty in parentheses; n not reported.</t>
  </si>
  <si>
    <t>ν=8884.01307 cm^-1; H2O–Xe ν1+ν2+ν3, Table 2; qSDV.</t>
  </si>
  <si>
    <t>ν=8877.26215 cm^-1; H2O–Xe ν1+ν2+ν3, Table 2.</t>
  </si>
  <si>
    <t>ν=8984.75999 cm^-1; H2O–Xe ν1+ν2+ν3, Table 2.</t>
  </si>
  <si>
    <t>ν=8837.39878 cm^-1; H2O–Xe ν1+ν2+ν3, Table 2.</t>
  </si>
  <si>
    <t>ν=8882.87533 cm^-1; H2O–Xe ν1+ν2+ν3, Table 2.</t>
  </si>
  <si>
    <t>ν=8730.13420 cm^-1; H2O–Xe ν1+ν2+ν3, Table 2.</t>
  </si>
  <si>
    <t>ν=8899.13270 cm^-1; H2O–Xe ν1+ν2+ν3, Table 2.</t>
  </si>
  <si>
    <t>ν=8733.81055 cm^-1; H2O–Xe ν1+ν2+ν3, Table 2.</t>
  </si>
  <si>
    <t>ν=8717.91362 cm^-1; H2O–Xe ν1+ν2+ν3, Table 2.</t>
  </si>
  <si>
    <t>ν=8899.69622 cm^-1; H2O–Xe ν1+ν2+ν3, Table 2.</t>
  </si>
  <si>
    <t>ν=8854.88084 cm^-1; H2O–Xe ν1+ν2+ν3, Table 2.</t>
  </si>
  <si>
    <t>ν=8704.18062 cm^-1; H2O–Xe ν1+ν2+ν3, Table 2.</t>
  </si>
  <si>
    <t>ν=8713.66190 cm^-1; H2O–Xe ν1+ν2+ν3, Table 2.</t>
  </si>
  <si>
    <t>ν=8821.15959 cm^-1; H2O–Xe ν1+ν2+ν3, Table 2.</t>
  </si>
  <si>
    <t>ν=8704.39824 cm^-1; H2O–Xe ν1+ν2+ν3, Table 2.</t>
  </si>
  <si>
    <t>ν=8789.65472 cm^-1; H2O–Xe ν1+ν2+ν3, Table 2.</t>
  </si>
  <si>
    <t>ν=8933.46562 cm^-1; H2O–Xe ν1+ν2+ν3, Table 2.</t>
  </si>
  <si>
    <t>ν=8715.88373 cm^-1; H2O–Xe ν1+ν2+ν3, Table 2.</t>
  </si>
  <si>
    <t>ν=8812.01654 cm^-1; H2O–Xe ν1+ν2+ν3, Table 2.</t>
  </si>
  <si>
    <t>ν=8928.48103 cm^-1; H2O–Xe ν1+ν2+ν3, Table 2.</t>
  </si>
  <si>
    <t>ν=8714.76884 cm^-1; H2O–Xe ν1+ν2+ν3, Table 2.</t>
  </si>
  <si>
    <t>ν=8809.28275 cm^-1; H2O–Xe ν1+ν2+ν3, Table 2.</t>
  </si>
  <si>
    <t>ν=8932.53246 cm^-1; H2O–Xe ν1+ν2+ν3, Table 2.</t>
  </si>
  <si>
    <t>ν=8817.41693 cm^-1; H2O–Xe ν1+ν2+ν3, Table 2.</t>
  </si>
  <si>
    <t>ν=8936.26466 cm^-1; H2O–Xe ν1+ν2+ν3, Table 2.</t>
  </si>
  <si>
    <t>ν=8936.41266 cm^-1; H2O–Xe ν1+ν2+ν3, Table 2.</t>
  </si>
  <si>
    <t>ν=8698.52803 cm^-1; H2O–Xe ν1+ν2+ν3, Table 2.</t>
  </si>
  <si>
    <t>ν=8680.26134 cm^-1; H2O–Xe ν1+ν2+ν3, Table 2.</t>
  </si>
  <si>
    <t>ν=8723.57547 cm^-1; H2O–Xe ν1+ν2+ν3, Table 2.</t>
  </si>
  <si>
    <t>ν=8689.22569 cm^-1; H2O–Xe ν1+ν2+ν3, Table 2.</t>
  </si>
  <si>
    <t>ν=8934.74300 cm^-1; H2O–Xe ν1+ν2+ν3, Table 2.</t>
  </si>
  <si>
    <t>ν=8675.01285 cm^-1; H2O–Xe ν1+ν2+ν3, Table 2.</t>
  </si>
  <si>
    <t>ν=8953.48310 cm^-1; H2O–Xe ν1+ν2+ν3, Table 2.</t>
  </si>
  <si>
    <t>ν=8948.76714 cm^-1; H2O–Xe ν1+ν2+ν3, Table 2.</t>
  </si>
  <si>
    <t>ν=8685.72125 cm^-1; H2O–Xe ν1+ν2+ν3, Table 2.</t>
  </si>
  <si>
    <t>ν=8956.29715 cm^-1; H2O–Xe ν1+ν2+ν3, Table 2.</t>
  </si>
  <si>
    <t>ν=8695.18382 cm^-1; H2O–Xe ν1+ν2+ν3, Table 2.</t>
  </si>
  <si>
    <t>ν=8957.87023 cm^-1; H2O–Xe ν1+ν2+ν3, Table 2.</t>
  </si>
  <si>
    <t>ν=8675.78296 cm^-1; H2O–Xe ν1+ν2+ν3, Table 2.</t>
  </si>
  <si>
    <t>ν=8955.05753 cm^-1; H2O–Xe ν1+ν2+ν3, Table 2.</t>
  </si>
  <si>
    <t>ν=8665.13339 cm^-1; H2O–Xe ν1+ν2+ν3, Table 2.</t>
  </si>
  <si>
    <t>ν=8685.42200 cm^-1; H2O–Xe ν1+ν2+ν3, Table 2.</t>
  </si>
  <si>
    <t>ν=8950.33675 cm^-1; H2O–Xe ν1+ν2+ν3, Table 2.</t>
  </si>
  <si>
    <t>ν=8646.47207 cm^-1; H2O–Xe ν1+ν2+ν3, Table 2.</t>
  </si>
  <si>
    <t>ν=8982.12774 cm^-1; H2O–Xe ν1+ν2+ν3, Table 2.</t>
  </si>
  <si>
    <t>ν=8982.76296 cm^-1; H2O–Xe ν1+ν2+ν3, Table 2.</t>
  </si>
  <si>
    <t>ν=8977.36762 cm^-1; H2O–Xe ν1+ν2+ν3, Table 2.</t>
  </si>
  <si>
    <t>ν=8979.53177 cm^-1; H2O–Xe ν1+ν2+ν3, Table 2.</t>
  </si>
  <si>
    <t>ν=8652.08994 cm^-1; H2O–Xe ν1+ν2+ν3, Table 2.</t>
  </si>
  <si>
    <t>ν=8937.23662 cm^-1; H2O–Xe ν1+ν2+ν3, Table 2.</t>
  </si>
  <si>
    <t>ν=8937.13309 cm^-1; H2O–Xe ν1+ν2+ν3, Table 2.</t>
  </si>
  <si>
    <t>ν=8967.23537 cm^-1; H2O–Xe ν1+ν2+ν3, Table 2.</t>
  </si>
  <si>
    <t>ν=8996.80052 cm^-1; H2O–Xe ν1+ν2+ν3, Table 2.</t>
  </si>
  <si>
    <t>ν=8983.70786 cm^-1; H2O–Xe ν1+ν2+ν3, Table 2.</t>
  </si>
  <si>
    <t>ν=8622.75245 cm^-1; H2O–Xe ν1+ν2+ν3, Table 2.</t>
  </si>
  <si>
    <t>ν=8948.15185 cm^-1; H2O–Xe ν1+ν2+ν3, Table 2.</t>
  </si>
  <si>
    <t>ν=8948.44471 cm^-1; H2O–Xe ν1+ν2+ν3, Table 2.</t>
  </si>
  <si>
    <t>ν=8617.64768 cm^-1; H2O–Xe ν1+ν2+ν3, Table 2.</t>
  </si>
  <si>
    <t>ν=8978.86051 cm^-1; H2O–Xe ν1+ν2+ν3, Table 2.</t>
  </si>
  <si>
    <t>ν=8609.83407 cm^-1; H2O–Xe ν1+ν2+ν3, Table 2.</t>
  </si>
  <si>
    <t>ν=8611.38423 cm^-1; H2O–Xe ν1+ν2+ν3, Table 2.</t>
  </si>
  <si>
    <t>ν=8603.31060 cm^-1; H2O–Xe ν1+ν2+ν3, Table 2.</t>
  </si>
  <si>
    <t>ν=8958.63725 cm^-1; H2O–Xe ν1+ν2+ν3, Table 2.</t>
  </si>
  <si>
    <t>ν=8989.80276 cm^-1; H2O–Xe ν1+ν2+ν3, Table 2.</t>
  </si>
  <si>
    <t>Table 2 (101 band example); H2O lines broadened by CO2; γ and its uncertainty taken directly from γ = 0.0910(7) cm^-1 atm^-1 (uncertainty from digits in parentheses);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</si>
  <si>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0.1016(1)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</si>
  <si>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0.1600(6)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</si>
  <si>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0.1230(7)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</si>
  <si>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0.1198(7)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</si>
  <si>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0.1649(6)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</si>
  <si>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0.1308(5)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</si>
  <si>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0.1573(2)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</si>
  <si>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0.1910(4)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</si>
  <si>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0.2108(6)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</si>
  <si>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0.1805(6)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</si>
  <si>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0.1018(5)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</si>
  <si>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0.2139(7)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</si>
  <si>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0.2046(7)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</si>
  <si>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0.1948(6)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</si>
  <si>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0.1790(5)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</si>
  <si>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0.2026(6)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</si>
  <si>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0.1965(5)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</si>
  <si>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0.1316(7)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</si>
  <si>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0.1870(6) cm^-1 atm^-1; temperature taken as room temperature ≈296.3 K from Table 1; temperature exponent n not reported; line profile fitted with quadratic speed-dependent Voigt (qSDV) as described in Section 2.</t>
  </si>
  <si>
    <t>Table 2 (101 band example); H2O lines broadened by CO2; γ and its uncertainty taken directly from γ = 0.1985(6) cm^-1 atm^-1; temperature taken as room temperature ≈296.3 K from Table 1; temperature exponent n not reported; line profile fitted with quadratic speed-dependent Voigt (qSDV) as described in Section 2.</t>
  </si>
  <si>
    <t>From Supplementary Table 1 (mmc1.doc); n not reported</t>
  </si>
  <si>
    <t>From Supplementary Table 1; n not reported</t>
  </si>
  <si>
    <t>Supplementary Table 1; n not reported</t>
  </si>
  <si>
    <t>Supplementary Table 1 (0,0,2 band); n not reported</t>
  </si>
  <si>
    <t>Supplementary Table 1 (0,1,1 band)</t>
  </si>
  <si>
    <t>Row from supplementary table; Δγ is absolute uncertainty; no % values provided; Table: Supplementary</t>
  </si>
  <si>
    <t>Row from supplementary; Δγ blank → N/A</t>
  </si>
  <si>
    <t>Supplementary</t>
  </si>
  <si>
    <t>Δγ missing</t>
  </si>
  <si>
    <t>Δγ blank</t>
  </si>
  <si>
    <t>overlapping lines entry</t>
  </si>
  <si>
    <t>qSDV Voigt</t>
  </si>
  <si>
    <t>H2O–CO2 broadening and shift parameters from Table 2, ν_HITRAN=3765.760290 cm^-1; γ, δ and γ2 obtained using qSDV profile. Temperature exponent n not reported; effective temperature for fitted coefficients not explicitly given (spectra recorded at 296.2–296.4 K, Table 1).</t>
  </si>
  <si>
    <t>H2O–CO2 broadening and shift parameters from Table 2, ν_HITRAN=3769.888959 cm^-1; γ, δ and γ2 obtained using qSDV profile. Temperature exponent n not reported; effective temperature for fitted coefficients not explicitly given (spectra recorded at 296.2–296.4 K, Table 1).</t>
  </si>
  <si>
    <t>H2O–CO2 broadening and shift parameters from Table 2, ν_HITRAN=3770.455374 cm^-1; γ, δ and γ2 obtained using qSDV profile. Temperature exponent n not reported; effective temperature for fitted coefficients not explicitly given (spectra recorded at 296.2–296.4 K, Table 1).</t>
  </si>
  <si>
    <t>H2O–CO2 broadening and shift parameters from Table 2, ν_HITRAN=3771.562814 cm^-1; γ, δ and γ2 obtained using qSDV profile. Temperature exponent n not reported; effective temperature for fitted coefficients not explicitly given (spectra recorded at 296.2–296.4 K, Table 1).</t>
  </si>
  <si>
    <t>H2O–CO2 broadening and shift parameters from Table 2, ν_HITRAN=3789.243665 cm^-1; γ, δ and γ2 obtained using qSDV profile. Temperature exponent n not reported; effective temperature for fitted coefficients not explicitly given (spectra recorded at 296.2–296.4 K, Table 1).</t>
  </si>
  <si>
    <t>H2O–CO2 broadening and shift parameters from Table 2, ν_HITRAN=3789.277423 cm^-1; γ, δ and γ2 obtained using qSDV profile. Temperature exponent n not reported; effective temperature for fitted coefficients not explicitly given (spectra recorded at 296.2–296.4 K, Table 1).</t>
  </si>
  <si>
    <t>H2O–CO2 broadening and shift parameters from Table 2, ν_HITRAN=3789.634765 cm^-1; γ, δ and γ2 obtained using qSDV profile. Temperature exponent n not reported; effective temperature for fitted coefficients not explicitly given (spectra recorded at 296.2–296.4 K, Table 1).</t>
  </si>
  <si>
    <t>H2O–CO2 broadening and shift parameters from Table 2, ν_HITRAN=3796.439550 cm^-1; γ, δ and γ2 obtained using qSDV profile. Temperature exponent n not reported; effective temperature for fitted coefficients not explicitly given (spectra recorded at 296.2–296.4 K, Table 1).</t>
  </si>
  <si>
    <t>H2O–CO2 broadening and shift parameters from Table 2, ν_HITRAN=3797.787931 cm^-1; γ, δ and γ2 obtained using qSDV profile. Temperature exponent n not reported; effective temperature for fitted coefficients not explicitly given (spectra recorded at 296.2–296.4 K, Table 1).</t>
  </si>
  <si>
    <t>H2O–CO2 broadening and shift parameters from Table 2, ν_HITRAN=3819.904141 cm^-1; γ, δ and γ2 obtained using qSDV profile. Temperature exponent n not reported; effective temperature for fitted coefficients not explicitly given (spectra recorded at 296.2–296.4 K, Table 1).</t>
  </si>
  <si>
    <t>H2O–CO2 broadening and shift parameters from Table 2, ν_HITRAN=3825.552171 cm^-1; γ, δ and γ2 obtained using qSDV profile. Temperature exponent n not reported; effective temperature for fitted coefficients not explicitly given (spectra recorded at 296.2–296.4 K, Table 1).</t>
  </si>
  <si>
    <t>H2O–CO2 broadening and shift parameters from Table 2, ν_HITRAN=3826.753966 cm^-1; γ, δ and γ2 obtained using qSDV profile. Temperature exponent n not reported; effective temperature for fitted coefficients not explicitly given (spectra recorded at 296.2–296.4 K, Table 1).</t>
  </si>
  <si>
    <t>H2O–CO2 broadening and shift parameters from Table 2, ν_HITRAN=3827.999548 cm^-1; γ, δ and γ2 obtained using qSDV profile. Temperature exponent n not reported; effective temperature for fitted coefficients not explicitly given (spectra recorded at 296.2–296.4 K, Table 1).</t>
  </si>
  <si>
    <t>H2O–CO2 broadening and shift parameters from Table 2, ν_HITRAN=3831.686284 cm^-1; γ, δ and γ2 obtained using qSDV profile. Temperature exponent n not reported; effective temperature for fitted coefficients not explicitly given (spectra recorded at 296.2–296.4 K, Table 1).</t>
  </si>
  <si>
    <t>H2O–CO2 broadening and shift parameters from Table 2, ν_HITRAN=3839.929388 cm^-1; γ, δ and γ2 obtained using qSDV profile. Temperature exponent n not reported; effective temperature for fitted coefficients not explicitly given (spectra recorded at 296.2–296.4 K, Table 1).</t>
  </si>
  <si>
    <t>H2O–CO2 broadening and shift parameters from Table 2, ν_HITRAN=3840.125904 cm^-1; γ, δ and γ2 obtained using qSDV profile. Temperature exponent n not reported; effective temperature for fitted coefficients not explicitly given (spectra recorded at 296.2–296.4 K, Table 1).</t>
  </si>
  <si>
    <t>H2O–CO2 broadening and shift parameters from Table 2, ν_HITRAN=3841.044825 cm^-1; γ, δ and γ2 obtained using qSDV profile. Temperature exponent n not reported; effective temperature for fitted coefficients not explicitly given (spectra recorded at 296.2–296.4 K, Table 1).</t>
  </si>
  <si>
    <t>H2O–CO2 broadening and shift parameters from Table 2, ν_HITRAN=3843.504684 cm^-1; γ, δ and γ2 obtained using qSDV profile. Temperature exponent n not reported; effective temperature for fitted coefficients not explicitly given (spectra recorded at 296.2–296.4 K, Table 1).</t>
  </si>
  <si>
    <t>H2O–CO2 broadening and shift parameters from Table 2, ν_HITRAN=3843.750883 cm^-1; γ, δ and γ2 obtained using qSDV profile. Temperature exponent n not reported; effective temperature for fitted coefficients not explicitly given (spectra recorded at 296.2–296.4 K, Table 1).</t>
  </si>
  <si>
    <t>H2O–CO2 broadening and shift parameters from Table 2, ν_HITRAN=3844.847182 cm^-1; γ, δ and γ2 obtained using qSDV profile. Temperature exponent n not reported; effective temperature for fitted coefficients not explicitly given (spectra recorded at 296.2–296.4 K, Table 1).</t>
  </si>
  <si>
    <t>H2O–CO2 broadening and shift parameters from Table 2, ν_HITRAN=3857.164232 cm^-1; γ, δ and γ2 obtained using qSDV profile. Temperature exponent n not reported; effective temperature for fitted coefficients not explicitly given (spectra recorded at 296.2–296.4 K, Table 1).</t>
  </si>
  <si>
    <t>H2O–CO2 broadening and shift parameters from Table 2, ν_HITRAN=3857.424947 cm^-1; γ, δ and γ2 obtained using qSDV profile. Temperature exponent n not reported; effective temperature for fitted coefficients not explicitly given (spectra recorded at 296.2–296.4 K, Table 1).</t>
  </si>
  <si>
    <t>HDO</t>
  </si>
  <si>
    <t>quadratic speed-dependent Voigt (qSDV)</t>
  </si>
  <si>
    <t>HDO–CO2 line in band (v1 v2 v3) = (0 1 1) at ν_HITRAN = 5190.6176 cm^-1; γ_CO2 = 0.115(3) cm^-1 atm^-1 taken directly from Table 2 with 1σ uncertainty 0.003 cm^-1 atm^-1; parameters retrieved by multispectrum fit using qSDV profile at room temperature; temperature exponent n not reported; per-line experimental temperature not specified (HDO–CO2 spectra recorded at ~297.2–297.3 K in Table 1). Source: Table 2.</t>
  </si>
  <si>
    <t>HDO–CO2 line in band (v1 v2 v3) = (2 0 0) at ν_HITRAN = 5191.0974 cm^-1; γ_CO2 = 0.078(1) cm^-1 atm^-1 with 1σ uncertainty 0.001 cm^-1 atm^-1 from Table 2; qSDV line profile used in retrieval; n not reported; per-line temperature not given (only spectrum-level ~297 K in Table 1). Source: Table 2.</t>
  </si>
  <si>
    <t>HDO–CO2 line in band (v1 v2 v3) = (2 0 0) at ν_HITRAN = 5191.2148 cm^-1; γ_CO2 = 0.074(2) cm^-1 atm^-1 with 1σ uncertainty 0.002 cm^-1 atm^-1 from Table 2; qSDV profile used; temperature exponent n not provided; individual line temperature not specified (HDO–CO2 spectra at ~297.2–297.3 K per Table 1). Source: Table 2.</t>
  </si>
  <si>
    <t>HDO–CO2 line in band (v1 v2 v3) = (0 1 1) at ν_HITRAN = 5191.2702 cm^-1; γ_CO2 = 0.096(2) cm^-1 atm^-1 (1σ = 0.002) from Table 2; corresponding γ2 and δ_CO2 also tabulated but not used here; qSDV profile applied; n not reported; per-line temperature not listed (only spectrum-level ~297 K). Source: Table 2.</t>
  </si>
  <si>
    <t>HDO–CO2 line in band (v1 v2 v3) = (2 0 0) at ν_HITRAN = 5191.8363 cm^-1; γ_CO2 = 0.106(1) cm^-1 atm^-1 with 1σ uncertainty 0.001 cm^-1 atm^-1 from Table 2; qSDV line profile; n not given; no per-line temperature (HDO–CO2 spectra near 297.2–297.3 K in Table 1). Source: Table 2.</t>
  </si>
  <si>
    <t>HDO–CO2 line in band (v1 v2 v3) = (0 1 1) at ν_HITRAN = 5191.9018 cm^-1; γ_CO2 = 0.098(2) cm^-1 atm^-1 (1σ = 0.002) from Table 2; qSDV profile used; temperature exponent n not reported; per-line temperature not specified (only spectrum-level ~297 K). Source: Table 2.</t>
  </si>
  <si>
    <t>HDO–CO2 line in band (v1 v2 v3) = (0 1 1) at ν_HITRAN = 5192.4578 cm^-1; γ_CO2 = 0.130(2) cm^-1 atm^-1 with 1σ = 0.002 cm^-1 atm^-1 from Table 2; γ2 also tabulated; qSDV profile; n not given; per-line temperature not available (HDO–CO2 spectra at ~297.2–297.3 K per Table 1). Source: Table 2.</t>
  </si>
  <si>
    <t>HDO–CO2 line in band (v1 v2 v3) = (0 1 1) at ν_HITRAN = 5193.2488 cm^-1; γ_CO2 = 0.173(2) cm^-1 atm^-1 (1σ = 0.002) from Table 2; qSDV profile used; n not reported; no explicit per-line temperature (only spectrum-level ~297 K). Source: Table 2.</t>
  </si>
  <si>
    <t>HDO–CO2 line in band (v1 v2 v3) = (0 1 1) at ν_HITRAN = 5194.0254 cm^-1; γ_CO2 = 0.157(2) cm^-1 atm^-1 with 1σ uncertainty 0.002 cm^-1 atm^-1 from Table 2; γ2 provided but not used here; qSDV profile; n not reported; per-line temperature not specified (HDO–CO2 spectra ~297.2–297.3 K). Source: Table 2.</t>
  </si>
  <si>
    <t>HDO–CO2 line in band (v1 v2 v3) = (0 1 1) at ν_HITRAN = 5194.4846 cm^-1; γ_CO2 = 0.083(1) cm^-1 atm^-1 (1σ = 0.001) from Table 2; qSDV line shape; temperature exponent n not given; per-line temperature not listed (spectrum-level ~297 K only). Source: Table 2.</t>
  </si>
  <si>
    <t>HDO–CO2 line in band (v1 v2 v3) = (0 1 1) at ν_HITRAN = 5195.4199 cm^-1; γ_CO2 = 0.111(2) cm^-1 atm^-1 with 1σ = 0.002 cm^-1 atm^-1 from Table 2; qSDV line profile; n not reported; individual line temperature not provided (HDO–CO2 spectra around 297.2–297.3 K). Source: Table 2.</t>
  </si>
  <si>
    <t>HDO–CO2 line in band (v1 v2 v3) = (0 1 1) at ν_HITRAN = 5195.5048 cm^-1; γ_CO2 = 0.112(3) cm^-1 atm^-1 (1σ = 0.003) from Table 2; qSDV profile; temperature exponent n not available; per-line temperature not specified (only spectrum-level ~297 K). Source: Table 2.</t>
  </si>
  <si>
    <t>HDO–CO2 line in band (v1 v2 v3) = (0 1 1) at ν_HITRAN = 5192.5544 cm^-1; γ_CO2 = 0.118(1) cm^-1 atm^-1 with 1σ uncertainty 0.001 cm^-1 atm^-1 from Table 2; γ2 also given; qSDV line profile; n not reported; per-line temperature not listed (HDO–CO2 spectra recorded near 297.2–297.3 K). Source: Table 2.</t>
  </si>
  <si>
    <t>D2O</t>
  </si>
  <si>
    <t>D2O–CO2 line in band (v1 v2 v3) = (0 2 1) at ν_HITRAN = 5192.8416 cm^-1; γ_CO2 = 0.117(2) cm^-1 atm^-1 with 1σ = 0.002 cm^-1 atm^-1 from Table 2; qSDV profile used to retrieve line parameters; temperature exponent n not reported; per-line temperature not provided (D2O–CO2 lines measured under same HDO–CO2 experimental conditions at ~297 K). Source: Table 2.</t>
  </si>
  <si>
    <t>D2O–CO2 line in band (v1 v2 v3) = (2 0 0) at ν_HITRAN = 5193.1545 cm^-1; γ_CO2 = 0.116(2) cm^-1 atm^-1 (1σ = 0.002) from Table 2; qSDV line profile; n not given; per-line temperature not specified (only spectrum-level conditions near 297 K). Source: Table 2.</t>
  </si>
  <si>
    <t>D2O–CO2 line in band (v1 v2 v3) = (0 2 1) at ν_HITRAN = 5193.6628 cm^-1; γ_CO2 = 0.122(2) cm^-1 atm^-1 with 1σ uncertainty 0.002 cm^-1 atm^-1 from Table 2; qSDV profile used; n not reported; no per-line temperature (spectrum-level ~297 K). Source: Table 2.</t>
  </si>
  <si>
    <t>D2O–CO2 line in band (v1 v2 v3) = (2 0 0) at ν_HITRAN = 5194.7839 cm^-1; γ_CO2 = 0.141(3) cm^-1 atm^-1 (1σ = 0.003) from Table 2; γ2 given but not used here; qSDV profile; n not reported; per-line temperature not specified (D2O–CO2 measured under same ~297 K conditions). Source: Table 2.</t>
  </si>
  <si>
    <t>D2O–CO2 line in band (v1 v2 v3) = (2 0 0) at ν_HITRAN = 5194.9101 cm^-1; γ_CO2 = 0.154(1) cm^-1 atm^-1 with 1σ uncertainty 0.001 cm^-1 atm^-1 from Table 2; qSDV profile; n not reported; individual line temperature not listed (only spectrum-level ~297 K). Source: Table 2.</t>
  </si>
  <si>
    <t>D2O–CO2 line in band (v1 v2 v3) = (2 0 0) at ν_HITRAN = 5195.0123 cm^-1; γ_CO2 = 0.114(2) cm^-1 atm^-1 (1σ = 0.002) from Table 2; qSDV line profile; n not reported; per-line temperature not available (spectrum-level ~297 K). Source: Table 2.</t>
  </si>
  <si>
    <t>D2O–CO2 line in band (v1 v2 v3) = (0 2 1) at ν_HITRAN = 5195.6444 cm^-1; γ_CO2 = 0.109(1) cm^-1 atm^-1 with 1σ uncertainty 0.001 cm^-1 atm^-1 from Table 2; qSDV profile; temperature exponent n not given; per-line temperature not specified (only spectrum-level ~297 K). Source: Table 2.</t>
  </si>
  <si>
    <t>Cl2</t>
  </si>
  <si>
    <t>Br2</t>
  </si>
  <si>
    <t>I2</t>
  </si>
  <si>
    <t>HD</t>
  </si>
  <si>
    <t>AlH</t>
  </si>
  <si>
    <t>H2CO</t>
  </si>
  <si>
    <t>NO</t>
  </si>
  <si>
    <t>J-averaged broadening coefficient 2gamma_bar = 0.50 cm^-1 atm^-1 and shift delta_bar = -0.16 cm^-1 atm^-1 for NO A–X(0,0) at 295 K with Ar perturber, taken from Table II summarizing room-temperature results; gamma here is the HWHM per atm obtained as 2gamma_bar/2; Ka and Kc are not applicable for linear NO; individual J′ and J″ for the averaged value are not specified numerically in the text (only that several J″ values in the range ~3–26 were used and that 2gamma and delta are independent of J″); temperature exponent n is not reported (temperature dependences are stated to be addressed in a subsequent report); collision profiles were fit with Voigt functions (Section THEORY and SAMPLE DATA AND ANALYSIS).</t>
  </si>
  <si>
    <t>J-averaged broadening coefficient 2gamma_bar = 0.53 cm^-1 atm^-1 and shift delta_bar = -0.16 cm^-1 atm^-1 for NO A–X(0,0) at 295 K with O2 perturber, from Table II and the discussion around Figs. 5 and 6; gamma = 0.265 cm^-1 atm^-1 is the HWHM per atm derived as 2gamma_bar/2; Ka and Kc are not applicable for linear NO; coefficients are reported as essentially independent of ground-state rotational quantum number J″ over the investigated range; percentage and absolute uncertainties in gamma are discussed only qualitatively (typical combined uncertainty ~3% including baseline and systematic effects), so no explicit numerical uncertainty is given; n is not reported; Voigt line shape is used to model the profiles (Section THEORY and SAMPLE DATA AND ANALYSIS).</t>
  </si>
  <si>
    <t>J-averaged self-broadening coefficient 2gamma_bar = 0.55 cm^-1 atm^-1 and shift delta_bar = -0.17 cm^-1 atm^-1 for NO A–X(0,0) at 295 K, from Table II (current paper plus prior work cited therein); gamma = 0.275 cm^-1 atm^-1 is the HWHM per atm derived as 2gamma_bar/2; Ka and Kc are not applicable for linear NO; measurements span several J″ values (including 20 and 33.5 as noted in Table I and associated discussion), but only J″-averaged values are tabulated, and the authors report no discernible J″ dependence for 2gamma or delta for NO perturbers; uncertainties in gamma are discussed only in aggregate (minimum ~2% plus random contributions, typically ~3%), so explicit percentage and absolute uncertainties are marked as uncertain; temperature exponent n is not given; Voigt profile fits are used for the analysis.</t>
  </si>
  <si>
    <t>J-averaged broadening coefficient 2gamma_bar = 0.58 cm^-1 atm^-1 and shift delta_bar = -0.18 cm^-1 atm^-1 for NO A–X(0,0) at 295 K with N2 perturber, as summarized in Table II from earlier work (Ref. 7) and compared here; gamma = 0.29 cm^-1 atm^-1 is the HWHM per atm derived as 2gamma_bar/2; NO is linear so Ka and Kc are not applicable; specific J′ and J″ used for N2 perturber in the earlier study are only given as a small set of J″ values (Table II lists 3, 13, 26) and the coefficients are reported to be independent of J″; measurement uncertainties are discussed only generally (~3%), so both percentage and absolute uncertainties are marked as uncertain; no temperature exponent n is reported in this paper; line shapes are modeled with Voigt profiles.</t>
  </si>
  <si>
    <t xml:space="preserve">J-averaged broadening coefficient 2gamma_bar = 0.79 cm^-1 atm^-1 and shift delta_bar = -0.21 cm^-1 atm^-1 for NO A–X(0,0) at 295 K with H2O perturber, taken from Table II and the discussion of Figs. 5 and 6; gamma = 0.395 cm^-1 atm^-1 is the HWHM per atm obtained as 2gamma_bar/2; NO is linear so Ka and Kc are not applicable; measurements cover J″ values from about 3.5 to 18.5 (see Table I and Figs. 5–6), with 2gamma showing no clear J″ dependence while delta shows a modest J″ dependence, but only the J″-averaged 2gamma_bar and delta_bar are explicitly tabulated; measurement uncertainty in 2gamma is described qualitatively (minimum ~2% plus random error, typically ~3%), so explicit percentage
</t>
  </si>
  <si>
    <t>Self-broadening. γ = 0.206/2 with uncertainty 0.008/2. No J reported. Linear molecule. Source: Table 3 A.</t>
  </si>
  <si>
    <t>Self-broadening. γ = 0.168/2, uncertainty 0.022/2. No J reported. Linear molecule. Source: Table 3 A.</t>
  </si>
  <si>
    <t>Self-broadening. γ = 0.20/2 = 0.10. Uncertainty 0.05/2. No J reported. Source: Table 3 A.</t>
  </si>
  <si>
    <t>Self-broadening. γ = 0.10/2 = 0.05. Uncertainty not given. No J reported. Linear. Source: Table 3 A.</t>
  </si>
  <si>
    <t>Self-broadening. γ = 2.8/2 = 1.40. Uncertainty 1.3/2. Very large uncertainty. No J reported. Source: Table 3 A.</t>
  </si>
  <si>
    <t>Foreign broadening. γ = 0.174/2 = 0.087. Uncertainty 0.024/2. Source: Table 3 B.</t>
  </si>
  <si>
    <t>Foreign broadening. γ = 0.45/2 = 0.225. Uncertainty 0.15/2. Source: Table 3 B.</t>
  </si>
  <si>
    <t>Foreign broadening. γ = 0.24/2 = 0.12. Uncertainty 0.04/2. Temperature is stated 'assumed 1500 K'. Source: Table 3 B.</t>
  </si>
  <si>
    <t>Foreign broadening. γ = 0.115/2 = 0.0575. Uncertainty 0.002/2. Temperature 480 K. Source: Table 3 B.</t>
  </si>
  <si>
    <t>Self-broadening of Br2 B′Π0u+–X1Σg+ visible absorption lines; collision FWHM pressure coefficient reported as (0.168 ± 0.003) cm^-1/atm from deconvolution of Br2 self-broadening data (Table I) in Section 4; gamma here is the HWHM per atm taken as half of that FWHM value (0.084 cm^-1/atm); no dependence on rotational quantum number detected over J = 20–80 so a single J value cannot be assigned; Br2 is linear so Ka/Kc are not applicable; experiment at ~300 K; line shape is Lorentzian according to impact-theory discussion in Section 5. Source: Sections 3–4, Table I discussion and collision-width summary.</t>
  </si>
  <si>
    <t>Self-broadening of Cl2 B′Π0u+–X1Σg+ absorption lines; average pressure coefficient of line FWHM reported as (0.206 ± 0.008) cm^-1/atm from least-squares fits to widths vs pressure for five lines in Table II (P(5), P(29), R(30), P(3), R(4)); deconvolution analysis states that collision widths give the same pressure dependence as the measured FWHM; gamma here is the HWHM per atm taken as half of 0.206 cm^-1/atm (0.103 cm^-1/atm); no dependence on rotational quantum number found, so a single J cannot be assigned; Cl2 is linear so Ka/Kc are not applicable; Doppler-broadening discussion explicitly gives temperature ~300 K; line shape is Lorentzian by impact-approximation arguments in Section 5. Source: Section 3 (Table II and Fig. 3) and Section 4 collision-broadening summary.</t>
  </si>
  <si>
    <t>Foreign-gas broadening of AlH (‘Π–‘Σ system) by H2 from Watson &amp; Hull, as quoted in the Introduction: FWHM pressure coefficient (+0.24 ± 0.03) cm^-1/atm and shift (−0.05 ± 0.03) cm^-1/atm; gamma here is the HWHM per atm taken as half of the reported FWHM slope (0.12 cm^-1/atm) with half the quoted uncertainty (0.015 cm^-1/atm); rotational line-broadening and shifts reported to be independent of rotational quantum number so a single J cannot be specified; Ka/Kc not applicable for this (effectively linear) diatomic; experimental temperature is not given in the quoted summary, so temperature is marked N/A; line profile is not specified in the cited work, so line profile is marked N/A. Source: Introduction quotation of Watson &amp; Hull’s AlH–H2 pressure-broadening results.</t>
  </si>
  <si>
    <t>Rautian (Dicke-narrowed)</t>
  </si>
  <si>
    <t>K'</t>
  </si>
  <si>
    <t>K"</t>
  </si>
  <si>
    <t>Table 2; R-branch sR(3,3) v1 band | J'=J''+1 | K'=K'' | Ka/Kc not resolved; symmetric-top notation</t>
  </si>
  <si>
    <t>Table 2; R-branch sR(3,3)</t>
  </si>
  <si>
    <t>Table 2; sR(3,3)</t>
  </si>
  <si>
    <t>Table 2; sR(3,3) self-broadening</t>
  </si>
  <si>
    <t>Table 2; sR(3,2)</t>
  </si>
  <si>
    <t>Table 2; sR(3,2) self</t>
  </si>
  <si>
    <t>Table 2; sR(3,1)</t>
  </si>
  <si>
    <t>Table 2; sR(3,1) self</t>
  </si>
  <si>
    <t>Table 2; sR(3,0)</t>
  </si>
  <si>
    <t>Table 2; sR(3,0) self</t>
  </si>
  <si>
    <t>Gamma and n_air for HD16O–air from Table 3 (Lavrentieva et al. 2014); theoretical values at 296 K; no percentage error, absolute uncertainty, or explicit line profile reported.</t>
  </si>
  <si>
    <t>Self-broadening gamma (g_self) from Table 3; n for self broadening not reported; percentage error, absolute uncertainty, and line profile not given in the paper.</t>
  </si>
  <si>
    <t>Gamma and n_CO2 for HD16O–CO2 from Table 3; theoretical values at 296 K; no uncertainties or line-profile function specified.</t>
  </si>
  <si>
    <t>Gamma and n_air for HD16O–air from Table 3; theoretical values at 296 K; uncertainties and line profile not reported.</t>
  </si>
  <si>
    <t>Self-broadening gamma (g_self) from Table 3; no n for self broadening, no percentage error, absolute uncertainty, or line profile given.</t>
  </si>
  <si>
    <t>Gamma and n_CO2 for HD16O–CO2 from Table 3; theoretical calculation at 296 K; no uncertainty or explicit line profile provided.</t>
  </si>
  <si>
    <t>Gamma and n_air for HD16O–air taken from Table 3; theoretical data at 296 K; no error bars or line-profile type in the table.</t>
  </si>
  <si>
    <t>Self-broadening gamma from Table 3; temperature exponent for self broadening not reported; uncertainties and profile unspecified.</t>
  </si>
  <si>
    <t>HD16O–CO2 gamma and n_CO2 from Table 3; computed at 296 K; no experimental uncertainty or line-shape model stated.</t>
  </si>
  <si>
    <t>Air-broadening gamma and n_air for this HD16O transition from Table 3; theoretical at 296 K; no percentage error, absolute uncertainty, or profile given.</t>
  </si>
  <si>
    <t>Self-broadening gamma from Table 3; n for self broadening is not tabulated; uncertainty and line profile not discussed.</t>
  </si>
  <si>
    <t>CO2-broadening gamma and n_CO2 from Table 3 for this transition; theoretical, T=296 K; no uncertainty or line-profile details provided.</t>
  </si>
  <si>
    <t>HD16O–air broadening parameters from Table 3 (observed transition, but broadening values are theoretical); no uncertainties or explicit line profile given.</t>
  </si>
  <si>
    <t>Self-broadening gamma (g_self) from Table 3 for an observed line; n for self, percentage error, absolute uncertainty, and line-shape function not reported.</t>
  </si>
  <si>
    <t>HD16O–CO2 gamma and n_CO2 from Table 3 for an observed transition; calculated at 296 K; no uncertainty or line-profile specification given.</t>
  </si>
  <si>
    <t>Air-broadening gamma and n_air from Table 3; theoretical values at 296 K; no reported uncertainties or line-profile model.</t>
  </si>
  <si>
    <t>Self-broadening gamma from Table 3; temperature exponent for self broadening not provided; error estimates and line profile absent.</t>
  </si>
  <si>
    <t>CO2-broadening gamma and n_CO2 from Table 3 for this HD16O transition; theoretical at 296 K; no gamma uncertainty or explicit profile reported.</t>
  </si>
  <si>
    <t>HCl</t>
  </si>
  <si>
    <t>HCl–Ar 0-1 R</t>
  </si>
  <si>
    <t>HCl–Ar 0-1 P</t>
  </si>
  <si>
    <t>HCl–Ar 0-2 R</t>
  </si>
  <si>
    <t>HCl–Ar 0-2 P</t>
  </si>
  <si>
    <t>CO2–H2O, Starikov2011 Table6, eq45 with x5=x6=0 (approx)</t>
  </si>
  <si>
    <t>CO–CO2, Starikov2011 Table5, eq45 simplified (x4=x7=0)</t>
  </si>
  <si>
    <t>CO2–CO2, Starikov2011 Table6, eq45 simplified (x4=x7=0)</t>
  </si>
  <si>
    <t>Pure rotational R(0) line of 12C16O in normal H2 (ortho–para 3:1); J''=0, J'=1 by R-branch convention; linear molecule so Ka and Kc not applicable; γ0 from Table I (normal H2, units 10^-3 cm^-1 atm^-1) converted to cm^-1 atm^-1 by division by 1000; no per-line uncertainty or single temperature exponent n reported; widths correspond to collisional HWHM for use in a Voigt profile; full 38-temperature dataset only in supplementary material (main text Table I).</t>
  </si>
  <si>
    <t>Pure rotational R(0) line of 12C16O in normal H2; J''=0, J'=1; Ka/Kc not defined for linear CO; γ0=187.49×10^-3 cm^-1 atm^-1 from Table I converted to 0.18749 cm^-1 atm^-1; no percentage error or absolute uncertainty given; no single n exponent tabulated (temperature dependence given only via double power law parameters in Table II); Voigt profile effectively adequate according to discussion of beyond-Voigt effects.</t>
  </si>
  <si>
    <t>Pure rotational R(0) line of 12C16O in normal H2; J''=0→J'=1; Ka/Kc not applicable; γ0 from Table I (99.30×10^-3 cm^-1 atm^-1) converted to 0.09930 cm^-1 atm^-1; no reported experimental-style uncertainties for these theoretical values; n not provided as a single exponent (only DPL parameters are given); line-shape analysis in the paper treats the collisional contribution as Lorentzian within a Voigt profile.</t>
  </si>
  <si>
    <t>Pure rotational R(0) line of 12C16O in normal H2 at 296 K; J''=0, J'=1; Ka/Kc not defined; γ0=76.45×10^-3 cm^-1 atm^-1 from Table I converted to 0.07645 cm^-1 atm^-1; no line-by-line uncertainty or percentage error provided; single power-law exponent n not tabulated for this theoretical dataset; authors show that beyond-Voigt effects are negligible at room temperature, so a Voigt profile is appropriate.</t>
  </si>
  <si>
    <t>Pure rotational R(0) line of 12C16O in normal H2 at 500 K; J''=0→J'=1; Ka/Kc not applicable; γ0=56.50×10^-3 cm^-1 atm^-1 from Table I converted to 0.05650 cm^-1 atm^-1; theoretical CC values only, with no explicit per-value uncertainty; no single temperature exponent n supplied; Voigt profile assumed for use of γ0 in radiative-transfer contexts.</t>
  </si>
  <si>
    <t>Pure rotational R(1) line of 12C16O in normal H2; R-branch convention gives J''=1, J'=2; Ka and Kc not defined for linear CO; γ0=990.92×10^-3 cm^-1 atm^-1 (Table I) converted to 0.99092 cm^-1 atm^-1; percentage error, absolute uncertainty and single n exponent are not reported; γ0 is the collisional HWHM for insertion into a Voigt profile; data point taken from Table I, with denser temperature grid only in supplementary files.</t>
  </si>
  <si>
    <t>Pure rotational R(1) line of 12C16O in normal H2; J''=1→J'=2; Ka/Kc not applicable; γ0=172.44×10^-3 cm^-1 atm^-1 from Table I converted to 0.17244 cm^-1 atm^-1; no per-line uncertainty or % error given for this theoretical value; no single n available (temperature dependence parameterised only via DPL coefficients); Voigt profile used for line-shape interpretation.</t>
  </si>
  <si>
    <t>Pure rotational R(1) line of 12C16O in normal H2; J''=1, J'=2; Ka and Kc not applicable; γ0 value 92.19×10^-3 cm^-1 atm^-1 from Table I converted to 0.09219 cm^-1 atm^-1; uncertainties and a single n exponent are not provided; γ0 is a thermally averaged HWHM for use in Voigt profiles.</t>
  </si>
  <si>
    <t>Pure rotational R(1) line of 12C16O in normal H2 at 296 K; J''=1→J'=2; linear CO, so Ka/Kc not applicable; γ0=71.34×10^-3 cm^-1 atm^-1 from Table I converted to 0.07134 cm^-1 atm^-1; no percentage error, absolute uncertainty or single n exponent reported; Voigt line profile appropriate per authors' discussion of speed dependence and Dicke effects.</t>
  </si>
  <si>
    <t>Pure rotational R(1) line of 12C16O in normal H2 at 500 K; J''=1, J'=2; Ka/Kc not defined; γ0=53.09×10^-3 cm^-1 atm^-1 (Table I) converted to 0.05309 cm^-1 atm^-1; theoretical CC value without quoted line-by-line uncertainty; no single temperature exponent n tabulated; Voigt profile assumed.</t>
  </si>
  <si>
    <t>Pure rotational R(2) line of 12C16O in normal H2; J''=2, J'=3 by R-branch convention; Ka and Kc not applicable; γ0=858.86×10^-3 cm^-1 atm^-1 from Table I converted to 0.85886 cm^-1 atm^-1; no per-line uncertainty metrics or single n exponent provided; γ0 is the collisional HWHM for use in Voigt profiles; this value is part of the selected-temperature subset, with a denser grid only in supplementary material.</t>
  </si>
  <si>
    <t>Pure rotational R(2) line of 12C16O in normal H2; J''=2→J'=3; linear molecule so Ka/Kc not applicable; γ0=169.28×10^-3 cm^-1 atm^-1 (Table I) converted to 0.16928 cm^-1 atm^-1; no reported percentage error, absolute uncertainty or single n exponent; Voigt profile treatment assumed.</t>
  </si>
  <si>
    <t>Pure rotational R(2) line of 12C16O in normal H2; J''=2, J'=3; Ka/Kc not applicable; γ0=90.75×10^-3 cm^-1 atm^-1 from Table I converted to 0.09075 cm^-1 atm^-1; theoretical data only, with no individual uncertainty or n value given; γ0 corresponds to the Lorentzian HWHM component in a Voigt profile.</t>
  </si>
  <si>
    <t>Pure rotational R(2) line of 12C16O in normal H2 at 296 K; J''=2→J'=3; Ka/Kc not defined; γ0=70.20×10^-3 cm^-1 atm^-1 (Table I) converted to 0.07020 cm^-1 atm^-1; no percentage error, absolute uncertainty or single n exponent reported; Voigt line shape effectively sufficient per authors' conclusions.</t>
  </si>
  <si>
    <t>Pure rotational R(2) line of 12C16O in normal H2 at 500 K; J''=2, J'=3; Ka and Kc not applicable; γ0=52.18×10^-3 cm^-1 atm^-1 from Table I converted to 0.05218 cm^-1 atm^-1; no per-line uncertainty or n value tabulated; parameter intended as HWHM for Voigt-profile modelling.</t>
  </si>
  <si>
    <t>Pure rotational R(3) line of 12C16O in normal H2; R-branch gives J''=3, J'=4; Ka/Kc not applicable; γ0=821.35×10^-3 cm^-1 atm^-1 (Table I) converted to 0.82135 cm^-1 atm^-1; no quoted percentage error, absolute uncertainty or single temperature exponent n; γ0 is the collisional HWHM used with a Voigt profile.</t>
  </si>
  <si>
    <t>Pure rotational R(3) line of 12C16O in normal H2; J''=3→J'=4; linear CO so Ka/Kc not used; γ0=166.36×10^-3 cm^-1 atm^-1 from Table I converted to 0.16636 cm^-1 atm^-1; no per-line uncertainty or n value given; Voigt profile appropriate.</t>
  </si>
  <si>
    <t>Pure rotational R(3) line of 12C16O in normal H2; J''=3, J'=4; Ka/Kc not applicable; γ0=90.13×10^-3 cm^-1 atm^-1 (Table I) converted to 0.09013 cm^-1 atm^-1; no experimental-type uncertainties attached to these theoretical values; single n exponent not provided; Voigt profile treatment assumed.</t>
  </si>
  <si>
    <t>Pure rotational R(3) line of 12C16O in normal H2 at 296 K; J''=3→J'=4; Ka and Kc not defined; γ0=69.74×10^-3 cm^-1 atm^-1 from Table I converted to 0.06974 cm^-1 atm^-1; no percentage error, absolute uncertainty or single n exponent given; line-shape discussion in the paper indicates that Voigt profiles are adequate under these conditions.</t>
  </si>
  <si>
    <t>Pure rotational R(3) line of 12C16O in normal H2 at 500 K; J''=3, J'=4; linear rotor (no Ka/Kc); γ0=51.83×10^-3 cm^-1 atm^-1 (Table I) converted to 0.05183 cm^-1 atm^-1; theoretical CC result with no quoted line-by-line uncertainty; no single n exponent; Voigt profile assumed.</t>
  </si>
  <si>
    <t>Pure rotational R(4) line of 12C16O in normal H2; J''=4, J'=5 by R-branch convention; Ka/Kc not applicable; γ0=822.79×10^-3 cm^-1 atm^-1 from Table I converted to 0.82279 cm^-1 atm^-1; no per-value uncertainty or single temperature exponent n reported; γ0 gives the Lorentzian HWHM for a Voigt profile; temperature dependence over 20–500 K is parameterised via DPL coefficients in Table II.</t>
  </si>
  <si>
    <t>Pure rotational R(4) line of 12C16O in normal H2; J''=4→J'=5; Ka and Kc not defined; γ0=164.67×10^-3 cm^-1 atm^-1 (Table I) converted to 0.16467 cm^-1 atm^-1; no percentage error, absolute uncertainty or single n exponent available; Voigt profile appropriate based on the discussion of beyond-Voigt effects.</t>
  </si>
  <si>
    <t>Pure rotational R(4) line of 12C16O in normal H2; J''=4, J'=5; Ka/Kc not applicable; γ0=89.85×10^-3 cm^-1 atm^-1 from Table I converted to 0.08985 cm^-1 atm^-1; uncertainties and single n exponent not reported; γ0 is a thermally averaged HWHM intended for Voigt-profile modelling.</t>
  </si>
  <si>
    <t>Pure rotational R(4) line of 12C16O in normal H2 at 296 K; J''=4→J'=5; linear CO so Ka/Kc not used; γ0=69.57×10^-3 cm^-1 atm^-1 (Table I) converted to 0.06957 cm^-1 atm^-1; no per-line uncertainty or single n exponent given; Voigt profile assumed, with speed-dependent and Dicke effects shown to be negligible in the paper.</t>
  </si>
  <si>
    <t>Pure rotational R(4) line of 12C16O in normal H2 at 500 K; J''=4, J'=5; Ka and Kc not applicable; γ0=51.68×10^-3 cm^-1 atm^-1 from Table I converted to 0.05168 cm^-1 atm^-1; theoretical CC value without quoted percentage error or absolute uncertainty; no single temperature exponent n is tabulated; Voigt profile appropriate per authors' conclusions.</t>
  </si>
  <si>
    <t>Experimental γ (HWHM) for 12C2H2–H2 isotropic Raman Q(2) line of ν2 at 143 K; value from Table 3 (Exp column), units 10^-3 cm^-1/atm converted to cm^-1 atm^-1 by ×1e-3; Lorentzian HWHM vs pressure from Voigt fits as described in the Experimental section; J'=J"=j (Q-branch); linear molecule so Ka and Kc not applicable; temperature exponent n reported only for theoretical data in Table 2, so n set to N/A; percentage error and absolute uncertainty derived directly from the quoted ±1σ value.</t>
  </si>
  <si>
    <t>Experimental γ (HWHM) for 12C2H2–H2 isotropic Raman Q(3) line of ν2 at 143 K; value from Table 3 (Exp column), units 10^-3 cm^-1/atm converted by ×1e-3; Voigt fits and Lorentzian HWHM vs pressure as in Experimental section; J'=J"=j; Ka/Kc not applicable for linear molecule; n only tabulated for theory in Table 2 so n=N/A; percentage error and absolute uncertainty from the ±1σ value.</t>
  </si>
  <si>
    <t>Experimental γ (HWHM) for isotropic Raman Q(4) ν2 line at 143 K; Table 3 Exp column, units 10^-3 cm^-1/atm converted by ×1e-3; Voigt line-profile modelling with Lorentzian width vs pressure giving γ; J'=J"=4; Ka/Kc not applicable; n only given for theoretical values in Table 2 thus n=N/A; percentage error and absolute uncertainty computed from ±1σ.</t>
  </si>
  <si>
    <t>Experimental γ (HWHM) for isotropic Raman Q(5) ν2 line at 143 K; data from Table 3 Exp column, scaled from 10^-3 cm^-1/atm; Voigt fits and Lorentzian HWHM vs pressure; J'=J"=5; Ka/Kc not applicable; n not explicitly linked to experimental data so set to N/A; percentage error and absolute uncertainty obtained from the quoted ±1σ.</t>
  </si>
  <si>
    <t>Experimental γ (HWHM) for isotropic Raman Q(6) ν2 line at 143 K; Table 3 Exp column, units converted from 10^-3 cm^-1/atm; Voigt profile and Lorentzian HWHM vs pressure; J'=J"=6; Ka/Kc not applicable (linear C2H2); n only tabulated for theoretical γ, so n=N/A; percentage error and absolute uncertainty derived from ±1σ.</t>
  </si>
  <si>
    <t>Experimental γ (HWHM) for isotropic Raman Q(7) ν2 line at 143 K; taken from Table 3 Exp column and converted from 10^-3 cm^-1/atm; Voigt fits with Lorentzian width vs pressure; J'=J"=7; Ka/Kc not defined for a linear rotor; temperature exponent n available only for theory (Table 2), so n=N/A; percentage error and absolute uncertainty based on ±1σ.</t>
  </si>
  <si>
    <t>Experimental γ (HWHM) for isotropic Raman Q(8) ν2 line at 143 K; from Table 3 Exp column, scaled from 10^-3 cm^-1/atm; Voigt line profile; J'=J"=8; Ka/Kc not applicable; theoretical n only, so experimental n=N/A; percentage error and absolute uncertainty computed from the ±1σ uncertainty.</t>
  </si>
  <si>
    <t>Experimental γ (HWHM) for isotropic Raman Q(9) ν2 line at 143 K; Table 3 Exp data, converted from 10^-3 cm^-1/atm; Voigt fits to obtain Lorentzian HWHM vs pressure; J'=J"=9; Ka/Kc not applicable; n reported only for theoretical γ in Table 2 so n=N/A here; percentage error and absolute uncertainty directly from ±1σ.</t>
  </si>
  <si>
    <t>Experimental γ (HWHM) for isotropic Raman Q(10) ν2 line at 143 K; taken from Table 3 Exp column (10^-3 cm^-1/atm) and converted; Voigt line-profile analysis; J'=J"=10; Ka/Kc not defined; n available only for theoretical data so n=N/A; percentage error and absolute uncertainty derived from ±1σ.</t>
  </si>
  <si>
    <t>Experimental γ (HWHM) for isotropic Raman Q(11) ν2 line at 143 K; Table 3 Exp value, converted from 10^-3 cm^-1/atm; Voigt profile used with Lorentzian contribution vs pressure to define γ; J'=J"=11; Ka/Kc not applicable; n only supplied for theoretical γ, so n=N/A; percentage error and absolute uncertainty from ±1σ.</t>
  </si>
  <si>
    <t>Experimental γ (HWHM) for isotropic Raman Q(12) ν2 line at 143 K; value from Table 3 Exp, scaled from 10^-3 cm^-1/atm; Voigt line shape and Lorentzian width vs pressure; J'=J"=12; Ka/Kc not defined; experimental n is not given (only theoretical n in Table 2), so n=N/A; percentage error and absolute uncertainty from ±1σ.</t>
  </si>
  <si>
    <t>Experimental γ (HWHM) for isotropic Raman Q(13) ν2 line at 143 K; from Table 3 Exp column (10^-3 cm^-1/atm) converted to cm^-1 atm^-1; Voigt fitting procedure as described; J'=J"=13; Ka/Kc not applicable for linear 12C2H2; n reported only for theoretical PB coefficients, so n=N/A; percentage error and absolute uncertainty based on ±1σ.</t>
  </si>
  <si>
    <t>Experimental γ (HWHM) for isotropic Raman Q(14) ν2 line at 143 K; Table 3 Exp value, converted from 10^-3 cm^-1/atm; Voigt profiles with Lorentzian HWHM vs pressure; J'=J"=14; Ka/Kc not defined; no experimental n reported (only theoretical n), so n=N/A; percentage error and absolute uncertainty computed from the large ±1σ uncertainty.</t>
  </si>
  <si>
    <t>Experimental γ (HWHM) for isotropic Raman Q(15) ν2 line at 143 K; taken from Table 3 Exp column and rescaled from 10^-3 cm^-1/atm; Voigt line-profile fitting; J'=J"=15; Ka/Kc not applicable; n tabulated only for theory, so n=N/A; percentage error and absolute uncertainty derived from ±1σ.</t>
  </si>
  <si>
    <t>Experimental γ (HWHM) for isotropic Raman Q(16) ν2 line at 143 K; from Table 3 Exp, with units converted from 10^-3 cm^-1/atm; Voigt profile; J'=J"=16; Ka/Kc not defined; experimental n not given (only theoretical Table 2 exponents), so n=N/A; percentage error and absolute uncertainty taken from ±1σ.</t>
  </si>
  <si>
    <t>Experimental γ (HWHM) for isotropic Raman Q(17) ν2 line at 143 K; Table 3 Exp column, converted from 10^-3 cm^-1/atm; Voigt line-profile modelling; J'=J"=17; Ka/Kc not applicable; n reported only for theoretical PB coefficients (Table 2), so n=N/A; percentage error and absolute uncertainty based on the ±1σ uncertainty.</t>
  </si>
  <si>
    <t>Theoretical γ (HWHM) for 12C2H2–H2 isotropic Raman Q(0) ν2 line at 143 K; value from Table 3 (Theory column), in 10^-3 cm^-1/atm converted to cm^-1 atm^-1 by ×1e-3; n=0.63 is n(T&lt;295 K) from Table 2 used in γ(T)=γ(295 K)*(295/T)^n; J'=J"=0 (Q-branch); Ka and Kc not applicable for linear 12C2H2; no theoretical uncertainties or line-profile fits reported, so percentage error, absolute uncertainty and line profile are N/A.</t>
  </si>
  <si>
    <t>Theoretical γ (HWHM) for isotropic Raman Q(1) ν2 line at 143 K; Theory value from Table 3, converted from 10^-3 cm^-1/atm; n=0.51 (T&lt;295 K) from Table 2; J'=J"=1; Ka/Kc not defined; theoretical uncertainties and specific line profile not given, so percentage error, absolute uncertainty and line profile are N/A.</t>
  </si>
  <si>
    <t>Theoretical γ (HWHM) for isotropic Raman Q(2) ν2 line at 143 K; Theory column of Table 3, converted from 10^-3 cm^-1/atm; n=0.58 (T&lt;295 K) from Table 2; J'=J"=2; Ka/Kc not applicable; no uncertainties quoted for theory and line-profile model for calculated γ not specified, so percentage error, absolute uncertainty and line profile are N/A.</t>
  </si>
  <si>
    <t>Theoretical γ (HWHM) for isotropic Raman Q(3) ν2 line at 143 K; Theory data from Table 3 scaled from 10^-3 cm^-1/atm; n=0.60 (T&lt;295 K) from Table 2; J'=J"=3; Ka/Kc not applicable; theoretical uncertainties and explicit line profile not reported, so percentage error, absolute uncertainty and line profile set to N/A.</t>
  </si>
  <si>
    <t>Theoretical γ (HWHM) for isotropic Raman Q(4) ν2 line at 143 K; from Table 3 Theory column (10^-3 cm^-1/atm) converted by ×1e-3; n=0.61 (T&lt;295 K) from Table 2; J'=J"=4; Ka/Kc not defined; no theoretical uncertainties or line-profile treatment specified, so percentage error, absolute uncertainty and line profile are N/A.</t>
  </si>
  <si>
    <t>Theoretical γ (HWHM) for isotropic Raman Q(5) ν2 line at 143 K; Theory value from Table 3 converted from 10^-3 cm^-1/atm; n=0.61 (T&lt;295 K) from Table 2; J'=J"=5; Ka/Kc not applicable; lack of reported uncertainties and line-profile model for theory implies percentage error, absolute uncertainty and line profile are N/A.</t>
  </si>
  <si>
    <t>Theoretical γ (HWHM) for isotropic Raman Q(6) ν2 line at 143 K; from Table 3 Theory column, units converted from 10^-3 cm^-1/atm; n=0.62 (T&lt;295 K) from Table 2; J'=J"=6; Ka/Kc not defined; no theoretical γ uncertainties or explicit line profile, so percentage error, absolute uncertainty and line profile are N/A.</t>
  </si>
  <si>
    <t>Theoretical γ (HWHM) for isotropic Raman Q(7) ν2 line at 143 K; Theory value from Table 3 scaled from 10^-3 cm^-1/atm; n=0.61 (T&lt;295 K) from Table 2; J'=J"=7; Ka/Kc not applicable; theoretical uncertainties and line-profile model not given, so percentage error, absolute uncertainty and line profile are N/A.</t>
  </si>
  <si>
    <t>Theoretical γ (HWHM) for isotropic Raman Q(8) ν2 line at 143 K; Table 3 Theory column in 10^-3 cm^-1/atm converted to cm^-1 atm^-1; n=0.61 (T&lt;295 K) from Table 2; J'=J"=8; Ka/Kc not defined; lack of theoretical uncertainties and specified line profile makes percentage error, absolute uncertainty and line profile N/A.</t>
  </si>
  <si>
    <t>Theoretical γ (HWHM) for isotropic Raman Q(9) ν2 line at 143 K; from Table 3 Theory column (10^-3 cm^-1/atm) converted; n=0.61 (T&lt;295 K) from Table 2; J'=J"=9; Ka/Kc not applicable; no theoretical error bars or line-profile specification, so percentage error, absolute uncertainty and line profile are N/A.</t>
  </si>
  <si>
    <t>Theoretical γ (HWHM) for isotropic Raman Q(10) ν2 line at 143 K; Theory data in Table 3 scaled from 10^-3 cm^-1/atm; n=0.61 (T&lt;295 K) from Table 2; J'=J"=10; Ka/Kc not defined; theoretical uncertainties and line profile not given, so percentage error, absolute uncertainty and line profile set to N/A.</t>
  </si>
  <si>
    <t>Theoretical γ (HWHM) for isotropic Raman Q(11) ν2 line at 143 K; Table 3 Theory column, converted from 10^-3 cm^-1/atm; n=0.61 (T&lt;295 K) from Table 2; J'=J"=11; Ka/Kc not applicable; no uncertainties or line-profile details for theory, hence percentage error, absolute uncertainty and line profile are N/A.</t>
  </si>
  <si>
    <t>Theoretical γ (HWHM) for isotropic Raman Q(12) ν2 line at 143 K; Theory value from Table 3 with units converted from 10^-3 cm^-1/atm; n=0.61 (T&lt;295 K) from Table 2; J'=J"=12; Ka/Kc not defined; theoretical error bars and line profile absent, so percentage error, absolute uncertainty and line profile are N/A.</t>
  </si>
  <si>
    <t>Theoretical γ (HWHM) for isotropic Raman Q(13) ν2 line at 143 K; taken from Table 3 Theory column, converted from 10^-3 cm^-1/atm; n=0.61 (T&lt;295 K) from Table 2; J'=J"=13; Ka/Kc not applicable; as no theoretical uncertainties or line profile are provided, percentage error, absolute uncertainty and line profile are N/A.</t>
  </si>
  <si>
    <t>Theoretical γ (HWHM) for isotropic Raman Q(14) ν2 line at 143 K; from Table 3 Theory column (10^-3 cm^-1/atm) converted; n=0.61 (T&lt;295 K) from Table 2; J'=J"=14; Ka/Kc not defined; theoretical uncertainties and profile model not given, so percentage error, absolute uncertainty and line profile are N/A.</t>
  </si>
  <si>
    <t>Theoretical γ (HWHM) for isotropic Raman Q(15) ν2 line at 143 K; Theory value in Table 3 converted from 10^-3 cm^-1/atm; n=0.61 (T&lt;295 K) from Table 2; J'=J"=15; Ka/Kc not applicable; theoretical γ and n have no quoted uncertainties and no line-profile specification, so percentage error, absolute uncertainty and line profile are N/A.</t>
  </si>
  <si>
    <t>Theoretical γ (HWHM) for isotropic Raman Q(16) ν2 line at 143 K; from Table 3 Theory column, converted from 10^-3 cm^-1/atm; n=0.61 (T&lt;295 K) from Table 2; J'=J"=16; Ka/Kc not defined; theoretical uncertainties and line-profile treatment are not reported, so percentage error, absolute uncertainty and line profile are N/A.</t>
  </si>
  <si>
    <t>Theoretical γ (HWHM) for isotropic Raman Q(17) ν2 line at 143 K; Theory value from Table 3 scaled from 10^-3 cm^-1/atm; n=0.61 (T&lt;295 K) from Table 2; J'=J"=17; Ka/Kc not applicable; theoretical error bars and line-profile model not given, so percentage error, absolute uncertainty and line profile are N/A.</t>
  </si>
  <si>
    <t>Theoretical γ (HWHM) for isotropic Raman Q(18) ν2 line at 143 K; from Table 3 Theory column, converted from 10^-3 cm^-1/atm; n=0.61 (T&lt;295 K) from Table 2; J'=J"=18; Ka/Kc not defined; no theoretical uncertainties or line-profile specification, so percentage error, absolute uncertainty and line profile are N/A.</t>
  </si>
  <si>
    <t>Theoretical γ (HWHM) for isotropic Raman Q(19) ν2 line at 143 K; Theory value taken from Table 3 and converted from 10^-3 cm^-1/atm; n=0.62 (T&lt;295 K) from Table 2; J'=J"=19; Ka/Kc not applicable; lack of theoretical error bars and explicit line-profile model implies percentage error, absolute uncertainty and line profile are N/A.</t>
  </si>
  <si>
    <t>Theoretical γ (HWHM) for isotropic Raman Q(20) ν2 line at 143 K; Table 3 Theory column converted from 10^-3 cm^-1/atm; n=0.63 (T&lt;295 K) from Table 2; J'=J"=20; Ka/Kc not defined; theoretical uncertainties and line profile are not provided, so percentage error, absolute uncertainty and line profile are N/A.</t>
  </si>
  <si>
    <t>Theoretical γ (HWHM) for isotropic Raman Q(21) ν2 line at 143 K; from Table 3 Theory data (10^-3 cm^-1/atm) converted; n=0.63 (T&lt;295 K) from Table 2; J'=J"=21; Ka/Kc not applicable; absence of theoretical uncertainties and line-profile information means percentage error, absolute uncertainty and line profile are N/A.</t>
  </si>
  <si>
    <t>Theoretical γ (HWHM) for isotropic Raman Q(22) ν2 line at 143 K; Theory column of Table 3 scaled from 10^-3 cm^-1/atm; n=0.63 (T&lt;295 K) from Table 2; J'=J"=22; Ka/Kc not defined; no theoretical error bars or profile model given, so percentage error, absolute uncertainty and line profile are N/A.</t>
  </si>
  <si>
    <t>Theoretical γ (HWHM) for isotropic Raman Q(23) ν2 line at 143 K; from Table 3 Theory column, units converted from 10^-3 cm^-1/atm; n=0.65 (T&lt;295 K) from Table 2; J'=J"=23; Ka/Kc not applicable; theoretical uncertainties and explicit line-profile model not supplied, so percentage error, absolute uncertainty and line profile are N/A.</t>
  </si>
  <si>
    <t>Theoretical γ (HWHM) for isotropic Raman Q(24) ν2 line at 143 K; Theory data from Table 3 converted from 10^-3 cm^-1/atm; n=0.61 (T&lt;295 K) from Table 2; J'=J"=24; Ka/Kc not defined; absence of theoretical error bars and line-profile details means percentage error, absolute uncertainty and line profile are N/A.</t>
  </si>
  <si>
    <t>Theoretical γ (HWHM) for isotropic Raman Q(25) ν2 line at 143 K; taken from Table 3 Theory column in 10^-3 cm^-1/atm and converted; J'=J"=25; Ka/Kc not applicable; Table 2 lists n only up to j=24, so n is not available and set to N/A; no theoretical uncertainties or line profile reported, so percentage error, absolute uncertainty and line profile are N/A.</t>
  </si>
  <si>
    <t>Theoretical γ (HWHM) at 295 K for 12C2H2–H2 isotropic Raman Q(0) ν2 line; g_j(295 K) from Table 2 in 10^-3 cm^-1/atm converted to cm^-1 atm^-1 by ×1e-3; n=0.63 is n(T&lt;295 K) from Table 2 for use in γ(T)=γ(295 K)*(295/T)^n; J'=J"=0; Ka/Kc not applicable; theoretical uncertainties and explicit line-profile model not given, so percentage error, absolute uncertainty and line profile are N/A.</t>
  </si>
  <si>
    <t>Theoretical γ (HWHM) at 295 K for isotropic Raman Q(1) ν2 line; g_j(295 K) from Table 2 converted from 10^-3 cm^-1/atm; n=0.51 (T&lt;295 K) from Table 2; J'=J"=1; Ka/Kc not defined; no uncertainties or line-profile description supplied for theory, so percentage error, absolute uncertainty and line profile are N/A.</t>
  </si>
  <si>
    <t>Theoretical γ (HWHM) at 295 K for isotropic Raman Q(2) ν2 line; g_j(295 K) taken from Table 2 and converted from 10^-3 cm^-1/atm; n=0.58 (T&lt;295 K) from Table 2; J'=J"=2; Ka/Kc not applicable; theoretical error bars and line-profile model not given, hence percentage error, absolute uncertainty and line profile are N/A.</t>
  </si>
  <si>
    <t>Theoretical γ (HWHM) at 295 K for isotropic Raman Q(3) ν2 line; g_j(295 K) from Table 2 (10^-3 cm^-1/atm) converted to cm^-1 atm^-1; n=0.60 (T&lt;295 K) from Table 2; J'=J"=3; Ka/Kc not defined; absence of theoretical uncertainties and explicit profile model means percentage error, absolute uncertainty and line profile are N/A.</t>
  </si>
  <si>
    <t>Theoretical γ (HWHM) at 295 K for isotropic Raman Q(4) ν2 line; Table 2 g_j(295 K) converted from 10^-3 cm^-1/atm; n=0.61 (T&lt;295 K) from Table 2; J'=J"=4; Ka/Kc not applicable; no theoretical uncertainties or line-profile model given, so percentage error, absolute uncertainty and line profile are N/A.</t>
  </si>
  <si>
    <t>Theoretical γ (HWHM) at 295 K for isotropic Raman Q(5) ν2 line; g_j(295 K) from Table 2 scaled from 10^-3 cm^-1/atm; n=0.61 (T&lt;295 K); J'=J"=5; Ka/Kc not defined; theoretical uncertainties and line-profile treatment not reported, thus percentage error, absolute uncertainty and line profile are N/A.</t>
  </si>
  <si>
    <t>Theoretical γ (HWHM) at 295 K for isotropic Raman Q(6) ν2 line; Table 2 g_j(295 K) converted from 10^-3 cm^-1/atm; n=0.62 (T&lt;295 K); J'=J"=6; Ka/Kc not applicable; no theoretical error bars or line-profile specification, so percentage error, absolute uncertainty and line profile are N/A.</t>
  </si>
  <si>
    <t>Theoretical γ (HWHM) at 295 K for isotropic Raman Q(7) ν2 line; g_j(295 K) from Table 2, converted from 10^-3 cm^-1/atm; n=0.61 (T&lt;295 K); J'=J"=7; Ka/Kc not defined; theoretical uncertainties and profile model are not given, hence percentage error, absolute uncertainty and line profile are N/A.</t>
  </si>
  <si>
    <t>Theoretical γ (HWHM) at 295 K for isotropic Raman Q(8) ν2 line; Table 2 g_j(295 K) scaled from 10^-3 cm^-1/atm; n=0.61 (T&lt;295 K); J'=J"=8; Ka/Kc not applicable; as no theoretical error or line-profile information is provided, percentage error, absolute uncertainty and line profile are N/A.</t>
  </si>
  <si>
    <t>Theoretical γ (HWHM) at 295 K for isotropic Raman Q(9) ν2 line; g_j(295 K) from Table 2 in 10^-3 cm^-1/atm converted to cm^-1 atm^-1; n=0.61 (T&lt;295 K); J'=J"=9; Ka/Kc not defined; theoretical uncertainties and line profile not given, so percentage error, absolute uncertainty and line profile are N/A.</t>
  </si>
  <si>
    <t>Theoretical γ (HWHM) at 295 K for isotropic Raman Q(10) ν2 line; Table 2 g_j(295 K) converted from 10^-3 cm^-1/atm; n=0.61 (T&lt;295 K); J'=J"=10; Ka/Kc not applicable; no theoretical error bars or explicit line-profile model, thus percentage error, absolute uncertainty and line profile are N/A.</t>
  </si>
  <si>
    <t>Theoretical γ (HWHM) at 295 K for isotropic Raman Q(11) ν2 line; g_j(295 K) from Table 2 scaled from 10^-3 cm^-1/atm; n=0.61 (T&lt;295 K); J'=J"=11; Ka/Kc not defined; theoretical uncertainties and profile not provided, so percentage error, absolute uncertainty and line profile are N/A.</t>
  </si>
  <si>
    <t>Theoretical γ (HWHM) at 295 K for isotropic Raman Q(12) ν2 line; g_j(295 K) from Table 2 converted from 10^-3 cm^-1/atm; n=0.61 (T&lt;295 K); J'=J"=12; Ka/Kc not applicable; absence of theoretical uncertainties and line-profile information means percentage error, absolute uncertainty and line profile are N/A.</t>
  </si>
  <si>
    <t>Theoretical γ (HWHM) at 295 K for isotropic Raman Q(13) ν2 line; Table 2 g_j(295 K) scaled from 10^-3 cm^-1/atm; n=0.61 (T&lt;295 K); J'=J"=13; Ka/Kc not defined; theoretical error bars and line-profile treatment are not specified, so percentage error, absolute uncertainty and line profile are N/A.</t>
  </si>
  <si>
    <t>Theoretical γ (HWHM) at 295 K for isotropic Raman Q(14) ν2 line; g_j(295 K) from Table 2 converted from 10^-3 cm^-1/atm; n=0.61 (T&lt;295 K); J'=J"=14; Ka/Kc not applicable; no theoretical uncertainties or line-profile description are provided, so percentage error, absolute uncertainty and line profile are N/A.</t>
  </si>
  <si>
    <t>Theoretical γ (HWHM) at 295 K for isotropic Raman Q(15) ν2 line; Table 2 g_j(295 K) scaled from 10^-3 cm^-1/atm; n=0.61 (T&lt;295 K); J'=J"=15; Ka/Kc not defined; theoretical error bars and explicit profile model are not given, so percentage error, absolute uncertainty and line profile are N/A.</t>
  </si>
  <si>
    <t>Theoretical γ (HWHM) at 295 K for isotropic Raman Q(16) ν2 line; g_j(295 K) from Table 2 converted from 10^-3 cm^-1/atm; n=0.61 (T&lt;295 K); J'=J"=16; Ka/Kc not applicable; theoretical uncertainties and line-profile details are not given, thus percentage error, absolute uncertainty and line profile are N/A.</t>
  </si>
  <si>
    <t>Theoretical γ (HWHM) at 295 K for isotropic Raman Q(17) ν2 line; Table 2 g_j(295 K) scaled from 10^-3 cm^-1/atm; n=0.61 (T&lt;295 K); J'=J"=17; Ka/Kc not defined; lack of theoretical error bars and line-profile specification means percentage error, absolute uncertainty and line profile are N/A.</t>
  </si>
  <si>
    <t>Theoretical γ (HWHM) at 295 K for isotropic Raman Q(18) ν2 line; g_j(295 K) from Table 2 converted from 10^-3 cm^-1/atm; n=0.61 (T&lt;295 K); J'=J"=18; Ka/Kc not applicable; theoretical uncertainties and explicit profile model not provided, so percentage error, absolute uncertainty and line profile are N/A.</t>
  </si>
  <si>
    <t>Theoretical γ (HWHM) at 295 K for isotropic Raman Q(19) ν2 line; Table 2 g_j(295 K) scaled from 10^-3 cm^-1/atm; n=0.62 (T&lt;295 K); J'=J"=19; Ka/Kc not defined; no theoretical error bars or line-profile details given, hence percentage error, absolute uncertainty and line profile are N/A.</t>
  </si>
  <si>
    <t>Theoretical γ (HWHM) at 295 K for isotropic Raman Q(20) ν2 line; g_j(295 K) from Table 2 converted from 10^-3 cm^-1/atm; n=0.63 (T&lt;295 K); J'=J"=20; Ka/Kc not applicable; theoretical uncertainties and explicit line-profile approach are not stated, so percentage error, absolute uncertainty and line profile are N/A.</t>
  </si>
  <si>
    <t>Theoretical γ (HWHM) at 295 K for isotropic Raman Q(21) ν2 line; g_j(295 K) taken from Table 2 and scaled from 10^-3 cm^-1/atm; n=0.63 (T&lt;295 K); J'=J"=21; Ka/Kc not defined; absence of theoretical uncertainties and line-profile information means percentage error, absolute uncertainty and line profile are N/A.</t>
  </si>
  <si>
    <t>Theoretical γ (HWHM) at 295 K for isotropic Raman Q(22) ν2 line; Table 2 g_j(295 K) converted from 10^-3 cm^-1/atm; n=0.63 (T&lt;295 K); J'=J"=22; Ka/Kc not applicable; theoretical error bars and explicit profile model are not supplied, so percentage error, absolute uncertainty and line profile are N/A.</t>
  </si>
  <si>
    <t>Theoretical γ (HWHM) at 295 K for isotropic Raman Q(23) ν2 line; g_j(295 K) from Table 2 scaled from 10^-3 cm^-1/atm; n=0.65 (T&lt;295 K); J'=J"=23; Ka/Kc not defined; no theoretical uncertainties or line-profile description given, so percentage error, absolute uncertainty and line profile are N/A.</t>
  </si>
  <si>
    <t>Theoretical γ (HWHM) at 295 K for isotropic Raman Q(24) ν2 line; Table 2 g_j(295 K) converted from 10^-3 cm^-1/atm; n=0.61 (T&lt;295 K); J'=J"=24; Ka/Kc not applicable; theoretical error bars and explicit line-profile model are not reported, so percentage error, absolute uncertainty and line profile are N/A.</t>
  </si>
  <si>
    <t>|m|=1; Table 1; double power-law (DPL) temperature dependence; gamma column is gamma(296 K)=gamma0+gamma0' via Eq.(2); gamma0 and gamma0' given in Table 1 (cm^-1 atm^-1); J', J'', Ka, Kc not tabulated (broadening parametrised versus |m| only); CO2 is linear; uncertainty and percentage error in gamma not provided explicitly.</t>
  </si>
  <si>
    <t>|m|=2; Table 1; double power-law (DPL) temperature dependence; gamma column is gamma(296 K)=gamma0+gamma0' via Eq.(2); gamma0 and gamma0' given in Table 1 (cm^-1 atm^-1); J', J'', Ka, Kc not tabulated (broadening parametrised versus |m| only); CO2 is linear; uncertainty and percentage error in gamma not provided explicitly.</t>
  </si>
  <si>
    <t>|m|=3; Table 1; double power-law (DPL) temperature dependence; gamma column is gamma(296 K)=gamma0+gamma0' via Eq.(2); gamma0 and gamma0' given in Table 1 (cm^-1 atm^-1); J', J'', Ka, Kc not tabulated; CO2 linear; gamma uncertainty and % error not given.</t>
  </si>
  <si>
    <t>|m|=4; Table 1; DPL parameters used; gamma(296 K) reconstructed from Eq.(2); no explicit J/branch assignment, only |m| index; CO2 linear so Ka/Kc not applicable; no per-|m| uncertainty or % error on gamma.</t>
  </si>
  <si>
    <t>|m|=5; Table 1; DPL description of temperature dependence; gamma column is gamma(296 K); only |m| reported, not J', J''; Ka, Kc not applicable for linear CO2; gamma uncertainty and percentage error not reported.</t>
  </si>
  <si>
    <t>|m|=6; Table 1; DPL parameters (gamma0, gamma0', n1, n2) given versus |m|; gamma value here reconstructed at 296 K; quantum numbers J', J'', Ka, Kc not tabulated; CO2 linear; no explicit uncertainty or % error for gamma.</t>
  </si>
  <si>
    <t>|m|=7; Table 1; DPL fit for temperature dependence; gamma at 296 K obtained from gamma0+gamma0'; only |m| index supplied, not J specific; Ka/Kc not defined for linear CO2; gamma uncertainty and relative error not given.</t>
  </si>
  <si>
    <t>|m|=8; Table 1; DPL model; gamma column gives 296 K half-width reconstructed via Eq.(2); table does not list J', J'', Ka, Kc; linear CO2 so K-type quantum numbers not applicable; no per-entry gamma uncertainty or % error.</t>
  </si>
  <si>
    <t>|m|=9; Table 1; DPL parameters vs |m|; gamma(296 K) reconstructed; param set belongs to CO2 broadened by He; J', J'', Ka, Kc not specified; CO2 linear; gamma uncertainty and % error not explicitly tabulated.</t>
  </si>
  <si>
    <t>|m|=10; Table 1; DPL temperature dependence; gamma value here is at 296 K; only |m| index given, no explicit rotational assignment; Ka and Kc not applicable for linear molecule; gamma uncertainty and percentage error not provided.</t>
  </si>
  <si>
    <t>|m|=11; Table 1; DPL parameters for CO2–He; gamma column reconstructed at 296 K; quantum numbers J', J'', Ka, Kc not tabulated; CO2 linear; no direct gamma uncertainty or % error given.</t>
  </si>
  <si>
    <t>|m|=12; Table 1; DPL form for γHe(T); gamma(296 K) reported here; parameters originally given as gamma0, gamma0', n1, n2; rotational quantum numbers not provided; Ka/Kc not used for linear CO2; gamma uncertainty and % error absent.</t>
  </si>
  <si>
    <t>|m|=13; Table 1; DPL temperature law; gamma(296 K) from gamma0+gamma0'; paper gives only |m| dependence, not explicit J', J''; Ka and Kc inapplicable to linear CO2; no explicit uncertainty or % error on gamma.</t>
  </si>
  <si>
    <t>|m|=14; Table 1; DPL parameters listed; gamma column is reconstructed half-width at 296 K; J', J'', Ka, Kc missing by design (parameterisation versus |m|); CO2 is linear; gamma uncertainty and percentage error not stated.</t>
  </si>
  <si>
    <t>|m|=15; Table 1; DPL representation; gamma(296 K) here from Eq.(2); only |m| index used, no explicit J quantum numbers or branch; Ka/Kc not applicable; gamma uncertainty and % error not given.</t>
  </si>
  <si>
    <t>|m|=16; Table 1; DPL model for γHe; gamma at 296 K reconstructed; paper does not specify J', J'', Ka, Kc for these parameters; CO2 linear; uncertainty and relative error in gamma not tabulated.</t>
  </si>
  <si>
    <t>|m|=17; Table 1; DPL parameters versus |m|; gamma(296 K) from gamma0+gamma0'; no explicit line-by-line J assignment; Ka and Kc not applicable; gamma uncertainty and % error not given.</t>
  </si>
  <si>
    <t>|m|=18; Table 1; DPL temperature dependence; 296 K gamma reconstructed; table omits J', J'', Ka, Kc; CO2 linear; gamma uncertainty and percentage error not provided per entry.</t>
  </si>
  <si>
    <t>|m|=19; Table 1; DPL parametrisation; gamma column is gamma(296 K); only |m| index reported for CO2–He; rotational quantum numbers and K components not given; no explicit gamma uncertainty or % error.</t>
  </si>
  <si>
    <t>|m|=20; Table 1; DPL form; gamma(296 K) from Eq.(2); no explicit J'/J'' or branch per parameter set; Ka/Kc not defined for linear CO2; gamma uncertainty and percentage error not stated.</t>
  </si>
  <si>
    <t>|m|=21; Table 1; DPL parameters for γHe(T); gamma at 296 K reconstructed; |m| used instead of explicit J; Ka, Kc inapplicable; gamma uncertainty and % error not directly reported.</t>
  </si>
  <si>
    <t>|m|=22; Table 1; DPL; gamma column here is 296 K half-width; parameters originally gamma0, gamma0', n1, n2; J', J'', Ka, Kc not tabulated; CO2 linear; gamma uncertainty and percentage error omitted.</t>
  </si>
  <si>
    <t>|m|=23; Table 1; DPL temperature dependence; gamma(296 K) reconstructed from Eq.(2); only |m| index specified, no explicit J; Ka and Kc not applicable; gamma uncertainty and % error not given.</t>
  </si>
  <si>
    <t>|m|=24; Table 1; DPL model; 296 K gamma reconstructed; J', J'', Ka, Kc not supplied for these parameters; CO2 is linear; no explicit gamma uncertainty or percentage error.</t>
  </si>
  <si>
    <t>|m|=25; Table 1; DPL parameterisation; gamma column is gamma(296 K); parameters keyed by |m| only; Ka/Kc not used for linear CO2; gamma uncertainty and % error not tabulated.</t>
  </si>
  <si>
    <t>|m|=26; Table 1; DPL parameters given; gamma(296 K) reconstructed via gamma0+gamma0'; |m| index only, no explicit J', J''; Ka and Kc inapplicable; gamma uncertainty and relative error not provided.</t>
  </si>
  <si>
    <t>|m|=27; Table 1; DPL; gamma at 296 K from Eq.(2); J', J'', Ka, Kc not tabulated (parameters expressed versus |m|); CO2 linear; gamma uncertainty and percentage error not available.</t>
  </si>
  <si>
    <t>|m|=28; Table 1; DPL description; gamma column is reconstructed 296 K half-width; quantum numbers beyond |m| not present; Ka/Kc not relevant for linear CO2; gamma uncertainty and % error not stated.</t>
  </si>
  <si>
    <t>|m|=29; Table 1; DPL temperature law; gamma(296 K) from gamma0+gamma0'; J', J'', Ka, Kc omitted in paper; CO2 linear; no explicit uncertainty or percentage error for gamma.</t>
  </si>
  <si>
    <t>|m|=30; Table 1; DPL parameters; gamma column gives 296 K half-width reconstructed from Eq.(2); parameterisation is by |m|, with no explicit J'/J''; Ka and Kc not defined for linear CO2; gamma uncertainty and % error not provided.</t>
  </si>
  <si>
    <t>|m|=31; Table 1 DPL parameters; gamma0=0.05805, gamma0'=0.00164; linear molecule so Ka/Kc N/A; no explicit uncertainty.</t>
  </si>
  <si>
    <t>|m|=32; Table 1; gamma0=0.05833, gamma0'=0.00132.</t>
  </si>
  <si>
    <t>|m|=33; Table 1; gamma0=0.05860, gamma0'=0.00101.</t>
  </si>
  <si>
    <t>|m|=34; Table 1; gamma0=0.05884, gamma0'=0.00075.</t>
  </si>
  <si>
    <t>|m|=35; Table 1; gamma0=0.05905, gamma0'=0.00052.</t>
  </si>
  <si>
    <t>|m|=36; Table 1; gamma0=0.05890, gamma0'=0.00064.</t>
  </si>
  <si>
    <t>|m|=37; Table 1; gamma0=0.05897, gamma0'=0.00054.</t>
  </si>
  <si>
    <t>|m|=38; Table 1; gamma0=0.05907, gamma0'=0.00044.</t>
  </si>
  <si>
    <t>|m|=39; Table 1; gamma0=0.05912, gamma0'=0.00037.</t>
  </si>
  <si>
    <t>|m|=40; Table 1; gamma0=0.05913, gamma0'=0.00034.</t>
  </si>
  <si>
    <t>|m|=41; Table 1; gamma0=0.05906, gamma0'=0.00035.</t>
  </si>
  <si>
    <t>|m|=42; Table 1; gamma0=0.05896, gamma0'=0.00040.</t>
  </si>
  <si>
    <t>|m|=43; Table 1; gamma0=0.05878, gamma0'=0.00052.</t>
  </si>
  <si>
    <t>|m|=44; Table 1; gamma0=0.05843, gamma0'=0.00082.</t>
  </si>
  <si>
    <t>|m|=45; Table 1; gamma0=0.05812, gamma0'=0.00109.</t>
  </si>
  <si>
    <t>|m|=46; Table 1; gamma0=0.05778, gamma0'=0.00138.</t>
  </si>
  <si>
    <t>|m|=47; Table 1; gamma0=0.05742, gamma0'=0.00171.</t>
  </si>
  <si>
    <t>|m|=48; Table 1; gamma0=0.05697, gamma0'=0.00212.</t>
  </si>
  <si>
    <t>|m|=49; Table 1; gamma0=0.05661, gamma0'=0.00244.</t>
  </si>
  <si>
    <t>|m|=50; Table 1; gamma0=0.05629, gamma0'=0.00272.</t>
  </si>
  <si>
    <t>|m|=51; Table 1; gamma0=0.05597, gamma0'=0.00301.</t>
  </si>
  <si>
    <t>|m|=52; Table 1; gamma0=0.05563, gamma0'=0.00332.</t>
  </si>
  <si>
    <t>|m|=53; Table 1; gamma0=0.05528, gamma0'=0.00363.</t>
  </si>
  <si>
    <t>|m|=54; Table 1; gamma0=0.05486, gamma0'=0.00401.</t>
  </si>
  <si>
    <t>|m|=55; Table 1; gamma0=0.05449, gamma0'=0.00435.</t>
  </si>
  <si>
    <t>|m|=56; Table 1; gamma0=0.05406, gamma0'=0.00475.</t>
  </si>
  <si>
    <t>|m|=57; Table 1; gamma0=0.05356, gamma0'=0.00522.</t>
  </si>
  <si>
    <t>|m|=58; Table 1; gamma0=0.05307, gamma0'=0.00568.</t>
  </si>
  <si>
    <t>|m|=59; Table 1; gamma0=0.05255, gamma0'=0.00617.</t>
  </si>
  <si>
    <t>|m|=60; Table 1; gamma0=0.05204, gamma0'=0.00664.</t>
  </si>
  <si>
    <t>|m|=61; Table 1; gamma0=0.05147, gamma0'=0.00719.</t>
  </si>
  <si>
    <t>|m|=62; Table 1; gamma0=0.05093, gamma0'=0.00770.</t>
  </si>
  <si>
    <t>|m|=63; Table 1; gamma0=0.05038, gamma0'=0.00823.</t>
  </si>
  <si>
    <t>|m|=64; Table 1; gamma0=0.04986, gamma0'=0.00873.</t>
  </si>
  <si>
    <t>|m|=65; Table 1; gamma0=0.04932, gamma0'=0.00925.</t>
  </si>
  <si>
    <t>|m|=66; Table 1; gamma0=0.04879, gamma0'=0.00975.</t>
  </si>
  <si>
    <t>|m|=67; Table 1; gamma0=0.04827, gamma0'=0.01025.</t>
  </si>
  <si>
    <t>|m|=68; Table 1; gamma0=0.04774, gamma0'=0.01076.</t>
  </si>
  <si>
    <t>|m|=69; Table 1; gamma0=0.04723, gamma0'=0.01125.</t>
  </si>
  <si>
    <t>|m|=70; Table 1; gamma0=0.04670, gamma0'=0.01176.</t>
  </si>
  <si>
    <t>|m|=71; Table 1; gamma0=0.04617, gamma0'=0.01227.</t>
  </si>
  <si>
    <t>|m|=72; Table 1; gamma0=0.04563, gamma0'=0.01280.</t>
  </si>
  <si>
    <t>|m|=73; Table 1; gamma0=0.04513, gamma0'=0.01328.</t>
  </si>
  <si>
    <t>|m|=74; Table 1; gamma0=0.04462, gamma0'=0.01377.</t>
  </si>
  <si>
    <t>|m|=75; Table 1; gamma0=0.04414, gamma0'=0.01424.</t>
  </si>
  <si>
    <t>|m|=76; Table 1; gamma0=0.04365, gamma0'=0.01471.</t>
  </si>
  <si>
    <t>|m|=77; Table 1; gamma0=0.04317, gamma0'=0.01518.</t>
  </si>
  <si>
    <t>|m|=78; Table 1; gamma0=0.04272, gamma0'=0.01562.</t>
  </si>
  <si>
    <t>|m|=79; Table 1; gamma0=0.04227, gamma0'=0.01606.</t>
  </si>
  <si>
    <t>|m|=80; Table 1; gamma0=0.04181, gamma0'=0.01651.</t>
  </si>
  <si>
    <t>|m|=81; Table 1; gamma0=0.04140, gamma0'=0.01692.</t>
  </si>
  <si>
    <t>|m|=82; Table 1; gamma0=0.04099, gamma0'=0.01732.</t>
  </si>
  <si>
    <t>|m|=83; Table 1; gamma0=0.04061, gamma0'=0.01770.</t>
  </si>
  <si>
    <t>|m|=84; Table 1; gamma0=0.04023, gamma0'=0.01807.</t>
  </si>
  <si>
    <t>|m|=85; Table 1; gamma0=0.03986, gamma0'=0.01844.</t>
  </si>
  <si>
    <t>|m|=86; Table 1; gamma0=0.03949, gamma0'=0.01880.</t>
  </si>
  <si>
    <t>|m|=87; Table 1; gamma0=0.03915, gamma0'=0.01914.</t>
  </si>
  <si>
    <t>|m|=88; Table 1; gamma0=0.03882, gamma0'=0.01947.</t>
  </si>
  <si>
    <t>|m|=89; Table 1; gamma0=0.03849, gamma0'=0.01979.</t>
  </si>
  <si>
    <t>|m|=90; Table 1; gamma0=0.03819, gamma0'=0.02009.</t>
  </si>
  <si>
    <t>|m|=91; Table 1; gamma0=0.03788, gamma0'=0.02040.</t>
  </si>
  <si>
    <t>|m|=92; Table 1; gamma0=0.03761, gamma0'=0.02067.</t>
  </si>
  <si>
    <t>|m|=93; Table 1; gamma0=0.03734, gamma0'=0.02093.</t>
  </si>
  <si>
    <t>|m|=94; Table 1; gamma0=0.03710, gamma0'=0.02117.</t>
  </si>
  <si>
    <t>|m|=95; Table 1; gamma0=0.03685, gamma0'=0.02142.</t>
  </si>
  <si>
    <t>|m|=96; Table 1; gamma0=0.03663, gamma0'=0.02164.</t>
  </si>
  <si>
    <t>|m|=97; Table 1; gamma0=0.03642, gamma0'=0.02185.</t>
  </si>
  <si>
    <t>|m|=98; Table 1; gamma0=0.03623, gamma0'=0.02203.</t>
  </si>
  <si>
    <t>|m|=99; Table 1; gamma0=0.03605, gamma0'=0.02221.</t>
  </si>
  <si>
    <t>|m|=100; Table 1; gamma0=0.03587, gamma0'=0.02239.</t>
  </si>
  <si>
    <t>|m|=101; Table 1; gamma0=0.03572, gamma0'=0.02254.</t>
  </si>
  <si>
    <t>|m|=102; Table 1; gamma0=0.03557, gamma0'=0.02268.</t>
  </si>
  <si>
    <t>|m|=103; Table 1; gamma0=0.03542, gamma0'=0.02283.</t>
  </si>
  <si>
    <t>|m|=105; Table 1; gamma0=0.03520, gamma0'=0.02305.</t>
  </si>
  <si>
    <t>|m|=106; Table 1; gamma0=0.03510, gamma0'=0.02315.</t>
  </si>
  <si>
    <t>|m|=107; Table 1; gamma0=0.03501, gamma0'=0.02324.</t>
  </si>
  <si>
    <t>|m|=108; Table 1; gamma0=0.03491, gamma0'=0.02334.</t>
  </si>
  <si>
    <t>|m|=109; Table 1; gamma0=0.03485, gamma0'=0.02340.</t>
  </si>
  <si>
    <t>|m|=110; Table 1; gamma0=0.03479, gamma0'=0.02346.</t>
  </si>
  <si>
    <t>|m|=111; Table 1; gamma0=0.03473, gamma0'=0.02351.</t>
  </si>
  <si>
    <t>|m|=112; Table 1; gamma0=0.03468, gamma0'=0.02356.</t>
  </si>
  <si>
    <t>|m|=113; Table 1; gamma0=0.03464, gamma0'=0.02360.</t>
  </si>
  <si>
    <t>|m|=114; Table 1; gamma0=0.03460, gamma0'=0.02364.</t>
  </si>
  <si>
    <t>|m|=115; Table 1; gamma0=0.03457, gamma0'=0.02367.</t>
  </si>
  <si>
    <t>|m|=116; Table 1; gamma0=0.03454, gamma0'=0.02370.</t>
  </si>
  <si>
    <t>|m|=117; Table 1; gamma0=0.03451, gamma0'=0.02373.</t>
  </si>
  <si>
    <t>|m|=118; Table 1; gamma0=0.03449, gamma0'=0.02375.</t>
  </si>
  <si>
    <t>|m|=119; Table 1; gamma0=0.03447, gamma0'=0.02377.</t>
  </si>
  <si>
    <t>|m|=120; Table 1; gamma0=0.03445, gamma0'=0.02379.</t>
  </si>
  <si>
    <t>|m|=121; Table 1; gamma0=0.03443, gamma0'=0.02381.</t>
  </si>
  <si>
    <t>|m|=122; Table 1; gamma0=0.03442, gamma0'=0.02382.</t>
  </si>
  <si>
    <t>|m|=123; Table 1; gamma0=0.03441, gamma0'=0.02383.</t>
  </si>
  <si>
    <t>|m|=124; Table 1; gamma0=0.03440, gamma0'=0.02384.</t>
  </si>
  <si>
    <t>|m|=125; Table 1; gamma0=0.03439, gamma0'=0.02385.</t>
  </si>
  <si>
    <t>|m|=126; Table 1; gamma0=0.03438, gamma0'=0.02386.</t>
  </si>
  <si>
    <t>|m|=127; Table 1; gamma0=0.03437, gamma0'=0.02387.</t>
  </si>
  <si>
    <t>|m|=128; Table 1; gamma0=0.03436, gamma0'=0.02388.</t>
  </si>
  <si>
    <t>|m|=129; Table 1; gamma0=0.03436, gamma0'=0.02388.</t>
  </si>
  <si>
    <t>|m|=130; Table 1; gamma0=0.03435, gamma0'=0.02389.</t>
  </si>
  <si>
    <t>|m|=131; Table 1; gamma0=0.03435, gamma0'=0.02389.</t>
  </si>
  <si>
    <t>|m|=132; Table 1; gamma0=0.03434, gamma0'=0.02390.</t>
  </si>
  <si>
    <t>|m|=133; Table 1; gamma0=0.03434, gamma0'=0.02390.</t>
  </si>
  <si>
    <t>|m|=134; Table 1; gamma0=0.03433, gamma0'=0.02391.</t>
  </si>
  <si>
    <t>|m|=135; Table 1; gamma0=0.03433, gamma0'=0.02391.</t>
  </si>
  <si>
    <t>|m|=136; Table 1; gamma0=0.03432, gamma0'=0.02392.</t>
  </si>
  <si>
    <t>|m|=137; Table 1; gamma0=0.03432, gamma0'=0.02392.</t>
  </si>
  <si>
    <t>|m|=138; Table 1; gamma0=0.03432, gamma0'=0.02392.</t>
  </si>
  <si>
    <t>|m|=139; Table 1; gamma0=0.03432, gamma0'=0.02392.</t>
  </si>
  <si>
    <t>|m|=140; Table 1; gamma0=0.03432, gamma0'=0.02392.</t>
  </si>
  <si>
    <t>|m|=141; Table 1; gamma0=0.03431, gamma0'=0.02393.</t>
  </si>
  <si>
    <t>|m|=142; Table 1; gamma0=0.03431, gamma0'=0.02393.</t>
  </si>
  <si>
    <t>|m|=143; Table 1; gamma0=0.03431, gamma0'=0.02393.</t>
  </si>
  <si>
    <t>|m|=144; Table 1; gamma0=0.03431, gamma0'=0.02393.</t>
  </si>
  <si>
    <t>|m|=145; Table 1; gamma0=0.03430, gamma0'=0.02394.</t>
  </si>
  <si>
    <t>|m|=146; Table 1; gamma0=0.03430, gamma0'=0.02394.</t>
  </si>
  <si>
    <t>|m|=147; Table 1; gamma0=0.03430, gamma0'=0.02394.</t>
  </si>
  <si>
    <t>|m|=148; Table 1; gamma0=0.03430, gamma0'=0.02394.</t>
  </si>
  <si>
    <t>|m|=149; Table 1; gamma0=0.03430, gamma0'=0.02394.</t>
  </si>
  <si>
    <t>|m|=150; Table 1; gamma0=0.03429, gamma0'=0.02395.</t>
  </si>
  <si>
    <t>|m|=151; Table 1; gamma0=0.03429, gamma0'=0.02395.</t>
  </si>
  <si>
    <t>|m|=152; Table 1; gamma0=0.03429, gamma0'=0.02395.</t>
  </si>
  <si>
    <t>|m|=153; Table 1; gamma0=0.03429, gamma0'=0.02395.</t>
  </si>
  <si>
    <t>|m|=154; Table 1; gamma0=0.03429, gamma0'=0.02395.</t>
  </si>
  <si>
    <t>|m|=155; Table 1; gamma0=0.03429, gamma0'=0.02395.</t>
  </si>
  <si>
    <t>|m|=156; Table 1; gamma0=0.03428, gamma0'=0.02396.</t>
  </si>
  <si>
    <t>|m|=157; Table 1; gamma0=0.03428, gamma0'=0.02396.</t>
  </si>
  <si>
    <t>|m|=158; Table 1; gamma0=0.03428, gamma0'=0.02396.</t>
  </si>
  <si>
    <t>|m|=159; Table 1; gamma0=0.03428, gamma0'=0.02396.</t>
  </si>
  <si>
    <t>|m|=160; Table 1; gamma0=0.03428, gamma0'=0.02396.</t>
  </si>
  <si>
    <t>|m|=161; Table 1; gamma0=0.03428, gamma0'=0.02396.</t>
  </si>
  <si>
    <t>|m|=162; Table 1; gamma0=0.03428, gamma0'=0.02396.</t>
  </si>
  <si>
    <t>|m|=163; Table 1; gamma0=0.03427, gamma0'=0.02397.</t>
  </si>
  <si>
    <t>|m|=164; Table 1; gamma0=0.03427, gamma0'=0.02397.</t>
  </si>
  <si>
    <t>|m|=165; Table 1; gamma0=0.03427, gamma0'=0.02397.</t>
  </si>
  <si>
    <t>|m|=166; Table 1; gamma0=0.03427, gamma0'=0.02397.</t>
  </si>
  <si>
    <t>Linear N2; Q-branch v=0→1 Raman line; J = 0, so J' = J'' = 0. γ is N2–Ar collisional HWHM at 140 K from Table 1 (value listed as 127×10^-3 cm^-1 atm^-1; superscript a indicates estimate from partially resolved spectra). Converted to 0.127 cm^-1 atm^-1. No uncertainty given for this entry and no temperature exponent n reported; line shape treated as Lorentzian in CSRS fits; source: Table 1.</t>
  </si>
  <si>
    <t>Linear N2; Q-branch v=0→1 Raman line; J = 1, so J' = J'' = 1. γ is N2–Ar collisional HWHM at 140 K from Table 1 (value listed as 115×10^-3 cm^-1 atm^-1; superscript a indicates estimate from partially resolved spectra). Converted to 0.115 cm^-1 atm^-1. No uncertainty given and no n reported; Lorentzian line shape; source: Table 1.</t>
  </si>
  <si>
    <t>Linear N2; Q-branch v=0→1 Raman line; J = 2, so J' = J'' = 2. γ is N2–Ar collisional HWHM at 140 K from Table 1 (reported as 79(9)×10^-3 cm^-1 atm^-1). Converted to 0.079 cm^-1 atm^-1 with absolute uncertainty 0.009 cm^-1 atm^-1. Percentage error not given; n not reported; Lorentzian profile assumed in CSRS analysis; source: Table 1.</t>
  </si>
  <si>
    <t>Linear N2; Q-branch v=0→1 Raman line; J = 4, so J' = J'' = 4. γ at 140 K from Table 1 (65(2)×10^-3 cm^-1 atm^-1). Converted to 0.065 cm^-1 atm^-1 with absolute uncertainty 0.002 cm^-1 atm^-1. Percentage error and n not reported; Lorentzian line shape; source: Table 1.</t>
  </si>
  <si>
    <t>Linear N2; Q-branch v=0→1 Raman line; J = 6. γ at 140 K from Table 1 (68(6)×10^-3 cm^-1 atm^-1). Converted to 0.068 cm^-1 atm^-1 with uncertainty 0.006 cm^-1 atm^-1. Percentage error and n not reported; Lorentzian fit; source: Table 1.</t>
  </si>
  <si>
    <t>Linear N2; Q-branch v=0→1 Raman line; J = 8. γ at 140 K from Table 1 (65(3)×10^-3 cm^-1 atm^-1). Converted to 0.065 cm^-1 atm^-1 with uncertainty 0.003 cm^-1 atm^-1. No percentage error or n reported; Lorentzian profile; source: Table 1.</t>
  </si>
  <si>
    <t>Linear N2; Q-branch v=0→1 Raman line; J = 10. γ at 140 K from Table 1 (48(6)×10^-3 cm^-1 atm^-1). Converted to 0.048 cm^-1 atm^-1 with uncertainty 0.006 cm^-1 atm^-1. Percentage error and n not reported; Lorentzian profile; source: Table 1.</t>
  </si>
  <si>
    <t>Linear N2; Q-branch v=0→1 Raman line; J = 12. γ at 140 K from Table 1 (38(3)×10^-3 cm^-1 atm^-1). Converted to 0.038 cm^-1 atm^-1 with uncertainty 0.003 cm^-1 atm^-1. Percentage error and n not reported; Lorentzian fit; source: Table 1.</t>
  </si>
  <si>
    <t>Linear N2; Q-branch v=0→1 Raman line; J = 14. γ at 140 K from Table 1 (38(8)×10^-3 cm^-1 atm^-1). Converted to 0.038 cm^-1 atm^-1 with uncertainty 0.008 cm^-1 atm^-1. Percentage error and n not reported; Lorentzian profile; source: Table 1.</t>
  </si>
  <si>
    <t>Linear N2; Q-branch v=0→1 Raman line; J = 16. γ at 140 K from Table 1 (32(3)×10^-3 cm^-1 atm^-1). Converted to 0.032 cm^-1 atm^-1 with uncertainty 0.003 cm^-1 atm^-1. Percentage error and n not reported; Lorentzian profile; source: Table 1.</t>
  </si>
  <si>
    <t>Linear N2; Q-branch v=0→1 Raman line; J = 18. γ at 140 K from Table 1 (29(2)×10^-3 cm^-1 atm^-1). Converted to 0.029 cm^-1 atm^-1 with uncertainty 0.002 cm^-1 atm^-1. Percentage error and n not reported; Lorentzian profile; source: Table 1.</t>
  </si>
  <si>
    <t>76(6)×10^-3; Table 1.</t>
  </si>
  <si>
    <t>48(6)×10^-3; Table 1.</t>
  </si>
  <si>
    <t>29(2)×10^-3; Table 1.</t>
  </si>
  <si>
    <t>40(5)×10^-3 at 295 K (This work); Table 1.</t>
  </si>
  <si>
    <t>34(8)×10^-3; Table 1.</t>
  </si>
  <si>
    <t>39(10)×10^-3; Table 1.</t>
  </si>
  <si>
    <t>28(6)×10^-3; Table 1.</t>
  </si>
  <si>
    <t>37(4)×10^-3; Table 1.</t>
  </si>
  <si>
    <t>26(2)×10^-3; Table 1.</t>
  </si>
  <si>
    <t>22(3)×10^-3; Table 1.</t>
  </si>
  <si>
    <t>21(3)×10^-3; Table 1.</t>
  </si>
  <si>
    <t>Q(J) Raman line; J'=J''=0; Ka,Kc not applicable for linear N2; γ_coll at 77 K and its uncertainty from Table 1 (values in 10^-3 cm^-1 atm^-1 converted to cm^-1 atm^-1); Voigt fit; N2 infinitely diluted in H2; temperature exponent n not reported.</t>
  </si>
  <si>
    <t>Q(J) Raman line; J'=J''=0; Ka,Kc not applicable for linear N2; γ_coll at 298 K and its uncertainty from Table 1 (values in 10^-3 cm^-1 atm^-1 converted to cm^-1 atm^-1); Voigt fit; N2 infinitely diluted in H2; temperature exponent n not reported.</t>
  </si>
  <si>
    <t>Q(J) Raman line; J'=J''=1; Ka,Kc not applicable for linear N2; γ_coll at 77 K and its uncertainty from Table 1; Voigt fit; N2 infinitely diluted in H2; temperature exponent n not reported.</t>
  </si>
  <si>
    <t>Q(J) Raman line; J'=J''=1; Ka,Kc not applicable for linear N2; γ_coll at 298 K and its uncertainty from Table 1; Voigt fit; N2 infinitely diluted in H2; temperature exponent n not reported.</t>
  </si>
  <si>
    <t>Q(J) Raman line; J'=J''=2; Ka,Kc not applicable for linear N2; γ_coll at 77 K and its uncertainty from Table 1; Voigt fit; N2 infinitely diluted in H2; temperature exponent n not reported.</t>
  </si>
  <si>
    <t>Q(J) Raman line; J'=J''=2; Ka,Kc not applicable for linear N2; γ_coll at 298 K and its uncertainty from Table 1; Voigt fit; N2 infinitely diluted in H2; temperature exponent n not reported.</t>
  </si>
  <si>
    <t>Q(J) Raman line; J'=J''=3; Ka,Kc not applicable for linear N2; γ_coll at 77 K and its uncertainty from Table 1; Voigt fit; N2 infinitely diluted in H2; temperature exponent n not reported.</t>
  </si>
  <si>
    <t>Q(J) Raman line; J'=J''=3; Ka,Kc not applicable for linear N2; γ_coll at 298 K and its uncertainty from Table 1; Voigt fit; N2 infinitely diluted in H2; temperature exponent n not reported.</t>
  </si>
  <si>
    <t>Q(J) Raman line; J'=J''=4; Ka,Kc not applicable for linear N2; γ_coll at 77 K and its uncertainty from Table 1; Voigt fit; N2 infinitely diluted in H2; temperature exponent n not reported.</t>
  </si>
  <si>
    <t>Q(J) Raman line; J'=J''=4; Ka,Kc not applicable for linear N2; γ_coll at 298 K and its uncertainty from Table 1; Voigt fit; N2 infinitely diluted in H2; temperature exponent n not reported.</t>
  </si>
  <si>
    <t>Q(J) Raman line; J'=J''=5; Ka,Kc not applicable for linear N2; γ_coll at 77 K and its uncertainty from Table 1; Voigt fit; N2 infinitely diluted in H2; temperature exponent n not reported.</t>
  </si>
  <si>
    <t>Q(J) Raman line; J'=J''=5; Ka,Kc not applicable for linear N2; γ_coll at 298 K and its uncertainty from Table 1; Voigt fit; N2 infinitely diluted in H2; temperature exponent n not reported.</t>
  </si>
  <si>
    <t>Q(J) Raman line; J'=J''=6; Ka,Kc not applicable for linear N2; γ_coll at 77 K and its uncertainty from Table 1; Voigt fit; N2 infinitely diluted in H2; temperature exponent n not reported.</t>
  </si>
  <si>
    <t>Q(J) Raman line; J'=J''=6; Ka,Kc not applicable for linear N2; γ_coll at 298 K and its uncertainty from Table 1; Voigt fit; N2 infinitely diluted in H2; temperature exponent n not reported.</t>
  </si>
  <si>
    <t>Q(J) Raman line; J'=J''=7; Ka,Kc not applicable for linear N2; γ_coll at 298 K and its uncertainty from Table 1; Voigt fit; N2 infinitely diluted in H2; no 77 K measurement reported; temperature exponent n not reported.</t>
  </si>
  <si>
    <t>Q(J) Raman line; J'=J''=8; Ka,Kc not applicable for linear N2; γ_coll at 298 K and its uncertainty from Table 1; Voigt fit; N2 infinitely diluted in H2; no 77 K measurement reported; temperature exponent n not reported.</t>
  </si>
  <si>
    <t>Q(J) Raman line; J'=J''=9; Ka,Kc not applicable for linear N2; γ_coll at 298 K and its uncertainty from Table 1; Voigt fit; N2 infinitely diluted in H2; no 77 K measurement reported; temperature exponent n not reported.</t>
  </si>
  <si>
    <t>Q(J) Raman line; J'=J''=10; Ka,Kc not applicable for linear N2; γ_coll at 298 K and its uncertainty from Table 1; Voigt fit; N2 infinitely diluted in H2; no 77 K measurement reported; temperature exponent n not reported.</t>
  </si>
  <si>
    <t>Q(J) Raman line; J'=J''=11; Ka,Kc not applicable for linear N2; γ_coll at 298 K and its uncertainty from Table 1; Voigt fit; N2 infinitely diluted in H2; no 77 K measurement reported; temperature exponent n not reported.</t>
  </si>
  <si>
    <t>C2H4</t>
  </si>
  <si>
    <t>13CO</t>
  </si>
  <si>
    <t>C18O</t>
  </si>
  <si>
    <t>qSDHCP (HTP)</t>
  </si>
  <si>
    <t>Experimental γ₀ for P(2) from Table I ('Experiment' row), originally 65.76(29)×10^-3 cm^-1/atm converted to 0.06576±0.00029 cm^-1/atm; relative uncertainty ≈0.44%. γ₀ ≡ Γ₀/p treated as Lorentz HWHM per atm as stated in the caption. P-branch convention used: J''=2, J'=1 (J'=J''-1). Ka and Kc are not applicable for linear CO and set to 'N/A'. Temperature exponent n not reported in the main text (only γ₀(T) given in Supplemental Material, not accessible here). Experimental parameters obtained from multispectrum qSDHCP (Hartmann–Tran profile) fits to comb-assisted cavity ringdown spectra as described in Table I caption and Sec. III C.</t>
  </si>
  <si>
    <t>Table I; main text Sec. III C; Supplemental Material [64] mentioned but not available in this file.</t>
  </si>
  <si>
    <t>Experimental γ₀ for P(4) from Table I ('Experiment' row), originally 58.07(25)×10^-3 cm^-1/atm converted to 0.05807±0.00025 cm^-1/atm; relative uncertainty ≈0.43%. γ₀ ≡ Γ₀/p treated as Lorentz HWHM per atm as stated in the caption. P-branch convention used: J''=4, J'=3 (J'=J''-1). Ka and Kc are not applicable for linear CO and set to 'N/A'. Temperature exponent n not reported in the main text. Experimental parameters obtained from multispectrum qSDHCP (Hartmann–Tran profile) fits to comb-assisted cavity ringdown spectra.</t>
  </si>
  <si>
    <t>Experimental γ₀ for P(6) from Table I ('Experiment' row), originally 51.95(21)×10^-3 cm^-1/atm converted to 0.05195±0.00021 cm^-1/atm; relative uncertainty ≈0.40%. γ₀ ≡ Γ₀/p treated as Lorentz HWHM per atm. P-branch convention used: J''=6, J'=5. Ka and Kc not applicable for linear CO. Temperature exponent n not reported in the main text. Experimental parameters obtained from multispectrum qSDHCP (Hartmann–Tran profile) fits.</t>
  </si>
  <si>
    <t>Experimental γ₀ for P(9) from Table I ('Experiment' row), originally 47.52(21)×10^-3 cm^-1/atm converted to 0.04752±0.00021 cm^-1/atm; relative uncertainty ≈0.44%. γ₀ ≡ Γ₀/p treated as Lorentz HWHM per atm. P-branch convention used: J''=9, J'=8. Ka and Kc not applicable for linear CO. Temperature exponent n not reported in the main text. Experimental parameters obtained from multispectrum qSDHCP (Hartmann–Tran profile) fits; P(9) is also the line used for detailed line-shape comparisons in Sec. III B.</t>
  </si>
  <si>
    <t>Table I; main text Secs. III B–III C; Supplemental Material [64] mentioned but not available in this file.</t>
  </si>
  <si>
    <t>Experimental γ₀ for P(14) from Table I ('Experiment' row), originally 45.66(21)×10^-3 cm^-1/atm converted to 0.04566±0.00021 cm^-1/atm; relative uncertainty ≈0.46%. γ₀ ≡ Γ₀/p treated as Lorentz HWHM per atm. P-branch convention used: J''=14, J'=13. Ka and Kc not applicable for linear CO. Temperature exponent n not reported in the main text. Experimental parameters obtained from multispectrum qSDHCP (Hartmann–Tran profile) fits.</t>
  </si>
  <si>
    <t>|m|=1; Table 2 experimental values; linear molecule; P/R branch averaged; J quantum numbers ambiguous</t>
  </si>
  <si>
    <t>|m|=2; Table 2 experimental values; linear molecule</t>
  </si>
  <si>
    <t>|m|=3; Table 2 experimental values</t>
  </si>
  <si>
    <t>|m|=4; Table 2 experimental values</t>
  </si>
  <si>
    <t>|m|=5; Table 2 experimental values</t>
  </si>
  <si>
    <t>|m|=6; Table 2 experimental values</t>
  </si>
  <si>
    <t>|m|=7; Table 2 experimental values</t>
  </si>
  <si>
    <t>|m|=8; Table 2 experimental values</t>
  </si>
  <si>
    <t>|m|=9; Table 2 experimental values</t>
  </si>
  <si>
    <t>|m|=10; Table 2 experimental values</t>
  </si>
  <si>
    <t>|m|=11; Table 2 experimental values</t>
  </si>
  <si>
    <t>|m|=12; Table 2 experimental values</t>
  </si>
  <si>
    <t>|m|=13; Table 2 experimental values</t>
  </si>
  <si>
    <t>|m|=14; Table 2 experimental values</t>
  </si>
  <si>
    <t>|m|=15; Table 2 experimental values</t>
  </si>
  <si>
    <t>|m|=16; Table 2 experimental values</t>
  </si>
  <si>
    <t>|m|=17; Table 2 experimental values</t>
  </si>
  <si>
    <t>|m|=18; Table 2 experimental values</t>
  </si>
  <si>
    <t>|m|=19; Table 2 experimental values</t>
  </si>
  <si>
    <t>|m|=20; Table 2 experimental values</t>
  </si>
  <si>
    <t>|m|=21; Table 2 experimental values</t>
  </si>
  <si>
    <t>|m|=22; Table 2 experimental values</t>
  </si>
  <si>
    <t>|m|=23; Table 2 experimental values</t>
  </si>
  <si>
    <t>|m|=24; Table 2 experimental values</t>
  </si>
  <si>
    <t>|m|=25; Table 2 experimental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</si>
</sst>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2"/>
      <color theme="1"/>
      <name val="Aptos Narrow"/>
      <family val="2"/>
      <scheme val="minor"/>
    </font>
    <font>
      <sz val="16"/>
      <color rgb="FF1A1A1A"/>
      <name val="Helvetica"/>
      <family val="2"/>
    </font>
    <font>
      <sz val="8"/>
      <name val="Aptos Narrow"/>
      <family val="2"/>
      <scheme val="minor"/>
    </font>
    <font>
      <sz val="12"/>
      <color rgb="FF000000"/>
      <name val="Aptos Narrow"/>
      <family val="2"/>
      <scheme val="minor"/>
    </font>
    <font>
      <sz val="10"/>
      <color theme="1"/>
      <name val="Aptos Narrow"/>
      <family val="2"/>
      <scheme val="minor"/>
    </font>
    <font>
      <sz val="14"/>
      <color rgb="FF1F1F1F"/>
      <name val="Georgia"/>
      <family val="1"/>
    </font>
    <font>
      <sz val="14"/>
      <color theme="1"/>
      <name val="Georgia"/>
      <family val="1"/>
    </font>
    <font>
      <sz val="10"/>
      <color theme="1"/>
      <name val="Arial Unicode MS"/>
      <family val="2"/>
    </font>
  </fonts>
  <fills count="2">
    <fill>
      <patternFill patternType="none"/>
    </fill>
    <fill>
      <patternFill patternType="gray125"/>
    </fill>
  </fills>
  <borders count="4">
    <border>
      <left/>
      <right/>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s>
  <cellStyleXfs count="1">
    <xf numFmtId="0" fontId="0" fillId="0" borderId="0"/>
  </cellStyleXfs>
  <cellXfs count="12">
    <xf numFmtId="0" fontId="0" fillId="0" borderId="0" xfId="0"/>
    <xf numFmtId="0" fontId="1" fillId="0" borderId="0" xfId="0" applyFont="1"/>
    <xf numFmtId="0" fontId="3" fillId="0" borderId="0" xfId="0" applyFont="1"/>
    <xf numFmtId="0" fontId="4" fillId="0" borderId="1" xfId="0" applyFont="1" applyBorder="1" applyAlignment="1">
      <alignment horizontal="center" vertical="center" wrapText="1"/>
    </xf>
    <xf numFmtId="0" fontId="6" fillId="0" borderId="0" xfId="0" applyFont="1"/>
    <xf numFmtId="0" fontId="5" fillId="0" borderId="0" xfId="0" applyFont="1"/>
    <xf numFmtId="0" fontId="0" fillId="0" borderId="0" xfId="0" applyAlignment="1">
      <alignment wrapText="1"/>
    </xf>
    <xf numFmtId="0" fontId="0" fillId="0" borderId="0" xfId="0" applyAlignment="1">
      <alignment horizontal="left"/>
    </xf>
    <xf numFmtId="164" fontId="0" fillId="0" borderId="0" xfId="0" applyNumberFormat="1" applyAlignment="1">
      <alignment horizontal="left"/>
    </xf>
    <xf numFmtId="164" fontId="0" fillId="0" borderId="2" xfId="0" applyNumberFormat="1" applyBorder="1" applyAlignment="1">
      <alignment horizontal="left"/>
    </xf>
    <xf numFmtId="0" fontId="7" fillId="0" borderId="0" xfId="0" applyFont="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C2392-76A6-9147-8A11-CE6ABB4B05A7}">
  <dimension ref="A1:O49"/>
  <sheetViews>
    <sheetView workbookViewId="0">
      <selection activeCell="B9" sqref="B9"/>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v>1</v>
      </c>
      <c r="D2" t="s">
        <v>17</v>
      </c>
      <c r="E2" t="s">
        <v>17</v>
      </c>
      <c r="F2">
        <v>0</v>
      </c>
      <c r="G2" t="s">
        <v>17</v>
      </c>
      <c r="H2" t="s">
        <v>17</v>
      </c>
      <c r="I2">
        <v>0.1318</v>
      </c>
      <c r="J2">
        <v>5</v>
      </c>
      <c r="K2">
        <v>6.5900000000000004E-3</v>
      </c>
      <c r="L2" t="s">
        <v>17</v>
      </c>
      <c r="M2">
        <v>296</v>
      </c>
      <c r="N2" t="s">
        <v>18</v>
      </c>
      <c r="O2" t="s">
        <v>19</v>
      </c>
    </row>
    <row r="3" spans="1:15" x14ac:dyDescent="0.2">
      <c r="A3" t="s">
        <v>20</v>
      </c>
      <c r="B3" t="s">
        <v>16</v>
      </c>
      <c r="C3">
        <v>1</v>
      </c>
      <c r="D3" t="s">
        <v>17</v>
      </c>
      <c r="E3" t="s">
        <v>17</v>
      </c>
      <c r="F3">
        <v>0</v>
      </c>
      <c r="G3" t="s">
        <v>17</v>
      </c>
      <c r="H3" t="s">
        <v>17</v>
      </c>
      <c r="I3">
        <v>0.1318</v>
      </c>
      <c r="J3">
        <v>5</v>
      </c>
      <c r="K3">
        <v>6.5900000000000004E-3</v>
      </c>
      <c r="L3" t="s">
        <v>17</v>
      </c>
      <c r="M3">
        <v>296</v>
      </c>
      <c r="N3" t="s">
        <v>18</v>
      </c>
      <c r="O3" t="s">
        <v>19</v>
      </c>
    </row>
    <row r="4" spans="1:15" x14ac:dyDescent="0.2">
      <c r="A4" t="s">
        <v>15</v>
      </c>
      <c r="B4" t="s">
        <v>16</v>
      </c>
      <c r="C4">
        <v>2</v>
      </c>
      <c r="D4" t="s">
        <v>17</v>
      </c>
      <c r="E4" t="s">
        <v>17</v>
      </c>
      <c r="F4">
        <v>1</v>
      </c>
      <c r="G4" t="s">
        <v>17</v>
      </c>
      <c r="H4" t="s">
        <v>17</v>
      </c>
      <c r="I4">
        <v>0.1348</v>
      </c>
      <c r="J4">
        <v>5</v>
      </c>
      <c r="K4">
        <v>6.7400000000000003E-3</v>
      </c>
      <c r="L4" t="s">
        <v>17</v>
      </c>
      <c r="M4">
        <v>296</v>
      </c>
      <c r="N4" t="s">
        <v>18</v>
      </c>
      <c r="O4" t="s">
        <v>21</v>
      </c>
    </row>
    <row r="5" spans="1:15" x14ac:dyDescent="0.2">
      <c r="A5" t="s">
        <v>20</v>
      </c>
      <c r="B5" t="s">
        <v>16</v>
      </c>
      <c r="C5">
        <v>2</v>
      </c>
      <c r="D5" t="s">
        <v>17</v>
      </c>
      <c r="E5" t="s">
        <v>17</v>
      </c>
      <c r="F5">
        <v>1</v>
      </c>
      <c r="G5" t="s">
        <v>17</v>
      </c>
      <c r="H5" t="s">
        <v>17</v>
      </c>
      <c r="I5">
        <v>0.1338</v>
      </c>
      <c r="J5">
        <v>5</v>
      </c>
      <c r="K5">
        <v>6.6899999999999998E-3</v>
      </c>
      <c r="L5" t="s">
        <v>17</v>
      </c>
      <c r="M5">
        <v>296</v>
      </c>
      <c r="N5" t="s">
        <v>18</v>
      </c>
      <c r="O5" t="s">
        <v>21</v>
      </c>
    </row>
    <row r="6" spans="1:15" x14ac:dyDescent="0.2">
      <c r="A6" t="s">
        <v>15</v>
      </c>
      <c r="B6" t="s">
        <v>16</v>
      </c>
      <c r="C6">
        <v>3</v>
      </c>
      <c r="D6" t="s">
        <v>17</v>
      </c>
      <c r="E6" t="s">
        <v>17</v>
      </c>
      <c r="F6">
        <v>2</v>
      </c>
      <c r="G6" t="s">
        <v>17</v>
      </c>
      <c r="H6" t="s">
        <v>17</v>
      </c>
      <c r="I6">
        <v>0.1381</v>
      </c>
      <c r="J6">
        <v>5</v>
      </c>
      <c r="K6">
        <v>6.9049999999999997E-3</v>
      </c>
      <c r="L6" t="s">
        <v>17</v>
      </c>
      <c r="M6">
        <v>296</v>
      </c>
      <c r="N6" t="s">
        <v>18</v>
      </c>
      <c r="O6" t="s">
        <v>22</v>
      </c>
    </row>
    <row r="7" spans="1:15" x14ac:dyDescent="0.2">
      <c r="A7" t="s">
        <v>20</v>
      </c>
      <c r="B7" t="s">
        <v>16</v>
      </c>
      <c r="C7">
        <v>3</v>
      </c>
      <c r="D7" t="s">
        <v>17</v>
      </c>
      <c r="E7" t="s">
        <v>17</v>
      </c>
      <c r="F7">
        <v>2</v>
      </c>
      <c r="G7" t="s">
        <v>17</v>
      </c>
      <c r="H7" t="s">
        <v>17</v>
      </c>
      <c r="I7">
        <v>0.13750000000000001</v>
      </c>
      <c r="J7">
        <v>5</v>
      </c>
      <c r="K7">
        <v>6.875E-3</v>
      </c>
      <c r="L7" t="s">
        <v>17</v>
      </c>
      <c r="M7">
        <v>296</v>
      </c>
      <c r="N7" t="s">
        <v>18</v>
      </c>
      <c r="O7" t="s">
        <v>22</v>
      </c>
    </row>
    <row r="8" spans="1:15" x14ac:dyDescent="0.2">
      <c r="A8" t="s">
        <v>15</v>
      </c>
      <c r="B8" t="s">
        <v>16</v>
      </c>
      <c r="C8">
        <v>4</v>
      </c>
      <c r="D8" t="s">
        <v>17</v>
      </c>
      <c r="E8" t="s">
        <v>17</v>
      </c>
      <c r="F8">
        <v>3</v>
      </c>
      <c r="G8" t="s">
        <v>17</v>
      </c>
      <c r="H8" t="s">
        <v>17</v>
      </c>
      <c r="I8">
        <v>0.1356</v>
      </c>
      <c r="J8">
        <v>5</v>
      </c>
      <c r="K8">
        <v>6.7799999999999996E-3</v>
      </c>
      <c r="L8" t="s">
        <v>17</v>
      </c>
      <c r="M8">
        <v>296</v>
      </c>
      <c r="N8" t="s">
        <v>18</v>
      </c>
      <c r="O8" t="s">
        <v>23</v>
      </c>
    </row>
    <row r="9" spans="1:15" x14ac:dyDescent="0.2">
      <c r="A9" t="s">
        <v>20</v>
      </c>
      <c r="B9" t="s">
        <v>16</v>
      </c>
      <c r="C9">
        <v>4</v>
      </c>
      <c r="D9" t="s">
        <v>17</v>
      </c>
      <c r="E9" t="s">
        <v>17</v>
      </c>
      <c r="F9">
        <v>3</v>
      </c>
      <c r="G9" t="s">
        <v>17</v>
      </c>
      <c r="H9" t="s">
        <v>17</v>
      </c>
      <c r="I9">
        <v>0.1331</v>
      </c>
      <c r="J9">
        <v>5</v>
      </c>
      <c r="K9">
        <v>6.6550000000000003E-3</v>
      </c>
      <c r="L9" t="s">
        <v>17</v>
      </c>
      <c r="M9">
        <v>296</v>
      </c>
      <c r="N9" t="s">
        <v>18</v>
      </c>
      <c r="O9" t="s">
        <v>23</v>
      </c>
    </row>
    <row r="10" spans="1:15" x14ac:dyDescent="0.2">
      <c r="A10" t="s">
        <v>15</v>
      </c>
      <c r="B10" t="s">
        <v>16</v>
      </c>
      <c r="C10">
        <v>5</v>
      </c>
      <c r="D10" t="s">
        <v>17</v>
      </c>
      <c r="E10" t="s">
        <v>17</v>
      </c>
      <c r="F10">
        <v>4</v>
      </c>
      <c r="G10" t="s">
        <v>17</v>
      </c>
      <c r="H10" t="s">
        <v>17</v>
      </c>
      <c r="I10">
        <v>0.12839999999999999</v>
      </c>
      <c r="J10">
        <v>5</v>
      </c>
      <c r="K10">
        <v>6.4200000000000004E-3</v>
      </c>
      <c r="L10" t="s">
        <v>17</v>
      </c>
      <c r="M10">
        <v>296</v>
      </c>
      <c r="N10" t="s">
        <v>18</v>
      </c>
      <c r="O10" t="s">
        <v>24</v>
      </c>
    </row>
    <row r="11" spans="1:15" x14ac:dyDescent="0.2">
      <c r="A11" t="s">
        <v>20</v>
      </c>
      <c r="B11" t="s">
        <v>16</v>
      </c>
      <c r="C11">
        <v>5</v>
      </c>
      <c r="D11" t="s">
        <v>17</v>
      </c>
      <c r="E11" t="s">
        <v>17</v>
      </c>
      <c r="F11">
        <v>4</v>
      </c>
      <c r="G11" t="s">
        <v>17</v>
      </c>
      <c r="H11" t="s">
        <v>17</v>
      </c>
      <c r="I11">
        <v>0.128</v>
      </c>
      <c r="J11">
        <v>5</v>
      </c>
      <c r="K11">
        <v>6.4000000000000003E-3</v>
      </c>
      <c r="L11" t="s">
        <v>17</v>
      </c>
      <c r="M11">
        <v>296</v>
      </c>
      <c r="N11" t="s">
        <v>18</v>
      </c>
      <c r="O11" t="s">
        <v>24</v>
      </c>
    </row>
    <row r="12" spans="1:15" x14ac:dyDescent="0.2">
      <c r="A12" t="s">
        <v>15</v>
      </c>
      <c r="B12" t="s">
        <v>16</v>
      </c>
      <c r="C12">
        <v>6</v>
      </c>
      <c r="D12" t="s">
        <v>17</v>
      </c>
      <c r="E12" t="s">
        <v>17</v>
      </c>
      <c r="F12">
        <v>5</v>
      </c>
      <c r="G12" t="s">
        <v>17</v>
      </c>
      <c r="H12" t="s">
        <v>17</v>
      </c>
      <c r="I12" t="s">
        <v>17</v>
      </c>
      <c r="J12" t="s">
        <v>17</v>
      </c>
      <c r="K12" t="s">
        <v>17</v>
      </c>
      <c r="L12" t="s">
        <v>17</v>
      </c>
      <c r="M12">
        <v>296</v>
      </c>
      <c r="N12" t="s">
        <v>18</v>
      </c>
      <c r="O12" t="s">
        <v>25</v>
      </c>
    </row>
    <row r="13" spans="1:15" x14ac:dyDescent="0.2">
      <c r="A13" t="s">
        <v>20</v>
      </c>
      <c r="B13" t="s">
        <v>16</v>
      </c>
      <c r="C13">
        <v>6</v>
      </c>
      <c r="D13" t="s">
        <v>17</v>
      </c>
      <c r="E13" t="s">
        <v>17</v>
      </c>
      <c r="F13">
        <v>5</v>
      </c>
      <c r="G13" t="s">
        <v>17</v>
      </c>
      <c r="H13" t="s">
        <v>17</v>
      </c>
      <c r="I13" t="s">
        <v>17</v>
      </c>
      <c r="J13" t="s">
        <v>17</v>
      </c>
      <c r="K13" t="s">
        <v>17</v>
      </c>
      <c r="L13" t="s">
        <v>17</v>
      </c>
      <c r="M13">
        <v>296</v>
      </c>
      <c r="N13" t="s">
        <v>18</v>
      </c>
      <c r="O13" t="s">
        <v>25</v>
      </c>
    </row>
    <row r="14" spans="1:15" x14ac:dyDescent="0.2">
      <c r="A14" t="s">
        <v>15</v>
      </c>
      <c r="B14" t="s">
        <v>16</v>
      </c>
      <c r="C14">
        <v>7</v>
      </c>
      <c r="D14" t="s">
        <v>17</v>
      </c>
      <c r="E14" t="s">
        <v>17</v>
      </c>
      <c r="F14">
        <v>6</v>
      </c>
      <c r="G14" t="s">
        <v>17</v>
      </c>
      <c r="H14" t="s">
        <v>17</v>
      </c>
      <c r="I14">
        <v>0.1019</v>
      </c>
      <c r="J14">
        <v>5</v>
      </c>
      <c r="K14">
        <v>5.0949999999999997E-3</v>
      </c>
      <c r="L14" t="s">
        <v>17</v>
      </c>
      <c r="M14">
        <v>296</v>
      </c>
      <c r="N14" t="s">
        <v>18</v>
      </c>
      <c r="O14" t="s">
        <v>26</v>
      </c>
    </row>
    <row r="15" spans="1:15" x14ac:dyDescent="0.2">
      <c r="A15" t="s">
        <v>20</v>
      </c>
      <c r="B15" t="s">
        <v>16</v>
      </c>
      <c r="C15">
        <v>7</v>
      </c>
      <c r="D15" t="s">
        <v>17</v>
      </c>
      <c r="E15" t="s">
        <v>17</v>
      </c>
      <c r="F15">
        <v>6</v>
      </c>
      <c r="G15" t="s">
        <v>17</v>
      </c>
      <c r="H15" t="s">
        <v>17</v>
      </c>
      <c r="I15">
        <v>0.1022</v>
      </c>
      <c r="J15">
        <v>5</v>
      </c>
      <c r="K15">
        <v>5.11E-3</v>
      </c>
      <c r="L15" t="s">
        <v>17</v>
      </c>
      <c r="M15">
        <v>296</v>
      </c>
      <c r="N15" t="s">
        <v>18</v>
      </c>
      <c r="O15" t="s">
        <v>26</v>
      </c>
    </row>
    <row r="16" spans="1:15" x14ac:dyDescent="0.2">
      <c r="A16" t="s">
        <v>15</v>
      </c>
      <c r="B16" t="s">
        <v>16</v>
      </c>
      <c r="C16">
        <v>8</v>
      </c>
      <c r="D16" t="s">
        <v>17</v>
      </c>
      <c r="E16" t="s">
        <v>17</v>
      </c>
      <c r="F16">
        <v>7</v>
      </c>
      <c r="G16" t="s">
        <v>17</v>
      </c>
      <c r="H16" t="s">
        <v>17</v>
      </c>
      <c r="I16">
        <v>9.11E-2</v>
      </c>
      <c r="J16">
        <v>5</v>
      </c>
      <c r="K16">
        <v>4.555E-3</v>
      </c>
      <c r="L16" t="s">
        <v>17</v>
      </c>
      <c r="M16">
        <v>296</v>
      </c>
      <c r="N16" t="s">
        <v>18</v>
      </c>
      <c r="O16" t="s">
        <v>27</v>
      </c>
    </row>
    <row r="17" spans="1:15" x14ac:dyDescent="0.2">
      <c r="A17" t="s">
        <v>20</v>
      </c>
      <c r="B17" t="s">
        <v>16</v>
      </c>
      <c r="C17">
        <v>8</v>
      </c>
      <c r="D17" t="s">
        <v>17</v>
      </c>
      <c r="E17" t="s">
        <v>17</v>
      </c>
      <c r="F17">
        <v>7</v>
      </c>
      <c r="G17" t="s">
        <v>17</v>
      </c>
      <c r="H17" t="s">
        <v>17</v>
      </c>
      <c r="I17">
        <v>8.9399999999999993E-2</v>
      </c>
      <c r="J17">
        <v>5</v>
      </c>
      <c r="K17">
        <v>4.47E-3</v>
      </c>
      <c r="L17" t="s">
        <v>17</v>
      </c>
      <c r="M17">
        <v>296</v>
      </c>
      <c r="N17" t="s">
        <v>18</v>
      </c>
      <c r="O17" t="s">
        <v>27</v>
      </c>
    </row>
    <row r="18" spans="1:15" x14ac:dyDescent="0.2">
      <c r="A18" t="s">
        <v>15</v>
      </c>
      <c r="B18" t="s">
        <v>16</v>
      </c>
      <c r="C18">
        <v>9</v>
      </c>
      <c r="D18" t="s">
        <v>17</v>
      </c>
      <c r="E18" t="s">
        <v>17</v>
      </c>
      <c r="F18">
        <v>8</v>
      </c>
      <c r="G18" t="s">
        <v>17</v>
      </c>
      <c r="H18" t="s">
        <v>17</v>
      </c>
      <c r="I18" t="s">
        <v>17</v>
      </c>
      <c r="J18" t="s">
        <v>17</v>
      </c>
      <c r="K18" t="s">
        <v>17</v>
      </c>
      <c r="L18" t="s">
        <v>17</v>
      </c>
      <c r="M18">
        <v>296</v>
      </c>
      <c r="N18" t="s">
        <v>18</v>
      </c>
      <c r="O18" t="s">
        <v>28</v>
      </c>
    </row>
    <row r="19" spans="1:15" x14ac:dyDescent="0.2">
      <c r="A19" t="s">
        <v>20</v>
      </c>
      <c r="B19" t="s">
        <v>16</v>
      </c>
      <c r="C19">
        <v>9</v>
      </c>
      <c r="D19" t="s">
        <v>17</v>
      </c>
      <c r="E19" t="s">
        <v>17</v>
      </c>
      <c r="F19">
        <v>8</v>
      </c>
      <c r="G19" t="s">
        <v>17</v>
      </c>
      <c r="H19" t="s">
        <v>17</v>
      </c>
      <c r="I19" t="s">
        <v>17</v>
      </c>
      <c r="J19" t="s">
        <v>17</v>
      </c>
      <c r="K19" t="s">
        <v>17</v>
      </c>
      <c r="L19" t="s">
        <v>17</v>
      </c>
      <c r="M19">
        <v>296</v>
      </c>
      <c r="N19" t="s">
        <v>18</v>
      </c>
      <c r="O19" t="s">
        <v>28</v>
      </c>
    </row>
    <row r="20" spans="1:15" x14ac:dyDescent="0.2">
      <c r="A20" t="s">
        <v>15</v>
      </c>
      <c r="B20" t="s">
        <v>16</v>
      </c>
      <c r="C20">
        <v>10</v>
      </c>
      <c r="D20" t="s">
        <v>17</v>
      </c>
      <c r="E20" t="s">
        <v>17</v>
      </c>
      <c r="F20">
        <v>9</v>
      </c>
      <c r="G20" t="s">
        <v>17</v>
      </c>
      <c r="H20" t="s">
        <v>17</v>
      </c>
      <c r="I20">
        <v>7.1199999999999999E-2</v>
      </c>
      <c r="J20">
        <v>5</v>
      </c>
      <c r="K20">
        <v>3.5599999999999998E-3</v>
      </c>
      <c r="L20" t="s">
        <v>17</v>
      </c>
      <c r="M20">
        <v>296</v>
      </c>
      <c r="N20" t="s">
        <v>18</v>
      </c>
      <c r="O20" t="s">
        <v>29</v>
      </c>
    </row>
    <row r="21" spans="1:15" x14ac:dyDescent="0.2">
      <c r="A21" t="s">
        <v>20</v>
      </c>
      <c r="B21" t="s">
        <v>16</v>
      </c>
      <c r="C21">
        <v>10</v>
      </c>
      <c r="D21" t="s">
        <v>17</v>
      </c>
      <c r="E21" t="s">
        <v>17</v>
      </c>
      <c r="F21">
        <v>9</v>
      </c>
      <c r="G21" t="s">
        <v>17</v>
      </c>
      <c r="H21" t="s">
        <v>17</v>
      </c>
      <c r="I21">
        <v>7.2400000000000006E-2</v>
      </c>
      <c r="J21">
        <v>5</v>
      </c>
      <c r="K21">
        <v>3.62E-3</v>
      </c>
      <c r="L21" t="s">
        <v>17</v>
      </c>
      <c r="M21">
        <v>296</v>
      </c>
      <c r="N21" t="s">
        <v>18</v>
      </c>
      <c r="O21" t="s">
        <v>29</v>
      </c>
    </row>
    <row r="22" spans="1:15" x14ac:dyDescent="0.2">
      <c r="A22" t="s">
        <v>15</v>
      </c>
      <c r="B22" t="s">
        <v>16</v>
      </c>
      <c r="C22">
        <v>11</v>
      </c>
      <c r="D22" t="s">
        <v>17</v>
      </c>
      <c r="E22" t="s">
        <v>17</v>
      </c>
      <c r="F22">
        <v>10</v>
      </c>
      <c r="G22" t="s">
        <v>17</v>
      </c>
      <c r="H22" t="s">
        <v>17</v>
      </c>
      <c r="I22">
        <v>6.6699999999999995E-2</v>
      </c>
      <c r="J22">
        <v>5</v>
      </c>
      <c r="K22">
        <v>3.3349999999999999E-3</v>
      </c>
      <c r="L22" t="s">
        <v>17</v>
      </c>
      <c r="M22">
        <v>296</v>
      </c>
      <c r="N22" t="s">
        <v>18</v>
      </c>
      <c r="O22" t="s">
        <v>30</v>
      </c>
    </row>
    <row r="23" spans="1:15" x14ac:dyDescent="0.2">
      <c r="A23" t="s">
        <v>20</v>
      </c>
      <c r="B23" t="s">
        <v>16</v>
      </c>
      <c r="C23">
        <v>11</v>
      </c>
      <c r="D23" t="s">
        <v>17</v>
      </c>
      <c r="E23" t="s">
        <v>17</v>
      </c>
      <c r="F23">
        <v>10</v>
      </c>
      <c r="G23" t="s">
        <v>17</v>
      </c>
      <c r="H23" t="s">
        <v>17</v>
      </c>
      <c r="I23">
        <v>6.6500000000000004E-2</v>
      </c>
      <c r="J23">
        <v>5</v>
      </c>
      <c r="K23">
        <v>3.3249999999999998E-3</v>
      </c>
      <c r="L23" t="s">
        <v>17</v>
      </c>
      <c r="M23">
        <v>296</v>
      </c>
      <c r="N23" t="s">
        <v>18</v>
      </c>
      <c r="O23" t="s">
        <v>30</v>
      </c>
    </row>
    <row r="24" spans="1:15" x14ac:dyDescent="0.2">
      <c r="A24" t="s">
        <v>15</v>
      </c>
      <c r="B24" t="s">
        <v>16</v>
      </c>
      <c r="C24">
        <v>12</v>
      </c>
      <c r="D24" t="s">
        <v>17</v>
      </c>
      <c r="E24" t="s">
        <v>17</v>
      </c>
      <c r="F24">
        <v>11</v>
      </c>
      <c r="G24" t="s">
        <v>17</v>
      </c>
      <c r="H24" t="s">
        <v>17</v>
      </c>
      <c r="I24">
        <v>6.2300000000000001E-2</v>
      </c>
      <c r="J24">
        <v>5</v>
      </c>
      <c r="K24">
        <v>3.1150000000000001E-3</v>
      </c>
      <c r="L24" t="s">
        <v>17</v>
      </c>
      <c r="M24">
        <v>296</v>
      </c>
      <c r="N24" t="s">
        <v>18</v>
      </c>
      <c r="O24" t="s">
        <v>31</v>
      </c>
    </row>
    <row r="25" spans="1:15" x14ac:dyDescent="0.2">
      <c r="A25" t="s">
        <v>20</v>
      </c>
      <c r="B25" t="s">
        <v>16</v>
      </c>
      <c r="C25">
        <v>12</v>
      </c>
      <c r="D25" t="s">
        <v>17</v>
      </c>
      <c r="E25" t="s">
        <v>17</v>
      </c>
      <c r="F25">
        <v>11</v>
      </c>
      <c r="G25" t="s">
        <v>17</v>
      </c>
      <c r="H25" t="s">
        <v>17</v>
      </c>
      <c r="I25">
        <v>6.2700000000000006E-2</v>
      </c>
      <c r="J25">
        <v>5</v>
      </c>
      <c r="K25">
        <v>3.1350000000000002E-3</v>
      </c>
      <c r="L25" t="s">
        <v>17</v>
      </c>
      <c r="M25">
        <v>296</v>
      </c>
      <c r="N25" t="s">
        <v>18</v>
      </c>
      <c r="O25" t="s">
        <v>31</v>
      </c>
    </row>
    <row r="26" spans="1:15" x14ac:dyDescent="0.2">
      <c r="A26" t="s">
        <v>15</v>
      </c>
      <c r="B26" t="s">
        <v>32</v>
      </c>
      <c r="C26">
        <v>1</v>
      </c>
      <c r="D26" t="s">
        <v>17</v>
      </c>
      <c r="E26" t="s">
        <v>17</v>
      </c>
      <c r="F26">
        <v>0</v>
      </c>
      <c r="G26" t="s">
        <v>17</v>
      </c>
      <c r="H26" t="s">
        <v>17</v>
      </c>
      <c r="I26">
        <v>0.12870000000000001</v>
      </c>
      <c r="J26">
        <v>5</v>
      </c>
      <c r="K26">
        <v>6.4349999999999997E-3</v>
      </c>
      <c r="L26" t="s">
        <v>17</v>
      </c>
      <c r="M26">
        <v>299</v>
      </c>
      <c r="N26" t="s">
        <v>18</v>
      </c>
      <c r="O26" t="s">
        <v>33</v>
      </c>
    </row>
    <row r="27" spans="1:15" x14ac:dyDescent="0.2">
      <c r="A27" t="s">
        <v>20</v>
      </c>
      <c r="B27" t="s">
        <v>32</v>
      </c>
      <c r="C27">
        <v>1</v>
      </c>
      <c r="D27" t="s">
        <v>17</v>
      </c>
      <c r="E27" t="s">
        <v>17</v>
      </c>
      <c r="F27">
        <v>0</v>
      </c>
      <c r="G27" t="s">
        <v>17</v>
      </c>
      <c r="H27" t="s">
        <v>17</v>
      </c>
      <c r="I27">
        <v>0.12839999999999999</v>
      </c>
      <c r="J27">
        <v>5</v>
      </c>
      <c r="K27">
        <v>6.4200000000000004E-3</v>
      </c>
      <c r="L27" t="s">
        <v>17</v>
      </c>
      <c r="M27">
        <v>299</v>
      </c>
      <c r="N27" t="s">
        <v>18</v>
      </c>
      <c r="O27" t="s">
        <v>33</v>
      </c>
    </row>
    <row r="28" spans="1:15" x14ac:dyDescent="0.2">
      <c r="A28" t="s">
        <v>15</v>
      </c>
      <c r="B28" t="s">
        <v>32</v>
      </c>
      <c r="C28">
        <v>2</v>
      </c>
      <c r="D28" t="s">
        <v>17</v>
      </c>
      <c r="E28" t="s">
        <v>17</v>
      </c>
      <c r="F28">
        <v>1</v>
      </c>
      <c r="G28" t="s">
        <v>17</v>
      </c>
      <c r="H28" t="s">
        <v>17</v>
      </c>
      <c r="I28">
        <v>0.11600000000000001</v>
      </c>
      <c r="J28">
        <v>5</v>
      </c>
      <c r="K28">
        <v>5.7999999999999996E-3</v>
      </c>
      <c r="L28" t="s">
        <v>17</v>
      </c>
      <c r="M28">
        <v>299</v>
      </c>
      <c r="N28" t="s">
        <v>18</v>
      </c>
      <c r="O28" t="s">
        <v>34</v>
      </c>
    </row>
    <row r="29" spans="1:15" x14ac:dyDescent="0.2">
      <c r="A29" t="s">
        <v>20</v>
      </c>
      <c r="B29" t="s">
        <v>32</v>
      </c>
      <c r="C29">
        <v>2</v>
      </c>
      <c r="D29" t="s">
        <v>17</v>
      </c>
      <c r="E29" t="s">
        <v>17</v>
      </c>
      <c r="F29">
        <v>1</v>
      </c>
      <c r="G29" t="s">
        <v>17</v>
      </c>
      <c r="H29" t="s">
        <v>17</v>
      </c>
      <c r="I29">
        <v>0.1142</v>
      </c>
      <c r="J29">
        <v>5</v>
      </c>
      <c r="K29">
        <v>5.7099999999999998E-3</v>
      </c>
      <c r="L29" t="s">
        <v>17</v>
      </c>
      <c r="M29">
        <v>299</v>
      </c>
      <c r="N29" t="s">
        <v>18</v>
      </c>
      <c r="O29" t="s">
        <v>34</v>
      </c>
    </row>
    <row r="30" spans="1:15" x14ac:dyDescent="0.2">
      <c r="A30" t="s">
        <v>15</v>
      </c>
      <c r="B30" t="s">
        <v>32</v>
      </c>
      <c r="C30">
        <v>3</v>
      </c>
      <c r="D30" t="s">
        <v>17</v>
      </c>
      <c r="E30" t="s">
        <v>17</v>
      </c>
      <c r="F30">
        <v>2</v>
      </c>
      <c r="G30" t="s">
        <v>17</v>
      </c>
      <c r="H30" t="s">
        <v>17</v>
      </c>
      <c r="I30">
        <v>9.8000000000000004E-2</v>
      </c>
      <c r="J30">
        <v>5</v>
      </c>
      <c r="K30">
        <v>4.8999999999999998E-3</v>
      </c>
      <c r="L30" t="s">
        <v>17</v>
      </c>
      <c r="M30">
        <v>299</v>
      </c>
      <c r="N30" t="s">
        <v>18</v>
      </c>
      <c r="O30" t="s">
        <v>35</v>
      </c>
    </row>
    <row r="31" spans="1:15" x14ac:dyDescent="0.2">
      <c r="A31" t="s">
        <v>20</v>
      </c>
      <c r="B31" t="s">
        <v>32</v>
      </c>
      <c r="C31">
        <v>3</v>
      </c>
      <c r="D31" t="s">
        <v>17</v>
      </c>
      <c r="E31" t="s">
        <v>17</v>
      </c>
      <c r="F31">
        <v>2</v>
      </c>
      <c r="G31" t="s">
        <v>17</v>
      </c>
      <c r="H31" t="s">
        <v>17</v>
      </c>
      <c r="I31">
        <v>9.8299999999999998E-2</v>
      </c>
      <c r="J31">
        <v>5</v>
      </c>
      <c r="K31">
        <v>4.9150000000000001E-3</v>
      </c>
      <c r="L31" t="s">
        <v>17</v>
      </c>
      <c r="M31">
        <v>299</v>
      </c>
      <c r="N31" t="s">
        <v>18</v>
      </c>
      <c r="O31" t="s">
        <v>35</v>
      </c>
    </row>
    <row r="32" spans="1:15" x14ac:dyDescent="0.2">
      <c r="A32" t="s">
        <v>15</v>
      </c>
      <c r="B32" t="s">
        <v>32</v>
      </c>
      <c r="C32">
        <v>4</v>
      </c>
      <c r="D32" t="s">
        <v>17</v>
      </c>
      <c r="E32" t="s">
        <v>17</v>
      </c>
      <c r="F32">
        <v>3</v>
      </c>
      <c r="G32" t="s">
        <v>17</v>
      </c>
      <c r="H32" t="s">
        <v>17</v>
      </c>
      <c r="I32">
        <v>8.3099999999999993E-2</v>
      </c>
      <c r="J32">
        <v>5</v>
      </c>
      <c r="K32">
        <v>4.1549999999999998E-3</v>
      </c>
      <c r="L32" t="s">
        <v>17</v>
      </c>
      <c r="M32">
        <v>299</v>
      </c>
      <c r="N32" t="s">
        <v>18</v>
      </c>
      <c r="O32" t="s">
        <v>36</v>
      </c>
    </row>
    <row r="33" spans="1:15" x14ac:dyDescent="0.2">
      <c r="A33" t="s">
        <v>20</v>
      </c>
      <c r="B33" t="s">
        <v>32</v>
      </c>
      <c r="C33">
        <v>4</v>
      </c>
      <c r="D33" t="s">
        <v>17</v>
      </c>
      <c r="E33" t="s">
        <v>17</v>
      </c>
      <c r="F33">
        <v>3</v>
      </c>
      <c r="G33" t="s">
        <v>17</v>
      </c>
      <c r="H33" t="s">
        <v>17</v>
      </c>
      <c r="I33">
        <v>8.43E-2</v>
      </c>
      <c r="J33">
        <v>5</v>
      </c>
      <c r="K33">
        <v>4.215E-3</v>
      </c>
      <c r="L33" t="s">
        <v>17</v>
      </c>
      <c r="M33">
        <v>299</v>
      </c>
      <c r="N33" t="s">
        <v>18</v>
      </c>
      <c r="O33" t="s">
        <v>36</v>
      </c>
    </row>
    <row r="34" spans="1:15" x14ac:dyDescent="0.2">
      <c r="A34" t="s">
        <v>15</v>
      </c>
      <c r="B34" t="s">
        <v>32</v>
      </c>
      <c r="C34">
        <v>5</v>
      </c>
      <c r="D34" t="s">
        <v>17</v>
      </c>
      <c r="E34" t="s">
        <v>17</v>
      </c>
      <c r="F34">
        <v>4</v>
      </c>
      <c r="G34" t="s">
        <v>17</v>
      </c>
      <c r="H34" t="s">
        <v>17</v>
      </c>
      <c r="I34">
        <v>6.9500000000000006E-2</v>
      </c>
      <c r="J34">
        <v>5</v>
      </c>
      <c r="K34">
        <v>3.4749999999999998E-3</v>
      </c>
      <c r="L34" t="s">
        <v>17</v>
      </c>
      <c r="M34">
        <v>299</v>
      </c>
      <c r="N34" t="s">
        <v>18</v>
      </c>
      <c r="O34" t="s">
        <v>37</v>
      </c>
    </row>
    <row r="35" spans="1:15" x14ac:dyDescent="0.2">
      <c r="A35" t="s">
        <v>20</v>
      </c>
      <c r="B35" t="s">
        <v>32</v>
      </c>
      <c r="C35">
        <v>5</v>
      </c>
      <c r="D35" t="s">
        <v>17</v>
      </c>
      <c r="E35" t="s">
        <v>17</v>
      </c>
      <c r="F35">
        <v>4</v>
      </c>
      <c r="G35" t="s">
        <v>17</v>
      </c>
      <c r="H35" t="s">
        <v>17</v>
      </c>
      <c r="I35">
        <v>7.0199999999999999E-2</v>
      </c>
      <c r="J35">
        <v>5</v>
      </c>
      <c r="K35">
        <v>3.5100000000000001E-3</v>
      </c>
      <c r="L35" t="s">
        <v>17</v>
      </c>
      <c r="M35">
        <v>299</v>
      </c>
      <c r="N35" t="s">
        <v>18</v>
      </c>
      <c r="O35" t="s">
        <v>37</v>
      </c>
    </row>
    <row r="36" spans="1:15" x14ac:dyDescent="0.2">
      <c r="A36" t="s">
        <v>15</v>
      </c>
      <c r="B36" t="s">
        <v>32</v>
      </c>
      <c r="C36">
        <v>6</v>
      </c>
      <c r="D36" t="s">
        <v>17</v>
      </c>
      <c r="E36" t="s">
        <v>17</v>
      </c>
      <c r="F36">
        <v>5</v>
      </c>
      <c r="G36" t="s">
        <v>17</v>
      </c>
      <c r="H36" t="s">
        <v>17</v>
      </c>
      <c r="I36" t="s">
        <v>17</v>
      </c>
      <c r="J36" t="s">
        <v>17</v>
      </c>
      <c r="K36" t="s">
        <v>17</v>
      </c>
      <c r="L36" t="s">
        <v>17</v>
      </c>
      <c r="M36">
        <v>299</v>
      </c>
      <c r="N36" t="s">
        <v>18</v>
      </c>
      <c r="O36" t="s">
        <v>38</v>
      </c>
    </row>
    <row r="37" spans="1:15" x14ac:dyDescent="0.2">
      <c r="A37" t="s">
        <v>20</v>
      </c>
      <c r="B37" t="s">
        <v>32</v>
      </c>
      <c r="C37">
        <v>6</v>
      </c>
      <c r="D37" t="s">
        <v>17</v>
      </c>
      <c r="E37" t="s">
        <v>17</v>
      </c>
      <c r="F37">
        <v>5</v>
      </c>
      <c r="G37" t="s">
        <v>17</v>
      </c>
      <c r="H37" t="s">
        <v>17</v>
      </c>
      <c r="I37" t="s">
        <v>17</v>
      </c>
      <c r="J37" t="s">
        <v>17</v>
      </c>
      <c r="K37" t="s">
        <v>17</v>
      </c>
      <c r="L37" t="s">
        <v>17</v>
      </c>
      <c r="M37">
        <v>299</v>
      </c>
      <c r="N37" t="s">
        <v>18</v>
      </c>
      <c r="O37" t="s">
        <v>38</v>
      </c>
    </row>
    <row r="38" spans="1:15" x14ac:dyDescent="0.2">
      <c r="A38" t="s">
        <v>15</v>
      </c>
      <c r="B38" t="s">
        <v>32</v>
      </c>
      <c r="C38">
        <v>7</v>
      </c>
      <c r="D38" t="s">
        <v>17</v>
      </c>
      <c r="E38" t="s">
        <v>17</v>
      </c>
      <c r="F38">
        <v>6</v>
      </c>
      <c r="G38" t="s">
        <v>17</v>
      </c>
      <c r="H38" t="s">
        <v>17</v>
      </c>
      <c r="I38">
        <v>5.4600000000000003E-2</v>
      </c>
      <c r="J38">
        <v>5</v>
      </c>
      <c r="K38">
        <v>2.7299999999999998E-3</v>
      </c>
      <c r="L38" t="s">
        <v>17</v>
      </c>
      <c r="M38">
        <v>299</v>
      </c>
      <c r="N38" t="s">
        <v>18</v>
      </c>
      <c r="O38" t="s">
        <v>39</v>
      </c>
    </row>
    <row r="39" spans="1:15" x14ac:dyDescent="0.2">
      <c r="A39" t="s">
        <v>20</v>
      </c>
      <c r="B39" t="s">
        <v>32</v>
      </c>
      <c r="C39">
        <v>7</v>
      </c>
      <c r="D39" t="s">
        <v>17</v>
      </c>
      <c r="E39" t="s">
        <v>17</v>
      </c>
      <c r="F39">
        <v>6</v>
      </c>
      <c r="G39" t="s">
        <v>17</v>
      </c>
      <c r="H39" t="s">
        <v>17</v>
      </c>
      <c r="I39">
        <v>5.4100000000000002E-2</v>
      </c>
      <c r="J39">
        <v>5</v>
      </c>
      <c r="K39">
        <v>2.7049999999999999E-3</v>
      </c>
      <c r="L39" t="s">
        <v>17</v>
      </c>
      <c r="M39">
        <v>299</v>
      </c>
      <c r="N39" t="s">
        <v>18</v>
      </c>
      <c r="O39" t="s">
        <v>39</v>
      </c>
    </row>
    <row r="40" spans="1:15" x14ac:dyDescent="0.2">
      <c r="A40" t="s">
        <v>15</v>
      </c>
      <c r="B40" t="s">
        <v>32</v>
      </c>
      <c r="C40">
        <v>8</v>
      </c>
      <c r="D40" t="s">
        <v>17</v>
      </c>
      <c r="E40" t="s">
        <v>17</v>
      </c>
      <c r="F40">
        <v>7</v>
      </c>
      <c r="G40" t="s">
        <v>17</v>
      </c>
      <c r="H40" t="s">
        <v>17</v>
      </c>
      <c r="I40">
        <v>4.9700000000000001E-2</v>
      </c>
      <c r="J40">
        <v>5</v>
      </c>
      <c r="K40">
        <v>2.4849999999999998E-3</v>
      </c>
      <c r="L40" t="s">
        <v>17</v>
      </c>
      <c r="M40">
        <v>299</v>
      </c>
      <c r="N40" t="s">
        <v>18</v>
      </c>
      <c r="O40" t="s">
        <v>40</v>
      </c>
    </row>
    <row r="41" spans="1:15" x14ac:dyDescent="0.2">
      <c r="A41" t="s">
        <v>20</v>
      </c>
      <c r="B41" t="s">
        <v>32</v>
      </c>
      <c r="C41">
        <v>8</v>
      </c>
      <c r="D41" t="s">
        <v>17</v>
      </c>
      <c r="E41" t="s">
        <v>17</v>
      </c>
      <c r="F41">
        <v>7</v>
      </c>
      <c r="G41" t="s">
        <v>17</v>
      </c>
      <c r="H41" t="s">
        <v>17</v>
      </c>
      <c r="I41">
        <v>4.87E-2</v>
      </c>
      <c r="J41">
        <v>5</v>
      </c>
      <c r="K41">
        <v>2.4350000000000001E-3</v>
      </c>
      <c r="L41" t="s">
        <v>17</v>
      </c>
      <c r="M41">
        <v>299</v>
      </c>
      <c r="N41" t="s">
        <v>18</v>
      </c>
      <c r="O41" t="s">
        <v>40</v>
      </c>
    </row>
    <row r="42" spans="1:15" x14ac:dyDescent="0.2">
      <c r="A42" t="s">
        <v>15</v>
      </c>
      <c r="B42" t="s">
        <v>32</v>
      </c>
      <c r="C42">
        <v>9</v>
      </c>
      <c r="D42" t="s">
        <v>17</v>
      </c>
      <c r="E42" t="s">
        <v>17</v>
      </c>
      <c r="F42">
        <v>8</v>
      </c>
      <c r="G42" t="s">
        <v>17</v>
      </c>
      <c r="H42" t="s">
        <v>17</v>
      </c>
      <c r="I42">
        <v>4.6300000000000001E-2</v>
      </c>
      <c r="J42">
        <v>5</v>
      </c>
      <c r="K42">
        <v>2.3149999999999998E-3</v>
      </c>
      <c r="L42" t="s">
        <v>17</v>
      </c>
      <c r="M42">
        <v>299</v>
      </c>
      <c r="N42" t="s">
        <v>18</v>
      </c>
      <c r="O42" t="s">
        <v>41</v>
      </c>
    </row>
    <row r="43" spans="1:15" x14ac:dyDescent="0.2">
      <c r="A43" t="s">
        <v>20</v>
      </c>
      <c r="B43" t="s">
        <v>32</v>
      </c>
      <c r="C43">
        <v>9</v>
      </c>
      <c r="D43" t="s">
        <v>17</v>
      </c>
      <c r="E43" t="s">
        <v>17</v>
      </c>
      <c r="F43">
        <v>8</v>
      </c>
      <c r="G43" t="s">
        <v>17</v>
      </c>
      <c r="H43" t="s">
        <v>17</v>
      </c>
      <c r="I43">
        <v>4.5699999999999998E-2</v>
      </c>
      <c r="J43">
        <v>5</v>
      </c>
      <c r="K43">
        <v>2.2850000000000001E-3</v>
      </c>
      <c r="L43" t="s">
        <v>17</v>
      </c>
      <c r="M43">
        <v>299</v>
      </c>
      <c r="N43" t="s">
        <v>18</v>
      </c>
      <c r="O43" t="s">
        <v>41</v>
      </c>
    </row>
    <row r="44" spans="1:15" x14ac:dyDescent="0.2">
      <c r="A44" t="s">
        <v>15</v>
      </c>
      <c r="B44" t="s">
        <v>32</v>
      </c>
      <c r="C44">
        <v>10</v>
      </c>
      <c r="D44" t="s">
        <v>17</v>
      </c>
      <c r="E44" t="s">
        <v>17</v>
      </c>
      <c r="F44">
        <v>9</v>
      </c>
      <c r="G44" t="s">
        <v>17</v>
      </c>
      <c r="H44" t="s">
        <v>17</v>
      </c>
      <c r="I44">
        <v>3.9899999999999998E-2</v>
      </c>
      <c r="J44">
        <v>5</v>
      </c>
      <c r="K44">
        <v>1.9949999999999998E-3</v>
      </c>
      <c r="L44" t="s">
        <v>17</v>
      </c>
      <c r="M44">
        <v>299</v>
      </c>
      <c r="N44" t="s">
        <v>18</v>
      </c>
      <c r="O44" t="s">
        <v>42</v>
      </c>
    </row>
    <row r="45" spans="1:15" x14ac:dyDescent="0.2">
      <c r="A45" t="s">
        <v>20</v>
      </c>
      <c r="B45" t="s">
        <v>32</v>
      </c>
      <c r="C45">
        <v>10</v>
      </c>
      <c r="D45" t="s">
        <v>17</v>
      </c>
      <c r="E45" t="s">
        <v>17</v>
      </c>
      <c r="F45">
        <v>9</v>
      </c>
      <c r="G45" t="s">
        <v>17</v>
      </c>
      <c r="H45" t="s">
        <v>17</v>
      </c>
      <c r="I45">
        <v>0.04</v>
      </c>
      <c r="J45">
        <v>5</v>
      </c>
      <c r="K45">
        <v>2E-3</v>
      </c>
      <c r="L45" t="s">
        <v>17</v>
      </c>
      <c r="M45">
        <v>299</v>
      </c>
      <c r="N45" t="s">
        <v>18</v>
      </c>
      <c r="O45" t="s">
        <v>42</v>
      </c>
    </row>
    <row r="46" spans="1:15" x14ac:dyDescent="0.2">
      <c r="A46" t="s">
        <v>15</v>
      </c>
      <c r="B46" t="s">
        <v>32</v>
      </c>
      <c r="C46">
        <v>11</v>
      </c>
      <c r="D46" t="s">
        <v>17</v>
      </c>
      <c r="E46" t="s">
        <v>17</v>
      </c>
      <c r="F46">
        <v>10</v>
      </c>
      <c r="G46" t="s">
        <v>17</v>
      </c>
      <c r="H46" t="s">
        <v>17</v>
      </c>
      <c r="I46">
        <v>4.24E-2</v>
      </c>
      <c r="J46">
        <v>5</v>
      </c>
      <c r="K46">
        <v>2.1199999999999999E-3</v>
      </c>
      <c r="L46" t="s">
        <v>17</v>
      </c>
      <c r="M46">
        <v>299</v>
      </c>
      <c r="N46" t="s">
        <v>18</v>
      </c>
      <c r="O46" t="s">
        <v>43</v>
      </c>
    </row>
    <row r="47" spans="1:15" x14ac:dyDescent="0.2">
      <c r="A47" t="s">
        <v>20</v>
      </c>
      <c r="B47" t="s">
        <v>32</v>
      </c>
      <c r="C47">
        <v>11</v>
      </c>
      <c r="D47" t="s">
        <v>17</v>
      </c>
      <c r="E47" t="s">
        <v>17</v>
      </c>
      <c r="F47">
        <v>10</v>
      </c>
      <c r="G47" t="s">
        <v>17</v>
      </c>
      <c r="H47" t="s">
        <v>17</v>
      </c>
      <c r="I47">
        <v>4.2099999999999999E-2</v>
      </c>
      <c r="J47">
        <v>5</v>
      </c>
      <c r="K47">
        <v>2.1050000000000001E-3</v>
      </c>
      <c r="L47" t="s">
        <v>17</v>
      </c>
      <c r="M47">
        <v>299</v>
      </c>
      <c r="N47" t="s">
        <v>18</v>
      </c>
      <c r="O47" t="s">
        <v>43</v>
      </c>
    </row>
    <row r="48" spans="1:15" x14ac:dyDescent="0.2">
      <c r="A48" t="s">
        <v>15</v>
      </c>
      <c r="B48" t="s">
        <v>32</v>
      </c>
      <c r="C48">
        <v>12</v>
      </c>
      <c r="D48" t="s">
        <v>17</v>
      </c>
      <c r="E48" t="s">
        <v>17</v>
      </c>
      <c r="F48">
        <v>11</v>
      </c>
      <c r="G48" t="s">
        <v>17</v>
      </c>
      <c r="H48" t="s">
        <v>17</v>
      </c>
      <c r="I48">
        <v>3.9600000000000003E-2</v>
      </c>
      <c r="J48">
        <v>5</v>
      </c>
      <c r="K48">
        <v>1.98E-3</v>
      </c>
      <c r="L48" t="s">
        <v>17</v>
      </c>
      <c r="M48">
        <v>299</v>
      </c>
      <c r="N48" t="s">
        <v>18</v>
      </c>
      <c r="O48" t="s">
        <v>44</v>
      </c>
    </row>
    <row r="49" spans="1:15" x14ac:dyDescent="0.2">
      <c r="A49" t="s">
        <v>20</v>
      </c>
      <c r="B49" t="s">
        <v>32</v>
      </c>
      <c r="C49">
        <v>12</v>
      </c>
      <c r="D49" t="s">
        <v>17</v>
      </c>
      <c r="E49" t="s">
        <v>17</v>
      </c>
      <c r="F49">
        <v>11</v>
      </c>
      <c r="G49" t="s">
        <v>17</v>
      </c>
      <c r="H49" t="s">
        <v>17</v>
      </c>
      <c r="I49">
        <v>3.9699999999999999E-2</v>
      </c>
      <c r="J49">
        <v>5</v>
      </c>
      <c r="K49">
        <v>1.9849999999999998E-3</v>
      </c>
      <c r="L49" t="s">
        <v>17</v>
      </c>
      <c r="M49">
        <v>299</v>
      </c>
      <c r="N49" t="s">
        <v>18</v>
      </c>
      <c r="O49"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5433-140A-6045-AFBA-A4F25F371811}">
  <dimension ref="A1:O12"/>
  <sheetViews>
    <sheetView workbookViewId="0">
      <selection activeCell="M16" sqref="M1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45</v>
      </c>
      <c r="B2" t="s">
        <v>32</v>
      </c>
      <c r="C2">
        <v>3</v>
      </c>
      <c r="D2" t="s">
        <v>17</v>
      </c>
      <c r="E2" t="s">
        <v>17</v>
      </c>
      <c r="F2">
        <v>4</v>
      </c>
      <c r="G2" t="s">
        <v>17</v>
      </c>
      <c r="H2" t="s">
        <v>17</v>
      </c>
      <c r="I2">
        <v>6.5000000000000002E-2</v>
      </c>
      <c r="J2">
        <v>2</v>
      </c>
      <c r="K2">
        <v>1.2999999999999999E-3</v>
      </c>
      <c r="L2" t="s">
        <v>17</v>
      </c>
      <c r="M2">
        <v>296</v>
      </c>
      <c r="N2" t="s">
        <v>18</v>
      </c>
      <c r="O2" t="s">
        <v>46</v>
      </c>
    </row>
    <row r="3" spans="1:15" x14ac:dyDescent="0.2">
      <c r="A3" t="s">
        <v>45</v>
      </c>
      <c r="B3" t="s">
        <v>32</v>
      </c>
      <c r="C3">
        <v>2</v>
      </c>
      <c r="D3" t="s">
        <v>17</v>
      </c>
      <c r="E3" t="s">
        <v>17</v>
      </c>
      <c r="F3">
        <v>3</v>
      </c>
      <c r="G3" t="s">
        <v>17</v>
      </c>
      <c r="H3" t="s">
        <v>17</v>
      </c>
      <c r="I3">
        <v>7.9000000000000001E-2</v>
      </c>
      <c r="J3">
        <v>2</v>
      </c>
      <c r="K3">
        <v>1.58E-3</v>
      </c>
      <c r="L3" t="s">
        <v>17</v>
      </c>
      <c r="M3">
        <v>296</v>
      </c>
      <c r="N3" t="s">
        <v>18</v>
      </c>
      <c r="O3" t="s">
        <v>47</v>
      </c>
    </row>
    <row r="4" spans="1:15" x14ac:dyDescent="0.2">
      <c r="A4" t="s">
        <v>45</v>
      </c>
      <c r="B4" t="s">
        <v>32</v>
      </c>
      <c r="C4">
        <v>1</v>
      </c>
      <c r="D4" t="s">
        <v>17</v>
      </c>
      <c r="E4" t="s">
        <v>17</v>
      </c>
      <c r="F4">
        <v>2</v>
      </c>
      <c r="G4" t="s">
        <v>17</v>
      </c>
      <c r="H4" t="s">
        <v>17</v>
      </c>
      <c r="I4">
        <v>0.112</v>
      </c>
      <c r="J4">
        <v>2</v>
      </c>
      <c r="K4">
        <v>2.2399999999999998E-3</v>
      </c>
      <c r="L4" t="s">
        <v>17</v>
      </c>
      <c r="M4">
        <v>296</v>
      </c>
      <c r="N4" t="s">
        <v>18</v>
      </c>
      <c r="O4" t="s">
        <v>48</v>
      </c>
    </row>
    <row r="5" spans="1:15" x14ac:dyDescent="0.2">
      <c r="A5" t="s">
        <v>45</v>
      </c>
      <c r="B5" t="s">
        <v>32</v>
      </c>
      <c r="C5">
        <v>0</v>
      </c>
      <c r="D5" t="s">
        <v>17</v>
      </c>
      <c r="E5" t="s">
        <v>17</v>
      </c>
      <c r="F5">
        <v>1</v>
      </c>
      <c r="G5" t="s">
        <v>17</v>
      </c>
      <c r="H5" t="s">
        <v>17</v>
      </c>
      <c r="I5">
        <v>0.17100000000000001</v>
      </c>
      <c r="J5">
        <v>2</v>
      </c>
      <c r="K5">
        <v>3.4199999999999999E-3</v>
      </c>
      <c r="L5" t="s">
        <v>17</v>
      </c>
      <c r="M5">
        <v>296</v>
      </c>
      <c r="N5" t="s">
        <v>18</v>
      </c>
      <c r="O5" t="s">
        <v>49</v>
      </c>
    </row>
    <row r="6" spans="1:15" x14ac:dyDescent="0.2">
      <c r="A6" t="s">
        <v>45</v>
      </c>
      <c r="B6" t="s">
        <v>32</v>
      </c>
      <c r="C6">
        <v>1</v>
      </c>
      <c r="D6" t="s">
        <v>17</v>
      </c>
      <c r="E6" t="s">
        <v>17</v>
      </c>
      <c r="F6">
        <v>0</v>
      </c>
      <c r="G6" t="s">
        <v>17</v>
      </c>
      <c r="H6" t="s">
        <v>17</v>
      </c>
      <c r="I6">
        <v>0.17599999999999999</v>
      </c>
      <c r="J6">
        <v>2</v>
      </c>
      <c r="K6">
        <v>3.5200000000000001E-3</v>
      </c>
      <c r="L6" t="s">
        <v>17</v>
      </c>
      <c r="M6">
        <v>296</v>
      </c>
      <c r="N6" t="s">
        <v>18</v>
      </c>
      <c r="O6" t="s">
        <v>50</v>
      </c>
    </row>
    <row r="7" spans="1:15" x14ac:dyDescent="0.2">
      <c r="A7" t="s">
        <v>45</v>
      </c>
      <c r="B7" t="s">
        <v>32</v>
      </c>
      <c r="C7">
        <v>2</v>
      </c>
      <c r="D7" t="s">
        <v>17</v>
      </c>
      <c r="E7" t="s">
        <v>17</v>
      </c>
      <c r="F7">
        <v>1</v>
      </c>
      <c r="G7" t="s">
        <v>17</v>
      </c>
      <c r="H7" t="s">
        <v>17</v>
      </c>
      <c r="I7">
        <v>0.114</v>
      </c>
      <c r="J7">
        <v>2</v>
      </c>
      <c r="K7">
        <v>2.2799999999999999E-3</v>
      </c>
      <c r="L7" t="s">
        <v>17</v>
      </c>
      <c r="M7">
        <v>296</v>
      </c>
      <c r="N7" t="s">
        <v>18</v>
      </c>
      <c r="O7" t="s">
        <v>51</v>
      </c>
    </row>
    <row r="8" spans="1:15" x14ac:dyDescent="0.2">
      <c r="A8" t="s">
        <v>45</v>
      </c>
      <c r="B8" t="s">
        <v>32</v>
      </c>
      <c r="C8">
        <v>3</v>
      </c>
      <c r="D8" t="s">
        <v>17</v>
      </c>
      <c r="E8" t="s">
        <v>17</v>
      </c>
      <c r="F8">
        <v>2</v>
      </c>
      <c r="G8" t="s">
        <v>17</v>
      </c>
      <c r="H8" t="s">
        <v>17</v>
      </c>
      <c r="I8">
        <v>7.5999999999999998E-2</v>
      </c>
      <c r="J8">
        <v>2</v>
      </c>
      <c r="K8">
        <v>1.5200000000000001E-3</v>
      </c>
      <c r="L8" t="s">
        <v>17</v>
      </c>
      <c r="M8">
        <v>296</v>
      </c>
      <c r="N8" t="s">
        <v>18</v>
      </c>
      <c r="O8" t="s">
        <v>52</v>
      </c>
    </row>
    <row r="9" spans="1:15" x14ac:dyDescent="0.2">
      <c r="A9" t="s">
        <v>45</v>
      </c>
      <c r="B9" t="s">
        <v>32</v>
      </c>
      <c r="C9">
        <v>4</v>
      </c>
      <c r="D9" t="s">
        <v>17</v>
      </c>
      <c r="E9" t="s">
        <v>17</v>
      </c>
      <c r="F9">
        <v>3</v>
      </c>
      <c r="G9" t="s">
        <v>17</v>
      </c>
      <c r="H9" t="s">
        <v>17</v>
      </c>
      <c r="I9">
        <v>6.5000000000000002E-2</v>
      </c>
      <c r="J9">
        <v>2</v>
      </c>
      <c r="K9">
        <v>1.2999999999999999E-3</v>
      </c>
      <c r="L9" t="s">
        <v>17</v>
      </c>
      <c r="M9">
        <v>296</v>
      </c>
      <c r="N9" t="s">
        <v>18</v>
      </c>
      <c r="O9" t="s">
        <v>53</v>
      </c>
    </row>
    <row r="10" spans="1:15" x14ac:dyDescent="0.2">
      <c r="A10" t="s">
        <v>45</v>
      </c>
      <c r="B10" t="s">
        <v>32</v>
      </c>
      <c r="C10">
        <v>5</v>
      </c>
      <c r="D10" t="s">
        <v>17</v>
      </c>
      <c r="E10" t="s">
        <v>17</v>
      </c>
      <c r="F10">
        <v>4</v>
      </c>
      <c r="G10" t="s">
        <v>17</v>
      </c>
      <c r="H10" t="s">
        <v>17</v>
      </c>
      <c r="I10">
        <v>5.1999999999999998E-2</v>
      </c>
      <c r="J10">
        <v>2</v>
      </c>
      <c r="K10">
        <v>1.0399999999999999E-3</v>
      </c>
      <c r="L10" t="s">
        <v>17</v>
      </c>
      <c r="M10">
        <v>296</v>
      </c>
      <c r="N10" t="s">
        <v>18</v>
      </c>
      <c r="O10" t="s">
        <v>54</v>
      </c>
    </row>
    <row r="11" spans="1:15" x14ac:dyDescent="0.2">
      <c r="A11" t="s">
        <v>45</v>
      </c>
      <c r="B11" t="s">
        <v>32</v>
      </c>
      <c r="C11">
        <v>6</v>
      </c>
      <c r="D11" t="s">
        <v>17</v>
      </c>
      <c r="E11" t="s">
        <v>17</v>
      </c>
      <c r="F11">
        <v>5</v>
      </c>
      <c r="G11" t="s">
        <v>17</v>
      </c>
      <c r="H11" t="s">
        <v>17</v>
      </c>
      <c r="I11">
        <v>4.2000000000000003E-2</v>
      </c>
      <c r="J11">
        <v>2</v>
      </c>
      <c r="K11">
        <v>8.4000000000000003E-4</v>
      </c>
      <c r="L11" t="s">
        <v>17</v>
      </c>
      <c r="M11">
        <v>296</v>
      </c>
      <c r="N11" t="s">
        <v>18</v>
      </c>
      <c r="O11" t="s">
        <v>55</v>
      </c>
    </row>
    <row r="12" spans="1:15" x14ac:dyDescent="0.2">
      <c r="A12" t="s">
        <v>45</v>
      </c>
      <c r="B12" t="s">
        <v>32</v>
      </c>
      <c r="C12">
        <v>7</v>
      </c>
      <c r="D12" t="s">
        <v>17</v>
      </c>
      <c r="E12" t="s">
        <v>17</v>
      </c>
      <c r="F12">
        <v>6</v>
      </c>
      <c r="G12" t="s">
        <v>17</v>
      </c>
      <c r="H12" t="s">
        <v>17</v>
      </c>
      <c r="I12">
        <v>0.03</v>
      </c>
      <c r="J12">
        <v>2</v>
      </c>
      <c r="K12">
        <v>5.9999999999999995E-4</v>
      </c>
      <c r="L12" t="s">
        <v>17</v>
      </c>
      <c r="M12">
        <v>296</v>
      </c>
      <c r="N12" t="s">
        <v>18</v>
      </c>
      <c r="O12"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7F1-F6DF-A34F-8803-3F2168C776AF}">
  <dimension ref="A1:O73"/>
  <sheetViews>
    <sheetView workbookViewId="0">
      <selection activeCell="A2" sqref="A2:A45"/>
    </sheetView>
  </sheetViews>
  <sheetFormatPr baseColWidth="10" defaultRowHeight="16" x14ac:dyDescent="0.2"/>
  <cols>
    <col min="7" max="7" width="12.6640625"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57</v>
      </c>
      <c r="B2" t="s">
        <v>58</v>
      </c>
      <c r="C2">
        <v>4</v>
      </c>
      <c r="D2" t="s">
        <v>17</v>
      </c>
      <c r="E2" t="s">
        <v>17</v>
      </c>
      <c r="F2">
        <v>2</v>
      </c>
      <c r="G2" t="s">
        <v>17</v>
      </c>
      <c r="H2" t="s">
        <v>17</v>
      </c>
      <c r="I2">
        <v>5.3999999999999999E-2</v>
      </c>
      <c r="J2">
        <v>6</v>
      </c>
      <c r="K2">
        <f t="shared" ref="K2:K32" si="0">I2*J2/100</f>
        <v>3.2400000000000003E-3</v>
      </c>
      <c r="L2" t="s">
        <v>17</v>
      </c>
      <c r="M2">
        <v>294</v>
      </c>
      <c r="N2" t="s">
        <v>18</v>
      </c>
      <c r="O2" t="s">
        <v>59</v>
      </c>
    </row>
    <row r="3" spans="1:15" x14ac:dyDescent="0.2">
      <c r="A3" t="s">
        <v>57</v>
      </c>
      <c r="B3" t="s">
        <v>58</v>
      </c>
      <c r="C3">
        <v>4</v>
      </c>
      <c r="D3" t="s">
        <v>17</v>
      </c>
      <c r="E3" t="s">
        <v>17</v>
      </c>
      <c r="F3">
        <v>2</v>
      </c>
      <c r="G3" t="s">
        <v>17</v>
      </c>
      <c r="H3" t="s">
        <v>17</v>
      </c>
      <c r="I3">
        <v>4.7E-2</v>
      </c>
      <c r="J3">
        <v>6</v>
      </c>
      <c r="K3">
        <f t="shared" si="0"/>
        <v>2.8200000000000005E-3</v>
      </c>
      <c r="L3" t="s">
        <v>17</v>
      </c>
      <c r="M3">
        <v>395</v>
      </c>
      <c r="N3" t="s">
        <v>18</v>
      </c>
      <c r="O3" t="s">
        <v>60</v>
      </c>
    </row>
    <row r="4" spans="1:15" x14ac:dyDescent="0.2">
      <c r="A4" t="s">
        <v>57</v>
      </c>
      <c r="B4" t="s">
        <v>58</v>
      </c>
      <c r="C4">
        <v>4</v>
      </c>
      <c r="D4" t="s">
        <v>17</v>
      </c>
      <c r="E4" t="s">
        <v>17</v>
      </c>
      <c r="F4">
        <v>2</v>
      </c>
      <c r="G4" t="s">
        <v>17</v>
      </c>
      <c r="H4" t="s">
        <v>17</v>
      </c>
      <c r="I4">
        <v>4.2000000000000003E-2</v>
      </c>
      <c r="J4">
        <v>6</v>
      </c>
      <c r="K4">
        <f t="shared" si="0"/>
        <v>2.5200000000000001E-3</v>
      </c>
      <c r="L4" t="s">
        <v>17</v>
      </c>
      <c r="M4">
        <v>495</v>
      </c>
      <c r="N4" t="s">
        <v>18</v>
      </c>
      <c r="O4" t="s">
        <v>60</v>
      </c>
    </row>
    <row r="6" spans="1:15" x14ac:dyDescent="0.2">
      <c r="A6" t="s">
        <v>57</v>
      </c>
      <c r="B6" t="s">
        <v>58</v>
      </c>
      <c r="C6">
        <v>6</v>
      </c>
      <c r="D6" t="s">
        <v>17</v>
      </c>
      <c r="E6" t="s">
        <v>17</v>
      </c>
      <c r="F6">
        <v>4</v>
      </c>
      <c r="G6" t="s">
        <v>17</v>
      </c>
      <c r="H6" t="s">
        <v>17</v>
      </c>
      <c r="I6">
        <v>5.3499999999999999E-2</v>
      </c>
      <c r="J6">
        <v>6</v>
      </c>
      <c r="K6">
        <f t="shared" si="0"/>
        <v>3.2100000000000002E-3</v>
      </c>
      <c r="L6" t="s">
        <v>17</v>
      </c>
      <c r="M6">
        <v>294</v>
      </c>
      <c r="N6" t="s">
        <v>18</v>
      </c>
      <c r="O6" t="s">
        <v>60</v>
      </c>
    </row>
    <row r="7" spans="1:15" x14ac:dyDescent="0.2">
      <c r="A7" t="s">
        <v>57</v>
      </c>
      <c r="B7" t="s">
        <v>58</v>
      </c>
      <c r="C7">
        <v>6</v>
      </c>
      <c r="D7" t="s">
        <v>17</v>
      </c>
      <c r="E7" t="s">
        <v>17</v>
      </c>
      <c r="F7">
        <v>4</v>
      </c>
      <c r="G7" t="s">
        <v>17</v>
      </c>
      <c r="H7" t="s">
        <v>17</v>
      </c>
      <c r="I7">
        <v>4.4999999999999998E-2</v>
      </c>
      <c r="J7">
        <v>6</v>
      </c>
      <c r="K7">
        <f t="shared" si="0"/>
        <v>2.7000000000000001E-3</v>
      </c>
      <c r="L7" t="s">
        <v>17</v>
      </c>
      <c r="M7">
        <v>395</v>
      </c>
      <c r="N7" t="s">
        <v>18</v>
      </c>
      <c r="O7" t="s">
        <v>60</v>
      </c>
    </row>
    <row r="8" spans="1:15" x14ac:dyDescent="0.2">
      <c r="A8" t="s">
        <v>57</v>
      </c>
      <c r="B8" t="s">
        <v>58</v>
      </c>
      <c r="C8">
        <v>6</v>
      </c>
      <c r="D8" t="s">
        <v>17</v>
      </c>
      <c r="E8" t="s">
        <v>17</v>
      </c>
      <c r="F8">
        <v>4</v>
      </c>
      <c r="G8" t="s">
        <v>17</v>
      </c>
      <c r="H8" t="s">
        <v>17</v>
      </c>
      <c r="I8">
        <v>4.1500000000000002E-2</v>
      </c>
      <c r="J8">
        <v>6</v>
      </c>
      <c r="K8">
        <f t="shared" si="0"/>
        <v>2.49E-3</v>
      </c>
      <c r="L8" t="s">
        <v>17</v>
      </c>
      <c r="M8">
        <v>495</v>
      </c>
      <c r="N8" t="s">
        <v>18</v>
      </c>
      <c r="O8" t="s">
        <v>60</v>
      </c>
    </row>
    <row r="9" spans="1:15" x14ac:dyDescent="0.2">
      <c r="A9" t="s">
        <v>57</v>
      </c>
      <c r="B9" t="s">
        <v>58</v>
      </c>
      <c r="C9">
        <v>6</v>
      </c>
      <c r="D9" t="s">
        <v>17</v>
      </c>
      <c r="E9" t="s">
        <v>17</v>
      </c>
      <c r="F9">
        <v>4</v>
      </c>
      <c r="G9" t="s">
        <v>17</v>
      </c>
      <c r="H9" t="s">
        <v>17</v>
      </c>
      <c r="I9">
        <v>3.7499999999999999E-2</v>
      </c>
      <c r="J9">
        <v>6</v>
      </c>
      <c r="K9">
        <f t="shared" si="0"/>
        <v>2.2499999999999998E-3</v>
      </c>
      <c r="L9" t="s">
        <v>17</v>
      </c>
      <c r="M9">
        <v>661</v>
      </c>
      <c r="N9" t="s">
        <v>18</v>
      </c>
      <c r="O9" t="s">
        <v>60</v>
      </c>
    </row>
    <row r="10" spans="1:15" x14ac:dyDescent="0.2">
      <c r="A10" t="s">
        <v>57</v>
      </c>
      <c r="B10" t="s">
        <v>58</v>
      </c>
      <c r="C10">
        <v>6</v>
      </c>
      <c r="D10" t="s">
        <v>17</v>
      </c>
      <c r="E10" t="s">
        <v>17</v>
      </c>
      <c r="F10">
        <v>4</v>
      </c>
      <c r="G10" t="s">
        <v>17</v>
      </c>
      <c r="H10" t="s">
        <v>17</v>
      </c>
      <c r="I10">
        <v>3.3500000000000002E-2</v>
      </c>
      <c r="J10">
        <v>6</v>
      </c>
      <c r="K10">
        <f t="shared" si="0"/>
        <v>2.0100000000000001E-3</v>
      </c>
      <c r="L10" t="s">
        <v>17</v>
      </c>
      <c r="M10">
        <v>868</v>
      </c>
      <c r="N10" t="s">
        <v>18</v>
      </c>
      <c r="O10" t="s">
        <v>60</v>
      </c>
    </row>
    <row r="11" spans="1:15" x14ac:dyDescent="0.2">
      <c r="A11" t="s">
        <v>57</v>
      </c>
      <c r="B11" t="s">
        <v>58</v>
      </c>
      <c r="C11">
        <v>6</v>
      </c>
      <c r="D11" t="s">
        <v>17</v>
      </c>
      <c r="E11" t="s">
        <v>17</v>
      </c>
      <c r="F11">
        <v>4</v>
      </c>
      <c r="G11" t="s">
        <v>17</v>
      </c>
      <c r="H11" t="s">
        <v>17</v>
      </c>
      <c r="I11">
        <v>3.15E-2</v>
      </c>
      <c r="J11">
        <v>6</v>
      </c>
      <c r="K11">
        <f t="shared" si="0"/>
        <v>1.89E-3</v>
      </c>
      <c r="L11" t="s">
        <v>17</v>
      </c>
      <c r="M11">
        <v>1116</v>
      </c>
      <c r="N11" t="s">
        <v>18</v>
      </c>
      <c r="O11" t="s">
        <v>60</v>
      </c>
    </row>
    <row r="12" spans="1:15" x14ac:dyDescent="0.2">
      <c r="A12" t="s">
        <v>57</v>
      </c>
      <c r="B12" t="s">
        <v>58</v>
      </c>
      <c r="C12">
        <v>6</v>
      </c>
      <c r="D12" t="s">
        <v>17</v>
      </c>
      <c r="E12" t="s">
        <v>17</v>
      </c>
      <c r="F12">
        <v>4</v>
      </c>
      <c r="G12" t="s">
        <v>17</v>
      </c>
      <c r="H12" t="s">
        <v>17</v>
      </c>
      <c r="I12">
        <v>2.6499999999999999E-2</v>
      </c>
      <c r="J12">
        <v>6</v>
      </c>
      <c r="K12">
        <f t="shared" si="0"/>
        <v>1.5900000000000001E-3</v>
      </c>
      <c r="L12" t="s">
        <v>17</v>
      </c>
      <c r="M12">
        <v>1466</v>
      </c>
      <c r="N12" t="s">
        <v>18</v>
      </c>
      <c r="O12" t="s">
        <v>60</v>
      </c>
    </row>
    <row r="14" spans="1:15" x14ac:dyDescent="0.2">
      <c r="A14" t="s">
        <v>57</v>
      </c>
      <c r="B14" t="s">
        <v>58</v>
      </c>
      <c r="C14">
        <v>8</v>
      </c>
      <c r="D14" t="s">
        <v>17</v>
      </c>
      <c r="E14" t="s">
        <v>17</v>
      </c>
      <c r="F14">
        <v>6</v>
      </c>
      <c r="G14" t="s">
        <v>17</v>
      </c>
      <c r="H14" t="s">
        <v>17</v>
      </c>
      <c r="I14">
        <v>5.2499999999999998E-2</v>
      </c>
      <c r="J14">
        <v>6</v>
      </c>
      <c r="K14">
        <f t="shared" si="0"/>
        <v>3.15E-3</v>
      </c>
      <c r="L14" t="s">
        <v>17</v>
      </c>
      <c r="M14">
        <v>294</v>
      </c>
      <c r="N14" t="s">
        <v>18</v>
      </c>
      <c r="O14" t="s">
        <v>60</v>
      </c>
    </row>
    <row r="15" spans="1:15" x14ac:dyDescent="0.2">
      <c r="A15" t="s">
        <v>57</v>
      </c>
      <c r="B15" t="s">
        <v>58</v>
      </c>
      <c r="C15">
        <v>8</v>
      </c>
      <c r="D15" t="s">
        <v>17</v>
      </c>
      <c r="E15" t="s">
        <v>17</v>
      </c>
      <c r="F15">
        <v>6</v>
      </c>
      <c r="G15" t="s">
        <v>17</v>
      </c>
      <c r="H15" t="s">
        <v>17</v>
      </c>
      <c r="I15">
        <v>4.3999999999999997E-2</v>
      </c>
      <c r="J15">
        <v>6</v>
      </c>
      <c r="K15">
        <f t="shared" si="0"/>
        <v>2.64E-3</v>
      </c>
      <c r="L15" t="s">
        <v>17</v>
      </c>
      <c r="M15">
        <v>395</v>
      </c>
      <c r="N15" t="s">
        <v>18</v>
      </c>
      <c r="O15" t="s">
        <v>60</v>
      </c>
    </row>
    <row r="16" spans="1:15" x14ac:dyDescent="0.2">
      <c r="A16" t="s">
        <v>57</v>
      </c>
      <c r="B16" t="s">
        <v>58</v>
      </c>
      <c r="C16">
        <v>8</v>
      </c>
      <c r="D16" t="s">
        <v>17</v>
      </c>
      <c r="E16" t="s">
        <v>17</v>
      </c>
      <c r="F16">
        <v>6</v>
      </c>
      <c r="G16" t="s">
        <v>17</v>
      </c>
      <c r="H16" t="s">
        <v>17</v>
      </c>
      <c r="I16">
        <v>4.1500000000000002E-2</v>
      </c>
      <c r="J16">
        <v>6</v>
      </c>
      <c r="K16">
        <f t="shared" si="0"/>
        <v>2.49E-3</v>
      </c>
      <c r="L16" t="s">
        <v>17</v>
      </c>
      <c r="M16">
        <v>495</v>
      </c>
      <c r="N16" t="s">
        <v>18</v>
      </c>
      <c r="O16" t="s">
        <v>60</v>
      </c>
    </row>
    <row r="17" spans="1:15" x14ac:dyDescent="0.2">
      <c r="A17" t="s">
        <v>57</v>
      </c>
      <c r="B17" t="s">
        <v>58</v>
      </c>
      <c r="C17">
        <v>8</v>
      </c>
      <c r="D17" t="s">
        <v>17</v>
      </c>
      <c r="E17" t="s">
        <v>17</v>
      </c>
      <c r="F17">
        <v>6</v>
      </c>
      <c r="G17" t="s">
        <v>17</v>
      </c>
      <c r="H17" t="s">
        <v>17</v>
      </c>
      <c r="I17">
        <v>3.7999999999999999E-2</v>
      </c>
      <c r="J17">
        <v>6</v>
      </c>
      <c r="K17">
        <f t="shared" si="0"/>
        <v>2.2799999999999999E-3</v>
      </c>
      <c r="L17" t="s">
        <v>17</v>
      </c>
      <c r="M17">
        <v>661</v>
      </c>
      <c r="N17" t="s">
        <v>18</v>
      </c>
      <c r="O17" t="s">
        <v>60</v>
      </c>
    </row>
    <row r="18" spans="1:15" x14ac:dyDescent="0.2">
      <c r="A18" t="s">
        <v>57</v>
      </c>
      <c r="B18" t="s">
        <v>58</v>
      </c>
      <c r="C18">
        <v>8</v>
      </c>
      <c r="D18" t="s">
        <v>17</v>
      </c>
      <c r="E18" t="s">
        <v>17</v>
      </c>
      <c r="F18">
        <v>6</v>
      </c>
      <c r="G18" t="s">
        <v>17</v>
      </c>
      <c r="H18" t="s">
        <v>17</v>
      </c>
      <c r="I18">
        <v>3.3500000000000002E-2</v>
      </c>
      <c r="J18">
        <v>6</v>
      </c>
      <c r="K18">
        <f t="shared" si="0"/>
        <v>2.0100000000000001E-3</v>
      </c>
      <c r="L18" t="s">
        <v>17</v>
      </c>
      <c r="M18">
        <v>868</v>
      </c>
      <c r="N18" t="s">
        <v>18</v>
      </c>
      <c r="O18" t="s">
        <v>60</v>
      </c>
    </row>
    <row r="19" spans="1:15" x14ac:dyDescent="0.2">
      <c r="A19" t="s">
        <v>57</v>
      </c>
      <c r="B19" t="s">
        <v>58</v>
      </c>
      <c r="C19">
        <v>8</v>
      </c>
      <c r="D19" t="s">
        <v>17</v>
      </c>
      <c r="E19" t="s">
        <v>17</v>
      </c>
      <c r="F19">
        <v>6</v>
      </c>
      <c r="G19" t="s">
        <v>17</v>
      </c>
      <c r="H19" t="s">
        <v>17</v>
      </c>
      <c r="I19">
        <v>3.15E-2</v>
      </c>
      <c r="J19">
        <v>6</v>
      </c>
      <c r="K19">
        <f t="shared" si="0"/>
        <v>1.89E-3</v>
      </c>
      <c r="L19" t="s">
        <v>17</v>
      </c>
      <c r="M19">
        <v>1116</v>
      </c>
      <c r="N19" t="s">
        <v>18</v>
      </c>
      <c r="O19" t="s">
        <v>60</v>
      </c>
    </row>
    <row r="20" spans="1:15" x14ac:dyDescent="0.2">
      <c r="A20" t="s">
        <v>57</v>
      </c>
      <c r="B20" t="s">
        <v>58</v>
      </c>
      <c r="C20">
        <v>8</v>
      </c>
      <c r="D20" t="s">
        <v>17</v>
      </c>
      <c r="E20" t="s">
        <v>17</v>
      </c>
      <c r="F20">
        <v>6</v>
      </c>
      <c r="G20" t="s">
        <v>17</v>
      </c>
      <c r="H20" t="s">
        <v>17</v>
      </c>
      <c r="I20">
        <v>2.7E-2</v>
      </c>
      <c r="J20">
        <v>6</v>
      </c>
      <c r="K20">
        <f t="shared" si="0"/>
        <v>1.6200000000000001E-3</v>
      </c>
      <c r="L20" t="s">
        <v>17</v>
      </c>
      <c r="M20">
        <v>1466</v>
      </c>
      <c r="N20" t="s">
        <v>18</v>
      </c>
      <c r="O20" t="s">
        <v>60</v>
      </c>
    </row>
    <row r="22" spans="1:15" x14ac:dyDescent="0.2">
      <c r="A22" t="s">
        <v>57</v>
      </c>
      <c r="B22" t="s">
        <v>58</v>
      </c>
      <c r="C22">
        <v>10</v>
      </c>
      <c r="D22" t="s">
        <v>17</v>
      </c>
      <c r="E22" t="s">
        <v>17</v>
      </c>
      <c r="F22">
        <v>8</v>
      </c>
      <c r="G22" t="s">
        <v>17</v>
      </c>
      <c r="H22" t="s">
        <v>17</v>
      </c>
      <c r="I22">
        <v>5.0999999999999997E-2</v>
      </c>
      <c r="J22">
        <v>6</v>
      </c>
      <c r="K22">
        <f t="shared" si="0"/>
        <v>3.0599999999999998E-3</v>
      </c>
      <c r="L22" t="s">
        <v>17</v>
      </c>
      <c r="M22">
        <v>294</v>
      </c>
      <c r="N22" t="s">
        <v>18</v>
      </c>
      <c r="O22" t="s">
        <v>60</v>
      </c>
    </row>
    <row r="23" spans="1:15" x14ac:dyDescent="0.2">
      <c r="A23" t="s">
        <v>57</v>
      </c>
      <c r="B23" t="s">
        <v>58</v>
      </c>
      <c r="C23">
        <v>10</v>
      </c>
      <c r="D23" t="s">
        <v>17</v>
      </c>
      <c r="E23" t="s">
        <v>17</v>
      </c>
      <c r="F23">
        <v>8</v>
      </c>
      <c r="G23" t="s">
        <v>17</v>
      </c>
      <c r="H23" t="s">
        <v>17</v>
      </c>
      <c r="I23">
        <v>4.2999999999999997E-2</v>
      </c>
      <c r="J23">
        <v>6</v>
      </c>
      <c r="K23">
        <f t="shared" si="0"/>
        <v>2.5800000000000003E-3</v>
      </c>
      <c r="L23" t="s">
        <v>17</v>
      </c>
      <c r="M23">
        <v>395</v>
      </c>
      <c r="N23" t="s">
        <v>18</v>
      </c>
      <c r="O23" t="s">
        <v>60</v>
      </c>
    </row>
    <row r="24" spans="1:15" x14ac:dyDescent="0.2">
      <c r="A24" t="s">
        <v>57</v>
      </c>
      <c r="B24" t="s">
        <v>58</v>
      </c>
      <c r="C24">
        <v>10</v>
      </c>
      <c r="D24" t="s">
        <v>17</v>
      </c>
      <c r="E24" t="s">
        <v>17</v>
      </c>
      <c r="F24">
        <v>8</v>
      </c>
      <c r="G24" t="s">
        <v>17</v>
      </c>
      <c r="H24" t="s">
        <v>17</v>
      </c>
      <c r="I24">
        <v>4.1000000000000002E-2</v>
      </c>
      <c r="J24">
        <v>6</v>
      </c>
      <c r="K24">
        <f t="shared" si="0"/>
        <v>2.4599999999999999E-3</v>
      </c>
      <c r="L24" t="s">
        <v>17</v>
      </c>
      <c r="M24">
        <v>495</v>
      </c>
      <c r="N24" t="s">
        <v>18</v>
      </c>
      <c r="O24" t="s">
        <v>60</v>
      </c>
    </row>
    <row r="25" spans="1:15" x14ac:dyDescent="0.2">
      <c r="A25" t="s">
        <v>57</v>
      </c>
      <c r="B25" t="s">
        <v>58</v>
      </c>
      <c r="C25">
        <v>10</v>
      </c>
      <c r="D25" t="s">
        <v>17</v>
      </c>
      <c r="E25" t="s">
        <v>17</v>
      </c>
      <c r="F25">
        <v>8</v>
      </c>
      <c r="G25" t="s">
        <v>17</v>
      </c>
      <c r="H25" t="s">
        <v>17</v>
      </c>
      <c r="I25">
        <v>3.7999999999999999E-2</v>
      </c>
      <c r="J25">
        <v>6</v>
      </c>
      <c r="K25">
        <f t="shared" si="0"/>
        <v>2.2799999999999999E-3</v>
      </c>
      <c r="L25" t="s">
        <v>17</v>
      </c>
      <c r="M25">
        <v>661</v>
      </c>
      <c r="N25" t="s">
        <v>18</v>
      </c>
      <c r="O25" t="s">
        <v>60</v>
      </c>
    </row>
    <row r="26" spans="1:15" x14ac:dyDescent="0.2">
      <c r="A26" t="s">
        <v>57</v>
      </c>
      <c r="B26" t="s">
        <v>58</v>
      </c>
      <c r="C26">
        <v>10</v>
      </c>
      <c r="D26" t="s">
        <v>17</v>
      </c>
      <c r="E26" t="s">
        <v>17</v>
      </c>
      <c r="F26">
        <v>8</v>
      </c>
      <c r="G26" t="s">
        <v>17</v>
      </c>
      <c r="H26" t="s">
        <v>17</v>
      </c>
      <c r="I26">
        <v>3.3500000000000002E-2</v>
      </c>
      <c r="J26">
        <v>6</v>
      </c>
      <c r="K26">
        <f t="shared" si="0"/>
        <v>2.0100000000000001E-3</v>
      </c>
      <c r="L26" t="s">
        <v>17</v>
      </c>
      <c r="M26">
        <v>868</v>
      </c>
      <c r="N26" t="s">
        <v>18</v>
      </c>
      <c r="O26" t="s">
        <v>60</v>
      </c>
    </row>
    <row r="27" spans="1:15" x14ac:dyDescent="0.2">
      <c r="A27" t="s">
        <v>57</v>
      </c>
      <c r="B27" t="s">
        <v>58</v>
      </c>
      <c r="C27">
        <v>10</v>
      </c>
      <c r="D27" t="s">
        <v>17</v>
      </c>
      <c r="E27" t="s">
        <v>17</v>
      </c>
      <c r="F27">
        <v>8</v>
      </c>
      <c r="G27" t="s">
        <v>17</v>
      </c>
      <c r="H27" t="s">
        <v>17</v>
      </c>
      <c r="I27">
        <v>3.15E-2</v>
      </c>
      <c r="J27">
        <v>6</v>
      </c>
      <c r="K27">
        <f t="shared" si="0"/>
        <v>1.89E-3</v>
      </c>
      <c r="L27" t="s">
        <v>17</v>
      </c>
      <c r="M27">
        <v>1116</v>
      </c>
      <c r="N27" t="s">
        <v>18</v>
      </c>
      <c r="O27" t="s">
        <v>60</v>
      </c>
    </row>
    <row r="28" spans="1:15" x14ac:dyDescent="0.2">
      <c r="A28" t="s">
        <v>57</v>
      </c>
      <c r="B28" t="s">
        <v>58</v>
      </c>
      <c r="C28">
        <v>10</v>
      </c>
      <c r="D28" t="s">
        <v>17</v>
      </c>
      <c r="E28" t="s">
        <v>17</v>
      </c>
      <c r="F28">
        <v>8</v>
      </c>
      <c r="G28" t="s">
        <v>17</v>
      </c>
      <c r="H28" t="s">
        <v>17</v>
      </c>
      <c r="I28">
        <v>2.7E-2</v>
      </c>
      <c r="J28">
        <v>6</v>
      </c>
      <c r="K28">
        <f t="shared" si="0"/>
        <v>1.6200000000000001E-3</v>
      </c>
      <c r="L28" t="s">
        <v>17</v>
      </c>
      <c r="M28">
        <v>1466</v>
      </c>
      <c r="N28" t="s">
        <v>18</v>
      </c>
      <c r="O28" t="s">
        <v>60</v>
      </c>
    </row>
    <row r="30" spans="1:15" x14ac:dyDescent="0.2">
      <c r="A30" t="s">
        <v>57</v>
      </c>
      <c r="B30" t="s">
        <v>58</v>
      </c>
      <c r="C30">
        <v>11</v>
      </c>
      <c r="D30" t="s">
        <v>17</v>
      </c>
      <c r="E30" t="s">
        <v>17</v>
      </c>
      <c r="F30">
        <v>9</v>
      </c>
      <c r="G30" t="s">
        <v>17</v>
      </c>
      <c r="H30" t="s">
        <v>17</v>
      </c>
      <c r="I30">
        <v>5.0999999999999997E-2</v>
      </c>
      <c r="J30">
        <v>6</v>
      </c>
      <c r="K30">
        <f t="shared" si="0"/>
        <v>3.0599999999999998E-3</v>
      </c>
      <c r="L30" t="s">
        <v>17</v>
      </c>
      <c r="M30">
        <v>294</v>
      </c>
      <c r="N30" t="s">
        <v>18</v>
      </c>
      <c r="O30" t="s">
        <v>60</v>
      </c>
    </row>
    <row r="31" spans="1:15" x14ac:dyDescent="0.2">
      <c r="A31" t="s">
        <v>57</v>
      </c>
      <c r="B31" t="s">
        <v>58</v>
      </c>
      <c r="C31">
        <v>5</v>
      </c>
      <c r="D31" t="s">
        <v>17</v>
      </c>
      <c r="E31" t="s">
        <v>17</v>
      </c>
      <c r="F31">
        <v>3</v>
      </c>
      <c r="G31" t="s">
        <v>17</v>
      </c>
      <c r="H31" t="s">
        <v>17</v>
      </c>
      <c r="I31">
        <v>5.3999999999999999E-2</v>
      </c>
      <c r="J31">
        <v>6</v>
      </c>
      <c r="K31">
        <f t="shared" si="0"/>
        <v>3.2400000000000003E-3</v>
      </c>
      <c r="L31" t="s">
        <v>17</v>
      </c>
      <c r="M31">
        <v>294</v>
      </c>
      <c r="N31" t="s">
        <v>18</v>
      </c>
      <c r="O31" t="s">
        <v>60</v>
      </c>
    </row>
    <row r="32" spans="1:15" x14ac:dyDescent="0.2">
      <c r="A32" t="s">
        <v>57</v>
      </c>
      <c r="B32" t="s">
        <v>58</v>
      </c>
      <c r="C32">
        <v>9</v>
      </c>
      <c r="D32" t="s">
        <v>17</v>
      </c>
      <c r="E32" t="s">
        <v>17</v>
      </c>
      <c r="F32">
        <v>7</v>
      </c>
      <c r="G32" t="s">
        <v>17</v>
      </c>
      <c r="H32" t="s">
        <v>17</v>
      </c>
      <c r="I32">
        <v>5.1999999999999998E-2</v>
      </c>
      <c r="J32">
        <v>6</v>
      </c>
      <c r="K32">
        <f t="shared" si="0"/>
        <v>3.1199999999999999E-3</v>
      </c>
      <c r="L32" t="s">
        <v>17</v>
      </c>
      <c r="M32">
        <v>294</v>
      </c>
      <c r="N32" t="s">
        <v>18</v>
      </c>
      <c r="O32" t="s">
        <v>60</v>
      </c>
    </row>
    <row r="33" spans="1:15" x14ac:dyDescent="0.2">
      <c r="A33" t="s">
        <v>57</v>
      </c>
      <c r="B33" t="s">
        <v>58</v>
      </c>
      <c r="C33">
        <v>12</v>
      </c>
      <c r="D33" t="s">
        <v>17</v>
      </c>
      <c r="E33" t="s">
        <v>17</v>
      </c>
      <c r="F33">
        <v>10</v>
      </c>
      <c r="G33" t="s">
        <v>17</v>
      </c>
      <c r="H33" t="s">
        <v>17</v>
      </c>
      <c r="I33">
        <v>0.05</v>
      </c>
      <c r="J33">
        <v>6</v>
      </c>
      <c r="K33">
        <f>I33*J33/100</f>
        <v>3.0000000000000005E-3</v>
      </c>
      <c r="L33" t="s">
        <v>17</v>
      </c>
      <c r="M33">
        <v>294</v>
      </c>
      <c r="N33" t="s">
        <v>18</v>
      </c>
      <c r="O33" t="s">
        <v>60</v>
      </c>
    </row>
    <row r="34" spans="1:15" x14ac:dyDescent="0.2">
      <c r="A34" t="s">
        <v>57</v>
      </c>
      <c r="B34" t="s">
        <v>58</v>
      </c>
      <c r="C34">
        <v>13</v>
      </c>
      <c r="D34" t="s">
        <v>17</v>
      </c>
      <c r="E34" t="s">
        <v>17</v>
      </c>
      <c r="F34">
        <v>11</v>
      </c>
      <c r="G34" t="s">
        <v>17</v>
      </c>
      <c r="H34" t="s">
        <v>17</v>
      </c>
      <c r="I34">
        <v>4.9500000000000002E-2</v>
      </c>
      <c r="J34">
        <v>6</v>
      </c>
      <c r="K34">
        <f t="shared" ref="K34:K45" si="1">I34*J34/100</f>
        <v>2.9700000000000004E-3</v>
      </c>
      <c r="L34" t="s">
        <v>17</v>
      </c>
      <c r="M34">
        <v>294</v>
      </c>
      <c r="N34" t="s">
        <v>18</v>
      </c>
      <c r="O34" t="s">
        <v>60</v>
      </c>
    </row>
    <row r="35" spans="1:15" x14ac:dyDescent="0.2">
      <c r="A35" t="s">
        <v>57</v>
      </c>
      <c r="B35" t="s">
        <v>58</v>
      </c>
      <c r="C35">
        <v>14</v>
      </c>
      <c r="D35" t="s">
        <v>17</v>
      </c>
      <c r="E35" t="s">
        <v>17</v>
      </c>
      <c r="F35">
        <v>12</v>
      </c>
      <c r="G35" t="s">
        <v>17</v>
      </c>
      <c r="H35" t="s">
        <v>17</v>
      </c>
      <c r="I35">
        <v>4.9000000000000002E-2</v>
      </c>
      <c r="J35">
        <v>6</v>
      </c>
      <c r="K35">
        <f t="shared" si="1"/>
        <v>2.9400000000000003E-3</v>
      </c>
      <c r="L35" t="s">
        <v>17</v>
      </c>
      <c r="M35">
        <v>294</v>
      </c>
      <c r="N35" t="s">
        <v>18</v>
      </c>
      <c r="O35" t="s">
        <v>60</v>
      </c>
    </row>
    <row r="36" spans="1:15" x14ac:dyDescent="0.2">
      <c r="A36" t="s">
        <v>57</v>
      </c>
      <c r="B36" t="s">
        <v>58</v>
      </c>
      <c r="C36">
        <v>15</v>
      </c>
      <c r="D36" t="s">
        <v>17</v>
      </c>
      <c r="E36" t="s">
        <v>17</v>
      </c>
      <c r="F36">
        <v>13</v>
      </c>
      <c r="G36" t="s">
        <v>17</v>
      </c>
      <c r="H36" t="s">
        <v>17</v>
      </c>
      <c r="I36">
        <v>4.8500000000000001E-2</v>
      </c>
      <c r="J36">
        <v>6</v>
      </c>
      <c r="K36">
        <f t="shared" si="1"/>
        <v>2.9100000000000003E-3</v>
      </c>
      <c r="L36" t="s">
        <v>17</v>
      </c>
      <c r="M36">
        <v>294</v>
      </c>
      <c r="N36" t="s">
        <v>18</v>
      </c>
      <c r="O36" t="s">
        <v>60</v>
      </c>
    </row>
    <row r="37" spans="1:15" x14ac:dyDescent="0.2">
      <c r="A37" t="s">
        <v>57</v>
      </c>
      <c r="B37" t="s">
        <v>58</v>
      </c>
      <c r="C37">
        <v>16</v>
      </c>
      <c r="D37" t="s">
        <v>17</v>
      </c>
      <c r="E37" t="s">
        <v>17</v>
      </c>
      <c r="F37">
        <v>14</v>
      </c>
      <c r="G37" t="s">
        <v>17</v>
      </c>
      <c r="H37" t="s">
        <v>17</v>
      </c>
      <c r="I37">
        <v>4.8000000000000001E-2</v>
      </c>
      <c r="J37">
        <v>6</v>
      </c>
      <c r="K37">
        <f t="shared" si="1"/>
        <v>2.8800000000000002E-3</v>
      </c>
      <c r="L37" t="s">
        <v>17</v>
      </c>
      <c r="M37">
        <v>294</v>
      </c>
      <c r="N37" t="s">
        <v>18</v>
      </c>
      <c r="O37" t="s">
        <v>60</v>
      </c>
    </row>
    <row r="38" spans="1:15" x14ac:dyDescent="0.2">
      <c r="A38" t="s">
        <v>57</v>
      </c>
      <c r="B38" t="s">
        <v>58</v>
      </c>
      <c r="C38">
        <v>17</v>
      </c>
      <c r="D38" t="s">
        <v>17</v>
      </c>
      <c r="E38" t="s">
        <v>17</v>
      </c>
      <c r="F38">
        <v>15</v>
      </c>
      <c r="G38" t="s">
        <v>17</v>
      </c>
      <c r="H38" t="s">
        <v>17</v>
      </c>
      <c r="I38">
        <v>4.7E-2</v>
      </c>
      <c r="J38">
        <v>6</v>
      </c>
      <c r="K38">
        <f t="shared" si="1"/>
        <v>2.8200000000000005E-3</v>
      </c>
      <c r="L38" t="s">
        <v>17</v>
      </c>
      <c r="M38">
        <v>294</v>
      </c>
      <c r="N38" t="s">
        <v>18</v>
      </c>
      <c r="O38" t="s">
        <v>60</v>
      </c>
    </row>
    <row r="39" spans="1:15" x14ac:dyDescent="0.2">
      <c r="A39" t="s">
        <v>57</v>
      </c>
      <c r="B39" t="s">
        <v>58</v>
      </c>
      <c r="C39">
        <v>18</v>
      </c>
      <c r="D39" t="s">
        <v>17</v>
      </c>
      <c r="E39" t="s">
        <v>17</v>
      </c>
      <c r="F39">
        <v>16</v>
      </c>
      <c r="G39" t="s">
        <v>17</v>
      </c>
      <c r="H39" t="s">
        <v>17</v>
      </c>
      <c r="I39">
        <v>4.5999999999999999E-2</v>
      </c>
      <c r="J39">
        <v>6</v>
      </c>
      <c r="K39">
        <f t="shared" si="1"/>
        <v>2.7600000000000003E-3</v>
      </c>
      <c r="L39" t="s">
        <v>17</v>
      </c>
      <c r="M39">
        <v>294</v>
      </c>
      <c r="N39" t="s">
        <v>18</v>
      </c>
      <c r="O39" t="s">
        <v>60</v>
      </c>
    </row>
    <row r="40" spans="1:15" x14ac:dyDescent="0.2">
      <c r="A40" t="s">
        <v>57</v>
      </c>
      <c r="B40" t="s">
        <v>58</v>
      </c>
      <c r="C40">
        <v>19</v>
      </c>
      <c r="D40" t="s">
        <v>17</v>
      </c>
      <c r="E40" t="s">
        <v>17</v>
      </c>
      <c r="F40">
        <v>17</v>
      </c>
      <c r="G40" t="s">
        <v>17</v>
      </c>
      <c r="H40" t="s">
        <v>17</v>
      </c>
      <c r="I40">
        <v>4.5499999999999999E-2</v>
      </c>
      <c r="J40">
        <v>6</v>
      </c>
      <c r="K40">
        <f t="shared" si="1"/>
        <v>2.7300000000000002E-3</v>
      </c>
      <c r="L40" t="s">
        <v>17</v>
      </c>
      <c r="M40">
        <v>294</v>
      </c>
      <c r="N40" t="s">
        <v>18</v>
      </c>
      <c r="O40" t="s">
        <v>60</v>
      </c>
    </row>
    <row r="41" spans="1:15" x14ac:dyDescent="0.2">
      <c r="A41" t="s">
        <v>57</v>
      </c>
      <c r="B41" t="s">
        <v>58</v>
      </c>
      <c r="C41">
        <v>20</v>
      </c>
      <c r="D41" t="s">
        <v>17</v>
      </c>
      <c r="E41" t="s">
        <v>17</v>
      </c>
      <c r="F41">
        <v>18</v>
      </c>
      <c r="G41" t="s">
        <v>17</v>
      </c>
      <c r="H41" t="s">
        <v>17</v>
      </c>
      <c r="I41">
        <v>4.4499999999999998E-2</v>
      </c>
      <c r="J41">
        <v>6</v>
      </c>
      <c r="K41">
        <f t="shared" si="1"/>
        <v>2.6700000000000001E-3</v>
      </c>
      <c r="L41" t="s">
        <v>17</v>
      </c>
      <c r="M41">
        <v>294</v>
      </c>
      <c r="N41" t="s">
        <v>18</v>
      </c>
      <c r="O41" t="s">
        <v>60</v>
      </c>
    </row>
    <row r="42" spans="1:15" x14ac:dyDescent="0.2">
      <c r="A42" t="s">
        <v>57</v>
      </c>
      <c r="B42" t="s">
        <v>58</v>
      </c>
      <c r="C42">
        <v>21</v>
      </c>
      <c r="D42" t="s">
        <v>17</v>
      </c>
      <c r="E42" t="s">
        <v>17</v>
      </c>
      <c r="F42">
        <v>19</v>
      </c>
      <c r="G42" t="s">
        <v>17</v>
      </c>
      <c r="H42" t="s">
        <v>17</v>
      </c>
      <c r="I42">
        <v>4.3499999999999997E-2</v>
      </c>
      <c r="J42">
        <v>6</v>
      </c>
      <c r="K42">
        <f t="shared" si="1"/>
        <v>2.6099999999999999E-3</v>
      </c>
      <c r="L42" t="s">
        <v>17</v>
      </c>
      <c r="M42">
        <v>294</v>
      </c>
      <c r="N42" t="s">
        <v>18</v>
      </c>
      <c r="O42" t="s">
        <v>60</v>
      </c>
    </row>
    <row r="43" spans="1:15" x14ac:dyDescent="0.2">
      <c r="A43" t="s">
        <v>57</v>
      </c>
      <c r="B43" t="s">
        <v>58</v>
      </c>
      <c r="C43">
        <v>22</v>
      </c>
      <c r="D43" t="s">
        <v>17</v>
      </c>
      <c r="E43" t="s">
        <v>17</v>
      </c>
      <c r="F43">
        <v>20</v>
      </c>
      <c r="G43" t="s">
        <v>17</v>
      </c>
      <c r="H43" t="s">
        <v>17</v>
      </c>
      <c r="I43">
        <v>4.2500000000000003E-2</v>
      </c>
      <c r="J43">
        <v>6</v>
      </c>
      <c r="K43">
        <f t="shared" si="1"/>
        <v>2.5500000000000002E-3</v>
      </c>
      <c r="L43" t="s">
        <v>17</v>
      </c>
      <c r="M43">
        <v>294</v>
      </c>
      <c r="N43" t="s">
        <v>18</v>
      </c>
      <c r="O43" t="s">
        <v>60</v>
      </c>
    </row>
    <row r="44" spans="1:15" x14ac:dyDescent="0.2">
      <c r="A44" t="s">
        <v>57</v>
      </c>
      <c r="B44" t="s">
        <v>58</v>
      </c>
      <c r="C44">
        <v>23</v>
      </c>
      <c r="D44" t="s">
        <v>17</v>
      </c>
      <c r="E44" t="s">
        <v>17</v>
      </c>
      <c r="F44">
        <v>21</v>
      </c>
      <c r="G44" t="s">
        <v>17</v>
      </c>
      <c r="H44" t="s">
        <v>17</v>
      </c>
      <c r="I44">
        <v>4.1000000000000002E-2</v>
      </c>
      <c r="J44">
        <v>6</v>
      </c>
      <c r="K44">
        <f t="shared" si="1"/>
        <v>2.4599999999999999E-3</v>
      </c>
      <c r="L44" t="s">
        <v>17</v>
      </c>
      <c r="M44">
        <v>294</v>
      </c>
      <c r="N44" t="s">
        <v>18</v>
      </c>
      <c r="O44" t="s">
        <v>60</v>
      </c>
    </row>
    <row r="45" spans="1:15" x14ac:dyDescent="0.2">
      <c r="A45" t="s">
        <v>57</v>
      </c>
      <c r="B45" t="s">
        <v>58</v>
      </c>
      <c r="C45">
        <v>24</v>
      </c>
      <c r="D45" t="s">
        <v>17</v>
      </c>
      <c r="E45" t="s">
        <v>17</v>
      </c>
      <c r="F45">
        <v>22</v>
      </c>
      <c r="G45" t="s">
        <v>17</v>
      </c>
      <c r="H45" t="s">
        <v>17</v>
      </c>
      <c r="I45">
        <v>4.0500000000000001E-2</v>
      </c>
      <c r="J45">
        <v>6</v>
      </c>
      <c r="K45">
        <f t="shared" si="1"/>
        <v>2.4299999999999999E-3</v>
      </c>
      <c r="L45" t="s">
        <v>17</v>
      </c>
      <c r="M45">
        <v>294</v>
      </c>
      <c r="N45" t="s">
        <v>18</v>
      </c>
      <c r="O45" t="s">
        <v>60</v>
      </c>
    </row>
    <row r="46" spans="1:15" ht="21" x14ac:dyDescent="0.25">
      <c r="H46" s="1"/>
      <c r="I46" s="1"/>
      <c r="J46" s="1"/>
      <c r="K46" s="1"/>
      <c r="L46" s="1"/>
      <c r="M46" s="1"/>
      <c r="N46" s="1"/>
    </row>
    <row r="47" spans="1:15" ht="21" x14ac:dyDescent="0.25">
      <c r="I47" s="1"/>
    </row>
    <row r="48" spans="1:15" ht="21" x14ac:dyDescent="0.25">
      <c r="I48" s="1"/>
    </row>
    <row r="49" spans="9:9" ht="21" x14ac:dyDescent="0.25">
      <c r="I49" s="1"/>
    </row>
    <row r="50" spans="9:9" ht="21" x14ac:dyDescent="0.25">
      <c r="I50" s="1"/>
    </row>
    <row r="51" spans="9:9" ht="21" x14ac:dyDescent="0.25">
      <c r="I51" s="1"/>
    </row>
    <row r="52" spans="9:9" ht="21" x14ac:dyDescent="0.25">
      <c r="I52" s="1"/>
    </row>
    <row r="53" spans="9:9" ht="21" x14ac:dyDescent="0.25">
      <c r="I53" s="1"/>
    </row>
    <row r="54" spans="9:9" ht="21" x14ac:dyDescent="0.25">
      <c r="I54" s="1"/>
    </row>
    <row r="55" spans="9:9" ht="21" x14ac:dyDescent="0.25">
      <c r="I55" s="1"/>
    </row>
    <row r="56" spans="9:9" ht="21" x14ac:dyDescent="0.25">
      <c r="I56" s="1"/>
    </row>
    <row r="57" spans="9:9" ht="21" x14ac:dyDescent="0.25">
      <c r="I57" s="1"/>
    </row>
    <row r="58" spans="9:9" ht="21" x14ac:dyDescent="0.25">
      <c r="I58" s="1"/>
    </row>
    <row r="59" spans="9:9" ht="21" x14ac:dyDescent="0.25">
      <c r="I59" s="1"/>
    </row>
    <row r="60" spans="9:9" ht="21" x14ac:dyDescent="0.25">
      <c r="I60" s="1"/>
    </row>
    <row r="61" spans="9:9" ht="21" x14ac:dyDescent="0.25">
      <c r="I61" s="1"/>
    </row>
    <row r="62" spans="9:9" ht="21" x14ac:dyDescent="0.25">
      <c r="I62" s="1"/>
    </row>
    <row r="63" spans="9:9" ht="21" x14ac:dyDescent="0.25">
      <c r="I63" s="1"/>
    </row>
    <row r="64" spans="9:9" ht="21" x14ac:dyDescent="0.25">
      <c r="I64" s="1"/>
    </row>
    <row r="65" spans="9:9" ht="21" x14ac:dyDescent="0.25">
      <c r="I65" s="1"/>
    </row>
    <row r="66" spans="9:9" ht="21" x14ac:dyDescent="0.25">
      <c r="I66" s="1"/>
    </row>
    <row r="67" spans="9:9" ht="21" x14ac:dyDescent="0.25">
      <c r="I67" s="1"/>
    </row>
    <row r="68" spans="9:9" ht="21" x14ac:dyDescent="0.25">
      <c r="I68" s="1"/>
    </row>
    <row r="69" spans="9:9" ht="21" x14ac:dyDescent="0.25">
      <c r="I69" s="1"/>
    </row>
    <row r="70" spans="9:9" ht="21" x14ac:dyDescent="0.25">
      <c r="I70" s="1"/>
    </row>
    <row r="71" spans="9:9" ht="21" x14ac:dyDescent="0.25">
      <c r="I71" s="1"/>
    </row>
    <row r="72" spans="9:9" ht="21" x14ac:dyDescent="0.25">
      <c r="I72" s="1"/>
    </row>
    <row r="73" spans="9:9" ht="21" x14ac:dyDescent="0.25">
      <c r="I73" s="1"/>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D17CB-9F7E-7C46-A8B5-505E5E178FA0}">
  <dimension ref="A1:O62"/>
  <sheetViews>
    <sheetView workbookViewId="0">
      <selection activeCell="N54" sqref="N54"/>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57</v>
      </c>
      <c r="B2" t="s">
        <v>58</v>
      </c>
      <c r="C2">
        <v>0</v>
      </c>
      <c r="D2" t="s">
        <v>17</v>
      </c>
      <c r="E2" t="s">
        <v>17</v>
      </c>
      <c r="F2">
        <v>0</v>
      </c>
      <c r="G2" t="s">
        <v>17</v>
      </c>
      <c r="H2" t="s">
        <v>17</v>
      </c>
      <c r="I2">
        <v>0.12748000000000001</v>
      </c>
      <c r="J2">
        <v>22.356448</v>
      </c>
      <c r="K2">
        <v>2.8500000000000001E-2</v>
      </c>
      <c r="L2" t="s">
        <v>17</v>
      </c>
      <c r="M2">
        <v>77</v>
      </c>
      <c r="N2" t="s">
        <v>18</v>
      </c>
      <c r="O2" t="s">
        <v>61</v>
      </c>
    </row>
    <row r="3" spans="1:15" x14ac:dyDescent="0.2">
      <c r="A3" t="s">
        <v>57</v>
      </c>
      <c r="B3" t="s">
        <v>58</v>
      </c>
      <c r="C3">
        <v>0</v>
      </c>
      <c r="D3" t="s">
        <v>17</v>
      </c>
      <c r="E3" t="s">
        <v>17</v>
      </c>
      <c r="F3">
        <v>0</v>
      </c>
      <c r="G3" t="s">
        <v>17</v>
      </c>
      <c r="H3" t="s">
        <v>17</v>
      </c>
      <c r="I3">
        <v>5.8200000000000002E-2</v>
      </c>
      <c r="J3">
        <v>20.618556999999999</v>
      </c>
      <c r="K3">
        <v>1.2E-2</v>
      </c>
      <c r="L3" t="s">
        <v>17</v>
      </c>
      <c r="M3">
        <v>298</v>
      </c>
      <c r="N3" t="s">
        <v>18</v>
      </c>
      <c r="O3" t="s">
        <v>62</v>
      </c>
    </row>
    <row r="4" spans="1:15" x14ac:dyDescent="0.2">
      <c r="A4" t="s">
        <v>57</v>
      </c>
      <c r="B4" t="s">
        <v>58</v>
      </c>
      <c r="C4">
        <v>0</v>
      </c>
      <c r="D4" t="s">
        <v>17</v>
      </c>
      <c r="E4" t="s">
        <v>17</v>
      </c>
      <c r="F4">
        <v>0</v>
      </c>
      <c r="G4" t="s">
        <v>17</v>
      </c>
      <c r="H4" t="s">
        <v>17</v>
      </c>
      <c r="I4">
        <v>4.5499999999999999E-2</v>
      </c>
      <c r="J4">
        <v>36.043956000000001</v>
      </c>
      <c r="K4">
        <v>1.6400000000000001E-2</v>
      </c>
      <c r="L4" t="s">
        <v>17</v>
      </c>
      <c r="M4">
        <v>440</v>
      </c>
      <c r="N4" t="s">
        <v>18</v>
      </c>
      <c r="O4" t="s">
        <v>63</v>
      </c>
    </row>
    <row r="5" spans="1:15" x14ac:dyDescent="0.2">
      <c r="A5" t="s">
        <v>57</v>
      </c>
      <c r="B5" t="s">
        <v>58</v>
      </c>
      <c r="C5">
        <v>0</v>
      </c>
      <c r="D5" t="s">
        <v>17</v>
      </c>
      <c r="E5" t="s">
        <v>17</v>
      </c>
      <c r="F5">
        <v>0</v>
      </c>
      <c r="G5" t="s">
        <v>17</v>
      </c>
      <c r="H5" t="s">
        <v>17</v>
      </c>
      <c r="I5">
        <v>4.4900000000000002E-2</v>
      </c>
      <c r="J5">
        <v>87.527839999999998</v>
      </c>
      <c r="K5">
        <v>3.9300000000000002E-2</v>
      </c>
      <c r="L5" t="s">
        <v>17</v>
      </c>
      <c r="M5">
        <v>580</v>
      </c>
      <c r="N5" t="s">
        <v>18</v>
      </c>
      <c r="O5" t="s">
        <v>64</v>
      </c>
    </row>
    <row r="6" spans="1:15" x14ac:dyDescent="0.2">
      <c r="A6" t="s">
        <v>57</v>
      </c>
      <c r="B6" t="s">
        <v>58</v>
      </c>
      <c r="C6">
        <v>1</v>
      </c>
      <c r="D6" t="s">
        <v>17</v>
      </c>
      <c r="E6" t="s">
        <v>17</v>
      </c>
      <c r="F6">
        <v>1</v>
      </c>
      <c r="G6" t="s">
        <v>17</v>
      </c>
      <c r="H6" t="s">
        <v>17</v>
      </c>
      <c r="I6">
        <v>8.2640000000000005E-2</v>
      </c>
      <c r="J6">
        <v>19.603097999999999</v>
      </c>
      <c r="K6">
        <v>1.6199999999999999E-2</v>
      </c>
      <c r="L6" t="s">
        <v>17</v>
      </c>
      <c r="M6">
        <v>77</v>
      </c>
      <c r="N6" t="s">
        <v>18</v>
      </c>
      <c r="O6" t="s">
        <v>65</v>
      </c>
    </row>
    <row r="7" spans="1:15" x14ac:dyDescent="0.2">
      <c r="A7" t="s">
        <v>57</v>
      </c>
      <c r="B7" t="s">
        <v>58</v>
      </c>
      <c r="C7">
        <v>1</v>
      </c>
      <c r="D7" t="s">
        <v>17</v>
      </c>
      <c r="E7" t="s">
        <v>17</v>
      </c>
      <c r="F7">
        <v>1</v>
      </c>
      <c r="G7" t="s">
        <v>17</v>
      </c>
      <c r="H7" t="s">
        <v>17</v>
      </c>
      <c r="I7">
        <v>4.9500000000000002E-2</v>
      </c>
      <c r="J7">
        <v>19.797979999999999</v>
      </c>
      <c r="K7">
        <v>9.7999999999999997E-3</v>
      </c>
      <c r="L7" t="s">
        <v>17</v>
      </c>
      <c r="M7">
        <v>298</v>
      </c>
      <c r="N7" t="s">
        <v>18</v>
      </c>
      <c r="O7" t="s">
        <v>66</v>
      </c>
    </row>
    <row r="8" spans="1:15" x14ac:dyDescent="0.2">
      <c r="A8" t="s">
        <v>57</v>
      </c>
      <c r="B8" t="s">
        <v>58</v>
      </c>
      <c r="C8">
        <v>1</v>
      </c>
      <c r="D8" t="s">
        <v>17</v>
      </c>
      <c r="E8" t="s">
        <v>17</v>
      </c>
      <c r="F8">
        <v>1</v>
      </c>
      <c r="G8" t="s">
        <v>17</v>
      </c>
      <c r="H8" t="s">
        <v>17</v>
      </c>
      <c r="I8">
        <v>3.5999999999999997E-2</v>
      </c>
      <c r="J8">
        <v>31.666667</v>
      </c>
      <c r="K8">
        <v>1.14E-2</v>
      </c>
      <c r="L8" t="s">
        <v>17</v>
      </c>
      <c r="M8">
        <v>440</v>
      </c>
      <c r="N8" t="s">
        <v>18</v>
      </c>
      <c r="O8" t="s">
        <v>67</v>
      </c>
    </row>
    <row r="9" spans="1:15" x14ac:dyDescent="0.2">
      <c r="A9" t="s">
        <v>57</v>
      </c>
      <c r="B9" t="s">
        <v>58</v>
      </c>
      <c r="C9">
        <v>1</v>
      </c>
      <c r="D9" t="s">
        <v>17</v>
      </c>
      <c r="E9" t="s">
        <v>17</v>
      </c>
      <c r="F9">
        <v>1</v>
      </c>
      <c r="G9" t="s">
        <v>17</v>
      </c>
      <c r="H9" t="s">
        <v>17</v>
      </c>
      <c r="I9">
        <v>5.0299999999999997E-2</v>
      </c>
      <c r="J9">
        <v>35.186722000000003</v>
      </c>
      <c r="K9">
        <v>1.7600000000000001E-2</v>
      </c>
      <c r="L9" t="s">
        <v>17</v>
      </c>
      <c r="M9">
        <v>580</v>
      </c>
      <c r="N9" t="s">
        <v>18</v>
      </c>
      <c r="O9" t="s">
        <v>68</v>
      </c>
    </row>
    <row r="10" spans="1:15" x14ac:dyDescent="0.2">
      <c r="A10" t="s">
        <v>57</v>
      </c>
      <c r="B10" t="s">
        <v>58</v>
      </c>
      <c r="C10">
        <v>2</v>
      </c>
      <c r="D10" t="s">
        <v>17</v>
      </c>
      <c r="E10" t="s">
        <v>17</v>
      </c>
      <c r="F10">
        <v>2</v>
      </c>
      <c r="G10" t="s">
        <v>17</v>
      </c>
      <c r="H10" t="s">
        <v>17</v>
      </c>
      <c r="I10">
        <v>8.2930000000000004E-2</v>
      </c>
      <c r="J10">
        <v>18.566583000000001</v>
      </c>
      <c r="K10">
        <v>1.54E-2</v>
      </c>
      <c r="L10" t="s">
        <v>17</v>
      </c>
      <c r="M10">
        <v>77</v>
      </c>
      <c r="N10" t="s">
        <v>18</v>
      </c>
      <c r="O10" t="s">
        <v>69</v>
      </c>
    </row>
    <row r="11" spans="1:15" x14ac:dyDescent="0.2">
      <c r="A11" t="s">
        <v>57</v>
      </c>
      <c r="B11" t="s">
        <v>58</v>
      </c>
      <c r="C11">
        <v>2</v>
      </c>
      <c r="D11" t="s">
        <v>17</v>
      </c>
      <c r="E11" t="s">
        <v>17</v>
      </c>
      <c r="F11">
        <v>2</v>
      </c>
      <c r="G11" t="s">
        <v>17</v>
      </c>
      <c r="H11" t="s">
        <v>17</v>
      </c>
      <c r="I11">
        <v>4.5400000000000003E-2</v>
      </c>
      <c r="J11">
        <v>9.4736840000000004</v>
      </c>
      <c r="K11">
        <v>4.3E-3</v>
      </c>
      <c r="L11" t="s">
        <v>17</v>
      </c>
      <c r="M11">
        <v>298</v>
      </c>
      <c r="N11" t="s">
        <v>18</v>
      </c>
      <c r="O11" t="s">
        <v>70</v>
      </c>
    </row>
    <row r="12" spans="1:15" x14ac:dyDescent="0.2">
      <c r="A12" t="s">
        <v>57</v>
      </c>
      <c r="B12" t="s">
        <v>58</v>
      </c>
      <c r="C12">
        <v>2</v>
      </c>
      <c r="D12" t="s">
        <v>17</v>
      </c>
      <c r="E12" t="s">
        <v>17</v>
      </c>
      <c r="F12">
        <v>2</v>
      </c>
      <c r="G12" t="s">
        <v>17</v>
      </c>
      <c r="H12" t="s">
        <v>17</v>
      </c>
      <c r="I12">
        <v>3.6400000000000002E-2</v>
      </c>
      <c r="J12">
        <v>24.725275</v>
      </c>
      <c r="K12">
        <v>8.9999999999999993E-3</v>
      </c>
      <c r="L12" t="s">
        <v>17</v>
      </c>
      <c r="M12">
        <v>440</v>
      </c>
      <c r="N12" t="s">
        <v>18</v>
      </c>
      <c r="O12" t="s">
        <v>71</v>
      </c>
    </row>
    <row r="13" spans="1:15" x14ac:dyDescent="0.2">
      <c r="A13" t="s">
        <v>57</v>
      </c>
      <c r="B13" t="s">
        <v>58</v>
      </c>
      <c r="C13">
        <v>2</v>
      </c>
      <c r="D13" t="s">
        <v>17</v>
      </c>
      <c r="E13" t="s">
        <v>17</v>
      </c>
      <c r="F13">
        <v>2</v>
      </c>
      <c r="G13" t="s">
        <v>17</v>
      </c>
      <c r="H13" t="s">
        <v>17</v>
      </c>
      <c r="I13">
        <v>4.7100000000000003E-2</v>
      </c>
      <c r="J13">
        <v>31.840762000000002</v>
      </c>
      <c r="K13">
        <v>1.4999999999999999E-2</v>
      </c>
      <c r="L13" t="s">
        <v>17</v>
      </c>
      <c r="M13">
        <v>580</v>
      </c>
      <c r="N13" t="s">
        <v>18</v>
      </c>
      <c r="O13" t="s">
        <v>72</v>
      </c>
    </row>
    <row r="14" spans="1:15" x14ac:dyDescent="0.2">
      <c r="A14" t="s">
        <v>57</v>
      </c>
      <c r="B14" t="s">
        <v>58</v>
      </c>
      <c r="C14">
        <v>3</v>
      </c>
      <c r="D14" t="s">
        <v>17</v>
      </c>
      <c r="E14" t="s">
        <v>17</v>
      </c>
      <c r="F14">
        <v>3</v>
      </c>
      <c r="G14" t="s">
        <v>17</v>
      </c>
      <c r="H14" t="s">
        <v>17</v>
      </c>
      <c r="I14">
        <v>7.8109999999999999E-2</v>
      </c>
      <c r="J14">
        <v>24.966076999999999</v>
      </c>
      <c r="K14">
        <v>1.95E-2</v>
      </c>
      <c r="L14" t="s">
        <v>17</v>
      </c>
      <c r="M14">
        <v>77</v>
      </c>
      <c r="N14" t="s">
        <v>18</v>
      </c>
      <c r="O14" t="s">
        <v>73</v>
      </c>
    </row>
    <row r="15" spans="1:15" x14ac:dyDescent="0.2">
      <c r="A15" t="s">
        <v>57</v>
      </c>
      <c r="B15" t="s">
        <v>58</v>
      </c>
      <c r="C15">
        <v>3</v>
      </c>
      <c r="D15" t="s">
        <v>17</v>
      </c>
      <c r="E15" t="s">
        <v>17</v>
      </c>
      <c r="F15">
        <v>3</v>
      </c>
      <c r="G15" t="s">
        <v>17</v>
      </c>
      <c r="H15" t="s">
        <v>17</v>
      </c>
      <c r="I15">
        <v>5.0599999999999999E-2</v>
      </c>
      <c r="J15">
        <v>13.636364</v>
      </c>
      <c r="K15">
        <v>6.8999999999999999E-3</v>
      </c>
      <c r="L15" t="s">
        <v>17</v>
      </c>
      <c r="M15">
        <v>298</v>
      </c>
      <c r="N15" t="s">
        <v>18</v>
      </c>
      <c r="O15" t="s">
        <v>74</v>
      </c>
    </row>
    <row r="16" spans="1:15" x14ac:dyDescent="0.2">
      <c r="A16" t="s">
        <v>57</v>
      </c>
      <c r="B16" t="s">
        <v>58</v>
      </c>
      <c r="C16">
        <v>3</v>
      </c>
      <c r="D16" t="s">
        <v>17</v>
      </c>
      <c r="E16" t="s">
        <v>17</v>
      </c>
      <c r="F16">
        <v>3</v>
      </c>
      <c r="G16" t="s">
        <v>17</v>
      </c>
      <c r="H16" t="s">
        <v>17</v>
      </c>
      <c r="I16">
        <v>4.1599999999999998E-2</v>
      </c>
      <c r="J16">
        <v>26.201923000000001</v>
      </c>
      <c r="K16">
        <v>1.09E-2</v>
      </c>
      <c r="L16" t="s">
        <v>17</v>
      </c>
      <c r="M16">
        <v>440</v>
      </c>
      <c r="N16" t="s">
        <v>18</v>
      </c>
      <c r="O16" t="s">
        <v>75</v>
      </c>
    </row>
    <row r="17" spans="1:15" x14ac:dyDescent="0.2">
      <c r="A17" t="s">
        <v>57</v>
      </c>
      <c r="B17" t="s">
        <v>58</v>
      </c>
      <c r="C17">
        <v>3</v>
      </c>
      <c r="D17" t="s">
        <v>17</v>
      </c>
      <c r="E17" t="s">
        <v>17</v>
      </c>
      <c r="F17">
        <v>3</v>
      </c>
      <c r="G17" t="s">
        <v>17</v>
      </c>
      <c r="H17" t="s">
        <v>17</v>
      </c>
      <c r="I17">
        <v>3.6499999999999998E-2</v>
      </c>
      <c r="J17">
        <v>47.123288000000002</v>
      </c>
      <c r="K17">
        <v>1.72E-2</v>
      </c>
      <c r="L17" t="s">
        <v>17</v>
      </c>
      <c r="M17">
        <v>580</v>
      </c>
      <c r="N17" t="s">
        <v>18</v>
      </c>
      <c r="O17" t="s">
        <v>76</v>
      </c>
    </row>
    <row r="18" spans="1:15" x14ac:dyDescent="0.2">
      <c r="A18" t="s">
        <v>57</v>
      </c>
      <c r="B18" t="s">
        <v>58</v>
      </c>
      <c r="C18">
        <v>4</v>
      </c>
      <c r="D18" t="s">
        <v>17</v>
      </c>
      <c r="E18" t="s">
        <v>17</v>
      </c>
      <c r="F18">
        <v>4</v>
      </c>
      <c r="G18" t="s">
        <v>17</v>
      </c>
      <c r="H18" t="s">
        <v>17</v>
      </c>
      <c r="I18">
        <v>8.4750000000000006E-2</v>
      </c>
      <c r="J18">
        <v>12.741935</v>
      </c>
      <c r="K18">
        <v>1.0800000000000001E-2</v>
      </c>
      <c r="L18" t="s">
        <v>17</v>
      </c>
      <c r="M18">
        <v>77</v>
      </c>
      <c r="N18" t="s">
        <v>18</v>
      </c>
      <c r="O18" t="s">
        <v>77</v>
      </c>
    </row>
    <row r="19" spans="1:15" x14ac:dyDescent="0.2">
      <c r="A19" t="s">
        <v>57</v>
      </c>
      <c r="B19" t="s">
        <v>58</v>
      </c>
      <c r="C19">
        <v>4</v>
      </c>
      <c r="D19" t="s">
        <v>17</v>
      </c>
      <c r="E19" t="s">
        <v>17</v>
      </c>
      <c r="F19">
        <v>4</v>
      </c>
      <c r="G19" t="s">
        <v>17</v>
      </c>
      <c r="H19" t="s">
        <v>17</v>
      </c>
      <c r="I19">
        <v>4.65E-2</v>
      </c>
      <c r="J19">
        <v>8.1720430000000004</v>
      </c>
      <c r="K19">
        <v>3.8E-3</v>
      </c>
      <c r="L19" t="s">
        <v>17</v>
      </c>
      <c r="M19">
        <v>298</v>
      </c>
      <c r="N19" t="s">
        <v>18</v>
      </c>
      <c r="O19" t="s">
        <v>78</v>
      </c>
    </row>
    <row r="20" spans="1:15" x14ac:dyDescent="0.2">
      <c r="A20" t="s">
        <v>57</v>
      </c>
      <c r="B20" t="s">
        <v>58</v>
      </c>
      <c r="C20">
        <v>4</v>
      </c>
      <c r="D20" t="s">
        <v>17</v>
      </c>
      <c r="E20" t="s">
        <v>17</v>
      </c>
      <c r="F20">
        <v>4</v>
      </c>
      <c r="G20" t="s">
        <v>17</v>
      </c>
      <c r="H20" t="s">
        <v>17</v>
      </c>
      <c r="I20">
        <v>3.9E-2</v>
      </c>
      <c r="J20">
        <v>28.974359</v>
      </c>
      <c r="K20">
        <v>1.1299999999999999E-2</v>
      </c>
      <c r="L20" t="s">
        <v>17</v>
      </c>
      <c r="M20">
        <v>440</v>
      </c>
      <c r="N20" t="s">
        <v>18</v>
      </c>
      <c r="O20" t="s">
        <v>79</v>
      </c>
    </row>
    <row r="21" spans="1:15" x14ac:dyDescent="0.2">
      <c r="A21" t="s">
        <v>57</v>
      </c>
      <c r="B21" t="s">
        <v>58</v>
      </c>
      <c r="C21">
        <v>4</v>
      </c>
      <c r="D21" t="s">
        <v>17</v>
      </c>
      <c r="E21" t="s">
        <v>17</v>
      </c>
      <c r="F21">
        <v>4</v>
      </c>
      <c r="G21" t="s">
        <v>17</v>
      </c>
      <c r="H21" t="s">
        <v>17</v>
      </c>
      <c r="I21">
        <v>2.5499999999999998E-2</v>
      </c>
      <c r="J21">
        <v>40.392156999999997</v>
      </c>
      <c r="K21">
        <v>1.03E-2</v>
      </c>
      <c r="L21" t="s">
        <v>17</v>
      </c>
      <c r="M21">
        <v>580</v>
      </c>
      <c r="N21" t="s">
        <v>18</v>
      </c>
      <c r="O21" t="s">
        <v>80</v>
      </c>
    </row>
    <row r="22" spans="1:15" x14ac:dyDescent="0.2">
      <c r="A22" t="s">
        <v>57</v>
      </c>
      <c r="B22" t="s">
        <v>58</v>
      </c>
      <c r="C22">
        <v>5</v>
      </c>
      <c r="D22" t="s">
        <v>17</v>
      </c>
      <c r="E22" t="s">
        <v>17</v>
      </c>
      <c r="F22">
        <v>5</v>
      </c>
      <c r="G22" t="s">
        <v>17</v>
      </c>
      <c r="H22" t="s">
        <v>17</v>
      </c>
      <c r="I22">
        <v>9.2689999999999995E-2</v>
      </c>
      <c r="J22">
        <v>13.067957</v>
      </c>
      <c r="K22">
        <v>1.21E-2</v>
      </c>
      <c r="L22" t="s">
        <v>17</v>
      </c>
      <c r="M22">
        <v>77</v>
      </c>
      <c r="N22" t="s">
        <v>18</v>
      </c>
      <c r="O22" t="s">
        <v>81</v>
      </c>
    </row>
    <row r="23" spans="1:15" x14ac:dyDescent="0.2">
      <c r="A23" t="s">
        <v>57</v>
      </c>
      <c r="B23" t="s">
        <v>58</v>
      </c>
      <c r="C23">
        <v>5</v>
      </c>
      <c r="D23" t="s">
        <v>17</v>
      </c>
      <c r="E23" t="s">
        <v>17</v>
      </c>
      <c r="F23">
        <v>5</v>
      </c>
      <c r="G23" t="s">
        <v>17</v>
      </c>
      <c r="H23" t="s">
        <v>17</v>
      </c>
      <c r="I23">
        <v>4.4600000000000001E-2</v>
      </c>
      <c r="J23">
        <v>12.556279</v>
      </c>
      <c r="K23">
        <v>5.5999999999999999E-3</v>
      </c>
      <c r="L23" t="s">
        <v>17</v>
      </c>
      <c r="M23">
        <v>298</v>
      </c>
      <c r="N23" t="s">
        <v>18</v>
      </c>
      <c r="O23" t="s">
        <v>82</v>
      </c>
    </row>
    <row r="24" spans="1:15" x14ac:dyDescent="0.2">
      <c r="A24" t="s">
        <v>57</v>
      </c>
      <c r="B24" t="s">
        <v>58</v>
      </c>
      <c r="C24">
        <v>5</v>
      </c>
      <c r="D24" t="s">
        <v>17</v>
      </c>
      <c r="E24" t="s">
        <v>17</v>
      </c>
      <c r="F24">
        <v>5</v>
      </c>
      <c r="G24" t="s">
        <v>17</v>
      </c>
      <c r="H24" t="s">
        <v>17</v>
      </c>
      <c r="I24">
        <v>3.8399999999999997E-2</v>
      </c>
      <c r="J24">
        <v>23.4375</v>
      </c>
      <c r="K24">
        <v>8.9999999999999993E-3</v>
      </c>
      <c r="L24" t="s">
        <v>17</v>
      </c>
      <c r="M24">
        <v>440</v>
      </c>
      <c r="N24" t="s">
        <v>18</v>
      </c>
      <c r="O24" t="s">
        <v>83</v>
      </c>
    </row>
    <row r="25" spans="1:15" x14ac:dyDescent="0.2">
      <c r="A25" t="s">
        <v>57</v>
      </c>
      <c r="B25" t="s">
        <v>58</v>
      </c>
      <c r="C25">
        <v>5</v>
      </c>
      <c r="D25" t="s">
        <v>17</v>
      </c>
      <c r="E25" t="s">
        <v>17</v>
      </c>
      <c r="F25">
        <v>5</v>
      </c>
      <c r="G25" t="s">
        <v>17</v>
      </c>
      <c r="H25" t="s">
        <v>17</v>
      </c>
      <c r="I25">
        <v>3.2099999999999997E-2</v>
      </c>
      <c r="J25">
        <v>36.769469999999998</v>
      </c>
      <c r="K25">
        <v>1.18E-2</v>
      </c>
      <c r="L25" t="s">
        <v>17</v>
      </c>
      <c r="M25">
        <v>580</v>
      </c>
      <c r="N25" t="s">
        <v>18</v>
      </c>
      <c r="O25" t="s">
        <v>84</v>
      </c>
    </row>
    <row r="26" spans="1:15" x14ac:dyDescent="0.2">
      <c r="A26" t="s">
        <v>57</v>
      </c>
      <c r="B26" t="s">
        <v>58</v>
      </c>
      <c r="C26">
        <v>6</v>
      </c>
      <c r="D26" t="s">
        <v>17</v>
      </c>
      <c r="E26" t="s">
        <v>17</v>
      </c>
      <c r="F26">
        <v>6</v>
      </c>
      <c r="G26" t="s">
        <v>17</v>
      </c>
      <c r="H26" t="s">
        <v>17</v>
      </c>
      <c r="I26">
        <v>0.10181999999999999</v>
      </c>
      <c r="J26">
        <v>15.83264</v>
      </c>
      <c r="K26">
        <v>1.61E-2</v>
      </c>
      <c r="L26" t="s">
        <v>17</v>
      </c>
      <c r="M26">
        <v>77</v>
      </c>
      <c r="N26" t="s">
        <v>18</v>
      </c>
      <c r="O26" t="s">
        <v>85</v>
      </c>
    </row>
    <row r="27" spans="1:15" x14ac:dyDescent="0.2">
      <c r="A27" t="s">
        <v>57</v>
      </c>
      <c r="B27" t="s">
        <v>58</v>
      </c>
      <c r="C27">
        <v>6</v>
      </c>
      <c r="D27" t="s">
        <v>17</v>
      </c>
      <c r="E27" t="s">
        <v>17</v>
      </c>
      <c r="F27">
        <v>6</v>
      </c>
      <c r="G27" t="s">
        <v>17</v>
      </c>
      <c r="H27" t="s">
        <v>17</v>
      </c>
      <c r="I27">
        <v>4.7800000000000002E-2</v>
      </c>
      <c r="J27">
        <v>9.6237370000000002</v>
      </c>
      <c r="K27">
        <v>4.5999999999999999E-3</v>
      </c>
      <c r="L27" t="s">
        <v>17</v>
      </c>
      <c r="M27">
        <v>298</v>
      </c>
      <c r="N27" t="s">
        <v>18</v>
      </c>
      <c r="O27" t="s">
        <v>86</v>
      </c>
    </row>
    <row r="28" spans="1:15" x14ac:dyDescent="0.2">
      <c r="A28" t="s">
        <v>57</v>
      </c>
      <c r="B28" t="s">
        <v>58</v>
      </c>
      <c r="C28">
        <v>6</v>
      </c>
      <c r="D28" t="s">
        <v>17</v>
      </c>
      <c r="E28" t="s">
        <v>17</v>
      </c>
      <c r="F28">
        <v>6</v>
      </c>
      <c r="G28" t="s">
        <v>17</v>
      </c>
      <c r="H28" t="s">
        <v>17</v>
      </c>
      <c r="I28">
        <v>3.7100000000000001E-2</v>
      </c>
      <c r="J28">
        <v>22.364180000000001</v>
      </c>
      <c r="K28">
        <v>8.3000000000000001E-3</v>
      </c>
      <c r="L28" t="s">
        <v>17</v>
      </c>
      <c r="M28">
        <v>440</v>
      </c>
      <c r="N28" t="s">
        <v>18</v>
      </c>
      <c r="O28" t="s">
        <v>87</v>
      </c>
    </row>
    <row r="29" spans="1:15" x14ac:dyDescent="0.2">
      <c r="A29" t="s">
        <v>57</v>
      </c>
      <c r="B29" t="s">
        <v>58</v>
      </c>
      <c r="C29">
        <v>6</v>
      </c>
      <c r="D29" t="s">
        <v>17</v>
      </c>
      <c r="E29" t="s">
        <v>17</v>
      </c>
      <c r="F29">
        <v>6</v>
      </c>
      <c r="G29" t="s">
        <v>17</v>
      </c>
      <c r="H29" t="s">
        <v>17</v>
      </c>
      <c r="I29">
        <v>3.1199999999999999E-2</v>
      </c>
      <c r="J29">
        <v>35.897435999999999</v>
      </c>
      <c r="K29">
        <v>1.12E-2</v>
      </c>
      <c r="L29" t="s">
        <v>17</v>
      </c>
      <c r="M29">
        <v>580</v>
      </c>
      <c r="N29" t="s">
        <v>18</v>
      </c>
      <c r="O29" t="s">
        <v>88</v>
      </c>
    </row>
    <row r="30" spans="1:15" x14ac:dyDescent="0.2">
      <c r="A30" t="s">
        <v>57</v>
      </c>
      <c r="B30" t="s">
        <v>58</v>
      </c>
      <c r="C30">
        <v>7</v>
      </c>
      <c r="D30" t="s">
        <v>17</v>
      </c>
      <c r="E30" t="s">
        <v>17</v>
      </c>
      <c r="F30">
        <v>7</v>
      </c>
      <c r="G30" t="s">
        <v>17</v>
      </c>
      <c r="H30" t="s">
        <v>17</v>
      </c>
      <c r="I30">
        <v>5.11E-2</v>
      </c>
      <c r="J30">
        <v>10.566547</v>
      </c>
      <c r="K30">
        <v>5.4000000000000003E-3</v>
      </c>
      <c r="L30" t="s">
        <v>17</v>
      </c>
      <c r="M30">
        <v>298</v>
      </c>
      <c r="N30" t="s">
        <v>18</v>
      </c>
      <c r="O30" t="s">
        <v>89</v>
      </c>
    </row>
    <row r="31" spans="1:15" x14ac:dyDescent="0.2">
      <c r="A31" t="s">
        <v>57</v>
      </c>
      <c r="B31" t="s">
        <v>58</v>
      </c>
      <c r="C31">
        <v>7</v>
      </c>
      <c r="D31" t="s">
        <v>17</v>
      </c>
      <c r="E31" t="s">
        <v>17</v>
      </c>
      <c r="F31">
        <v>7</v>
      </c>
      <c r="G31" t="s">
        <v>17</v>
      </c>
      <c r="H31" t="s">
        <v>17</v>
      </c>
      <c r="I31">
        <v>4.0099999999999997E-2</v>
      </c>
      <c r="J31">
        <v>16.209477</v>
      </c>
      <c r="K31">
        <v>6.4999999999999997E-3</v>
      </c>
      <c r="L31" t="s">
        <v>17</v>
      </c>
      <c r="M31">
        <v>440</v>
      </c>
      <c r="N31" t="s">
        <v>18</v>
      </c>
      <c r="O31" t="s">
        <v>90</v>
      </c>
    </row>
    <row r="32" spans="1:15" x14ac:dyDescent="0.2">
      <c r="A32" t="s">
        <v>57</v>
      </c>
      <c r="B32" t="s">
        <v>58</v>
      </c>
      <c r="C32">
        <v>7</v>
      </c>
      <c r="D32" t="s">
        <v>17</v>
      </c>
      <c r="E32" t="s">
        <v>17</v>
      </c>
      <c r="F32">
        <v>7</v>
      </c>
      <c r="G32" t="s">
        <v>17</v>
      </c>
      <c r="H32" t="s">
        <v>17</v>
      </c>
      <c r="I32">
        <v>3.6499999999999998E-2</v>
      </c>
      <c r="J32">
        <v>31.232876999999998</v>
      </c>
      <c r="K32">
        <v>1.14E-2</v>
      </c>
      <c r="L32" t="s">
        <v>17</v>
      </c>
      <c r="M32">
        <v>580</v>
      </c>
      <c r="N32" t="s">
        <v>18</v>
      </c>
      <c r="O32" t="s">
        <v>91</v>
      </c>
    </row>
    <row r="33" spans="1:15" x14ac:dyDescent="0.2">
      <c r="A33" t="s">
        <v>57</v>
      </c>
      <c r="B33" t="s">
        <v>58</v>
      </c>
      <c r="C33">
        <v>8</v>
      </c>
      <c r="D33" t="s">
        <v>17</v>
      </c>
      <c r="E33" t="s">
        <v>17</v>
      </c>
      <c r="F33">
        <v>8</v>
      </c>
      <c r="G33" t="s">
        <v>17</v>
      </c>
      <c r="H33" t="s">
        <v>17</v>
      </c>
      <c r="I33">
        <v>4.6399999999999997E-2</v>
      </c>
      <c r="J33">
        <v>7.3275860000000002</v>
      </c>
      <c r="K33">
        <v>3.3999999999999998E-3</v>
      </c>
      <c r="L33" t="s">
        <v>17</v>
      </c>
      <c r="M33">
        <v>298</v>
      </c>
      <c r="N33" t="s">
        <v>18</v>
      </c>
      <c r="O33" t="s">
        <v>92</v>
      </c>
    </row>
    <row r="34" spans="1:15" x14ac:dyDescent="0.2">
      <c r="A34" t="s">
        <v>57</v>
      </c>
      <c r="B34" t="s">
        <v>58</v>
      </c>
      <c r="C34">
        <v>8</v>
      </c>
      <c r="D34" t="s">
        <v>17</v>
      </c>
      <c r="E34" t="s">
        <v>17</v>
      </c>
      <c r="F34">
        <v>8</v>
      </c>
      <c r="G34" t="s">
        <v>17</v>
      </c>
      <c r="H34" t="s">
        <v>17</v>
      </c>
      <c r="I34">
        <v>4.2500000000000003E-2</v>
      </c>
      <c r="J34">
        <v>21.176470999999999</v>
      </c>
      <c r="K34">
        <v>8.9999999999999993E-3</v>
      </c>
      <c r="L34" t="s">
        <v>17</v>
      </c>
      <c r="M34">
        <v>440</v>
      </c>
      <c r="N34" t="s">
        <v>18</v>
      </c>
      <c r="O34" t="s">
        <v>93</v>
      </c>
    </row>
    <row r="35" spans="1:15" x14ac:dyDescent="0.2">
      <c r="A35" t="s">
        <v>57</v>
      </c>
      <c r="B35" t="s">
        <v>58</v>
      </c>
      <c r="C35">
        <v>8</v>
      </c>
      <c r="D35" t="s">
        <v>17</v>
      </c>
      <c r="E35" t="s">
        <v>17</v>
      </c>
      <c r="F35">
        <v>8</v>
      </c>
      <c r="G35" t="s">
        <v>17</v>
      </c>
      <c r="H35" t="s">
        <v>17</v>
      </c>
      <c r="I35">
        <v>4.02E-2</v>
      </c>
      <c r="J35">
        <v>25.621368</v>
      </c>
      <c r="K35">
        <v>1.03E-2</v>
      </c>
      <c r="L35" t="s">
        <v>17</v>
      </c>
      <c r="M35">
        <v>580</v>
      </c>
      <c r="N35" t="s">
        <v>18</v>
      </c>
      <c r="O35" t="s">
        <v>94</v>
      </c>
    </row>
    <row r="36" spans="1:15" x14ac:dyDescent="0.2">
      <c r="A36" t="s">
        <v>57</v>
      </c>
      <c r="B36" t="s">
        <v>58</v>
      </c>
      <c r="C36">
        <v>9</v>
      </c>
      <c r="D36" t="s">
        <v>17</v>
      </c>
      <c r="E36" t="s">
        <v>17</v>
      </c>
      <c r="F36">
        <v>9</v>
      </c>
      <c r="G36" t="s">
        <v>17</v>
      </c>
      <c r="H36" t="s">
        <v>17</v>
      </c>
      <c r="I36">
        <v>5.0500000000000003E-2</v>
      </c>
      <c r="J36">
        <v>7.9207919999999996</v>
      </c>
      <c r="K36">
        <v>4.0000000000000001E-3</v>
      </c>
      <c r="L36" t="s">
        <v>17</v>
      </c>
      <c r="M36">
        <v>298</v>
      </c>
      <c r="N36" t="s">
        <v>18</v>
      </c>
      <c r="O36" t="s">
        <v>95</v>
      </c>
    </row>
    <row r="37" spans="1:15" x14ac:dyDescent="0.2">
      <c r="A37" t="s">
        <v>57</v>
      </c>
      <c r="B37" t="s">
        <v>58</v>
      </c>
      <c r="C37">
        <v>9</v>
      </c>
      <c r="D37" t="s">
        <v>17</v>
      </c>
      <c r="E37" t="s">
        <v>17</v>
      </c>
      <c r="F37">
        <v>9</v>
      </c>
      <c r="G37" t="s">
        <v>17</v>
      </c>
      <c r="H37" t="s">
        <v>17</v>
      </c>
      <c r="I37">
        <v>3.8899999999999997E-2</v>
      </c>
      <c r="J37">
        <v>20.824421999999998</v>
      </c>
      <c r="K37">
        <v>8.0999999999999996E-3</v>
      </c>
      <c r="L37" t="s">
        <v>17</v>
      </c>
      <c r="M37">
        <v>440</v>
      </c>
      <c r="N37" t="s">
        <v>18</v>
      </c>
      <c r="O37" t="s">
        <v>96</v>
      </c>
    </row>
    <row r="38" spans="1:15" x14ac:dyDescent="0.2">
      <c r="A38" t="s">
        <v>57</v>
      </c>
      <c r="B38" t="s">
        <v>58</v>
      </c>
      <c r="C38">
        <v>9</v>
      </c>
      <c r="D38" t="s">
        <v>17</v>
      </c>
      <c r="E38" t="s">
        <v>17</v>
      </c>
      <c r="F38">
        <v>9</v>
      </c>
      <c r="G38" t="s">
        <v>17</v>
      </c>
      <c r="H38" t="s">
        <v>17</v>
      </c>
      <c r="I38">
        <v>3.7400000000000003E-2</v>
      </c>
      <c r="J38">
        <v>22.192513000000002</v>
      </c>
      <c r="K38">
        <v>8.3000000000000001E-3</v>
      </c>
      <c r="L38" t="s">
        <v>17</v>
      </c>
      <c r="M38">
        <v>580</v>
      </c>
      <c r="N38" t="s">
        <v>18</v>
      </c>
      <c r="O38" t="s">
        <v>97</v>
      </c>
    </row>
    <row r="39" spans="1:15" x14ac:dyDescent="0.2">
      <c r="A39" t="s">
        <v>57</v>
      </c>
      <c r="B39" t="s">
        <v>58</v>
      </c>
      <c r="C39">
        <v>10</v>
      </c>
      <c r="D39" t="s">
        <v>17</v>
      </c>
      <c r="E39" t="s">
        <v>17</v>
      </c>
      <c r="F39">
        <v>10</v>
      </c>
      <c r="G39" t="s">
        <v>17</v>
      </c>
      <c r="H39" t="s">
        <v>17</v>
      </c>
      <c r="I39">
        <v>4.8599999999999997E-2</v>
      </c>
      <c r="J39">
        <v>8.2304519999999997</v>
      </c>
      <c r="K39">
        <v>4.0000000000000001E-3</v>
      </c>
      <c r="L39" t="s">
        <v>17</v>
      </c>
      <c r="M39">
        <v>298</v>
      </c>
      <c r="N39" t="s">
        <v>18</v>
      </c>
      <c r="O39" t="s">
        <v>98</v>
      </c>
    </row>
    <row r="40" spans="1:15" x14ac:dyDescent="0.2">
      <c r="A40" t="s">
        <v>57</v>
      </c>
      <c r="B40" t="s">
        <v>58</v>
      </c>
      <c r="C40">
        <v>10</v>
      </c>
      <c r="D40" t="s">
        <v>17</v>
      </c>
      <c r="E40" t="s">
        <v>17</v>
      </c>
      <c r="F40">
        <v>10</v>
      </c>
      <c r="G40" t="s">
        <v>17</v>
      </c>
      <c r="H40" t="s">
        <v>17</v>
      </c>
      <c r="I40">
        <v>3.73E-2</v>
      </c>
      <c r="J40">
        <v>25.201073999999998</v>
      </c>
      <c r="K40">
        <v>9.5999999999999992E-3</v>
      </c>
      <c r="L40" t="s">
        <v>17</v>
      </c>
      <c r="M40">
        <v>440</v>
      </c>
      <c r="N40" t="s">
        <v>18</v>
      </c>
      <c r="O40" t="s">
        <v>99</v>
      </c>
    </row>
    <row r="41" spans="1:15" x14ac:dyDescent="0.2">
      <c r="A41" t="s">
        <v>57</v>
      </c>
      <c r="B41" t="s">
        <v>58</v>
      </c>
      <c r="C41">
        <v>10</v>
      </c>
      <c r="D41" t="s">
        <v>17</v>
      </c>
      <c r="E41" t="s">
        <v>17</v>
      </c>
      <c r="F41">
        <v>10</v>
      </c>
      <c r="G41" t="s">
        <v>17</v>
      </c>
      <c r="H41" t="s">
        <v>17</v>
      </c>
      <c r="I41">
        <v>3.5900000000000001E-2</v>
      </c>
      <c r="J41">
        <v>32.590530000000001</v>
      </c>
      <c r="K41">
        <v>1.18E-2</v>
      </c>
      <c r="L41" t="s">
        <v>17</v>
      </c>
      <c r="M41">
        <v>580</v>
      </c>
      <c r="N41" t="s">
        <v>18</v>
      </c>
      <c r="O41" t="s">
        <v>100</v>
      </c>
    </row>
    <row r="42" spans="1:15" x14ac:dyDescent="0.2">
      <c r="A42" t="s">
        <v>57</v>
      </c>
      <c r="B42" t="s">
        <v>58</v>
      </c>
      <c r="C42">
        <v>11</v>
      </c>
      <c r="D42" t="s">
        <v>17</v>
      </c>
      <c r="E42" t="s">
        <v>17</v>
      </c>
      <c r="F42">
        <v>11</v>
      </c>
      <c r="G42" t="s">
        <v>17</v>
      </c>
      <c r="H42" t="s">
        <v>17</v>
      </c>
      <c r="I42">
        <v>4.1500000000000002E-2</v>
      </c>
      <c r="J42">
        <v>26.987952</v>
      </c>
      <c r="K42">
        <v>1.12E-2</v>
      </c>
      <c r="L42" t="s">
        <v>17</v>
      </c>
      <c r="M42">
        <v>298</v>
      </c>
      <c r="N42" t="s">
        <v>18</v>
      </c>
      <c r="O42" t="s">
        <v>101</v>
      </c>
    </row>
    <row r="43" spans="1:15" x14ac:dyDescent="0.2">
      <c r="A43" t="s">
        <v>57</v>
      </c>
      <c r="B43" t="s">
        <v>58</v>
      </c>
      <c r="C43">
        <v>11</v>
      </c>
      <c r="D43" t="s">
        <v>17</v>
      </c>
      <c r="E43" t="s">
        <v>17</v>
      </c>
      <c r="F43">
        <v>11</v>
      </c>
      <c r="G43" t="s">
        <v>17</v>
      </c>
      <c r="H43" t="s">
        <v>17</v>
      </c>
      <c r="I43">
        <v>4.2599999999999999E-2</v>
      </c>
      <c r="J43">
        <v>14.553991</v>
      </c>
      <c r="K43">
        <v>6.1999999999999998E-3</v>
      </c>
      <c r="L43" t="s">
        <v>17</v>
      </c>
      <c r="M43">
        <v>440</v>
      </c>
      <c r="N43" t="s">
        <v>18</v>
      </c>
      <c r="O43" t="s">
        <v>102</v>
      </c>
    </row>
    <row r="44" spans="1:15" x14ac:dyDescent="0.2">
      <c r="A44" t="s">
        <v>57</v>
      </c>
      <c r="B44" t="s">
        <v>58</v>
      </c>
      <c r="C44">
        <v>11</v>
      </c>
      <c r="D44" t="s">
        <v>17</v>
      </c>
      <c r="E44" t="s">
        <v>17</v>
      </c>
      <c r="F44">
        <v>11</v>
      </c>
      <c r="G44" t="s">
        <v>17</v>
      </c>
      <c r="H44" t="s">
        <v>17</v>
      </c>
      <c r="I44">
        <v>4.3299999999999998E-2</v>
      </c>
      <c r="J44">
        <v>24.941175999999999</v>
      </c>
      <c r="K44">
        <v>1.0500000000000001E-2</v>
      </c>
      <c r="L44" t="s">
        <v>17</v>
      </c>
      <c r="M44">
        <v>580</v>
      </c>
      <c r="N44" t="s">
        <v>18</v>
      </c>
      <c r="O44" t="s">
        <v>103</v>
      </c>
    </row>
    <row r="45" spans="1:15" x14ac:dyDescent="0.2">
      <c r="A45" t="s">
        <v>57</v>
      </c>
      <c r="B45" t="s">
        <v>58</v>
      </c>
      <c r="C45">
        <v>12</v>
      </c>
      <c r="D45" t="s">
        <v>17</v>
      </c>
      <c r="E45" t="s">
        <v>17</v>
      </c>
      <c r="F45">
        <v>12</v>
      </c>
      <c r="G45" t="s">
        <v>17</v>
      </c>
      <c r="H45" t="s">
        <v>17</v>
      </c>
      <c r="I45">
        <v>4.3099999999999999E-2</v>
      </c>
      <c r="J45">
        <v>12.295823</v>
      </c>
      <c r="K45">
        <v>5.3E-3</v>
      </c>
      <c r="L45" t="s">
        <v>17</v>
      </c>
      <c r="M45">
        <v>440</v>
      </c>
      <c r="N45" t="s">
        <v>18</v>
      </c>
      <c r="O45" t="s">
        <v>104</v>
      </c>
    </row>
    <row r="46" spans="1:15" x14ac:dyDescent="0.2">
      <c r="A46" t="s">
        <v>57</v>
      </c>
      <c r="B46" t="s">
        <v>58</v>
      </c>
      <c r="C46">
        <v>12</v>
      </c>
      <c r="D46" t="s">
        <v>17</v>
      </c>
      <c r="E46" t="s">
        <v>17</v>
      </c>
      <c r="F46">
        <v>12</v>
      </c>
      <c r="G46" t="s">
        <v>17</v>
      </c>
      <c r="H46" t="s">
        <v>17</v>
      </c>
      <c r="I46">
        <v>3.8600000000000002E-2</v>
      </c>
      <c r="J46">
        <v>32.641449999999999</v>
      </c>
      <c r="K46">
        <v>1.26E-2</v>
      </c>
      <c r="L46" t="s">
        <v>17</v>
      </c>
      <c r="M46">
        <v>580</v>
      </c>
      <c r="N46" t="s">
        <v>18</v>
      </c>
      <c r="O46" t="s">
        <v>105</v>
      </c>
    </row>
    <row r="47" spans="1:15" x14ac:dyDescent="0.2">
      <c r="A47" t="s">
        <v>57</v>
      </c>
      <c r="B47" t="s">
        <v>58</v>
      </c>
      <c r="C47">
        <v>13</v>
      </c>
      <c r="D47" t="s">
        <v>17</v>
      </c>
      <c r="E47" t="s">
        <v>17</v>
      </c>
      <c r="F47">
        <v>13</v>
      </c>
      <c r="G47" t="s">
        <v>17</v>
      </c>
      <c r="H47" t="s">
        <v>17</v>
      </c>
      <c r="I47">
        <v>4.07E-2</v>
      </c>
      <c r="J47">
        <v>23.345723</v>
      </c>
      <c r="K47">
        <v>9.4999999999999998E-3</v>
      </c>
      <c r="L47" t="s">
        <v>17</v>
      </c>
      <c r="M47">
        <v>440</v>
      </c>
      <c r="N47" t="s">
        <v>18</v>
      </c>
      <c r="O47" t="s">
        <v>106</v>
      </c>
    </row>
    <row r="48" spans="1:15" x14ac:dyDescent="0.2">
      <c r="A48" t="s">
        <v>57</v>
      </c>
      <c r="B48" t="s">
        <v>58</v>
      </c>
      <c r="C48">
        <v>13</v>
      </c>
      <c r="D48" t="s">
        <v>17</v>
      </c>
      <c r="E48" t="s">
        <v>17</v>
      </c>
      <c r="F48">
        <v>13</v>
      </c>
      <c r="G48" t="s">
        <v>17</v>
      </c>
      <c r="H48" t="s">
        <v>17</v>
      </c>
      <c r="I48">
        <v>3.4700000000000002E-2</v>
      </c>
      <c r="J48">
        <v>40.346266999999997</v>
      </c>
      <c r="K48">
        <v>1.4E-2</v>
      </c>
      <c r="L48" t="s">
        <v>17</v>
      </c>
      <c r="M48">
        <v>580</v>
      </c>
      <c r="N48" t="s">
        <v>18</v>
      </c>
      <c r="O48" t="s">
        <v>107</v>
      </c>
    </row>
    <row r="49" spans="1:15" x14ac:dyDescent="0.2">
      <c r="A49" t="s">
        <v>57</v>
      </c>
      <c r="B49" t="s">
        <v>58</v>
      </c>
      <c r="C49">
        <v>14</v>
      </c>
      <c r="D49" t="s">
        <v>17</v>
      </c>
      <c r="E49" t="s">
        <v>17</v>
      </c>
      <c r="F49">
        <v>14</v>
      </c>
      <c r="G49" t="s">
        <v>17</v>
      </c>
      <c r="H49" t="s">
        <v>17</v>
      </c>
      <c r="I49">
        <v>3.8600000000000002E-2</v>
      </c>
      <c r="J49">
        <v>17.357512</v>
      </c>
      <c r="K49">
        <v>6.7000000000000002E-3</v>
      </c>
      <c r="L49" t="s">
        <v>17</v>
      </c>
      <c r="M49">
        <v>440</v>
      </c>
      <c r="N49" t="s">
        <v>18</v>
      </c>
      <c r="O49" t="s">
        <v>108</v>
      </c>
    </row>
    <row r="50" spans="1:15" x14ac:dyDescent="0.2">
      <c r="A50" t="s">
        <v>57</v>
      </c>
      <c r="B50" t="s">
        <v>58</v>
      </c>
      <c r="C50">
        <v>14</v>
      </c>
      <c r="D50" t="s">
        <v>17</v>
      </c>
      <c r="E50" t="s">
        <v>17</v>
      </c>
      <c r="F50">
        <v>14</v>
      </c>
      <c r="G50" t="s">
        <v>17</v>
      </c>
      <c r="H50" t="s">
        <v>17</v>
      </c>
      <c r="I50">
        <v>4.0099999999999997E-2</v>
      </c>
      <c r="J50">
        <v>22.443999999999999</v>
      </c>
      <c r="K50">
        <v>8.9999999999999993E-3</v>
      </c>
      <c r="L50" t="s">
        <v>17</v>
      </c>
      <c r="M50">
        <v>580</v>
      </c>
      <c r="N50" t="s">
        <v>18</v>
      </c>
      <c r="O50" t="s">
        <v>109</v>
      </c>
    </row>
    <row r="51" spans="1:15" x14ac:dyDescent="0.2">
      <c r="A51" t="s">
        <v>57</v>
      </c>
      <c r="B51" t="s">
        <v>58</v>
      </c>
      <c r="C51">
        <v>15</v>
      </c>
      <c r="D51" t="s">
        <v>17</v>
      </c>
      <c r="E51" t="s">
        <v>17</v>
      </c>
      <c r="F51">
        <v>15</v>
      </c>
      <c r="G51" t="s">
        <v>17</v>
      </c>
      <c r="H51" t="s">
        <v>17</v>
      </c>
      <c r="I51">
        <v>4.2900000000000001E-2</v>
      </c>
      <c r="J51">
        <v>21.682971999999999</v>
      </c>
      <c r="K51">
        <v>9.2999999999999992E-3</v>
      </c>
      <c r="L51" t="s">
        <v>17</v>
      </c>
      <c r="M51">
        <v>440</v>
      </c>
      <c r="N51" t="s">
        <v>18</v>
      </c>
      <c r="O51" t="s">
        <v>110</v>
      </c>
    </row>
    <row r="52" spans="1:15" x14ac:dyDescent="0.2">
      <c r="A52" t="s">
        <v>57</v>
      </c>
      <c r="B52" t="s">
        <v>58</v>
      </c>
      <c r="C52">
        <v>15</v>
      </c>
      <c r="D52" t="s">
        <v>17</v>
      </c>
      <c r="E52" t="s">
        <v>17</v>
      </c>
      <c r="F52">
        <v>15</v>
      </c>
      <c r="G52" t="s">
        <v>17</v>
      </c>
      <c r="H52" t="s">
        <v>17</v>
      </c>
      <c r="I52">
        <v>3.2199999999999999E-2</v>
      </c>
      <c r="J52">
        <v>34.472048999999998</v>
      </c>
      <c r="K52">
        <v>1.11E-2</v>
      </c>
      <c r="L52" t="s">
        <v>17</v>
      </c>
      <c r="M52">
        <v>580</v>
      </c>
      <c r="N52" t="s">
        <v>18</v>
      </c>
      <c r="O52" t="s">
        <v>111</v>
      </c>
    </row>
    <row r="53" spans="1:15" x14ac:dyDescent="0.2">
      <c r="A53" t="s">
        <v>57</v>
      </c>
      <c r="B53" t="s">
        <v>58</v>
      </c>
      <c r="C53">
        <v>16</v>
      </c>
      <c r="D53" t="s">
        <v>17</v>
      </c>
      <c r="E53" t="s">
        <v>17</v>
      </c>
      <c r="F53">
        <v>16</v>
      </c>
      <c r="G53" t="s">
        <v>17</v>
      </c>
      <c r="H53" t="s">
        <v>17</v>
      </c>
      <c r="I53">
        <v>3.3399999999999999E-2</v>
      </c>
      <c r="J53">
        <v>18.263473000000001</v>
      </c>
      <c r="K53">
        <v>6.1000000000000004E-3</v>
      </c>
      <c r="L53" t="s">
        <v>17</v>
      </c>
      <c r="M53">
        <v>440</v>
      </c>
      <c r="N53" t="s">
        <v>18</v>
      </c>
      <c r="O53" t="s">
        <v>112</v>
      </c>
    </row>
    <row r="54" spans="1:15" x14ac:dyDescent="0.2">
      <c r="A54" t="s">
        <v>57</v>
      </c>
      <c r="B54" t="s">
        <v>58</v>
      </c>
      <c r="C54">
        <v>16</v>
      </c>
      <c r="D54" t="s">
        <v>17</v>
      </c>
      <c r="E54" t="s">
        <v>17</v>
      </c>
      <c r="F54">
        <v>16</v>
      </c>
      <c r="G54" t="s">
        <v>17</v>
      </c>
      <c r="H54" t="s">
        <v>17</v>
      </c>
      <c r="I54">
        <v>3.9699999999999999E-2</v>
      </c>
      <c r="J54">
        <v>26.691955</v>
      </c>
      <c r="K54">
        <v>1.06E-2</v>
      </c>
      <c r="L54" t="s">
        <v>17</v>
      </c>
      <c r="M54">
        <v>580</v>
      </c>
      <c r="N54" t="s">
        <v>18</v>
      </c>
      <c r="O54" t="s">
        <v>113</v>
      </c>
    </row>
    <row r="55" spans="1:15" x14ac:dyDescent="0.2">
      <c r="A55" t="s">
        <v>57</v>
      </c>
      <c r="B55" t="s">
        <v>58</v>
      </c>
      <c r="C55">
        <v>17</v>
      </c>
      <c r="D55" t="s">
        <v>17</v>
      </c>
      <c r="E55" t="s">
        <v>17</v>
      </c>
      <c r="F55">
        <v>17</v>
      </c>
      <c r="G55" t="s">
        <v>17</v>
      </c>
      <c r="H55" t="s">
        <v>17</v>
      </c>
      <c r="I55">
        <v>3.2300000000000002E-2</v>
      </c>
      <c r="J55">
        <v>60.681114000000001</v>
      </c>
      <c r="K55">
        <v>1.9599999999999999E-2</v>
      </c>
      <c r="L55" t="s">
        <v>17</v>
      </c>
      <c r="M55">
        <v>440</v>
      </c>
      <c r="N55" t="s">
        <v>18</v>
      </c>
      <c r="O55" t="s">
        <v>114</v>
      </c>
    </row>
    <row r="56" spans="1:15" x14ac:dyDescent="0.2">
      <c r="A56" t="s">
        <v>57</v>
      </c>
      <c r="B56" t="s">
        <v>58</v>
      </c>
      <c r="C56">
        <v>17</v>
      </c>
      <c r="D56" t="s">
        <v>17</v>
      </c>
      <c r="E56" t="s">
        <v>17</v>
      </c>
      <c r="F56">
        <v>17</v>
      </c>
      <c r="G56" t="s">
        <v>17</v>
      </c>
      <c r="H56" t="s">
        <v>17</v>
      </c>
      <c r="I56">
        <v>3.09E-2</v>
      </c>
      <c r="J56">
        <v>43.365665</v>
      </c>
      <c r="K56">
        <v>1.34E-2</v>
      </c>
      <c r="L56" t="s">
        <v>17</v>
      </c>
      <c r="M56">
        <v>580</v>
      </c>
      <c r="N56" t="s">
        <v>18</v>
      </c>
      <c r="O56" t="s">
        <v>115</v>
      </c>
    </row>
    <row r="57" spans="1:15" x14ac:dyDescent="0.2">
      <c r="A57" t="s">
        <v>57</v>
      </c>
      <c r="B57" t="s">
        <v>58</v>
      </c>
      <c r="C57">
        <v>18</v>
      </c>
      <c r="D57" t="s">
        <v>17</v>
      </c>
      <c r="E57" t="s">
        <v>17</v>
      </c>
      <c r="F57">
        <v>18</v>
      </c>
      <c r="G57" t="s">
        <v>17</v>
      </c>
      <c r="H57" t="s">
        <v>17</v>
      </c>
      <c r="I57">
        <v>3.4200000000000001E-2</v>
      </c>
      <c r="J57">
        <v>17.543859999999999</v>
      </c>
      <c r="K57">
        <v>6.0000000000000001E-3</v>
      </c>
      <c r="L57" t="s">
        <v>17</v>
      </c>
      <c r="M57">
        <v>440</v>
      </c>
      <c r="N57" t="s">
        <v>18</v>
      </c>
      <c r="O57" t="s">
        <v>116</v>
      </c>
    </row>
    <row r="58" spans="1:15" x14ac:dyDescent="0.2">
      <c r="A58" t="s">
        <v>57</v>
      </c>
      <c r="B58" t="s">
        <v>58</v>
      </c>
      <c r="C58">
        <v>18</v>
      </c>
      <c r="D58" t="s">
        <v>17</v>
      </c>
      <c r="E58" t="s">
        <v>17</v>
      </c>
      <c r="F58">
        <v>18</v>
      </c>
      <c r="G58" t="s">
        <v>17</v>
      </c>
      <c r="H58" t="s">
        <v>17</v>
      </c>
      <c r="I58">
        <v>2.6700000000000002E-2</v>
      </c>
      <c r="J58">
        <v>49.813000000000002</v>
      </c>
      <c r="K58">
        <v>1.3299999999999999E-2</v>
      </c>
      <c r="L58" t="s">
        <v>17</v>
      </c>
      <c r="M58">
        <v>580</v>
      </c>
      <c r="N58" t="s">
        <v>18</v>
      </c>
      <c r="O58" t="s">
        <v>117</v>
      </c>
    </row>
    <row r="59" spans="1:15" x14ac:dyDescent="0.2">
      <c r="A59" t="s">
        <v>57</v>
      </c>
      <c r="B59" t="s">
        <v>58</v>
      </c>
      <c r="C59">
        <v>19</v>
      </c>
      <c r="D59" t="s">
        <v>17</v>
      </c>
      <c r="E59" t="s">
        <v>17</v>
      </c>
      <c r="F59">
        <v>19</v>
      </c>
      <c r="G59" t="s">
        <v>17</v>
      </c>
      <c r="H59" t="s">
        <v>17</v>
      </c>
      <c r="I59">
        <v>2.2599999999999999E-2</v>
      </c>
      <c r="J59">
        <v>78.318584000000001</v>
      </c>
      <c r="K59">
        <v>1.77E-2</v>
      </c>
      <c r="L59" t="s">
        <v>17</v>
      </c>
      <c r="M59">
        <v>580</v>
      </c>
      <c r="N59" t="s">
        <v>18</v>
      </c>
      <c r="O59" t="s">
        <v>118</v>
      </c>
    </row>
    <row r="60" spans="1:15" x14ac:dyDescent="0.2">
      <c r="A60" t="s">
        <v>57</v>
      </c>
      <c r="B60" t="s">
        <v>58</v>
      </c>
      <c r="C60">
        <v>20</v>
      </c>
      <c r="D60" t="s">
        <v>17</v>
      </c>
      <c r="E60" t="s">
        <v>17</v>
      </c>
      <c r="F60">
        <v>20</v>
      </c>
      <c r="G60" t="s">
        <v>17</v>
      </c>
      <c r="H60" t="s">
        <v>17</v>
      </c>
      <c r="I60">
        <v>2.64E-2</v>
      </c>
      <c r="J60">
        <v>60.984848</v>
      </c>
      <c r="K60">
        <v>1.61E-2</v>
      </c>
      <c r="L60" t="s">
        <v>17</v>
      </c>
      <c r="M60">
        <v>580</v>
      </c>
      <c r="N60" t="s">
        <v>18</v>
      </c>
      <c r="O60" t="s">
        <v>119</v>
      </c>
    </row>
    <row r="61" spans="1:15" x14ac:dyDescent="0.2">
      <c r="A61" t="s">
        <v>57</v>
      </c>
      <c r="B61" t="s">
        <v>58</v>
      </c>
      <c r="C61">
        <v>21</v>
      </c>
      <c r="D61" t="s">
        <v>17</v>
      </c>
      <c r="E61" t="s">
        <v>17</v>
      </c>
      <c r="F61">
        <v>21</v>
      </c>
      <c r="G61" t="s">
        <v>17</v>
      </c>
      <c r="H61" t="s">
        <v>17</v>
      </c>
      <c r="I61">
        <v>3.9899999999999998E-2</v>
      </c>
      <c r="J61">
        <v>23.308271000000001</v>
      </c>
      <c r="K61">
        <v>9.2999999999999992E-3</v>
      </c>
      <c r="L61" t="s">
        <v>17</v>
      </c>
      <c r="M61">
        <v>580</v>
      </c>
      <c r="N61" t="s">
        <v>18</v>
      </c>
      <c r="O61" t="s">
        <v>120</v>
      </c>
    </row>
    <row r="62" spans="1:15" x14ac:dyDescent="0.2">
      <c r="A62" t="s">
        <v>57</v>
      </c>
      <c r="B62" t="s">
        <v>58</v>
      </c>
      <c r="C62">
        <v>22</v>
      </c>
      <c r="D62" t="s">
        <v>17</v>
      </c>
      <c r="E62" t="s">
        <v>17</v>
      </c>
      <c r="F62">
        <v>22</v>
      </c>
      <c r="G62" t="s">
        <v>17</v>
      </c>
      <c r="H62" t="s">
        <v>17</v>
      </c>
      <c r="I62">
        <v>2.01E-2</v>
      </c>
      <c r="J62">
        <v>77.114428000000004</v>
      </c>
      <c r="K62">
        <v>1.55E-2</v>
      </c>
      <c r="L62" t="s">
        <v>17</v>
      </c>
      <c r="M62">
        <v>580</v>
      </c>
      <c r="N62" t="s">
        <v>18</v>
      </c>
      <c r="O62" t="s">
        <v>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E55B7-2AB1-DA44-923C-6468F83F6C96}">
  <dimension ref="A1:O53"/>
  <sheetViews>
    <sheetView workbookViewId="0">
      <selection activeCell="D36" sqref="D3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57</v>
      </c>
      <c r="B2" t="s">
        <v>32</v>
      </c>
      <c r="C2">
        <v>1</v>
      </c>
      <c r="D2" t="s">
        <v>17</v>
      </c>
      <c r="E2" t="s">
        <v>17</v>
      </c>
      <c r="F2">
        <v>1</v>
      </c>
      <c r="G2" t="s">
        <v>17</v>
      </c>
      <c r="H2" t="s">
        <v>17</v>
      </c>
      <c r="I2">
        <v>8.3400000000000002E-2</v>
      </c>
      <c r="J2">
        <v>3.9569999999999999</v>
      </c>
      <c r="K2">
        <v>3.3E-3</v>
      </c>
      <c r="L2" t="s">
        <v>17</v>
      </c>
      <c r="M2">
        <v>296</v>
      </c>
      <c r="N2" t="s">
        <v>201</v>
      </c>
      <c r="O2" t="s">
        <v>656</v>
      </c>
    </row>
    <row r="3" spans="1:15" x14ac:dyDescent="0.2">
      <c r="A3" t="s">
        <v>57</v>
      </c>
      <c r="B3" t="s">
        <v>32</v>
      </c>
      <c r="C3">
        <v>2</v>
      </c>
      <c r="D3" t="s">
        <v>17</v>
      </c>
      <c r="E3" t="s">
        <v>17</v>
      </c>
      <c r="F3">
        <v>2</v>
      </c>
      <c r="G3" t="s">
        <v>17</v>
      </c>
      <c r="H3" t="s">
        <v>17</v>
      </c>
      <c r="I3">
        <v>7.1499999999999994E-2</v>
      </c>
      <c r="J3">
        <v>6.7130000000000001</v>
      </c>
      <c r="K3">
        <v>4.7999999999999996E-3</v>
      </c>
      <c r="L3" t="s">
        <v>17</v>
      </c>
      <c r="M3">
        <v>296</v>
      </c>
      <c r="N3" t="s">
        <v>201</v>
      </c>
      <c r="O3" t="s">
        <v>122</v>
      </c>
    </row>
    <row r="4" spans="1:15" x14ac:dyDescent="0.2">
      <c r="A4" t="s">
        <v>57</v>
      </c>
      <c r="B4" t="s">
        <v>32</v>
      </c>
      <c r="C4">
        <v>3</v>
      </c>
      <c r="D4" t="s">
        <v>17</v>
      </c>
      <c r="E4" t="s">
        <v>17</v>
      </c>
      <c r="F4">
        <v>3</v>
      </c>
      <c r="G4" t="s">
        <v>17</v>
      </c>
      <c r="H4" t="s">
        <v>17</v>
      </c>
      <c r="I4">
        <v>6.2600000000000003E-2</v>
      </c>
      <c r="J4">
        <v>6.7089999999999996</v>
      </c>
      <c r="K4">
        <v>4.1999999999999997E-3</v>
      </c>
      <c r="L4" t="s">
        <v>17</v>
      </c>
      <c r="M4">
        <v>296</v>
      </c>
      <c r="N4" t="s">
        <v>201</v>
      </c>
      <c r="O4" t="s">
        <v>123</v>
      </c>
    </row>
    <row r="5" spans="1:15" x14ac:dyDescent="0.2">
      <c r="A5" t="s">
        <v>57</v>
      </c>
      <c r="B5" t="s">
        <v>32</v>
      </c>
      <c r="C5">
        <v>4</v>
      </c>
      <c r="D5" t="s">
        <v>17</v>
      </c>
      <c r="E5" t="s">
        <v>17</v>
      </c>
      <c r="F5">
        <v>4</v>
      </c>
      <c r="G5" t="s">
        <v>17</v>
      </c>
      <c r="H5" t="s">
        <v>17</v>
      </c>
      <c r="I5">
        <v>6.4100000000000004E-2</v>
      </c>
      <c r="J5">
        <v>4.68</v>
      </c>
      <c r="K5">
        <v>3.0000000000000001E-3</v>
      </c>
      <c r="L5" t="s">
        <v>17</v>
      </c>
      <c r="M5">
        <v>296</v>
      </c>
      <c r="N5" t="s">
        <v>201</v>
      </c>
      <c r="O5" t="s">
        <v>124</v>
      </c>
    </row>
    <row r="6" spans="1:15" x14ac:dyDescent="0.2">
      <c r="A6" t="s">
        <v>57</v>
      </c>
      <c r="B6" t="s">
        <v>32</v>
      </c>
      <c r="C6">
        <v>5</v>
      </c>
      <c r="D6" t="s">
        <v>17</v>
      </c>
      <c r="E6" t="s">
        <v>17</v>
      </c>
      <c r="F6">
        <v>5</v>
      </c>
      <c r="G6" t="s">
        <v>17</v>
      </c>
      <c r="H6" t="s">
        <v>17</v>
      </c>
      <c r="I6">
        <v>6.4299999999999996E-2</v>
      </c>
      <c r="J6">
        <v>6.0650000000000004</v>
      </c>
      <c r="K6">
        <v>3.8999999999999998E-3</v>
      </c>
      <c r="L6" t="s">
        <v>17</v>
      </c>
      <c r="M6">
        <v>296</v>
      </c>
      <c r="N6" t="s">
        <v>201</v>
      </c>
      <c r="O6" t="s">
        <v>125</v>
      </c>
    </row>
    <row r="7" spans="1:15" x14ac:dyDescent="0.2">
      <c r="A7" t="s">
        <v>57</v>
      </c>
      <c r="B7" t="s">
        <v>32</v>
      </c>
      <c r="C7">
        <v>6</v>
      </c>
      <c r="D7" t="s">
        <v>17</v>
      </c>
      <c r="E7" t="s">
        <v>17</v>
      </c>
      <c r="F7">
        <v>6</v>
      </c>
      <c r="G7" t="s">
        <v>17</v>
      </c>
      <c r="H7" t="s">
        <v>17</v>
      </c>
      <c r="I7">
        <v>6.4100000000000004E-2</v>
      </c>
      <c r="J7">
        <v>2.8079999999999998</v>
      </c>
      <c r="K7">
        <v>1.8E-3</v>
      </c>
      <c r="L7" t="s">
        <v>17</v>
      </c>
      <c r="M7">
        <v>296</v>
      </c>
      <c r="N7" t="s">
        <v>201</v>
      </c>
      <c r="O7" t="s">
        <v>126</v>
      </c>
    </row>
    <row r="8" spans="1:15" x14ac:dyDescent="0.2">
      <c r="A8" t="s">
        <v>57</v>
      </c>
      <c r="B8" t="s">
        <v>32</v>
      </c>
      <c r="C8">
        <v>7</v>
      </c>
      <c r="D8" t="s">
        <v>17</v>
      </c>
      <c r="E8" t="s">
        <v>17</v>
      </c>
      <c r="F8">
        <v>7</v>
      </c>
      <c r="G8" t="s">
        <v>17</v>
      </c>
      <c r="H8" t="s">
        <v>17</v>
      </c>
      <c r="I8">
        <v>5.9900000000000002E-2</v>
      </c>
      <c r="J8">
        <v>6.01</v>
      </c>
      <c r="K8">
        <v>3.5999999999999999E-3</v>
      </c>
      <c r="L8" t="s">
        <v>17</v>
      </c>
      <c r="M8">
        <v>296</v>
      </c>
      <c r="N8" t="s">
        <v>201</v>
      </c>
      <c r="O8" t="s">
        <v>127</v>
      </c>
    </row>
    <row r="9" spans="1:15" x14ac:dyDescent="0.2">
      <c r="A9" t="s">
        <v>57</v>
      </c>
      <c r="B9" t="s">
        <v>32</v>
      </c>
      <c r="C9">
        <v>8</v>
      </c>
      <c r="D9" t="s">
        <v>17</v>
      </c>
      <c r="E9" t="s">
        <v>17</v>
      </c>
      <c r="F9">
        <v>8</v>
      </c>
      <c r="G9" t="s">
        <v>17</v>
      </c>
      <c r="H9" t="s">
        <v>17</v>
      </c>
      <c r="I9">
        <v>5.96E-2</v>
      </c>
      <c r="J9">
        <v>5.0339999999999998</v>
      </c>
      <c r="K9">
        <v>3.0000000000000001E-3</v>
      </c>
      <c r="L9" t="s">
        <v>17</v>
      </c>
      <c r="M9">
        <v>296</v>
      </c>
      <c r="N9" t="s">
        <v>201</v>
      </c>
      <c r="O9" t="s">
        <v>128</v>
      </c>
    </row>
    <row r="10" spans="1:15" x14ac:dyDescent="0.2">
      <c r="A10" t="s">
        <v>57</v>
      </c>
      <c r="B10" t="s">
        <v>32</v>
      </c>
      <c r="C10">
        <v>9</v>
      </c>
      <c r="D10" t="s">
        <v>17</v>
      </c>
      <c r="E10" t="s">
        <v>17</v>
      </c>
      <c r="F10">
        <v>9</v>
      </c>
      <c r="G10" t="s">
        <v>17</v>
      </c>
      <c r="H10" t="s">
        <v>17</v>
      </c>
      <c r="I10">
        <v>5.8400000000000001E-2</v>
      </c>
      <c r="J10">
        <v>3.0819999999999999</v>
      </c>
      <c r="K10">
        <v>1.8E-3</v>
      </c>
      <c r="L10" t="s">
        <v>17</v>
      </c>
      <c r="M10">
        <v>296</v>
      </c>
      <c r="N10" t="s">
        <v>201</v>
      </c>
      <c r="O10" t="s">
        <v>129</v>
      </c>
    </row>
    <row r="11" spans="1:15" x14ac:dyDescent="0.2">
      <c r="A11" t="s">
        <v>57</v>
      </c>
      <c r="B11" t="s">
        <v>32</v>
      </c>
      <c r="C11">
        <v>10</v>
      </c>
      <c r="D11" t="s">
        <v>17</v>
      </c>
      <c r="E11" t="s">
        <v>17</v>
      </c>
      <c r="F11">
        <v>10</v>
      </c>
      <c r="G11" t="s">
        <v>17</v>
      </c>
      <c r="H11" t="s">
        <v>17</v>
      </c>
      <c r="I11">
        <v>5.3199999999999997E-2</v>
      </c>
      <c r="J11">
        <v>3.9470000000000001</v>
      </c>
      <c r="K11">
        <v>2.0999999999999999E-3</v>
      </c>
      <c r="L11" t="s">
        <v>17</v>
      </c>
      <c r="M11">
        <v>296</v>
      </c>
      <c r="N11" t="s">
        <v>201</v>
      </c>
      <c r="O11" t="s">
        <v>130</v>
      </c>
    </row>
    <row r="12" spans="1:15" x14ac:dyDescent="0.2">
      <c r="A12" t="s">
        <v>57</v>
      </c>
      <c r="B12" t="s">
        <v>32</v>
      </c>
      <c r="C12">
        <v>12</v>
      </c>
      <c r="D12" t="s">
        <v>17</v>
      </c>
      <c r="E12" t="s">
        <v>17</v>
      </c>
      <c r="F12">
        <v>12</v>
      </c>
      <c r="G12" t="s">
        <v>17</v>
      </c>
      <c r="H12" t="s">
        <v>17</v>
      </c>
      <c r="I12">
        <v>4.9500000000000002E-2</v>
      </c>
      <c r="J12">
        <v>5.4550000000000001</v>
      </c>
      <c r="K12">
        <v>2.7000000000000001E-3</v>
      </c>
      <c r="L12" t="s">
        <v>17</v>
      </c>
      <c r="M12">
        <v>296</v>
      </c>
      <c r="N12" t="s">
        <v>201</v>
      </c>
      <c r="O12" t="s">
        <v>131</v>
      </c>
    </row>
    <row r="13" spans="1:15" x14ac:dyDescent="0.2">
      <c r="A13" t="s">
        <v>57</v>
      </c>
      <c r="B13" t="s">
        <v>32</v>
      </c>
      <c r="C13">
        <v>14</v>
      </c>
      <c r="D13" t="s">
        <v>17</v>
      </c>
      <c r="E13" t="s">
        <v>17</v>
      </c>
      <c r="F13">
        <v>14</v>
      </c>
      <c r="G13" t="s">
        <v>17</v>
      </c>
      <c r="H13" t="s">
        <v>17</v>
      </c>
      <c r="I13">
        <v>4.53E-2</v>
      </c>
      <c r="J13">
        <v>5.298</v>
      </c>
      <c r="K13">
        <v>2.3999999999999998E-3</v>
      </c>
      <c r="L13" t="s">
        <v>17</v>
      </c>
      <c r="M13">
        <v>296</v>
      </c>
      <c r="N13" t="s">
        <v>201</v>
      </c>
      <c r="O13" t="s">
        <v>132</v>
      </c>
    </row>
    <row r="14" spans="1:15" x14ac:dyDescent="0.2">
      <c r="A14" t="s">
        <v>57</v>
      </c>
      <c r="B14" t="s">
        <v>32</v>
      </c>
      <c r="C14">
        <v>16</v>
      </c>
      <c r="D14" t="s">
        <v>17</v>
      </c>
      <c r="E14" t="s">
        <v>17</v>
      </c>
      <c r="F14">
        <v>16</v>
      </c>
      <c r="G14" t="s">
        <v>17</v>
      </c>
      <c r="H14" t="s">
        <v>17</v>
      </c>
      <c r="I14">
        <v>4.02E-2</v>
      </c>
      <c r="J14">
        <v>2.9849999999999999</v>
      </c>
      <c r="K14">
        <v>1.1999999999999999E-3</v>
      </c>
      <c r="L14" t="s">
        <v>17</v>
      </c>
      <c r="M14">
        <v>296</v>
      </c>
      <c r="N14" t="s">
        <v>201</v>
      </c>
      <c r="O14" t="s">
        <v>133</v>
      </c>
    </row>
    <row r="15" spans="1:15" x14ac:dyDescent="0.2">
      <c r="A15" t="s">
        <v>57</v>
      </c>
      <c r="B15" t="s">
        <v>32</v>
      </c>
      <c r="C15">
        <v>1</v>
      </c>
      <c r="D15" t="s">
        <v>17</v>
      </c>
      <c r="E15" t="s">
        <v>17</v>
      </c>
      <c r="F15">
        <v>1</v>
      </c>
      <c r="G15" t="s">
        <v>17</v>
      </c>
      <c r="H15" t="s">
        <v>17</v>
      </c>
      <c r="I15">
        <v>5.5800000000000002E-2</v>
      </c>
      <c r="J15">
        <v>10.755000000000001</v>
      </c>
      <c r="K15">
        <v>6.0000000000000001E-3</v>
      </c>
      <c r="L15" t="s">
        <v>17</v>
      </c>
      <c r="M15">
        <v>427</v>
      </c>
      <c r="N15" t="s">
        <v>201</v>
      </c>
      <c r="O15" t="s">
        <v>134</v>
      </c>
    </row>
    <row r="16" spans="1:15" x14ac:dyDescent="0.2">
      <c r="A16" t="s">
        <v>57</v>
      </c>
      <c r="B16" t="s">
        <v>32</v>
      </c>
      <c r="C16">
        <v>2</v>
      </c>
      <c r="D16" t="s">
        <v>17</v>
      </c>
      <c r="E16" t="s">
        <v>17</v>
      </c>
      <c r="F16">
        <v>2</v>
      </c>
      <c r="G16" t="s">
        <v>17</v>
      </c>
      <c r="H16" t="s">
        <v>17</v>
      </c>
      <c r="I16">
        <v>5.9799999999999999E-2</v>
      </c>
      <c r="J16">
        <v>5.016</v>
      </c>
      <c r="K16">
        <v>3.0000000000000001E-3</v>
      </c>
      <c r="L16" t="s">
        <v>17</v>
      </c>
      <c r="M16">
        <v>427</v>
      </c>
      <c r="N16" t="s">
        <v>201</v>
      </c>
      <c r="O16" t="s">
        <v>135</v>
      </c>
    </row>
    <row r="17" spans="1:15" x14ac:dyDescent="0.2">
      <c r="A17" t="s">
        <v>57</v>
      </c>
      <c r="B17" t="s">
        <v>32</v>
      </c>
      <c r="C17">
        <v>3</v>
      </c>
      <c r="D17" t="s">
        <v>17</v>
      </c>
      <c r="E17" t="s">
        <v>17</v>
      </c>
      <c r="F17">
        <v>3</v>
      </c>
      <c r="G17" t="s">
        <v>17</v>
      </c>
      <c r="H17" t="s">
        <v>17</v>
      </c>
      <c r="I17">
        <v>5.6599999999999998E-2</v>
      </c>
      <c r="J17">
        <v>4.242</v>
      </c>
      <c r="K17">
        <v>2.3999999999999998E-3</v>
      </c>
      <c r="L17" t="s">
        <v>17</v>
      </c>
      <c r="M17">
        <v>427</v>
      </c>
      <c r="N17" t="s">
        <v>201</v>
      </c>
      <c r="O17" t="s">
        <v>136</v>
      </c>
    </row>
    <row r="18" spans="1:15" x14ac:dyDescent="0.2">
      <c r="A18" t="s">
        <v>57</v>
      </c>
      <c r="B18" t="s">
        <v>32</v>
      </c>
      <c r="C18">
        <v>4</v>
      </c>
      <c r="D18" t="s">
        <v>17</v>
      </c>
      <c r="E18" t="s">
        <v>17</v>
      </c>
      <c r="F18">
        <v>4</v>
      </c>
      <c r="G18" t="s">
        <v>17</v>
      </c>
      <c r="H18" t="s">
        <v>17</v>
      </c>
      <c r="I18">
        <v>5.5500000000000001E-2</v>
      </c>
      <c r="J18">
        <v>5.9459999999999997</v>
      </c>
      <c r="K18">
        <v>3.3E-3</v>
      </c>
      <c r="L18" t="s">
        <v>17</v>
      </c>
      <c r="M18">
        <v>427</v>
      </c>
      <c r="N18" t="s">
        <v>201</v>
      </c>
      <c r="O18" t="s">
        <v>137</v>
      </c>
    </row>
    <row r="19" spans="1:15" x14ac:dyDescent="0.2">
      <c r="A19" t="s">
        <v>57</v>
      </c>
      <c r="B19" t="s">
        <v>32</v>
      </c>
      <c r="C19">
        <v>5</v>
      </c>
      <c r="D19" t="s">
        <v>17</v>
      </c>
      <c r="E19" t="s">
        <v>17</v>
      </c>
      <c r="F19">
        <v>5</v>
      </c>
      <c r="G19" t="s">
        <v>17</v>
      </c>
      <c r="H19" t="s">
        <v>17</v>
      </c>
      <c r="I19">
        <v>5.33E-2</v>
      </c>
      <c r="J19">
        <v>5.6269999999999998</v>
      </c>
      <c r="K19">
        <v>3.0000000000000001E-3</v>
      </c>
      <c r="L19" t="s">
        <v>17</v>
      </c>
      <c r="M19">
        <v>427</v>
      </c>
      <c r="N19" t="s">
        <v>201</v>
      </c>
      <c r="O19" t="s">
        <v>138</v>
      </c>
    </row>
    <row r="20" spans="1:15" x14ac:dyDescent="0.2">
      <c r="A20" t="s">
        <v>57</v>
      </c>
      <c r="B20" t="s">
        <v>32</v>
      </c>
      <c r="C20">
        <v>6</v>
      </c>
      <c r="D20" t="s">
        <v>17</v>
      </c>
      <c r="E20" t="s">
        <v>17</v>
      </c>
      <c r="F20">
        <v>6</v>
      </c>
      <c r="G20" t="s">
        <v>17</v>
      </c>
      <c r="H20" t="s">
        <v>17</v>
      </c>
      <c r="I20">
        <v>5.1700000000000003E-2</v>
      </c>
      <c r="J20">
        <v>4.6399999999999997</v>
      </c>
      <c r="K20">
        <v>2.3999999999999998E-3</v>
      </c>
      <c r="L20" t="s">
        <v>17</v>
      </c>
      <c r="M20">
        <v>427</v>
      </c>
      <c r="N20" t="s">
        <v>201</v>
      </c>
      <c r="O20" t="s">
        <v>139</v>
      </c>
    </row>
    <row r="21" spans="1:15" x14ac:dyDescent="0.2">
      <c r="A21" t="s">
        <v>57</v>
      </c>
      <c r="B21" t="s">
        <v>32</v>
      </c>
      <c r="C21">
        <v>7</v>
      </c>
      <c r="D21" t="s">
        <v>17</v>
      </c>
      <c r="E21" t="s">
        <v>17</v>
      </c>
      <c r="F21">
        <v>7</v>
      </c>
      <c r="G21" t="s">
        <v>17</v>
      </c>
      <c r="H21" t="s">
        <v>17</v>
      </c>
      <c r="I21">
        <v>4.8000000000000001E-2</v>
      </c>
      <c r="J21">
        <v>8.75</v>
      </c>
      <c r="K21">
        <v>4.1999999999999997E-3</v>
      </c>
      <c r="L21" t="s">
        <v>17</v>
      </c>
      <c r="M21">
        <v>427</v>
      </c>
      <c r="N21" t="s">
        <v>201</v>
      </c>
      <c r="O21" t="s">
        <v>140</v>
      </c>
    </row>
    <row r="22" spans="1:15" x14ac:dyDescent="0.2">
      <c r="A22" t="s">
        <v>57</v>
      </c>
      <c r="B22" t="s">
        <v>32</v>
      </c>
      <c r="C22">
        <v>8</v>
      </c>
      <c r="D22" t="s">
        <v>17</v>
      </c>
      <c r="E22" t="s">
        <v>17</v>
      </c>
      <c r="F22">
        <v>8</v>
      </c>
      <c r="G22" t="s">
        <v>17</v>
      </c>
      <c r="H22" t="s">
        <v>17</v>
      </c>
      <c r="I22">
        <v>4.8099999999999997E-2</v>
      </c>
      <c r="J22">
        <v>6.2359999999999998</v>
      </c>
      <c r="K22">
        <v>3.0000000000000001E-3</v>
      </c>
      <c r="L22" t="s">
        <v>17</v>
      </c>
      <c r="M22">
        <v>427</v>
      </c>
      <c r="N22" t="s">
        <v>201</v>
      </c>
      <c r="O22" t="s">
        <v>141</v>
      </c>
    </row>
    <row r="23" spans="1:15" x14ac:dyDescent="0.2">
      <c r="A23" t="s">
        <v>57</v>
      </c>
      <c r="B23" t="s">
        <v>32</v>
      </c>
      <c r="C23">
        <v>9</v>
      </c>
      <c r="D23" t="s">
        <v>17</v>
      </c>
      <c r="E23" t="s">
        <v>17</v>
      </c>
      <c r="F23">
        <v>9</v>
      </c>
      <c r="G23" t="s">
        <v>17</v>
      </c>
      <c r="H23" t="s">
        <v>17</v>
      </c>
      <c r="I23">
        <v>4.7100000000000003E-2</v>
      </c>
      <c r="J23">
        <v>5.0940000000000003</v>
      </c>
      <c r="K23">
        <v>2.3999999999999998E-3</v>
      </c>
      <c r="L23" t="s">
        <v>17</v>
      </c>
      <c r="M23">
        <v>427</v>
      </c>
      <c r="N23" t="s">
        <v>201</v>
      </c>
      <c r="O23" t="s">
        <v>142</v>
      </c>
    </row>
    <row r="24" spans="1:15" x14ac:dyDescent="0.2">
      <c r="A24" t="s">
        <v>57</v>
      </c>
      <c r="B24" t="s">
        <v>32</v>
      </c>
      <c r="C24">
        <v>10</v>
      </c>
      <c r="D24" t="s">
        <v>17</v>
      </c>
      <c r="E24" t="s">
        <v>17</v>
      </c>
      <c r="F24">
        <v>10</v>
      </c>
      <c r="G24" t="s">
        <v>17</v>
      </c>
      <c r="H24" t="s">
        <v>17</v>
      </c>
      <c r="I24">
        <v>4.2900000000000001E-2</v>
      </c>
      <c r="J24">
        <v>4.8959999999999999</v>
      </c>
      <c r="K24">
        <v>2.0999999999999999E-3</v>
      </c>
      <c r="L24" t="s">
        <v>17</v>
      </c>
      <c r="M24">
        <v>427</v>
      </c>
      <c r="N24" t="s">
        <v>201</v>
      </c>
      <c r="O24" t="s">
        <v>143</v>
      </c>
    </row>
    <row r="25" spans="1:15" x14ac:dyDescent="0.2">
      <c r="A25" t="s">
        <v>57</v>
      </c>
      <c r="B25" t="s">
        <v>32</v>
      </c>
      <c r="C25">
        <v>12</v>
      </c>
      <c r="D25" t="s">
        <v>17</v>
      </c>
      <c r="E25" t="s">
        <v>17</v>
      </c>
      <c r="F25">
        <v>12</v>
      </c>
      <c r="G25" t="s">
        <v>17</v>
      </c>
      <c r="H25" t="s">
        <v>17</v>
      </c>
      <c r="I25">
        <v>4.1099999999999998E-2</v>
      </c>
      <c r="J25">
        <v>5.8380000000000001</v>
      </c>
      <c r="K25">
        <v>2.3999999999999998E-3</v>
      </c>
      <c r="L25" t="s">
        <v>17</v>
      </c>
      <c r="M25">
        <v>427</v>
      </c>
      <c r="N25" t="s">
        <v>201</v>
      </c>
      <c r="O25" t="s">
        <v>144</v>
      </c>
    </row>
    <row r="26" spans="1:15" x14ac:dyDescent="0.2">
      <c r="A26" t="s">
        <v>57</v>
      </c>
      <c r="B26" t="s">
        <v>32</v>
      </c>
      <c r="C26">
        <v>14</v>
      </c>
      <c r="D26" t="s">
        <v>17</v>
      </c>
      <c r="E26" t="s">
        <v>17</v>
      </c>
      <c r="F26">
        <v>14</v>
      </c>
      <c r="G26" t="s">
        <v>17</v>
      </c>
      <c r="H26" t="s">
        <v>17</v>
      </c>
      <c r="I26">
        <v>3.7400000000000003E-2</v>
      </c>
      <c r="J26">
        <v>4.8120000000000003</v>
      </c>
      <c r="K26">
        <v>1.8E-3</v>
      </c>
      <c r="L26" t="s">
        <v>17</v>
      </c>
      <c r="M26">
        <v>427</v>
      </c>
      <c r="N26" t="s">
        <v>201</v>
      </c>
      <c r="O26" t="s">
        <v>145</v>
      </c>
    </row>
    <row r="27" spans="1:15" x14ac:dyDescent="0.2">
      <c r="A27" t="s">
        <v>57</v>
      </c>
      <c r="B27" t="s">
        <v>32</v>
      </c>
      <c r="C27">
        <v>16</v>
      </c>
      <c r="D27" t="s">
        <v>17</v>
      </c>
      <c r="E27" t="s">
        <v>17</v>
      </c>
      <c r="F27">
        <v>16</v>
      </c>
      <c r="G27" t="s">
        <v>17</v>
      </c>
      <c r="H27" t="s">
        <v>17</v>
      </c>
      <c r="I27">
        <v>3.5799999999999998E-2</v>
      </c>
      <c r="J27">
        <v>8.3800000000000008</v>
      </c>
      <c r="K27">
        <v>3.0000000000000001E-3</v>
      </c>
      <c r="L27" t="s">
        <v>17</v>
      </c>
      <c r="M27">
        <v>427</v>
      </c>
      <c r="N27" t="s">
        <v>201</v>
      </c>
      <c r="O27" t="s">
        <v>146</v>
      </c>
    </row>
    <row r="28" spans="1:15" x14ac:dyDescent="0.2">
      <c r="A28" t="s">
        <v>57</v>
      </c>
      <c r="B28" t="s">
        <v>32</v>
      </c>
      <c r="C28">
        <v>1</v>
      </c>
      <c r="D28" t="s">
        <v>17</v>
      </c>
      <c r="E28" t="s">
        <v>17</v>
      </c>
      <c r="F28">
        <v>1</v>
      </c>
      <c r="G28" t="s">
        <v>17</v>
      </c>
      <c r="H28" t="s">
        <v>17</v>
      </c>
      <c r="I28">
        <v>4.3299999999999998E-2</v>
      </c>
      <c r="J28">
        <v>8.3119999999999994</v>
      </c>
      <c r="K28">
        <v>3.5999999999999999E-3</v>
      </c>
      <c r="L28" t="s">
        <v>17</v>
      </c>
      <c r="M28">
        <v>600</v>
      </c>
      <c r="N28" t="s">
        <v>201</v>
      </c>
      <c r="O28" t="s">
        <v>147</v>
      </c>
    </row>
    <row r="29" spans="1:15" x14ac:dyDescent="0.2">
      <c r="A29" t="s">
        <v>57</v>
      </c>
      <c r="B29" t="s">
        <v>32</v>
      </c>
      <c r="C29">
        <v>2</v>
      </c>
      <c r="D29" t="s">
        <v>17</v>
      </c>
      <c r="E29" t="s">
        <v>17</v>
      </c>
      <c r="F29">
        <v>2</v>
      </c>
      <c r="G29" t="s">
        <v>17</v>
      </c>
      <c r="H29" t="s">
        <v>17</v>
      </c>
      <c r="I29">
        <v>4.6100000000000002E-2</v>
      </c>
      <c r="J29">
        <v>3.2530000000000001</v>
      </c>
      <c r="K29">
        <v>1.5E-3</v>
      </c>
      <c r="L29" t="s">
        <v>17</v>
      </c>
      <c r="M29">
        <v>600</v>
      </c>
      <c r="N29" t="s">
        <v>201</v>
      </c>
      <c r="O29" t="s">
        <v>148</v>
      </c>
    </row>
    <row r="30" spans="1:15" x14ac:dyDescent="0.2">
      <c r="A30" t="s">
        <v>57</v>
      </c>
      <c r="B30" t="s">
        <v>32</v>
      </c>
      <c r="C30">
        <v>3</v>
      </c>
      <c r="D30" t="s">
        <v>17</v>
      </c>
      <c r="E30" t="s">
        <v>17</v>
      </c>
      <c r="F30">
        <v>3</v>
      </c>
      <c r="G30" t="s">
        <v>17</v>
      </c>
      <c r="H30" t="s">
        <v>17</v>
      </c>
      <c r="I30">
        <v>4.4600000000000001E-2</v>
      </c>
      <c r="J30">
        <v>5.3819999999999997</v>
      </c>
      <c r="K30">
        <v>2.3999999999999998E-3</v>
      </c>
      <c r="L30" t="s">
        <v>17</v>
      </c>
      <c r="M30">
        <v>600</v>
      </c>
      <c r="N30" t="s">
        <v>201</v>
      </c>
      <c r="O30" t="s">
        <v>149</v>
      </c>
    </row>
    <row r="31" spans="1:15" x14ac:dyDescent="0.2">
      <c r="A31" t="s">
        <v>57</v>
      </c>
      <c r="B31" t="s">
        <v>32</v>
      </c>
      <c r="C31">
        <v>4</v>
      </c>
      <c r="D31" t="s">
        <v>17</v>
      </c>
      <c r="E31" t="s">
        <v>17</v>
      </c>
      <c r="F31">
        <v>4</v>
      </c>
      <c r="G31" t="s">
        <v>17</v>
      </c>
      <c r="H31" t="s">
        <v>17</v>
      </c>
      <c r="I31">
        <v>4.3099999999999999E-2</v>
      </c>
      <c r="J31">
        <v>2.7839999999999998</v>
      </c>
      <c r="K31">
        <v>1.1999999999999999E-3</v>
      </c>
      <c r="L31" t="s">
        <v>17</v>
      </c>
      <c r="M31">
        <v>600</v>
      </c>
      <c r="N31" t="s">
        <v>201</v>
      </c>
      <c r="O31" t="s">
        <v>150</v>
      </c>
    </row>
    <row r="32" spans="1:15" x14ac:dyDescent="0.2">
      <c r="A32" t="s">
        <v>57</v>
      </c>
      <c r="B32" t="s">
        <v>32</v>
      </c>
      <c r="C32">
        <v>5</v>
      </c>
      <c r="D32" t="s">
        <v>17</v>
      </c>
      <c r="E32" t="s">
        <v>17</v>
      </c>
      <c r="F32">
        <v>5</v>
      </c>
      <c r="G32" t="s">
        <v>17</v>
      </c>
      <c r="H32" t="s">
        <v>17</v>
      </c>
      <c r="I32">
        <v>4.1799999999999997E-2</v>
      </c>
      <c r="J32">
        <v>3.59</v>
      </c>
      <c r="K32">
        <v>1.5E-3</v>
      </c>
      <c r="L32" t="s">
        <v>17</v>
      </c>
      <c r="M32">
        <v>600</v>
      </c>
      <c r="N32" t="s">
        <v>201</v>
      </c>
      <c r="O32" t="s">
        <v>151</v>
      </c>
    </row>
    <row r="33" spans="1:15" x14ac:dyDescent="0.2">
      <c r="A33" t="s">
        <v>57</v>
      </c>
      <c r="B33" t="s">
        <v>32</v>
      </c>
      <c r="C33">
        <v>6</v>
      </c>
      <c r="D33" t="s">
        <v>17</v>
      </c>
      <c r="E33" t="s">
        <v>17</v>
      </c>
      <c r="F33">
        <v>6</v>
      </c>
      <c r="G33" t="s">
        <v>17</v>
      </c>
      <c r="H33" t="s">
        <v>17</v>
      </c>
      <c r="I33">
        <v>4.1099999999999998E-2</v>
      </c>
      <c r="J33">
        <v>2.19</v>
      </c>
      <c r="K33">
        <v>8.9999999999999998E-4</v>
      </c>
      <c r="L33" t="s">
        <v>17</v>
      </c>
      <c r="M33">
        <v>600</v>
      </c>
      <c r="N33" t="s">
        <v>201</v>
      </c>
      <c r="O33" t="s">
        <v>152</v>
      </c>
    </row>
    <row r="34" spans="1:15" x14ac:dyDescent="0.2">
      <c r="A34" t="s">
        <v>57</v>
      </c>
      <c r="B34" t="s">
        <v>32</v>
      </c>
      <c r="C34">
        <v>7</v>
      </c>
      <c r="D34" t="s">
        <v>17</v>
      </c>
      <c r="E34" t="s">
        <v>17</v>
      </c>
      <c r="F34">
        <v>7</v>
      </c>
      <c r="G34" t="s">
        <v>17</v>
      </c>
      <c r="H34" t="s">
        <v>17</v>
      </c>
      <c r="I34">
        <v>4.1200000000000001E-2</v>
      </c>
      <c r="J34">
        <v>2.1840000000000002</v>
      </c>
      <c r="K34">
        <v>8.9999999999999998E-4</v>
      </c>
      <c r="L34" t="s">
        <v>17</v>
      </c>
      <c r="M34">
        <v>600</v>
      </c>
      <c r="N34" t="s">
        <v>201</v>
      </c>
      <c r="O34" t="s">
        <v>153</v>
      </c>
    </row>
    <row r="35" spans="1:15" x14ac:dyDescent="0.2">
      <c r="A35" t="s">
        <v>57</v>
      </c>
      <c r="B35" t="s">
        <v>32</v>
      </c>
      <c r="C35">
        <v>8</v>
      </c>
      <c r="D35" t="s">
        <v>17</v>
      </c>
      <c r="E35" t="s">
        <v>17</v>
      </c>
      <c r="F35">
        <v>8</v>
      </c>
      <c r="G35" t="s">
        <v>17</v>
      </c>
      <c r="H35" t="s">
        <v>17</v>
      </c>
      <c r="I35">
        <v>3.95E-2</v>
      </c>
      <c r="J35">
        <v>3.7970000000000002</v>
      </c>
      <c r="K35">
        <v>1.5E-3</v>
      </c>
      <c r="L35" t="s">
        <v>17</v>
      </c>
      <c r="M35">
        <v>600</v>
      </c>
      <c r="N35" t="s">
        <v>201</v>
      </c>
      <c r="O35" t="s">
        <v>154</v>
      </c>
    </row>
    <row r="36" spans="1:15" x14ac:dyDescent="0.2">
      <c r="A36" t="s">
        <v>57</v>
      </c>
      <c r="B36" t="s">
        <v>32</v>
      </c>
      <c r="C36">
        <v>9</v>
      </c>
      <c r="D36" t="s">
        <v>17</v>
      </c>
      <c r="E36" t="s">
        <v>17</v>
      </c>
      <c r="F36">
        <v>9</v>
      </c>
      <c r="G36" t="s">
        <v>17</v>
      </c>
      <c r="H36" t="s">
        <v>17</v>
      </c>
      <c r="I36">
        <v>4.0399999999999998E-2</v>
      </c>
      <c r="J36">
        <v>3.7130000000000001</v>
      </c>
      <c r="K36">
        <v>1.5E-3</v>
      </c>
      <c r="L36" t="s">
        <v>17</v>
      </c>
      <c r="M36">
        <v>600</v>
      </c>
      <c r="N36" t="s">
        <v>201</v>
      </c>
      <c r="O36" t="s">
        <v>155</v>
      </c>
    </row>
    <row r="37" spans="1:15" x14ac:dyDescent="0.2">
      <c r="A37" t="s">
        <v>57</v>
      </c>
      <c r="B37" t="s">
        <v>32</v>
      </c>
      <c r="C37">
        <v>10</v>
      </c>
      <c r="D37" t="s">
        <v>17</v>
      </c>
      <c r="E37" t="s">
        <v>17</v>
      </c>
      <c r="F37">
        <v>10</v>
      </c>
      <c r="G37" t="s">
        <v>17</v>
      </c>
      <c r="H37" t="s">
        <v>17</v>
      </c>
      <c r="I37">
        <v>3.5799999999999998E-2</v>
      </c>
      <c r="J37">
        <v>3.3519999999999999</v>
      </c>
      <c r="K37">
        <v>1.1999999999999999E-3</v>
      </c>
      <c r="L37" t="s">
        <v>17</v>
      </c>
      <c r="M37">
        <v>600</v>
      </c>
      <c r="N37" t="s">
        <v>201</v>
      </c>
      <c r="O37" t="s">
        <v>156</v>
      </c>
    </row>
    <row r="38" spans="1:15" x14ac:dyDescent="0.2">
      <c r="A38" t="s">
        <v>57</v>
      </c>
      <c r="B38" t="s">
        <v>32</v>
      </c>
      <c r="C38">
        <v>12</v>
      </c>
      <c r="D38" t="s">
        <v>17</v>
      </c>
      <c r="E38" t="s">
        <v>17</v>
      </c>
      <c r="F38">
        <v>12</v>
      </c>
      <c r="G38" t="s">
        <v>17</v>
      </c>
      <c r="H38" t="s">
        <v>17</v>
      </c>
      <c r="I38">
        <v>3.4099999999999998E-2</v>
      </c>
      <c r="J38">
        <v>4.3979999999999997</v>
      </c>
      <c r="K38">
        <v>1.5E-3</v>
      </c>
      <c r="L38" t="s">
        <v>17</v>
      </c>
      <c r="M38">
        <v>600</v>
      </c>
      <c r="N38" t="s">
        <v>201</v>
      </c>
      <c r="O38" t="s">
        <v>157</v>
      </c>
    </row>
    <row r="39" spans="1:15" x14ac:dyDescent="0.2">
      <c r="A39" t="s">
        <v>57</v>
      </c>
      <c r="B39" t="s">
        <v>32</v>
      </c>
      <c r="C39">
        <v>14</v>
      </c>
      <c r="D39" t="s">
        <v>17</v>
      </c>
      <c r="E39" t="s">
        <v>17</v>
      </c>
      <c r="F39">
        <v>14</v>
      </c>
      <c r="G39" t="s">
        <v>17</v>
      </c>
      <c r="H39" t="s">
        <v>17</v>
      </c>
      <c r="I39">
        <v>3.2399999999999998E-2</v>
      </c>
      <c r="J39">
        <v>4.63</v>
      </c>
      <c r="K39">
        <v>1.5E-3</v>
      </c>
      <c r="L39" t="s">
        <v>17</v>
      </c>
      <c r="M39">
        <v>600</v>
      </c>
      <c r="N39" t="s">
        <v>201</v>
      </c>
      <c r="O39" t="s">
        <v>158</v>
      </c>
    </row>
    <row r="40" spans="1:15" x14ac:dyDescent="0.2">
      <c r="A40" t="s">
        <v>57</v>
      </c>
      <c r="B40" t="s">
        <v>32</v>
      </c>
      <c r="C40">
        <v>16</v>
      </c>
      <c r="D40" t="s">
        <v>17</v>
      </c>
      <c r="E40" t="s">
        <v>17</v>
      </c>
      <c r="F40">
        <v>16</v>
      </c>
      <c r="G40" t="s">
        <v>17</v>
      </c>
      <c r="H40" t="s">
        <v>17</v>
      </c>
      <c r="I40">
        <v>2.8899999999999999E-2</v>
      </c>
      <c r="J40">
        <v>5.19</v>
      </c>
      <c r="K40">
        <v>1.5E-3</v>
      </c>
      <c r="L40" t="s">
        <v>17</v>
      </c>
      <c r="M40">
        <v>600</v>
      </c>
      <c r="N40" t="s">
        <v>201</v>
      </c>
      <c r="O40" t="s">
        <v>159</v>
      </c>
    </row>
    <row r="41" spans="1:15" x14ac:dyDescent="0.2">
      <c r="A41" t="s">
        <v>57</v>
      </c>
      <c r="B41" t="s">
        <v>32</v>
      </c>
      <c r="C41">
        <v>1</v>
      </c>
      <c r="D41" t="s">
        <v>17</v>
      </c>
      <c r="E41" t="s">
        <v>17</v>
      </c>
      <c r="F41">
        <v>1</v>
      </c>
      <c r="G41" t="s">
        <v>17</v>
      </c>
      <c r="H41" t="s">
        <v>17</v>
      </c>
      <c r="I41">
        <v>3.56E-2</v>
      </c>
      <c r="J41">
        <v>8.4269999999999996</v>
      </c>
      <c r="K41">
        <v>3.0000000000000001E-3</v>
      </c>
      <c r="L41" t="s">
        <v>17</v>
      </c>
      <c r="M41">
        <v>900</v>
      </c>
      <c r="N41" t="s">
        <v>201</v>
      </c>
      <c r="O41" t="s">
        <v>160</v>
      </c>
    </row>
    <row r="42" spans="1:15" x14ac:dyDescent="0.2">
      <c r="A42" t="s">
        <v>57</v>
      </c>
      <c r="B42" t="s">
        <v>32</v>
      </c>
      <c r="C42">
        <v>2</v>
      </c>
      <c r="D42" t="s">
        <v>17</v>
      </c>
      <c r="E42" t="s">
        <v>17</v>
      </c>
      <c r="F42">
        <v>2</v>
      </c>
      <c r="G42" t="s">
        <v>17</v>
      </c>
      <c r="H42" t="s">
        <v>17</v>
      </c>
      <c r="I42">
        <v>3.5499999999999997E-2</v>
      </c>
      <c r="J42">
        <v>6.7610000000000001</v>
      </c>
      <c r="K42">
        <v>2.3999999999999998E-3</v>
      </c>
      <c r="L42" t="s">
        <v>17</v>
      </c>
      <c r="M42">
        <v>900</v>
      </c>
      <c r="N42" t="s">
        <v>201</v>
      </c>
      <c r="O42" t="s">
        <v>161</v>
      </c>
    </row>
    <row r="43" spans="1:15" x14ac:dyDescent="0.2">
      <c r="A43" t="s">
        <v>57</v>
      </c>
      <c r="B43" t="s">
        <v>32</v>
      </c>
      <c r="C43">
        <v>3</v>
      </c>
      <c r="D43" t="s">
        <v>17</v>
      </c>
      <c r="E43" t="s">
        <v>17</v>
      </c>
      <c r="F43">
        <v>3</v>
      </c>
      <c r="G43" t="s">
        <v>17</v>
      </c>
      <c r="H43" t="s">
        <v>17</v>
      </c>
      <c r="I43">
        <v>3.44E-2</v>
      </c>
      <c r="J43">
        <v>5.2329999999999997</v>
      </c>
      <c r="K43">
        <v>1.8E-3</v>
      </c>
      <c r="L43" t="s">
        <v>17</v>
      </c>
      <c r="M43">
        <v>900</v>
      </c>
      <c r="N43" t="s">
        <v>201</v>
      </c>
      <c r="O43" t="s">
        <v>162</v>
      </c>
    </row>
    <row r="44" spans="1:15" x14ac:dyDescent="0.2">
      <c r="A44" t="s">
        <v>57</v>
      </c>
      <c r="B44" t="s">
        <v>32</v>
      </c>
      <c r="C44">
        <v>4</v>
      </c>
      <c r="D44" t="s">
        <v>17</v>
      </c>
      <c r="E44" t="s">
        <v>17</v>
      </c>
      <c r="F44">
        <v>4</v>
      </c>
      <c r="G44" t="s">
        <v>17</v>
      </c>
      <c r="H44" t="s">
        <v>17</v>
      </c>
      <c r="I44">
        <v>3.5299999999999998E-2</v>
      </c>
      <c r="J44">
        <v>6.7990000000000004</v>
      </c>
      <c r="K44">
        <v>2.3999999999999998E-3</v>
      </c>
      <c r="L44" t="s">
        <v>17</v>
      </c>
      <c r="M44">
        <v>900</v>
      </c>
      <c r="N44" t="s">
        <v>201</v>
      </c>
      <c r="O44" t="s">
        <v>163</v>
      </c>
    </row>
    <row r="45" spans="1:15" x14ac:dyDescent="0.2">
      <c r="A45" t="s">
        <v>57</v>
      </c>
      <c r="B45" t="s">
        <v>32</v>
      </c>
      <c r="C45">
        <v>5</v>
      </c>
      <c r="D45" t="s">
        <v>17</v>
      </c>
      <c r="E45" t="s">
        <v>17</v>
      </c>
      <c r="F45">
        <v>5</v>
      </c>
      <c r="G45" t="s">
        <v>17</v>
      </c>
      <c r="H45" t="s">
        <v>17</v>
      </c>
      <c r="I45">
        <v>3.27E-2</v>
      </c>
      <c r="J45">
        <v>4.5869999999999997</v>
      </c>
      <c r="K45">
        <v>1.5E-3</v>
      </c>
      <c r="L45" t="s">
        <v>17</v>
      </c>
      <c r="M45">
        <v>900</v>
      </c>
      <c r="N45" t="s">
        <v>201</v>
      </c>
      <c r="O45" t="s">
        <v>164</v>
      </c>
    </row>
    <row r="46" spans="1:15" x14ac:dyDescent="0.2">
      <c r="A46" t="s">
        <v>57</v>
      </c>
      <c r="B46" t="s">
        <v>32</v>
      </c>
      <c r="C46">
        <v>6</v>
      </c>
      <c r="D46" t="s">
        <v>17</v>
      </c>
      <c r="E46" t="s">
        <v>17</v>
      </c>
      <c r="F46">
        <v>6</v>
      </c>
      <c r="G46" t="s">
        <v>17</v>
      </c>
      <c r="H46" t="s">
        <v>17</v>
      </c>
      <c r="I46">
        <v>3.1800000000000002E-2</v>
      </c>
      <c r="J46">
        <v>4.7169999999999996</v>
      </c>
      <c r="K46">
        <v>1.5E-3</v>
      </c>
      <c r="L46" t="s">
        <v>17</v>
      </c>
      <c r="M46">
        <v>900</v>
      </c>
      <c r="N46" t="s">
        <v>201</v>
      </c>
      <c r="O46" t="s">
        <v>165</v>
      </c>
    </row>
    <row r="47" spans="1:15" x14ac:dyDescent="0.2">
      <c r="A47" t="s">
        <v>57</v>
      </c>
      <c r="B47" t="s">
        <v>32</v>
      </c>
      <c r="C47">
        <v>7</v>
      </c>
      <c r="D47" t="s">
        <v>17</v>
      </c>
      <c r="E47" t="s">
        <v>17</v>
      </c>
      <c r="F47">
        <v>7</v>
      </c>
      <c r="G47" t="s">
        <v>17</v>
      </c>
      <c r="H47" t="s">
        <v>17</v>
      </c>
      <c r="I47">
        <v>3.1E-2</v>
      </c>
      <c r="J47">
        <v>5.806</v>
      </c>
      <c r="K47">
        <v>1.8E-3</v>
      </c>
      <c r="L47" t="s">
        <v>17</v>
      </c>
      <c r="M47">
        <v>900</v>
      </c>
      <c r="N47" t="s">
        <v>201</v>
      </c>
      <c r="O47" t="s">
        <v>166</v>
      </c>
    </row>
    <row r="48" spans="1:15" x14ac:dyDescent="0.2">
      <c r="A48" t="s">
        <v>57</v>
      </c>
      <c r="B48" t="s">
        <v>32</v>
      </c>
      <c r="C48">
        <v>8</v>
      </c>
      <c r="D48" t="s">
        <v>17</v>
      </c>
      <c r="E48" t="s">
        <v>17</v>
      </c>
      <c r="F48">
        <v>8</v>
      </c>
      <c r="G48" t="s">
        <v>17</v>
      </c>
      <c r="H48" t="s">
        <v>17</v>
      </c>
      <c r="I48">
        <v>2.9899999999999999E-2</v>
      </c>
      <c r="J48">
        <v>4.0129999999999999</v>
      </c>
      <c r="K48">
        <v>1.1999999999999999E-3</v>
      </c>
      <c r="L48" t="s">
        <v>17</v>
      </c>
      <c r="M48">
        <v>900</v>
      </c>
      <c r="N48" t="s">
        <v>201</v>
      </c>
      <c r="O48" t="s">
        <v>167</v>
      </c>
    </row>
    <row r="49" spans="1:15" x14ac:dyDescent="0.2">
      <c r="A49" t="s">
        <v>57</v>
      </c>
      <c r="B49" t="s">
        <v>32</v>
      </c>
      <c r="C49">
        <v>9</v>
      </c>
      <c r="D49" t="s">
        <v>17</v>
      </c>
      <c r="E49" t="s">
        <v>17</v>
      </c>
      <c r="F49">
        <v>9</v>
      </c>
      <c r="G49" t="s">
        <v>17</v>
      </c>
      <c r="H49" t="s">
        <v>17</v>
      </c>
      <c r="I49">
        <v>2.9700000000000001E-2</v>
      </c>
      <c r="J49">
        <v>4.04</v>
      </c>
      <c r="K49">
        <v>1.1999999999999999E-3</v>
      </c>
      <c r="L49" t="s">
        <v>17</v>
      </c>
      <c r="M49">
        <v>900</v>
      </c>
      <c r="N49" t="s">
        <v>201</v>
      </c>
      <c r="O49" t="s">
        <v>168</v>
      </c>
    </row>
    <row r="50" spans="1:15" x14ac:dyDescent="0.2">
      <c r="A50" t="s">
        <v>57</v>
      </c>
      <c r="B50" t="s">
        <v>32</v>
      </c>
      <c r="C50">
        <v>10</v>
      </c>
      <c r="D50" t="s">
        <v>17</v>
      </c>
      <c r="E50" t="s">
        <v>17</v>
      </c>
      <c r="F50">
        <v>10</v>
      </c>
      <c r="G50" t="s">
        <v>17</v>
      </c>
      <c r="H50" t="s">
        <v>17</v>
      </c>
      <c r="I50">
        <v>2.8799999999999999E-2</v>
      </c>
      <c r="J50">
        <v>6.25</v>
      </c>
      <c r="K50">
        <v>1.8E-3</v>
      </c>
      <c r="L50" t="s">
        <v>17</v>
      </c>
      <c r="M50">
        <v>900</v>
      </c>
      <c r="N50" t="s">
        <v>201</v>
      </c>
      <c r="O50" t="s">
        <v>169</v>
      </c>
    </row>
    <row r="51" spans="1:15" x14ac:dyDescent="0.2">
      <c r="A51" t="s">
        <v>57</v>
      </c>
      <c r="B51" t="s">
        <v>32</v>
      </c>
      <c r="C51">
        <v>12</v>
      </c>
      <c r="D51" t="s">
        <v>17</v>
      </c>
      <c r="E51" t="s">
        <v>17</v>
      </c>
      <c r="F51">
        <v>12</v>
      </c>
      <c r="G51" t="s">
        <v>17</v>
      </c>
      <c r="H51" t="s">
        <v>17</v>
      </c>
      <c r="I51">
        <v>2.7300000000000001E-2</v>
      </c>
      <c r="J51">
        <v>6.593</v>
      </c>
      <c r="K51">
        <v>1.8E-3</v>
      </c>
      <c r="L51" t="s">
        <v>17</v>
      </c>
      <c r="M51">
        <v>900</v>
      </c>
      <c r="N51" t="s">
        <v>201</v>
      </c>
      <c r="O51" t="s">
        <v>170</v>
      </c>
    </row>
    <row r="52" spans="1:15" x14ac:dyDescent="0.2">
      <c r="A52" t="s">
        <v>57</v>
      </c>
      <c r="B52" t="s">
        <v>32</v>
      </c>
      <c r="C52">
        <v>14</v>
      </c>
      <c r="D52" t="s">
        <v>17</v>
      </c>
      <c r="E52" t="s">
        <v>17</v>
      </c>
      <c r="F52">
        <v>14</v>
      </c>
      <c r="G52" t="s">
        <v>17</v>
      </c>
      <c r="H52" t="s">
        <v>17</v>
      </c>
      <c r="I52">
        <v>2.64E-2</v>
      </c>
      <c r="J52">
        <v>6.8179999999999996</v>
      </c>
      <c r="K52">
        <v>1.8E-3</v>
      </c>
      <c r="L52" t="s">
        <v>17</v>
      </c>
      <c r="M52">
        <v>900</v>
      </c>
      <c r="N52" t="s">
        <v>201</v>
      </c>
      <c r="O52" t="s">
        <v>171</v>
      </c>
    </row>
    <row r="53" spans="1:15" x14ac:dyDescent="0.2">
      <c r="A53" t="s">
        <v>57</v>
      </c>
      <c r="B53" t="s">
        <v>32</v>
      </c>
      <c r="C53">
        <v>16</v>
      </c>
      <c r="D53" t="s">
        <v>17</v>
      </c>
      <c r="E53" t="s">
        <v>17</v>
      </c>
      <c r="F53">
        <v>16</v>
      </c>
      <c r="G53" t="s">
        <v>17</v>
      </c>
      <c r="H53" t="s">
        <v>17</v>
      </c>
      <c r="I53">
        <v>2.5000000000000001E-2</v>
      </c>
      <c r="J53">
        <v>3.2</v>
      </c>
      <c r="K53">
        <v>8.0000000000000004E-4</v>
      </c>
      <c r="L53" t="s">
        <v>17</v>
      </c>
      <c r="M53">
        <v>900</v>
      </c>
      <c r="N53" t="s">
        <v>201</v>
      </c>
      <c r="O53"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ABAF-2C06-6D4A-B4F3-4D165E9C9CFB}">
  <dimension ref="A1:O27"/>
  <sheetViews>
    <sheetView workbookViewId="0">
      <selection activeCell="J15" sqref="J15"/>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57</v>
      </c>
      <c r="B2" t="s">
        <v>173</v>
      </c>
      <c r="C2">
        <v>0</v>
      </c>
      <c r="D2" t="s">
        <v>17</v>
      </c>
      <c r="E2" t="s">
        <v>17</v>
      </c>
      <c r="F2">
        <v>0</v>
      </c>
      <c r="G2" t="s">
        <v>17</v>
      </c>
      <c r="H2" t="s">
        <v>17</v>
      </c>
      <c r="I2">
        <v>1.8069999999999999E-2</v>
      </c>
      <c r="J2">
        <v>7.69</v>
      </c>
      <c r="K2">
        <v>1.39E-3</v>
      </c>
      <c r="L2" t="s">
        <v>17</v>
      </c>
      <c r="M2">
        <v>295</v>
      </c>
      <c r="N2" t="s">
        <v>18</v>
      </c>
      <c r="O2" t="s">
        <v>174</v>
      </c>
    </row>
    <row r="3" spans="1:15" x14ac:dyDescent="0.2">
      <c r="A3" t="s">
        <v>57</v>
      </c>
      <c r="B3" t="s">
        <v>173</v>
      </c>
      <c r="C3">
        <v>1</v>
      </c>
      <c r="D3" t="s">
        <v>17</v>
      </c>
      <c r="E3" t="s">
        <v>17</v>
      </c>
      <c r="F3">
        <v>1</v>
      </c>
      <c r="G3" t="s">
        <v>17</v>
      </c>
      <c r="H3" t="s">
        <v>17</v>
      </c>
      <c r="I3">
        <v>1.668E-2</v>
      </c>
      <c r="J3">
        <v>8.33</v>
      </c>
      <c r="K3">
        <v>1.39E-3</v>
      </c>
      <c r="L3" t="s">
        <v>17</v>
      </c>
      <c r="M3">
        <v>295</v>
      </c>
      <c r="N3" t="s">
        <v>18</v>
      </c>
      <c r="O3" t="s">
        <v>175</v>
      </c>
    </row>
    <row r="4" spans="1:15" x14ac:dyDescent="0.2">
      <c r="A4" t="s">
        <v>57</v>
      </c>
      <c r="B4" t="s">
        <v>173</v>
      </c>
      <c r="C4">
        <v>2</v>
      </c>
      <c r="D4" t="s">
        <v>17</v>
      </c>
      <c r="E4" t="s">
        <v>17</v>
      </c>
      <c r="F4">
        <v>2</v>
      </c>
      <c r="G4" t="s">
        <v>17</v>
      </c>
      <c r="H4" t="s">
        <v>17</v>
      </c>
      <c r="I4">
        <v>1.738E-2</v>
      </c>
      <c r="J4">
        <v>8</v>
      </c>
      <c r="K4">
        <v>1.39E-3</v>
      </c>
      <c r="L4" t="s">
        <v>17</v>
      </c>
      <c r="M4">
        <v>295</v>
      </c>
      <c r="N4" t="s">
        <v>18</v>
      </c>
      <c r="O4" t="s">
        <v>176</v>
      </c>
    </row>
    <row r="5" spans="1:15" x14ac:dyDescent="0.2">
      <c r="A5" t="s">
        <v>57</v>
      </c>
      <c r="B5" t="s">
        <v>173</v>
      </c>
      <c r="C5">
        <v>3</v>
      </c>
      <c r="D5" t="s">
        <v>17</v>
      </c>
      <c r="E5" t="s">
        <v>17</v>
      </c>
      <c r="F5">
        <v>3</v>
      </c>
      <c r="G5" t="s">
        <v>17</v>
      </c>
      <c r="H5" t="s">
        <v>17</v>
      </c>
      <c r="I5">
        <v>1.7229999999999999E-2</v>
      </c>
      <c r="J5">
        <v>8.07</v>
      </c>
      <c r="K5">
        <v>1.39E-3</v>
      </c>
      <c r="L5" t="s">
        <v>17</v>
      </c>
      <c r="M5">
        <v>295</v>
      </c>
      <c r="N5" t="s">
        <v>18</v>
      </c>
      <c r="O5" t="s">
        <v>177</v>
      </c>
    </row>
    <row r="6" spans="1:15" x14ac:dyDescent="0.2">
      <c r="A6" t="s">
        <v>57</v>
      </c>
      <c r="B6" t="s">
        <v>173</v>
      </c>
      <c r="C6">
        <v>4</v>
      </c>
      <c r="D6" t="s">
        <v>17</v>
      </c>
      <c r="E6" t="s">
        <v>17</v>
      </c>
      <c r="F6">
        <v>4</v>
      </c>
      <c r="G6" t="s">
        <v>17</v>
      </c>
      <c r="H6" t="s">
        <v>17</v>
      </c>
      <c r="I6">
        <v>1.7080000000000001E-2</v>
      </c>
      <c r="J6">
        <v>8.14</v>
      </c>
      <c r="K6">
        <v>1.39E-3</v>
      </c>
      <c r="L6" t="s">
        <v>17</v>
      </c>
      <c r="M6">
        <v>295</v>
      </c>
      <c r="N6" t="s">
        <v>18</v>
      </c>
      <c r="O6" t="s">
        <v>178</v>
      </c>
    </row>
    <row r="7" spans="1:15" x14ac:dyDescent="0.2">
      <c r="A7" t="s">
        <v>57</v>
      </c>
      <c r="B7" t="s">
        <v>173</v>
      </c>
      <c r="C7">
        <v>5</v>
      </c>
      <c r="D7" t="s">
        <v>17</v>
      </c>
      <c r="E7" t="s">
        <v>17</v>
      </c>
      <c r="F7">
        <v>5</v>
      </c>
      <c r="G7" t="s">
        <v>17</v>
      </c>
      <c r="H7" t="s">
        <v>17</v>
      </c>
      <c r="I7">
        <v>1.6920000000000001E-2</v>
      </c>
      <c r="J7">
        <v>8.2100000000000009</v>
      </c>
      <c r="K7">
        <v>1.39E-3</v>
      </c>
      <c r="L7" t="s">
        <v>17</v>
      </c>
      <c r="M7">
        <v>295</v>
      </c>
      <c r="N7" t="s">
        <v>18</v>
      </c>
      <c r="O7" t="s">
        <v>178</v>
      </c>
    </row>
    <row r="8" spans="1:15" x14ac:dyDescent="0.2">
      <c r="A8" t="s">
        <v>57</v>
      </c>
      <c r="B8" t="s">
        <v>173</v>
      </c>
      <c r="C8">
        <v>6</v>
      </c>
      <c r="D8" t="s">
        <v>17</v>
      </c>
      <c r="E8" t="s">
        <v>17</v>
      </c>
      <c r="F8">
        <v>6</v>
      </c>
      <c r="G8" t="s">
        <v>17</v>
      </c>
      <c r="H8" t="s">
        <v>17</v>
      </c>
      <c r="I8">
        <v>1.677E-2</v>
      </c>
      <c r="J8">
        <v>8.2899999999999991</v>
      </c>
      <c r="K8">
        <v>1.39E-3</v>
      </c>
      <c r="L8" t="s">
        <v>17</v>
      </c>
      <c r="M8">
        <v>295</v>
      </c>
      <c r="N8" t="s">
        <v>18</v>
      </c>
      <c r="O8" t="s">
        <v>178</v>
      </c>
    </row>
    <row r="9" spans="1:15" x14ac:dyDescent="0.2">
      <c r="A9" t="s">
        <v>57</v>
      </c>
      <c r="B9" t="s">
        <v>173</v>
      </c>
      <c r="C9">
        <v>7</v>
      </c>
      <c r="D9" t="s">
        <v>17</v>
      </c>
      <c r="E9" t="s">
        <v>17</v>
      </c>
      <c r="F9">
        <v>7</v>
      </c>
      <c r="G9" t="s">
        <v>17</v>
      </c>
      <c r="H9" t="s">
        <v>17</v>
      </c>
      <c r="I9">
        <v>1.6619999999999999E-2</v>
      </c>
      <c r="J9">
        <v>8.3699999999999992</v>
      </c>
      <c r="K9">
        <v>1.39E-3</v>
      </c>
      <c r="L9" t="s">
        <v>17</v>
      </c>
      <c r="M9">
        <v>295</v>
      </c>
      <c r="N9" t="s">
        <v>18</v>
      </c>
      <c r="O9" t="s">
        <v>178</v>
      </c>
    </row>
    <row r="10" spans="1:15" x14ac:dyDescent="0.2">
      <c r="A10" t="s">
        <v>57</v>
      </c>
      <c r="B10" t="s">
        <v>173</v>
      </c>
      <c r="C10">
        <v>8</v>
      </c>
      <c r="D10" t="s">
        <v>17</v>
      </c>
      <c r="E10" t="s">
        <v>17</v>
      </c>
      <c r="F10">
        <v>8</v>
      </c>
      <c r="G10" t="s">
        <v>17</v>
      </c>
      <c r="H10" t="s">
        <v>17</v>
      </c>
      <c r="I10">
        <v>1.6459999999999999E-2</v>
      </c>
      <c r="J10">
        <v>8.44</v>
      </c>
      <c r="K10">
        <v>1.39E-3</v>
      </c>
      <c r="L10" t="s">
        <v>17</v>
      </c>
      <c r="M10">
        <v>295</v>
      </c>
      <c r="N10" t="s">
        <v>18</v>
      </c>
      <c r="O10" t="s">
        <v>178</v>
      </c>
    </row>
    <row r="11" spans="1:15" x14ac:dyDescent="0.2">
      <c r="A11" t="s">
        <v>57</v>
      </c>
      <c r="B11" t="s">
        <v>173</v>
      </c>
      <c r="C11">
        <v>9</v>
      </c>
      <c r="D11" t="s">
        <v>17</v>
      </c>
      <c r="E11" t="s">
        <v>17</v>
      </c>
      <c r="F11">
        <v>9</v>
      </c>
      <c r="G11" t="s">
        <v>17</v>
      </c>
      <c r="H11" t="s">
        <v>17</v>
      </c>
      <c r="I11">
        <v>1.6310000000000002E-2</v>
      </c>
      <c r="J11">
        <v>8.52</v>
      </c>
      <c r="K11">
        <v>1.39E-3</v>
      </c>
      <c r="L11" t="s">
        <v>17</v>
      </c>
      <c r="M11">
        <v>295</v>
      </c>
      <c r="N11" t="s">
        <v>18</v>
      </c>
      <c r="O11" t="s">
        <v>178</v>
      </c>
    </row>
    <row r="12" spans="1:15" x14ac:dyDescent="0.2">
      <c r="A12" t="s">
        <v>57</v>
      </c>
      <c r="B12" t="s">
        <v>173</v>
      </c>
      <c r="C12">
        <v>10</v>
      </c>
      <c r="D12" t="s">
        <v>17</v>
      </c>
      <c r="E12" t="s">
        <v>17</v>
      </c>
      <c r="F12">
        <v>10</v>
      </c>
      <c r="G12" t="s">
        <v>17</v>
      </c>
      <c r="H12" t="s">
        <v>17</v>
      </c>
      <c r="I12">
        <v>1.6160000000000001E-2</v>
      </c>
      <c r="J12">
        <v>8.6</v>
      </c>
      <c r="K12">
        <v>1.39E-3</v>
      </c>
      <c r="L12" t="s">
        <v>17</v>
      </c>
      <c r="M12">
        <v>295</v>
      </c>
      <c r="N12" t="s">
        <v>18</v>
      </c>
      <c r="O12" t="s">
        <v>178</v>
      </c>
    </row>
    <row r="13" spans="1:15" x14ac:dyDescent="0.2">
      <c r="A13" t="s">
        <v>57</v>
      </c>
      <c r="B13" t="s">
        <v>173</v>
      </c>
      <c r="C13">
        <v>11</v>
      </c>
      <c r="D13" t="s">
        <v>17</v>
      </c>
      <c r="E13" t="s">
        <v>17</v>
      </c>
      <c r="F13">
        <v>11</v>
      </c>
      <c r="G13" t="s">
        <v>17</v>
      </c>
      <c r="H13" t="s">
        <v>17</v>
      </c>
      <c r="I13">
        <v>1.602E-2</v>
      </c>
      <c r="J13">
        <v>8.68</v>
      </c>
      <c r="K13">
        <v>1.39E-3</v>
      </c>
      <c r="L13" t="s">
        <v>17</v>
      </c>
      <c r="M13">
        <v>295</v>
      </c>
      <c r="N13" t="s">
        <v>18</v>
      </c>
      <c r="O13" t="s">
        <v>178</v>
      </c>
    </row>
    <row r="14" spans="1:15" x14ac:dyDescent="0.2">
      <c r="A14" t="s">
        <v>57</v>
      </c>
      <c r="B14" t="s">
        <v>173</v>
      </c>
      <c r="C14">
        <v>12</v>
      </c>
      <c r="D14" t="s">
        <v>17</v>
      </c>
      <c r="E14" t="s">
        <v>17</v>
      </c>
      <c r="F14">
        <v>12</v>
      </c>
      <c r="G14" t="s">
        <v>17</v>
      </c>
      <c r="H14" t="s">
        <v>17</v>
      </c>
      <c r="I14">
        <v>1.5869999999999999E-2</v>
      </c>
      <c r="J14">
        <v>8.76</v>
      </c>
      <c r="K14">
        <v>1.39E-3</v>
      </c>
      <c r="L14" t="s">
        <v>17</v>
      </c>
      <c r="M14">
        <v>295</v>
      </c>
      <c r="N14" t="s">
        <v>18</v>
      </c>
      <c r="O14" t="s">
        <v>178</v>
      </c>
    </row>
    <row r="15" spans="1:15" x14ac:dyDescent="0.2">
      <c r="A15" t="s">
        <v>57</v>
      </c>
      <c r="B15" t="s">
        <v>173</v>
      </c>
      <c r="C15">
        <v>13</v>
      </c>
      <c r="D15" t="s">
        <v>17</v>
      </c>
      <c r="E15" t="s">
        <v>17</v>
      </c>
      <c r="F15">
        <v>13</v>
      </c>
      <c r="G15" t="s">
        <v>17</v>
      </c>
      <c r="H15" t="s">
        <v>17</v>
      </c>
      <c r="I15">
        <v>1.5720000000000001E-2</v>
      </c>
      <c r="J15">
        <v>8.85</v>
      </c>
      <c r="K15">
        <v>1.39E-3</v>
      </c>
      <c r="L15" t="s">
        <v>17</v>
      </c>
      <c r="M15">
        <v>295</v>
      </c>
      <c r="N15" t="s">
        <v>18</v>
      </c>
      <c r="O15" t="s">
        <v>178</v>
      </c>
    </row>
    <row r="16" spans="1:15" x14ac:dyDescent="0.2">
      <c r="A16" t="s">
        <v>57</v>
      </c>
      <c r="B16" t="s">
        <v>173</v>
      </c>
      <c r="C16">
        <v>14</v>
      </c>
      <c r="D16" t="s">
        <v>17</v>
      </c>
      <c r="E16" t="s">
        <v>17</v>
      </c>
      <c r="F16">
        <v>14</v>
      </c>
      <c r="G16" t="s">
        <v>17</v>
      </c>
      <c r="H16" t="s">
        <v>17</v>
      </c>
      <c r="I16">
        <v>1.5570000000000001E-2</v>
      </c>
      <c r="J16">
        <v>8.94</v>
      </c>
      <c r="K16">
        <v>1.39E-3</v>
      </c>
      <c r="L16" t="s">
        <v>17</v>
      </c>
      <c r="M16">
        <v>295</v>
      </c>
      <c r="N16" t="s">
        <v>18</v>
      </c>
      <c r="O16" t="s">
        <v>178</v>
      </c>
    </row>
    <row r="17" spans="1:15" x14ac:dyDescent="0.2">
      <c r="A17" t="s">
        <v>57</v>
      </c>
      <c r="B17" t="s">
        <v>173</v>
      </c>
      <c r="C17">
        <v>15</v>
      </c>
      <c r="D17" t="s">
        <v>17</v>
      </c>
      <c r="E17" t="s">
        <v>17</v>
      </c>
      <c r="F17">
        <v>15</v>
      </c>
      <c r="G17" t="s">
        <v>17</v>
      </c>
      <c r="H17" t="s">
        <v>17</v>
      </c>
      <c r="I17">
        <v>1.542E-2</v>
      </c>
      <c r="J17">
        <v>9.02</v>
      </c>
      <c r="K17">
        <v>1.39E-3</v>
      </c>
      <c r="L17" t="s">
        <v>17</v>
      </c>
      <c r="M17">
        <v>295</v>
      </c>
      <c r="N17" t="s">
        <v>18</v>
      </c>
      <c r="O17" t="s">
        <v>178</v>
      </c>
    </row>
    <row r="18" spans="1:15" x14ac:dyDescent="0.2">
      <c r="A18" t="s">
        <v>57</v>
      </c>
      <c r="B18" t="s">
        <v>173</v>
      </c>
      <c r="C18">
        <v>16</v>
      </c>
      <c r="D18" t="s">
        <v>17</v>
      </c>
      <c r="E18" t="s">
        <v>17</v>
      </c>
      <c r="F18">
        <v>16</v>
      </c>
      <c r="G18" t="s">
        <v>17</v>
      </c>
      <c r="H18" t="s">
        <v>17</v>
      </c>
      <c r="I18">
        <v>1.5270000000000001E-2</v>
      </c>
      <c r="J18">
        <v>9.1199999999999992</v>
      </c>
      <c r="K18">
        <v>1.39E-3</v>
      </c>
      <c r="L18" t="s">
        <v>17</v>
      </c>
      <c r="M18">
        <v>295</v>
      </c>
      <c r="N18" t="s">
        <v>18</v>
      </c>
      <c r="O18" t="s">
        <v>178</v>
      </c>
    </row>
    <row r="19" spans="1:15" x14ac:dyDescent="0.2">
      <c r="A19" t="s">
        <v>57</v>
      </c>
      <c r="B19" t="s">
        <v>173</v>
      </c>
      <c r="C19">
        <v>17</v>
      </c>
      <c r="D19" t="s">
        <v>17</v>
      </c>
      <c r="E19" t="s">
        <v>17</v>
      </c>
      <c r="F19">
        <v>17</v>
      </c>
      <c r="G19" t="s">
        <v>17</v>
      </c>
      <c r="H19" t="s">
        <v>17</v>
      </c>
      <c r="I19">
        <v>1.512E-2</v>
      </c>
      <c r="J19">
        <v>9.19</v>
      </c>
      <c r="K19">
        <v>1.39E-3</v>
      </c>
      <c r="L19" t="s">
        <v>17</v>
      </c>
      <c r="M19">
        <v>295</v>
      </c>
      <c r="N19" t="s">
        <v>18</v>
      </c>
      <c r="O19" t="s">
        <v>178</v>
      </c>
    </row>
    <row r="20" spans="1:15" x14ac:dyDescent="0.2">
      <c r="A20" t="s">
        <v>57</v>
      </c>
      <c r="B20" t="s">
        <v>173</v>
      </c>
      <c r="C20">
        <v>18</v>
      </c>
      <c r="D20" t="s">
        <v>17</v>
      </c>
      <c r="E20" t="s">
        <v>17</v>
      </c>
      <c r="F20">
        <v>18</v>
      </c>
      <c r="G20" t="s">
        <v>17</v>
      </c>
      <c r="H20" t="s">
        <v>17</v>
      </c>
      <c r="I20">
        <v>1.4970000000000001E-2</v>
      </c>
      <c r="J20">
        <v>9.3000000000000007</v>
      </c>
      <c r="K20">
        <v>1.39E-3</v>
      </c>
      <c r="L20" t="s">
        <v>17</v>
      </c>
      <c r="M20">
        <v>295</v>
      </c>
      <c r="N20" t="s">
        <v>18</v>
      </c>
      <c r="O20" t="s">
        <v>178</v>
      </c>
    </row>
    <row r="21" spans="1:15" x14ac:dyDescent="0.2">
      <c r="A21" t="s">
        <v>57</v>
      </c>
      <c r="B21" t="s">
        <v>173</v>
      </c>
      <c r="C21">
        <v>19</v>
      </c>
      <c r="D21" t="s">
        <v>17</v>
      </c>
      <c r="E21" t="s">
        <v>17</v>
      </c>
      <c r="F21">
        <v>19</v>
      </c>
      <c r="G21" t="s">
        <v>17</v>
      </c>
      <c r="H21" t="s">
        <v>17</v>
      </c>
      <c r="I21">
        <v>1.4829999999999999E-2</v>
      </c>
      <c r="J21">
        <v>9.39</v>
      </c>
      <c r="K21">
        <v>1.39E-3</v>
      </c>
      <c r="L21" t="s">
        <v>17</v>
      </c>
      <c r="M21">
        <v>295</v>
      </c>
      <c r="N21" t="s">
        <v>18</v>
      </c>
      <c r="O21" t="s">
        <v>178</v>
      </c>
    </row>
    <row r="22" spans="1:15" x14ac:dyDescent="0.2">
      <c r="A22" t="s">
        <v>57</v>
      </c>
      <c r="B22" t="s">
        <v>173</v>
      </c>
      <c r="C22">
        <v>20</v>
      </c>
      <c r="D22" t="s">
        <v>17</v>
      </c>
      <c r="E22" t="s">
        <v>17</v>
      </c>
      <c r="F22">
        <v>20</v>
      </c>
      <c r="G22" t="s">
        <v>17</v>
      </c>
      <c r="H22" t="s">
        <v>17</v>
      </c>
      <c r="I22">
        <v>1.468E-2</v>
      </c>
      <c r="J22">
        <v>9.48</v>
      </c>
      <c r="K22">
        <v>1.39E-3</v>
      </c>
      <c r="L22" t="s">
        <v>17</v>
      </c>
      <c r="M22">
        <v>295</v>
      </c>
      <c r="N22" t="s">
        <v>18</v>
      </c>
      <c r="O22" t="s">
        <v>178</v>
      </c>
    </row>
    <row r="23" spans="1:15" x14ac:dyDescent="0.2">
      <c r="A23" t="s">
        <v>57</v>
      </c>
      <c r="B23" t="s">
        <v>173</v>
      </c>
      <c r="C23">
        <v>21</v>
      </c>
      <c r="D23" t="s">
        <v>17</v>
      </c>
      <c r="E23" t="s">
        <v>17</v>
      </c>
      <c r="F23">
        <v>21</v>
      </c>
      <c r="G23" t="s">
        <v>17</v>
      </c>
      <c r="H23" t="s">
        <v>17</v>
      </c>
      <c r="I23">
        <v>1.453E-2</v>
      </c>
      <c r="J23">
        <v>9.59</v>
      </c>
      <c r="K23">
        <v>1.39E-3</v>
      </c>
      <c r="L23" t="s">
        <v>17</v>
      </c>
      <c r="M23">
        <v>295</v>
      </c>
      <c r="N23" t="s">
        <v>18</v>
      </c>
      <c r="O23" t="s">
        <v>178</v>
      </c>
    </row>
    <row r="24" spans="1:15" x14ac:dyDescent="0.2">
      <c r="A24" t="s">
        <v>57</v>
      </c>
      <c r="B24" t="s">
        <v>173</v>
      </c>
      <c r="C24">
        <v>22</v>
      </c>
      <c r="D24" t="s">
        <v>17</v>
      </c>
      <c r="E24" t="s">
        <v>17</v>
      </c>
      <c r="F24">
        <v>22</v>
      </c>
      <c r="G24" t="s">
        <v>17</v>
      </c>
      <c r="H24" t="s">
        <v>17</v>
      </c>
      <c r="I24">
        <v>1.438E-2</v>
      </c>
      <c r="J24">
        <v>9.68</v>
      </c>
      <c r="K24">
        <v>1.39E-3</v>
      </c>
      <c r="L24" t="s">
        <v>17</v>
      </c>
      <c r="M24">
        <v>295</v>
      </c>
      <c r="N24" t="s">
        <v>18</v>
      </c>
      <c r="O24" t="s">
        <v>178</v>
      </c>
    </row>
    <row r="25" spans="1:15" x14ac:dyDescent="0.2">
      <c r="A25" t="s">
        <v>57</v>
      </c>
      <c r="B25" t="s">
        <v>173</v>
      </c>
      <c r="C25">
        <v>23</v>
      </c>
      <c r="D25" t="s">
        <v>17</v>
      </c>
      <c r="E25" t="s">
        <v>17</v>
      </c>
      <c r="F25">
        <v>23</v>
      </c>
      <c r="G25" t="s">
        <v>17</v>
      </c>
      <c r="H25" t="s">
        <v>17</v>
      </c>
      <c r="I25">
        <v>1.423E-2</v>
      </c>
      <c r="J25">
        <v>9.7899999999999991</v>
      </c>
      <c r="K25">
        <v>1.39E-3</v>
      </c>
      <c r="L25" t="s">
        <v>17</v>
      </c>
      <c r="M25">
        <v>295</v>
      </c>
      <c r="N25" t="s">
        <v>18</v>
      </c>
      <c r="O25" t="s">
        <v>178</v>
      </c>
    </row>
    <row r="26" spans="1:15" x14ac:dyDescent="0.2">
      <c r="A26" t="s">
        <v>57</v>
      </c>
      <c r="B26" t="s">
        <v>173</v>
      </c>
      <c r="C26">
        <v>24</v>
      </c>
      <c r="D26" t="s">
        <v>17</v>
      </c>
      <c r="E26" t="s">
        <v>17</v>
      </c>
      <c r="F26">
        <v>24</v>
      </c>
      <c r="G26" t="s">
        <v>17</v>
      </c>
      <c r="H26" t="s">
        <v>17</v>
      </c>
      <c r="I26">
        <v>1.4069999999999999E-2</v>
      </c>
      <c r="J26">
        <v>9.9</v>
      </c>
      <c r="K26">
        <v>1.39E-3</v>
      </c>
      <c r="L26" t="s">
        <v>17</v>
      </c>
      <c r="M26">
        <v>295</v>
      </c>
      <c r="N26" t="s">
        <v>18</v>
      </c>
      <c r="O26" t="s">
        <v>178</v>
      </c>
    </row>
    <row r="27" spans="1:15" x14ac:dyDescent="0.2">
      <c r="A27" t="s">
        <v>57</v>
      </c>
      <c r="B27" t="s">
        <v>173</v>
      </c>
      <c r="C27">
        <v>25</v>
      </c>
      <c r="D27" t="s">
        <v>17</v>
      </c>
      <c r="E27" t="s">
        <v>17</v>
      </c>
      <c r="F27">
        <v>25</v>
      </c>
      <c r="G27" t="s">
        <v>17</v>
      </c>
      <c r="H27" t="s">
        <v>17</v>
      </c>
      <c r="I27">
        <v>1.3899999999999999E-2</v>
      </c>
      <c r="J27">
        <v>10</v>
      </c>
      <c r="K27">
        <v>1.39E-3</v>
      </c>
      <c r="L27" t="s">
        <v>17</v>
      </c>
      <c r="M27">
        <v>295</v>
      </c>
      <c r="N27" t="s">
        <v>18</v>
      </c>
      <c r="O27" t="s">
        <v>179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498D1-98ED-4045-8109-0FA7A8CC8E2D}">
  <dimension ref="A1:O9"/>
  <sheetViews>
    <sheetView workbookViewId="0">
      <selection activeCell="J10" sqref="J10"/>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180</v>
      </c>
      <c r="B2" t="s">
        <v>57</v>
      </c>
      <c r="C2">
        <v>1</v>
      </c>
      <c r="D2" t="s">
        <v>17</v>
      </c>
      <c r="E2" t="s">
        <v>17</v>
      </c>
      <c r="F2">
        <v>0</v>
      </c>
      <c r="G2" t="s">
        <v>17</v>
      </c>
      <c r="H2" t="s">
        <v>17</v>
      </c>
      <c r="I2">
        <v>0.16708000000000001</v>
      </c>
      <c r="J2">
        <v>0.26300000000000001</v>
      </c>
      <c r="K2">
        <v>4.4000000000000002E-4</v>
      </c>
      <c r="L2" t="s">
        <v>17</v>
      </c>
      <c r="M2">
        <v>296</v>
      </c>
      <c r="N2" t="s">
        <v>181</v>
      </c>
      <c r="O2" t="s">
        <v>182</v>
      </c>
    </row>
    <row r="3" spans="1:15" x14ac:dyDescent="0.2">
      <c r="A3" t="s">
        <v>180</v>
      </c>
      <c r="B3" t="s">
        <v>57</v>
      </c>
      <c r="C3">
        <v>2</v>
      </c>
      <c r="D3" t="s">
        <v>17</v>
      </c>
      <c r="E3" t="s">
        <v>17</v>
      </c>
      <c r="F3">
        <v>1</v>
      </c>
      <c r="G3" t="s">
        <v>17</v>
      </c>
      <c r="H3" t="s">
        <v>17</v>
      </c>
      <c r="I3">
        <v>0.17216999999999999</v>
      </c>
      <c r="J3">
        <v>0.47</v>
      </c>
      <c r="K3">
        <v>8.0999999999999996E-4</v>
      </c>
      <c r="L3" t="s">
        <v>17</v>
      </c>
      <c r="M3">
        <v>296</v>
      </c>
      <c r="N3" t="s">
        <v>181</v>
      </c>
      <c r="O3" t="s">
        <v>183</v>
      </c>
    </row>
    <row r="4" spans="1:15" x14ac:dyDescent="0.2">
      <c r="A4" t="s">
        <v>180</v>
      </c>
      <c r="B4" t="s">
        <v>57</v>
      </c>
      <c r="C4">
        <v>3</v>
      </c>
      <c r="D4" t="s">
        <v>17</v>
      </c>
      <c r="E4" t="s">
        <v>17</v>
      </c>
      <c r="F4">
        <v>2</v>
      </c>
      <c r="G4" t="s">
        <v>17</v>
      </c>
      <c r="H4" t="s">
        <v>17</v>
      </c>
      <c r="I4">
        <v>0.16051000000000001</v>
      </c>
      <c r="J4">
        <v>0.38</v>
      </c>
      <c r="K4">
        <v>6.0999999999999997E-4</v>
      </c>
      <c r="L4" t="s">
        <v>17</v>
      </c>
      <c r="M4">
        <v>296</v>
      </c>
      <c r="N4" t="s">
        <v>181</v>
      </c>
      <c r="O4" t="s">
        <v>184</v>
      </c>
    </row>
    <row r="5" spans="1:15" x14ac:dyDescent="0.2">
      <c r="A5" t="s">
        <v>180</v>
      </c>
      <c r="B5" t="s">
        <v>57</v>
      </c>
      <c r="C5">
        <v>1</v>
      </c>
      <c r="D5" t="s">
        <v>17</v>
      </c>
      <c r="E5" t="s">
        <v>17</v>
      </c>
      <c r="F5">
        <v>0</v>
      </c>
      <c r="G5" t="s">
        <v>17</v>
      </c>
      <c r="H5" t="s">
        <v>17</v>
      </c>
      <c r="I5">
        <v>0.161</v>
      </c>
      <c r="J5">
        <v>50</v>
      </c>
      <c r="K5">
        <f>J5*I5/100</f>
        <v>8.0500000000000002E-2</v>
      </c>
      <c r="L5">
        <v>0.81699999999999995</v>
      </c>
      <c r="M5">
        <v>296</v>
      </c>
      <c r="N5" t="s">
        <v>181</v>
      </c>
      <c r="O5" t="s">
        <v>185</v>
      </c>
    </row>
    <row r="6" spans="1:15" x14ac:dyDescent="0.2">
      <c r="A6" t="s">
        <v>180</v>
      </c>
      <c r="B6" t="s">
        <v>57</v>
      </c>
      <c r="C6">
        <v>2</v>
      </c>
      <c r="D6" t="s">
        <v>17</v>
      </c>
      <c r="E6" t="s">
        <v>17</v>
      </c>
      <c r="F6">
        <v>1</v>
      </c>
      <c r="G6" t="s">
        <v>17</v>
      </c>
      <c r="H6" t="s">
        <v>17</v>
      </c>
      <c r="I6">
        <v>0.16</v>
      </c>
      <c r="J6">
        <v>50</v>
      </c>
      <c r="K6">
        <f t="shared" ref="K6:K9" si="0">J6*I6/100</f>
        <v>0.08</v>
      </c>
      <c r="L6">
        <v>0.71799999999999997</v>
      </c>
      <c r="M6">
        <v>296</v>
      </c>
      <c r="N6" t="s">
        <v>181</v>
      </c>
      <c r="O6" t="s">
        <v>186</v>
      </c>
    </row>
    <row r="7" spans="1:15" x14ac:dyDescent="0.2">
      <c r="A7" t="s">
        <v>180</v>
      </c>
      <c r="B7" t="s">
        <v>57</v>
      </c>
      <c r="C7">
        <v>3</v>
      </c>
      <c r="D7" t="s">
        <v>17</v>
      </c>
      <c r="E7" t="s">
        <v>17</v>
      </c>
      <c r="F7">
        <v>2</v>
      </c>
      <c r="G7" t="s">
        <v>17</v>
      </c>
      <c r="H7" t="s">
        <v>17</v>
      </c>
      <c r="I7">
        <v>0.159</v>
      </c>
      <c r="J7">
        <v>50</v>
      </c>
      <c r="K7">
        <f t="shared" si="0"/>
        <v>7.9500000000000001E-2</v>
      </c>
      <c r="L7">
        <v>0.623</v>
      </c>
      <c r="M7">
        <v>296</v>
      </c>
      <c r="N7" t="s">
        <v>181</v>
      </c>
      <c r="O7" t="s">
        <v>187</v>
      </c>
    </row>
    <row r="8" spans="1:15" x14ac:dyDescent="0.2">
      <c r="A8" t="s">
        <v>180</v>
      </c>
      <c r="B8" t="s">
        <v>57</v>
      </c>
      <c r="C8">
        <v>4</v>
      </c>
      <c r="D8" t="s">
        <v>17</v>
      </c>
      <c r="E8" t="s">
        <v>17</v>
      </c>
      <c r="F8">
        <v>3</v>
      </c>
      <c r="G8" t="s">
        <v>17</v>
      </c>
      <c r="H8" t="s">
        <v>17</v>
      </c>
      <c r="I8">
        <v>0.14899999999999999</v>
      </c>
      <c r="J8">
        <v>50</v>
      </c>
      <c r="K8">
        <f t="shared" si="0"/>
        <v>7.4499999999999997E-2</v>
      </c>
      <c r="L8">
        <v>0.60499999999999998</v>
      </c>
      <c r="M8">
        <v>296</v>
      </c>
      <c r="N8" t="s">
        <v>181</v>
      </c>
      <c r="O8" t="s">
        <v>188</v>
      </c>
    </row>
    <row r="9" spans="1:15" x14ac:dyDescent="0.2">
      <c r="A9" t="s">
        <v>180</v>
      </c>
      <c r="B9" t="s">
        <v>57</v>
      </c>
      <c r="C9">
        <v>5</v>
      </c>
      <c r="D9" t="s">
        <v>17</v>
      </c>
      <c r="E9" t="s">
        <v>17</v>
      </c>
      <c r="F9">
        <v>4</v>
      </c>
      <c r="G9" t="s">
        <v>17</v>
      </c>
      <c r="H9" t="s">
        <v>17</v>
      </c>
      <c r="I9">
        <v>0.14199999999999999</v>
      </c>
      <c r="J9">
        <v>50</v>
      </c>
      <c r="K9">
        <f t="shared" si="0"/>
        <v>7.0999999999999994E-2</v>
      </c>
      <c r="L9">
        <v>0.55500000000000005</v>
      </c>
      <c r="M9">
        <v>296</v>
      </c>
      <c r="N9" t="s">
        <v>181</v>
      </c>
      <c r="O9" t="s">
        <v>189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EBCE-AC88-0145-A03E-5C92FD033F68}">
  <dimension ref="A1:P35"/>
  <sheetViews>
    <sheetView workbookViewId="0">
      <selection activeCell="M61" sqref="M6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3</v>
      </c>
      <c r="D2">
        <v>1</v>
      </c>
      <c r="E2">
        <v>3</v>
      </c>
      <c r="F2">
        <v>2</v>
      </c>
      <c r="G2">
        <v>2</v>
      </c>
      <c r="H2">
        <v>0</v>
      </c>
      <c r="I2">
        <v>0.13510800000000001</v>
      </c>
      <c r="J2">
        <v>20</v>
      </c>
      <c r="K2">
        <f>I2*J2/100</f>
        <v>2.70216E-2</v>
      </c>
      <c r="L2" t="s">
        <v>17</v>
      </c>
      <c r="M2">
        <v>20</v>
      </c>
      <c r="N2" t="s">
        <v>18</v>
      </c>
      <c r="O2" t="s">
        <v>196</v>
      </c>
    </row>
    <row r="3" spans="1:15" x14ac:dyDescent="0.2">
      <c r="A3" t="s">
        <v>190</v>
      </c>
      <c r="B3" t="s">
        <v>191</v>
      </c>
      <c r="C3">
        <v>3</v>
      </c>
      <c r="D3">
        <v>1</v>
      </c>
      <c r="E3">
        <v>3</v>
      </c>
      <c r="F3">
        <v>2</v>
      </c>
      <c r="G3">
        <v>2</v>
      </c>
      <c r="H3">
        <v>0</v>
      </c>
      <c r="I3">
        <v>6.2433000000000002E-2</v>
      </c>
      <c r="J3">
        <v>20</v>
      </c>
      <c r="K3">
        <f t="shared" ref="K3:K35" si="0">I3*J3/100</f>
        <v>1.24866E-2</v>
      </c>
      <c r="L3" t="s">
        <v>17</v>
      </c>
      <c r="M3">
        <v>40</v>
      </c>
      <c r="N3" t="s">
        <v>18</v>
      </c>
      <c r="O3" t="s">
        <v>194</v>
      </c>
    </row>
    <row r="4" spans="1:15" x14ac:dyDescent="0.2">
      <c r="A4" t="s">
        <v>190</v>
      </c>
      <c r="B4" t="s">
        <v>191</v>
      </c>
      <c r="C4">
        <v>3</v>
      </c>
      <c r="D4">
        <v>1</v>
      </c>
      <c r="E4">
        <v>3</v>
      </c>
      <c r="F4">
        <v>2</v>
      </c>
      <c r="G4">
        <v>2</v>
      </c>
      <c r="H4">
        <v>0</v>
      </c>
      <c r="I4">
        <v>4.6184999999999997E-2</v>
      </c>
      <c r="J4">
        <v>20</v>
      </c>
      <c r="K4">
        <f t="shared" si="0"/>
        <v>9.2370000000000004E-3</v>
      </c>
      <c r="L4" t="s">
        <v>17</v>
      </c>
      <c r="M4">
        <v>60</v>
      </c>
      <c r="N4" t="s">
        <v>18</v>
      </c>
      <c r="O4" t="s">
        <v>194</v>
      </c>
    </row>
    <row r="5" spans="1:15" x14ac:dyDescent="0.2">
      <c r="A5" t="s">
        <v>190</v>
      </c>
      <c r="B5" t="s">
        <v>191</v>
      </c>
      <c r="C5">
        <v>3</v>
      </c>
      <c r="D5">
        <v>1</v>
      </c>
      <c r="E5">
        <v>3</v>
      </c>
      <c r="F5">
        <v>2</v>
      </c>
      <c r="G5">
        <v>2</v>
      </c>
      <c r="H5">
        <v>0</v>
      </c>
      <c r="I5">
        <v>3.6198000000000001E-2</v>
      </c>
      <c r="J5">
        <v>20</v>
      </c>
      <c r="K5">
        <f t="shared" si="0"/>
        <v>7.2396000000000005E-3</v>
      </c>
      <c r="L5" t="s">
        <v>17</v>
      </c>
      <c r="M5">
        <v>80</v>
      </c>
      <c r="N5" t="s">
        <v>18</v>
      </c>
      <c r="O5" t="s">
        <v>194</v>
      </c>
    </row>
    <row r="6" spans="1:15" x14ac:dyDescent="0.2">
      <c r="A6" t="s">
        <v>190</v>
      </c>
      <c r="B6" t="s">
        <v>191</v>
      </c>
      <c r="C6">
        <v>3</v>
      </c>
      <c r="D6">
        <v>1</v>
      </c>
      <c r="E6">
        <v>3</v>
      </c>
      <c r="F6">
        <v>2</v>
      </c>
      <c r="G6">
        <v>2</v>
      </c>
      <c r="H6">
        <v>0</v>
      </c>
      <c r="I6">
        <v>3.2015000000000002E-2</v>
      </c>
      <c r="J6">
        <v>20</v>
      </c>
      <c r="K6">
        <f t="shared" si="0"/>
        <v>6.4030000000000007E-3</v>
      </c>
      <c r="L6" t="s">
        <v>17</v>
      </c>
      <c r="M6">
        <v>100</v>
      </c>
      <c r="N6" t="s">
        <v>18</v>
      </c>
      <c r="O6" t="s">
        <v>194</v>
      </c>
    </row>
    <row r="7" spans="1:15" x14ac:dyDescent="0.2">
      <c r="A7" t="s">
        <v>190</v>
      </c>
      <c r="B7" t="s">
        <v>191</v>
      </c>
      <c r="C7">
        <v>3</v>
      </c>
      <c r="D7">
        <v>1</v>
      </c>
      <c r="E7">
        <v>3</v>
      </c>
      <c r="F7">
        <v>2</v>
      </c>
      <c r="G7">
        <v>2</v>
      </c>
      <c r="H7">
        <v>0</v>
      </c>
      <c r="I7">
        <v>3.1052E-2</v>
      </c>
      <c r="J7">
        <v>20</v>
      </c>
      <c r="K7">
        <f t="shared" si="0"/>
        <v>6.2104000000000005E-3</v>
      </c>
      <c r="L7" t="s">
        <v>17</v>
      </c>
      <c r="M7">
        <v>120</v>
      </c>
      <c r="N7" t="s">
        <v>18</v>
      </c>
      <c r="O7" t="s">
        <v>194</v>
      </c>
    </row>
    <row r="8" spans="1:15" x14ac:dyDescent="0.2">
      <c r="A8" t="s">
        <v>190</v>
      </c>
      <c r="B8" t="s">
        <v>191</v>
      </c>
      <c r="C8">
        <v>4</v>
      </c>
      <c r="D8">
        <v>1</v>
      </c>
      <c r="E8">
        <v>4</v>
      </c>
      <c r="F8">
        <v>3</v>
      </c>
      <c r="G8">
        <v>2</v>
      </c>
      <c r="H8">
        <v>1</v>
      </c>
      <c r="I8">
        <v>9.2501E-2</v>
      </c>
      <c r="J8">
        <v>20</v>
      </c>
      <c r="K8">
        <f t="shared" si="0"/>
        <v>1.8500200000000001E-2</v>
      </c>
      <c r="L8" t="s">
        <v>17</v>
      </c>
      <c r="M8">
        <v>20</v>
      </c>
      <c r="N8" t="s">
        <v>18</v>
      </c>
      <c r="O8" t="s">
        <v>194</v>
      </c>
    </row>
    <row r="9" spans="1:15" x14ac:dyDescent="0.2">
      <c r="A9" t="s">
        <v>190</v>
      </c>
      <c r="B9" t="s">
        <v>191</v>
      </c>
      <c r="C9">
        <v>4</v>
      </c>
      <c r="D9">
        <v>1</v>
      </c>
      <c r="E9">
        <v>4</v>
      </c>
      <c r="F9">
        <v>3</v>
      </c>
      <c r="G9">
        <v>2</v>
      </c>
      <c r="H9">
        <v>1</v>
      </c>
      <c r="I9">
        <v>4.6131999999999999E-2</v>
      </c>
      <c r="J9">
        <v>20</v>
      </c>
      <c r="K9">
        <f t="shared" si="0"/>
        <v>9.2264000000000009E-3</v>
      </c>
      <c r="L9" t="s">
        <v>17</v>
      </c>
      <c r="M9">
        <v>40</v>
      </c>
      <c r="N9" t="s">
        <v>18</v>
      </c>
      <c r="O9" t="s">
        <v>194</v>
      </c>
    </row>
    <row r="10" spans="1:15" x14ac:dyDescent="0.2">
      <c r="A10" t="s">
        <v>190</v>
      </c>
      <c r="B10" t="s">
        <v>191</v>
      </c>
      <c r="C10">
        <v>4</v>
      </c>
      <c r="D10">
        <v>1</v>
      </c>
      <c r="E10">
        <v>4</v>
      </c>
      <c r="F10">
        <v>3</v>
      </c>
      <c r="G10">
        <v>2</v>
      </c>
      <c r="H10">
        <v>1</v>
      </c>
      <c r="I10">
        <v>3.6693999999999997E-2</v>
      </c>
      <c r="J10">
        <v>20</v>
      </c>
      <c r="K10">
        <f t="shared" si="0"/>
        <v>7.3387999999999995E-3</v>
      </c>
      <c r="L10" t="s">
        <v>17</v>
      </c>
      <c r="M10">
        <v>60</v>
      </c>
      <c r="N10" t="s">
        <v>18</v>
      </c>
      <c r="O10" t="s">
        <v>194</v>
      </c>
    </row>
    <row r="11" spans="1:15" x14ac:dyDescent="0.2">
      <c r="A11" t="s">
        <v>190</v>
      </c>
      <c r="B11" t="s">
        <v>191</v>
      </c>
      <c r="C11">
        <v>4</v>
      </c>
      <c r="D11">
        <v>1</v>
      </c>
      <c r="E11">
        <v>4</v>
      </c>
      <c r="F11">
        <v>3</v>
      </c>
      <c r="G11">
        <v>2</v>
      </c>
      <c r="H11">
        <v>1</v>
      </c>
      <c r="I11">
        <v>3.0513999999999999E-2</v>
      </c>
      <c r="J11">
        <v>20</v>
      </c>
      <c r="K11">
        <f t="shared" si="0"/>
        <v>6.1027999999999994E-3</v>
      </c>
      <c r="L11" t="s">
        <v>17</v>
      </c>
      <c r="M11">
        <v>80</v>
      </c>
      <c r="N11" t="s">
        <v>18</v>
      </c>
      <c r="O11" t="s">
        <v>194</v>
      </c>
    </row>
    <row r="12" spans="1:15" x14ac:dyDescent="0.2">
      <c r="A12" t="s">
        <v>190</v>
      </c>
      <c r="B12" t="s">
        <v>191</v>
      </c>
      <c r="C12">
        <v>4</v>
      </c>
      <c r="D12">
        <v>1</v>
      </c>
      <c r="E12">
        <v>4</v>
      </c>
      <c r="F12">
        <v>3</v>
      </c>
      <c r="G12">
        <v>2</v>
      </c>
      <c r="H12">
        <v>1</v>
      </c>
      <c r="I12">
        <v>2.904E-2</v>
      </c>
      <c r="J12">
        <v>20</v>
      </c>
      <c r="K12">
        <f t="shared" si="0"/>
        <v>5.8079999999999998E-3</v>
      </c>
      <c r="L12" t="s">
        <v>17</v>
      </c>
      <c r="M12">
        <v>100</v>
      </c>
      <c r="N12" t="s">
        <v>18</v>
      </c>
      <c r="O12" t="s">
        <v>194</v>
      </c>
    </row>
    <row r="13" spans="1:15" x14ac:dyDescent="0.2">
      <c r="A13" t="s">
        <v>190</v>
      </c>
      <c r="B13" t="s">
        <v>191</v>
      </c>
      <c r="C13">
        <v>4</v>
      </c>
      <c r="D13">
        <v>1</v>
      </c>
      <c r="E13">
        <v>4</v>
      </c>
      <c r="F13">
        <v>3</v>
      </c>
      <c r="G13">
        <v>2</v>
      </c>
      <c r="H13">
        <v>1</v>
      </c>
      <c r="I13">
        <v>2.8420000000000001E-2</v>
      </c>
      <c r="J13">
        <v>20</v>
      </c>
      <c r="K13">
        <f t="shared" si="0"/>
        <v>5.6839999999999998E-3</v>
      </c>
      <c r="L13" t="s">
        <v>17</v>
      </c>
      <c r="M13">
        <v>120</v>
      </c>
      <c r="N13" t="s">
        <v>18</v>
      </c>
      <c r="O13" t="s">
        <v>194</v>
      </c>
    </row>
    <row r="14" spans="1:15" x14ac:dyDescent="0.2">
      <c r="A14" t="s">
        <v>190</v>
      </c>
      <c r="B14" t="s">
        <v>191</v>
      </c>
      <c r="C14">
        <v>1</v>
      </c>
      <c r="D14">
        <v>1</v>
      </c>
      <c r="E14">
        <v>0</v>
      </c>
      <c r="F14">
        <v>1</v>
      </c>
      <c r="G14">
        <v>0</v>
      </c>
      <c r="H14">
        <v>1</v>
      </c>
      <c r="I14">
        <v>4.8000000000000001E-2</v>
      </c>
      <c r="J14">
        <v>20</v>
      </c>
      <c r="K14">
        <f t="shared" si="0"/>
        <v>9.5999999999999992E-3</v>
      </c>
      <c r="L14" t="s">
        <v>17</v>
      </c>
      <c r="M14">
        <v>20</v>
      </c>
      <c r="N14" t="s">
        <v>18</v>
      </c>
      <c r="O14" t="s">
        <v>194</v>
      </c>
    </row>
    <row r="15" spans="1:15" x14ac:dyDescent="0.2">
      <c r="A15" t="s">
        <v>190</v>
      </c>
      <c r="B15" t="s">
        <v>191</v>
      </c>
      <c r="C15">
        <v>1</v>
      </c>
      <c r="D15">
        <v>1</v>
      </c>
      <c r="E15">
        <v>0</v>
      </c>
      <c r="F15">
        <v>1</v>
      </c>
      <c r="G15">
        <v>0</v>
      </c>
      <c r="H15">
        <v>1</v>
      </c>
      <c r="I15">
        <v>2.8198999999999998E-2</v>
      </c>
      <c r="J15">
        <v>20</v>
      </c>
      <c r="K15">
        <f t="shared" si="0"/>
        <v>5.6397999999999995E-3</v>
      </c>
      <c r="L15" t="s">
        <v>17</v>
      </c>
      <c r="M15">
        <v>40</v>
      </c>
      <c r="N15" t="s">
        <v>18</v>
      </c>
      <c r="O15" t="s">
        <v>194</v>
      </c>
    </row>
    <row r="16" spans="1:15" x14ac:dyDescent="0.2">
      <c r="A16" t="s">
        <v>190</v>
      </c>
      <c r="B16" t="s">
        <v>191</v>
      </c>
      <c r="C16">
        <v>1</v>
      </c>
      <c r="D16">
        <v>1</v>
      </c>
      <c r="E16">
        <v>0</v>
      </c>
      <c r="F16">
        <v>1</v>
      </c>
      <c r="G16">
        <v>0</v>
      </c>
      <c r="H16">
        <v>1</v>
      </c>
      <c r="I16">
        <v>2.5718999999999999E-2</v>
      </c>
      <c r="J16">
        <v>20</v>
      </c>
      <c r="K16">
        <f t="shared" si="0"/>
        <v>5.1437999999999996E-3</v>
      </c>
      <c r="L16" t="s">
        <v>17</v>
      </c>
      <c r="M16">
        <v>60</v>
      </c>
      <c r="N16" t="s">
        <v>18</v>
      </c>
      <c r="O16" t="s">
        <v>194</v>
      </c>
    </row>
    <row r="17" spans="1:16" x14ac:dyDescent="0.2">
      <c r="A17" s="2" t="s">
        <v>190</v>
      </c>
      <c r="B17" s="2" t="s">
        <v>191</v>
      </c>
      <c r="C17" s="2">
        <v>1</v>
      </c>
      <c r="D17" s="2">
        <v>1</v>
      </c>
      <c r="E17" s="2">
        <v>0</v>
      </c>
      <c r="F17" s="2">
        <v>1</v>
      </c>
      <c r="G17" s="2">
        <v>0</v>
      </c>
      <c r="H17" s="2">
        <v>1</v>
      </c>
      <c r="I17" s="2">
        <v>2.4867E-2</v>
      </c>
      <c r="J17">
        <v>20</v>
      </c>
      <c r="K17">
        <f t="shared" si="0"/>
        <v>4.9734000000000002E-3</v>
      </c>
      <c r="L17" s="2" t="s">
        <v>17</v>
      </c>
      <c r="M17" s="2">
        <v>120</v>
      </c>
      <c r="N17" t="s">
        <v>18</v>
      </c>
      <c r="O17" s="2" t="s">
        <v>197</v>
      </c>
      <c r="P17" s="2"/>
    </row>
    <row r="18" spans="1:16" x14ac:dyDescent="0.2">
      <c r="A18" s="2" t="s">
        <v>190</v>
      </c>
      <c r="B18" s="2" t="s">
        <v>191</v>
      </c>
      <c r="C18" s="2">
        <v>2</v>
      </c>
      <c r="D18" s="2">
        <v>1</v>
      </c>
      <c r="E18" s="2">
        <v>1</v>
      </c>
      <c r="F18" s="2">
        <v>1</v>
      </c>
      <c r="G18" s="2">
        <v>1</v>
      </c>
      <c r="H18" s="2">
        <v>0</v>
      </c>
      <c r="I18" s="2">
        <v>2.5415E-2</v>
      </c>
      <c r="J18">
        <v>20</v>
      </c>
      <c r="K18">
        <f t="shared" si="0"/>
        <v>5.0829999999999998E-3</v>
      </c>
      <c r="L18" s="2" t="s">
        <v>17</v>
      </c>
      <c r="M18" s="2">
        <v>120</v>
      </c>
      <c r="N18" t="s">
        <v>18</v>
      </c>
      <c r="O18" s="2" t="s">
        <v>195</v>
      </c>
      <c r="P18" s="2"/>
    </row>
    <row r="19" spans="1:16" x14ac:dyDescent="0.2">
      <c r="A19" s="2" t="s">
        <v>190</v>
      </c>
      <c r="B19" s="2" t="s">
        <v>191</v>
      </c>
      <c r="C19" s="2">
        <v>3</v>
      </c>
      <c r="D19" s="2">
        <v>2</v>
      </c>
      <c r="E19" s="2">
        <v>1</v>
      </c>
      <c r="F19" s="2">
        <v>2</v>
      </c>
      <c r="G19" s="2">
        <v>1</v>
      </c>
      <c r="H19" s="2">
        <v>2</v>
      </c>
      <c r="I19" s="2">
        <v>3.1109999999999999E-2</v>
      </c>
      <c r="J19">
        <v>20</v>
      </c>
      <c r="K19">
        <f t="shared" si="0"/>
        <v>6.2220000000000001E-3</v>
      </c>
      <c r="L19" s="2" t="s">
        <v>17</v>
      </c>
      <c r="M19" s="2">
        <v>120</v>
      </c>
      <c r="N19" t="s">
        <v>18</v>
      </c>
      <c r="O19" s="2" t="s">
        <v>195</v>
      </c>
      <c r="P19" s="2"/>
    </row>
    <row r="20" spans="1:16" x14ac:dyDescent="0.2">
      <c r="A20" s="2" t="s">
        <v>190</v>
      </c>
      <c r="B20" s="2" t="s">
        <v>191</v>
      </c>
      <c r="C20" s="2">
        <v>2</v>
      </c>
      <c r="D20" s="2">
        <v>0</v>
      </c>
      <c r="E20" s="2">
        <v>2</v>
      </c>
      <c r="F20" s="2">
        <v>2</v>
      </c>
      <c r="G20" s="2">
        <v>1</v>
      </c>
      <c r="H20" s="2">
        <v>1</v>
      </c>
      <c r="I20" s="2">
        <v>2.4375000000000001E-2</v>
      </c>
      <c r="J20">
        <v>20</v>
      </c>
      <c r="K20">
        <f t="shared" si="0"/>
        <v>4.8750000000000009E-3</v>
      </c>
      <c r="L20" s="2" t="s">
        <v>17</v>
      </c>
      <c r="M20" s="2">
        <v>120</v>
      </c>
      <c r="N20" t="s">
        <v>18</v>
      </c>
      <c r="O20" s="2" t="s">
        <v>195</v>
      </c>
      <c r="P20" s="2"/>
    </row>
    <row r="21" spans="1:16" x14ac:dyDescent="0.2">
      <c r="A21" s="2" t="s">
        <v>190</v>
      </c>
      <c r="B21" s="2" t="s">
        <v>191</v>
      </c>
      <c r="C21" s="2">
        <v>2</v>
      </c>
      <c r="D21" s="2">
        <v>2</v>
      </c>
      <c r="E21" s="2">
        <v>0</v>
      </c>
      <c r="F21" s="2">
        <v>2</v>
      </c>
      <c r="G21" s="2">
        <v>1</v>
      </c>
      <c r="H21" s="2">
        <v>1</v>
      </c>
      <c r="I21" s="2">
        <v>2.3414000000000001E-2</v>
      </c>
      <c r="J21">
        <v>20</v>
      </c>
      <c r="K21">
        <f t="shared" si="0"/>
        <v>4.6828E-3</v>
      </c>
      <c r="L21" s="2" t="s">
        <v>17</v>
      </c>
      <c r="M21" s="2">
        <v>120</v>
      </c>
      <c r="N21" t="s">
        <v>18</v>
      </c>
      <c r="O21" s="2" t="s">
        <v>195</v>
      </c>
      <c r="P21" s="2"/>
    </row>
    <row r="22" spans="1:16" x14ac:dyDescent="0.2">
      <c r="A22" s="2" t="s">
        <v>190</v>
      </c>
      <c r="B22" s="2" t="s">
        <v>191</v>
      </c>
      <c r="C22" s="2">
        <v>3</v>
      </c>
      <c r="D22" s="2">
        <v>1</v>
      </c>
      <c r="E22" s="2">
        <v>3</v>
      </c>
      <c r="F22" s="2">
        <v>3</v>
      </c>
      <c r="G22" s="2">
        <v>2</v>
      </c>
      <c r="H22" s="2">
        <v>2</v>
      </c>
      <c r="I22" s="2">
        <v>2.8499E-2</v>
      </c>
      <c r="J22">
        <v>20</v>
      </c>
      <c r="K22">
        <f t="shared" si="0"/>
        <v>5.6998000000000005E-3</v>
      </c>
      <c r="L22" s="2" t="s">
        <v>17</v>
      </c>
      <c r="M22" s="2">
        <v>120</v>
      </c>
      <c r="N22" t="s">
        <v>18</v>
      </c>
      <c r="O22" s="2" t="s">
        <v>195</v>
      </c>
      <c r="P22" s="2"/>
    </row>
    <row r="23" spans="1:16" x14ac:dyDescent="0.2">
      <c r="A23" s="2" t="s">
        <v>190</v>
      </c>
      <c r="B23" s="2" t="s">
        <v>191</v>
      </c>
      <c r="C23" s="2">
        <v>3</v>
      </c>
      <c r="D23" s="2">
        <v>2</v>
      </c>
      <c r="E23" s="2">
        <v>2</v>
      </c>
      <c r="F23" s="2">
        <v>3</v>
      </c>
      <c r="G23" s="2">
        <v>1</v>
      </c>
      <c r="H23" s="2">
        <v>3</v>
      </c>
      <c r="I23" s="2">
        <v>2.3331999999999999E-2</v>
      </c>
      <c r="J23">
        <v>20</v>
      </c>
      <c r="K23">
        <f t="shared" si="0"/>
        <v>4.6663999999999994E-3</v>
      </c>
      <c r="L23" s="2" t="s">
        <v>17</v>
      </c>
      <c r="M23" s="2">
        <v>120</v>
      </c>
      <c r="N23" t="s">
        <v>18</v>
      </c>
      <c r="O23" s="2" t="s">
        <v>195</v>
      </c>
      <c r="P23" s="2"/>
    </row>
    <row r="24" spans="1:16" x14ac:dyDescent="0.2">
      <c r="A24" s="2" t="s">
        <v>190</v>
      </c>
      <c r="B24" s="2" t="s">
        <v>191</v>
      </c>
      <c r="C24" s="2">
        <v>4</v>
      </c>
      <c r="D24" s="2">
        <v>0</v>
      </c>
      <c r="E24" s="2">
        <v>4</v>
      </c>
      <c r="F24" s="2">
        <v>3</v>
      </c>
      <c r="G24" s="2">
        <v>1</v>
      </c>
      <c r="H24" s="2">
        <v>2</v>
      </c>
      <c r="I24" s="2">
        <v>2.1235E-2</v>
      </c>
      <c r="J24">
        <v>20</v>
      </c>
      <c r="K24">
        <f t="shared" si="0"/>
        <v>4.2469999999999999E-3</v>
      </c>
      <c r="L24" s="2" t="s">
        <v>17</v>
      </c>
      <c r="M24" s="2">
        <v>120</v>
      </c>
      <c r="N24" t="s">
        <v>18</v>
      </c>
      <c r="O24" s="2" t="s">
        <v>195</v>
      </c>
      <c r="P24" s="2"/>
    </row>
    <row r="25" spans="1:16" x14ac:dyDescent="0.2">
      <c r="A25" s="2" t="s">
        <v>190</v>
      </c>
      <c r="B25" s="2" t="s">
        <v>191</v>
      </c>
      <c r="C25" s="2">
        <v>5</v>
      </c>
      <c r="D25" s="2">
        <v>1</v>
      </c>
      <c r="E25" s="2">
        <v>3</v>
      </c>
      <c r="F25" s="2">
        <v>4</v>
      </c>
      <c r="G25" s="2">
        <v>1</v>
      </c>
      <c r="H25" s="2">
        <v>4</v>
      </c>
      <c r="I25" s="2">
        <v>3.0960000000000001E-2</v>
      </c>
      <c r="J25">
        <v>20</v>
      </c>
      <c r="K25">
        <f t="shared" si="0"/>
        <v>6.1919999999999996E-3</v>
      </c>
      <c r="L25" s="2" t="s">
        <v>17</v>
      </c>
      <c r="M25" s="2">
        <v>120</v>
      </c>
      <c r="N25" t="s">
        <v>18</v>
      </c>
      <c r="O25" s="2" t="s">
        <v>195</v>
      </c>
      <c r="P25" s="2"/>
    </row>
    <row r="26" spans="1:16" x14ac:dyDescent="0.2">
      <c r="A26" s="2" t="s">
        <v>190</v>
      </c>
      <c r="B26" s="2" t="s">
        <v>191</v>
      </c>
      <c r="C26" s="2">
        <v>3</v>
      </c>
      <c r="D26" s="2">
        <v>1</v>
      </c>
      <c r="E26" s="2">
        <v>3</v>
      </c>
      <c r="F26" s="2">
        <v>3</v>
      </c>
      <c r="G26" s="2">
        <v>1</v>
      </c>
      <c r="H26" s="2">
        <v>2</v>
      </c>
      <c r="I26" s="2">
        <v>2.1957000000000001E-2</v>
      </c>
      <c r="J26">
        <v>20</v>
      </c>
      <c r="K26">
        <f t="shared" si="0"/>
        <v>4.3914000000000002E-3</v>
      </c>
      <c r="L26" s="2" t="s">
        <v>17</v>
      </c>
      <c r="M26" s="2">
        <v>120</v>
      </c>
      <c r="N26" t="s">
        <v>18</v>
      </c>
      <c r="O26" s="2" t="s">
        <v>195</v>
      </c>
      <c r="P26" s="2"/>
    </row>
    <row r="27" spans="1:16" x14ac:dyDescent="0.2">
      <c r="A27" s="2" t="s">
        <v>190</v>
      </c>
      <c r="B27" s="2" t="s">
        <v>191</v>
      </c>
      <c r="C27" s="2">
        <v>4</v>
      </c>
      <c r="D27" s="2">
        <v>1</v>
      </c>
      <c r="E27" s="2">
        <v>4</v>
      </c>
      <c r="F27" s="2">
        <v>4</v>
      </c>
      <c r="G27" s="2">
        <v>0</v>
      </c>
      <c r="H27" s="2">
        <v>3</v>
      </c>
      <c r="I27" s="2">
        <v>2.1506999999999998E-2</v>
      </c>
      <c r="J27">
        <v>20</v>
      </c>
      <c r="K27">
        <f t="shared" si="0"/>
        <v>4.3013999999999995E-3</v>
      </c>
      <c r="L27" s="2" t="s">
        <v>17</v>
      </c>
      <c r="M27" s="2">
        <v>120</v>
      </c>
      <c r="N27" t="s">
        <v>18</v>
      </c>
      <c r="O27" s="2" t="s">
        <v>195</v>
      </c>
      <c r="P27" s="2"/>
    </row>
    <row r="28" spans="1:16" x14ac:dyDescent="0.2">
      <c r="A28" s="2" t="s">
        <v>190</v>
      </c>
      <c r="B28" s="2" t="s">
        <v>191</v>
      </c>
      <c r="C28" s="2">
        <v>5</v>
      </c>
      <c r="D28" s="2">
        <v>0</v>
      </c>
      <c r="E28" s="2">
        <v>5</v>
      </c>
      <c r="F28" s="2">
        <v>4</v>
      </c>
      <c r="G28" s="2">
        <v>1</v>
      </c>
      <c r="H28" s="2">
        <v>4</v>
      </c>
      <c r="I28" s="2">
        <v>2.529E-2</v>
      </c>
      <c r="J28">
        <v>20</v>
      </c>
      <c r="K28">
        <f t="shared" si="0"/>
        <v>5.058E-3</v>
      </c>
      <c r="L28" s="2" t="s">
        <v>17</v>
      </c>
      <c r="M28" s="2">
        <v>120</v>
      </c>
      <c r="N28" t="s">
        <v>18</v>
      </c>
      <c r="O28" s="2" t="s">
        <v>195</v>
      </c>
      <c r="P28" s="2"/>
    </row>
    <row r="29" spans="1:16" x14ac:dyDescent="0.2">
      <c r="A29" s="2" t="s">
        <v>190</v>
      </c>
      <c r="B29" s="2" t="s">
        <v>191</v>
      </c>
      <c r="C29" s="2">
        <v>3</v>
      </c>
      <c r="D29" s="2">
        <v>2</v>
      </c>
      <c r="E29" s="2">
        <v>1</v>
      </c>
      <c r="F29" s="2">
        <v>3</v>
      </c>
      <c r="G29" s="2">
        <v>1</v>
      </c>
      <c r="H29" s="2">
        <v>2</v>
      </c>
      <c r="I29" s="2">
        <v>2.3303000000000001E-2</v>
      </c>
      <c r="J29">
        <v>20</v>
      </c>
      <c r="K29">
        <f t="shared" si="0"/>
        <v>4.6606E-3</v>
      </c>
      <c r="L29" s="2" t="s">
        <v>17</v>
      </c>
      <c r="M29" s="2">
        <v>120</v>
      </c>
      <c r="N29" t="s">
        <v>18</v>
      </c>
      <c r="O29" s="2" t="s">
        <v>195</v>
      </c>
      <c r="P29" s="2"/>
    </row>
    <row r="30" spans="1:16" x14ac:dyDescent="0.2">
      <c r="A30" s="2" t="s">
        <v>190</v>
      </c>
      <c r="B30" s="2" t="s">
        <v>191</v>
      </c>
      <c r="C30" s="2">
        <v>6</v>
      </c>
      <c r="D30" s="2">
        <v>1</v>
      </c>
      <c r="E30" s="2">
        <v>5</v>
      </c>
      <c r="F30" s="2">
        <v>5</v>
      </c>
      <c r="G30" s="2">
        <v>1</v>
      </c>
      <c r="H30" s="2">
        <v>4</v>
      </c>
      <c r="I30" s="2">
        <v>2.3512999999999999E-2</v>
      </c>
      <c r="J30">
        <v>20</v>
      </c>
      <c r="K30">
        <f t="shared" si="0"/>
        <v>4.7026000000000004E-3</v>
      </c>
      <c r="L30" s="2" t="s">
        <v>17</v>
      </c>
      <c r="M30" s="2">
        <v>120</v>
      </c>
      <c r="N30" t="s">
        <v>18</v>
      </c>
      <c r="O30" s="2" t="s">
        <v>195</v>
      </c>
      <c r="P30" s="2"/>
    </row>
    <row r="31" spans="1:16" x14ac:dyDescent="0.2">
      <c r="A31" s="2" t="s">
        <v>190</v>
      </c>
      <c r="B31" s="2" t="s">
        <v>191</v>
      </c>
      <c r="C31" s="2">
        <v>4</v>
      </c>
      <c r="D31" s="2">
        <v>0</v>
      </c>
      <c r="E31" s="2">
        <v>4</v>
      </c>
      <c r="F31" s="2">
        <v>4</v>
      </c>
      <c r="G31" s="2">
        <v>1</v>
      </c>
      <c r="H31" s="2">
        <v>3</v>
      </c>
      <c r="I31" s="2">
        <v>2.1572999999999998E-2</v>
      </c>
      <c r="J31">
        <v>20</v>
      </c>
      <c r="K31">
        <f t="shared" si="0"/>
        <v>4.3145999999999992E-3</v>
      </c>
      <c r="L31" s="2" t="s">
        <v>17</v>
      </c>
      <c r="M31" s="2">
        <v>120</v>
      </c>
      <c r="N31" t="s">
        <v>18</v>
      </c>
      <c r="O31" s="2" t="s">
        <v>195</v>
      </c>
      <c r="P31" s="2"/>
    </row>
    <row r="32" spans="1:16" x14ac:dyDescent="0.2">
      <c r="A32" s="2" t="s">
        <v>190</v>
      </c>
      <c r="B32" s="2" t="s">
        <v>191</v>
      </c>
      <c r="C32" s="2">
        <v>4</v>
      </c>
      <c r="D32" s="2">
        <v>1</v>
      </c>
      <c r="E32" s="2">
        <v>4</v>
      </c>
      <c r="F32" s="2">
        <v>4</v>
      </c>
      <c r="G32" s="2">
        <v>1</v>
      </c>
      <c r="H32" s="2">
        <v>3</v>
      </c>
      <c r="I32" s="2">
        <v>2.5472000000000002E-2</v>
      </c>
      <c r="J32">
        <v>20</v>
      </c>
      <c r="K32">
        <f t="shared" si="0"/>
        <v>5.0943999999999998E-3</v>
      </c>
      <c r="L32" s="2" t="s">
        <v>17</v>
      </c>
      <c r="M32" s="2">
        <v>120</v>
      </c>
      <c r="N32" t="s">
        <v>18</v>
      </c>
      <c r="O32" s="2" t="s">
        <v>195</v>
      </c>
      <c r="P32" s="2"/>
    </row>
    <row r="33" spans="1:16" x14ac:dyDescent="0.2">
      <c r="A33" s="2" t="s">
        <v>190</v>
      </c>
      <c r="B33" s="2" t="s">
        <v>191</v>
      </c>
      <c r="C33" s="2">
        <v>5</v>
      </c>
      <c r="D33" s="2">
        <v>0</v>
      </c>
      <c r="E33" s="2">
        <v>5</v>
      </c>
      <c r="F33" s="2">
        <v>5</v>
      </c>
      <c r="G33" s="2">
        <v>1</v>
      </c>
      <c r="H33" s="2">
        <v>4</v>
      </c>
      <c r="I33" s="2">
        <v>2.8327000000000001E-2</v>
      </c>
      <c r="J33">
        <v>20</v>
      </c>
      <c r="K33">
        <f t="shared" si="0"/>
        <v>5.6654000000000001E-3</v>
      </c>
      <c r="L33" s="2" t="s">
        <v>17</v>
      </c>
      <c r="M33" s="2">
        <v>120</v>
      </c>
      <c r="N33" t="s">
        <v>18</v>
      </c>
      <c r="O33" s="2" t="s">
        <v>195</v>
      </c>
      <c r="P33" s="2"/>
    </row>
    <row r="34" spans="1:16" x14ac:dyDescent="0.2">
      <c r="A34" s="2" t="s">
        <v>190</v>
      </c>
      <c r="B34" s="2" t="s">
        <v>191</v>
      </c>
      <c r="C34" s="2">
        <v>5</v>
      </c>
      <c r="D34" s="2">
        <v>1</v>
      </c>
      <c r="E34" s="2">
        <v>4</v>
      </c>
      <c r="F34" s="2">
        <v>4</v>
      </c>
      <c r="G34" s="2">
        <v>1</v>
      </c>
      <c r="H34" s="2">
        <v>3</v>
      </c>
      <c r="I34" s="2">
        <v>2.8355000000000002E-2</v>
      </c>
      <c r="J34">
        <v>20</v>
      </c>
      <c r="K34">
        <f t="shared" si="0"/>
        <v>5.6710000000000007E-3</v>
      </c>
      <c r="L34" s="2" t="s">
        <v>17</v>
      </c>
      <c r="M34" s="2">
        <v>120</v>
      </c>
      <c r="N34" t="s">
        <v>18</v>
      </c>
      <c r="O34" s="2" t="s">
        <v>195</v>
      </c>
      <c r="P34" s="2"/>
    </row>
    <row r="35" spans="1:16" x14ac:dyDescent="0.2">
      <c r="A35" s="2" t="s">
        <v>190</v>
      </c>
      <c r="B35" s="2" t="s">
        <v>191</v>
      </c>
      <c r="C35" s="2">
        <v>4</v>
      </c>
      <c r="D35" s="2">
        <v>1</v>
      </c>
      <c r="E35" s="2">
        <v>4</v>
      </c>
      <c r="F35" s="2">
        <v>4</v>
      </c>
      <c r="G35" s="2">
        <v>2</v>
      </c>
      <c r="H35" s="2">
        <v>2</v>
      </c>
      <c r="I35" s="2">
        <v>2.836E-2</v>
      </c>
      <c r="J35">
        <v>20</v>
      </c>
      <c r="K35">
        <f t="shared" si="0"/>
        <v>5.672E-3</v>
      </c>
      <c r="L35" s="2" t="s">
        <v>17</v>
      </c>
      <c r="M35" s="2">
        <v>120</v>
      </c>
      <c r="N35" t="s">
        <v>18</v>
      </c>
      <c r="O35" s="2" t="s">
        <v>195</v>
      </c>
      <c r="P35"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17F0B-AE08-7049-902B-AE0377843A33}">
  <dimension ref="A1:O37"/>
  <sheetViews>
    <sheetView workbookViewId="0">
      <selection activeCell="Q12" sqref="Q1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173</v>
      </c>
      <c r="B2" t="s">
        <v>58</v>
      </c>
      <c r="C2">
        <v>1</v>
      </c>
      <c r="D2" t="s">
        <v>17</v>
      </c>
      <c r="E2" t="s">
        <v>17</v>
      </c>
      <c r="F2">
        <v>0</v>
      </c>
      <c r="G2" t="s">
        <v>17</v>
      </c>
      <c r="H2" t="s">
        <v>17</v>
      </c>
      <c r="I2">
        <v>0.92830000000000001</v>
      </c>
      <c r="J2">
        <v>4.5199999999999996</v>
      </c>
      <c r="K2">
        <v>4.2000000000000003E-2</v>
      </c>
      <c r="L2" t="s">
        <v>17</v>
      </c>
      <c r="M2">
        <v>8.15</v>
      </c>
      <c r="N2" t="s">
        <v>18</v>
      </c>
      <c r="O2" t="s">
        <v>198</v>
      </c>
    </row>
    <row r="3" spans="1:15" x14ac:dyDescent="0.2">
      <c r="A3" t="s">
        <v>173</v>
      </c>
      <c r="B3" t="s">
        <v>58</v>
      </c>
      <c r="C3">
        <v>1</v>
      </c>
      <c r="D3" t="s">
        <v>17</v>
      </c>
      <c r="E3" t="s">
        <v>17</v>
      </c>
      <c r="F3">
        <v>0</v>
      </c>
      <c r="G3" t="s">
        <v>17</v>
      </c>
      <c r="H3" t="s">
        <v>17</v>
      </c>
      <c r="I3">
        <v>0.79039999999999999</v>
      </c>
      <c r="J3">
        <v>4.2</v>
      </c>
      <c r="K3">
        <v>3.32E-2</v>
      </c>
      <c r="L3" t="s">
        <v>17</v>
      </c>
      <c r="M3">
        <v>9.6999999999999993</v>
      </c>
      <c r="N3" t="s">
        <v>18</v>
      </c>
      <c r="O3" t="s">
        <v>198</v>
      </c>
    </row>
    <row r="4" spans="1:15" x14ac:dyDescent="0.2">
      <c r="A4" t="s">
        <v>173</v>
      </c>
      <c r="B4" t="s">
        <v>58</v>
      </c>
      <c r="C4">
        <v>1</v>
      </c>
      <c r="D4" t="s">
        <v>17</v>
      </c>
      <c r="E4" t="s">
        <v>17</v>
      </c>
      <c r="F4">
        <v>0</v>
      </c>
      <c r="G4" t="s">
        <v>17</v>
      </c>
      <c r="H4" t="s">
        <v>17</v>
      </c>
      <c r="I4">
        <v>0.87380000000000002</v>
      </c>
      <c r="J4">
        <v>3.73</v>
      </c>
      <c r="K4">
        <v>3.2599999999999997E-2</v>
      </c>
      <c r="L4" t="s">
        <v>17</v>
      </c>
      <c r="M4">
        <v>10.06</v>
      </c>
      <c r="N4" t="s">
        <v>18</v>
      </c>
      <c r="O4" t="s">
        <v>198</v>
      </c>
    </row>
    <row r="5" spans="1:15" x14ac:dyDescent="0.2">
      <c r="A5" t="s">
        <v>173</v>
      </c>
      <c r="B5" t="s">
        <v>58</v>
      </c>
      <c r="C5">
        <v>1</v>
      </c>
      <c r="D5" t="s">
        <v>17</v>
      </c>
      <c r="E5" t="s">
        <v>17</v>
      </c>
      <c r="F5">
        <v>0</v>
      </c>
      <c r="G5" t="s">
        <v>17</v>
      </c>
      <c r="H5" t="s">
        <v>17</v>
      </c>
      <c r="I5">
        <v>0.7228</v>
      </c>
      <c r="J5">
        <v>6.9</v>
      </c>
      <c r="K5">
        <v>4.99E-2</v>
      </c>
      <c r="L5" t="s">
        <v>17</v>
      </c>
      <c r="M5">
        <v>11.55</v>
      </c>
      <c r="N5" t="s">
        <v>18</v>
      </c>
      <c r="O5" t="s">
        <v>198</v>
      </c>
    </row>
    <row r="6" spans="1:15" x14ac:dyDescent="0.2">
      <c r="A6" t="s">
        <v>173</v>
      </c>
      <c r="B6" t="s">
        <v>58</v>
      </c>
      <c r="C6">
        <v>1</v>
      </c>
      <c r="D6" t="s">
        <v>17</v>
      </c>
      <c r="E6" t="s">
        <v>17</v>
      </c>
      <c r="F6">
        <v>0</v>
      </c>
      <c r="G6" t="s">
        <v>17</v>
      </c>
      <c r="H6" t="s">
        <v>17</v>
      </c>
      <c r="I6">
        <v>0.70040000000000002</v>
      </c>
      <c r="J6">
        <v>5.0199999999999996</v>
      </c>
      <c r="K6">
        <v>3.5099999999999999E-2</v>
      </c>
      <c r="L6" t="s">
        <v>17</v>
      </c>
      <c r="M6">
        <v>12.47</v>
      </c>
      <c r="N6" t="s">
        <v>18</v>
      </c>
      <c r="O6" t="s">
        <v>198</v>
      </c>
    </row>
    <row r="7" spans="1:15" x14ac:dyDescent="0.2">
      <c r="A7" t="s">
        <v>173</v>
      </c>
      <c r="B7" t="s">
        <v>58</v>
      </c>
      <c r="C7">
        <v>1</v>
      </c>
      <c r="D7" t="s">
        <v>17</v>
      </c>
      <c r="E7" t="s">
        <v>17</v>
      </c>
      <c r="F7">
        <v>0</v>
      </c>
      <c r="G7" t="s">
        <v>17</v>
      </c>
      <c r="H7" t="s">
        <v>17</v>
      </c>
      <c r="I7">
        <v>0.6885</v>
      </c>
      <c r="J7">
        <v>3.82</v>
      </c>
      <c r="K7">
        <v>2.63E-2</v>
      </c>
      <c r="L7" t="s">
        <v>17</v>
      </c>
      <c r="M7">
        <v>13.06</v>
      </c>
      <c r="N7" t="s">
        <v>18</v>
      </c>
      <c r="O7" t="s">
        <v>198</v>
      </c>
    </row>
    <row r="8" spans="1:15" x14ac:dyDescent="0.2">
      <c r="A8" t="s">
        <v>173</v>
      </c>
      <c r="B8" t="s">
        <v>58</v>
      </c>
      <c r="C8">
        <v>1</v>
      </c>
      <c r="D8" t="s">
        <v>17</v>
      </c>
      <c r="E8" t="s">
        <v>17</v>
      </c>
      <c r="F8">
        <v>0</v>
      </c>
      <c r="G8" t="s">
        <v>17</v>
      </c>
      <c r="H8" t="s">
        <v>17</v>
      </c>
      <c r="I8">
        <v>0.68300000000000005</v>
      </c>
      <c r="J8">
        <v>4.33</v>
      </c>
      <c r="K8">
        <v>2.9600000000000001E-2</v>
      </c>
      <c r="L8" t="s">
        <v>17</v>
      </c>
      <c r="M8">
        <v>13.2</v>
      </c>
      <c r="N8" t="s">
        <v>18</v>
      </c>
      <c r="O8" t="s">
        <v>198</v>
      </c>
    </row>
    <row r="9" spans="1:15" x14ac:dyDescent="0.2">
      <c r="A9" t="s">
        <v>173</v>
      </c>
      <c r="B9" t="s">
        <v>58</v>
      </c>
      <c r="C9">
        <v>1</v>
      </c>
      <c r="D9" t="s">
        <v>17</v>
      </c>
      <c r="E9" t="s">
        <v>17</v>
      </c>
      <c r="F9">
        <v>0</v>
      </c>
      <c r="G9" t="s">
        <v>17</v>
      </c>
      <c r="H9" t="s">
        <v>17</v>
      </c>
      <c r="I9">
        <v>0.6008</v>
      </c>
      <c r="J9">
        <v>2.34</v>
      </c>
      <c r="K9">
        <v>1.4E-2</v>
      </c>
      <c r="L9" t="s">
        <v>17</v>
      </c>
      <c r="M9">
        <v>14.65</v>
      </c>
      <c r="N9" t="s">
        <v>18</v>
      </c>
      <c r="O9" t="s">
        <v>198</v>
      </c>
    </row>
    <row r="10" spans="1:15" x14ac:dyDescent="0.2">
      <c r="A10" t="s">
        <v>173</v>
      </c>
      <c r="B10" t="s">
        <v>58</v>
      </c>
      <c r="C10">
        <v>1</v>
      </c>
      <c r="D10" t="s">
        <v>17</v>
      </c>
      <c r="E10" t="s">
        <v>17</v>
      </c>
      <c r="F10">
        <v>0</v>
      </c>
      <c r="G10" t="s">
        <v>17</v>
      </c>
      <c r="H10" t="s">
        <v>17</v>
      </c>
      <c r="I10">
        <v>0.56200000000000006</v>
      </c>
      <c r="J10">
        <v>4.42</v>
      </c>
      <c r="K10">
        <v>2.4899999999999999E-2</v>
      </c>
      <c r="L10" t="s">
        <v>17</v>
      </c>
      <c r="M10">
        <v>14.65</v>
      </c>
      <c r="N10" t="s">
        <v>18</v>
      </c>
      <c r="O10" t="s">
        <v>198</v>
      </c>
    </row>
    <row r="11" spans="1:15" x14ac:dyDescent="0.2">
      <c r="A11" t="s">
        <v>173</v>
      </c>
      <c r="B11" t="s">
        <v>58</v>
      </c>
      <c r="C11">
        <v>1</v>
      </c>
      <c r="D11" t="s">
        <v>17</v>
      </c>
      <c r="E11" t="s">
        <v>17</v>
      </c>
      <c r="F11">
        <v>0</v>
      </c>
      <c r="G11" t="s">
        <v>17</v>
      </c>
      <c r="H11" t="s">
        <v>17</v>
      </c>
      <c r="I11">
        <v>0.54610000000000003</v>
      </c>
      <c r="J11">
        <v>2.82</v>
      </c>
      <c r="K11">
        <v>1.54E-2</v>
      </c>
      <c r="L11" t="s">
        <v>17</v>
      </c>
      <c r="M11">
        <v>16.25</v>
      </c>
      <c r="N11" t="s">
        <v>18</v>
      </c>
      <c r="O11" t="s">
        <v>198</v>
      </c>
    </row>
    <row r="12" spans="1:15" x14ac:dyDescent="0.2">
      <c r="A12" t="s">
        <v>173</v>
      </c>
      <c r="B12" t="s">
        <v>58</v>
      </c>
      <c r="C12">
        <v>1</v>
      </c>
      <c r="D12" t="s">
        <v>17</v>
      </c>
      <c r="E12" t="s">
        <v>17</v>
      </c>
      <c r="F12">
        <v>0</v>
      </c>
      <c r="G12" t="s">
        <v>17</v>
      </c>
      <c r="H12" t="s">
        <v>17</v>
      </c>
      <c r="I12">
        <v>0.50960000000000005</v>
      </c>
      <c r="J12">
        <v>9.3699999999999992</v>
      </c>
      <c r="K12">
        <v>4.7699999999999999E-2</v>
      </c>
      <c r="L12" t="s">
        <v>17</v>
      </c>
      <c r="M12">
        <v>18</v>
      </c>
      <c r="N12" t="s">
        <v>18</v>
      </c>
      <c r="O12" t="s">
        <v>198</v>
      </c>
    </row>
    <row r="13" spans="1:15" x14ac:dyDescent="0.2">
      <c r="A13" t="s">
        <v>173</v>
      </c>
      <c r="B13" t="s">
        <v>58</v>
      </c>
      <c r="C13">
        <v>1</v>
      </c>
      <c r="D13" t="s">
        <v>17</v>
      </c>
      <c r="E13" t="s">
        <v>17</v>
      </c>
      <c r="F13">
        <v>0</v>
      </c>
      <c r="G13" t="s">
        <v>17</v>
      </c>
      <c r="H13" t="s">
        <v>17</v>
      </c>
      <c r="I13">
        <v>0.47</v>
      </c>
      <c r="J13">
        <v>3.52</v>
      </c>
      <c r="K13">
        <v>1.6500000000000001E-2</v>
      </c>
      <c r="L13" t="s">
        <v>17</v>
      </c>
      <c r="M13">
        <v>18.03</v>
      </c>
      <c r="N13" t="s">
        <v>18</v>
      </c>
      <c r="O13" t="s">
        <v>198</v>
      </c>
    </row>
    <row r="14" spans="1:15" x14ac:dyDescent="0.2">
      <c r="A14" t="s">
        <v>173</v>
      </c>
      <c r="B14" t="s">
        <v>58</v>
      </c>
      <c r="C14">
        <v>1</v>
      </c>
      <c r="D14" t="s">
        <v>17</v>
      </c>
      <c r="E14" t="s">
        <v>17</v>
      </c>
      <c r="F14">
        <v>0</v>
      </c>
      <c r="G14" t="s">
        <v>17</v>
      </c>
      <c r="H14" t="s">
        <v>17</v>
      </c>
      <c r="I14">
        <v>0.42459999999999998</v>
      </c>
      <c r="J14">
        <v>5.01</v>
      </c>
      <c r="K14">
        <v>2.1299999999999999E-2</v>
      </c>
      <c r="L14" t="s">
        <v>17</v>
      </c>
      <c r="M14">
        <v>19.989999999999998</v>
      </c>
      <c r="N14" t="s">
        <v>18</v>
      </c>
      <c r="O14" t="s">
        <v>198</v>
      </c>
    </row>
    <row r="15" spans="1:15" x14ac:dyDescent="0.2">
      <c r="A15" t="s">
        <v>173</v>
      </c>
      <c r="B15" t="s">
        <v>58</v>
      </c>
      <c r="C15">
        <v>1</v>
      </c>
      <c r="D15" t="s">
        <v>17</v>
      </c>
      <c r="E15" t="s">
        <v>17</v>
      </c>
      <c r="F15">
        <v>0</v>
      </c>
      <c r="G15" t="s">
        <v>17</v>
      </c>
      <c r="H15" t="s">
        <v>17</v>
      </c>
      <c r="I15">
        <v>0.4556</v>
      </c>
      <c r="J15">
        <v>8.32</v>
      </c>
      <c r="K15">
        <v>3.7900000000000003E-2</v>
      </c>
      <c r="L15" t="s">
        <v>17</v>
      </c>
      <c r="M15">
        <v>21.99</v>
      </c>
      <c r="N15" t="s">
        <v>18</v>
      </c>
      <c r="O15" t="s">
        <v>198</v>
      </c>
    </row>
    <row r="16" spans="1:15" x14ac:dyDescent="0.2">
      <c r="A16" t="s">
        <v>173</v>
      </c>
      <c r="B16" t="s">
        <v>58</v>
      </c>
      <c r="C16">
        <v>1</v>
      </c>
      <c r="D16" t="s">
        <v>17</v>
      </c>
      <c r="E16" t="s">
        <v>17</v>
      </c>
      <c r="F16">
        <v>0</v>
      </c>
      <c r="G16" t="s">
        <v>17</v>
      </c>
      <c r="H16" t="s">
        <v>17</v>
      </c>
      <c r="I16">
        <v>0.37369999999999998</v>
      </c>
      <c r="J16">
        <v>10.38</v>
      </c>
      <c r="K16">
        <v>3.8800000000000001E-2</v>
      </c>
      <c r="L16" t="s">
        <v>17</v>
      </c>
      <c r="M16">
        <v>24</v>
      </c>
      <c r="N16" t="s">
        <v>18</v>
      </c>
      <c r="O16" t="s">
        <v>198</v>
      </c>
    </row>
    <row r="17" spans="1:15" x14ac:dyDescent="0.2">
      <c r="A17" t="s">
        <v>173</v>
      </c>
      <c r="B17" t="s">
        <v>58</v>
      </c>
      <c r="C17">
        <v>1</v>
      </c>
      <c r="D17" t="s">
        <v>17</v>
      </c>
      <c r="E17" t="s">
        <v>17</v>
      </c>
      <c r="F17">
        <v>0</v>
      </c>
      <c r="G17" t="s">
        <v>17</v>
      </c>
      <c r="H17" t="s">
        <v>17</v>
      </c>
      <c r="I17">
        <v>0.15490000000000001</v>
      </c>
      <c r="J17">
        <v>3.03</v>
      </c>
      <c r="K17">
        <v>4.7000000000000002E-3</v>
      </c>
      <c r="L17" t="s">
        <v>17</v>
      </c>
      <c r="M17">
        <v>94</v>
      </c>
      <c r="N17" t="s">
        <v>18</v>
      </c>
      <c r="O17" t="s">
        <v>198</v>
      </c>
    </row>
    <row r="18" spans="1:15" x14ac:dyDescent="0.2">
      <c r="A18" t="s">
        <v>173</v>
      </c>
      <c r="B18" t="s">
        <v>58</v>
      </c>
      <c r="C18">
        <v>1</v>
      </c>
      <c r="D18" t="s">
        <v>17</v>
      </c>
      <c r="E18" t="s">
        <v>17</v>
      </c>
      <c r="F18">
        <v>0</v>
      </c>
      <c r="G18" t="s">
        <v>17</v>
      </c>
      <c r="H18" t="s">
        <v>17</v>
      </c>
      <c r="I18">
        <v>0.1235</v>
      </c>
      <c r="J18">
        <v>3.12</v>
      </c>
      <c r="K18">
        <v>3.8E-3</v>
      </c>
      <c r="L18" t="s">
        <v>17</v>
      </c>
      <c r="M18">
        <v>140</v>
      </c>
      <c r="N18" t="s">
        <v>18</v>
      </c>
      <c r="O18" t="s">
        <v>198</v>
      </c>
    </row>
    <row r="19" spans="1:15" x14ac:dyDescent="0.2">
      <c r="A19" t="s">
        <v>173</v>
      </c>
      <c r="B19" t="s">
        <v>58</v>
      </c>
      <c r="C19">
        <v>1</v>
      </c>
      <c r="D19" t="s">
        <v>17</v>
      </c>
      <c r="E19" t="s">
        <v>17</v>
      </c>
      <c r="F19">
        <v>0</v>
      </c>
      <c r="G19" t="s">
        <v>17</v>
      </c>
      <c r="H19" t="s">
        <v>17</v>
      </c>
      <c r="I19">
        <v>8.8200000000000001E-2</v>
      </c>
      <c r="J19">
        <v>2.91</v>
      </c>
      <c r="K19">
        <v>2.5999999999999999E-3</v>
      </c>
      <c r="L19" t="s">
        <v>17</v>
      </c>
      <c r="M19">
        <v>209</v>
      </c>
      <c r="N19" t="s">
        <v>18</v>
      </c>
      <c r="O19" t="s">
        <v>198</v>
      </c>
    </row>
    <row r="20" spans="1:15" x14ac:dyDescent="0.2">
      <c r="A20" t="s">
        <v>173</v>
      </c>
      <c r="B20" t="s">
        <v>58</v>
      </c>
      <c r="C20">
        <v>1</v>
      </c>
      <c r="D20" t="s">
        <v>17</v>
      </c>
      <c r="E20" t="s">
        <v>17</v>
      </c>
      <c r="F20">
        <v>0</v>
      </c>
      <c r="G20" t="s">
        <v>17</v>
      </c>
      <c r="H20" t="s">
        <v>17</v>
      </c>
      <c r="I20">
        <v>7.6300000000000007E-2</v>
      </c>
      <c r="J20">
        <v>3.12</v>
      </c>
      <c r="K20">
        <v>2.3999999999999998E-3</v>
      </c>
      <c r="L20" t="s">
        <v>17</v>
      </c>
      <c r="M20">
        <v>300</v>
      </c>
      <c r="N20" t="s">
        <v>18</v>
      </c>
      <c r="O20" t="s">
        <v>198</v>
      </c>
    </row>
    <row r="21" spans="1:15" x14ac:dyDescent="0.2">
      <c r="A21" t="s">
        <v>173</v>
      </c>
      <c r="B21" t="s">
        <v>58</v>
      </c>
      <c r="C21">
        <v>1</v>
      </c>
      <c r="D21" t="s">
        <v>17</v>
      </c>
      <c r="E21" t="s">
        <v>17</v>
      </c>
      <c r="F21">
        <v>0</v>
      </c>
      <c r="G21" t="s">
        <v>17</v>
      </c>
      <c r="H21" t="s">
        <v>17</v>
      </c>
      <c r="I21">
        <v>5.96E-2</v>
      </c>
      <c r="J21">
        <v>2.83</v>
      </c>
      <c r="K21">
        <v>1.6999999999999999E-3</v>
      </c>
      <c r="L21" t="s">
        <v>17</v>
      </c>
      <c r="M21">
        <v>385</v>
      </c>
      <c r="N21" t="s">
        <v>18</v>
      </c>
      <c r="O21" t="s">
        <v>198</v>
      </c>
    </row>
    <row r="22" spans="1:15" x14ac:dyDescent="0.2">
      <c r="A22" t="s">
        <v>173</v>
      </c>
      <c r="B22" t="s">
        <v>58</v>
      </c>
      <c r="C22">
        <v>1</v>
      </c>
      <c r="D22" t="s">
        <v>17</v>
      </c>
      <c r="E22" t="s">
        <v>17</v>
      </c>
      <c r="F22">
        <v>0</v>
      </c>
      <c r="G22" t="s">
        <v>17</v>
      </c>
      <c r="H22" t="s">
        <v>17</v>
      </c>
      <c r="I22">
        <v>5.5300000000000002E-2</v>
      </c>
      <c r="J22">
        <v>3.07</v>
      </c>
      <c r="K22">
        <v>1.6999999999999999E-3</v>
      </c>
      <c r="L22" t="s">
        <v>17</v>
      </c>
      <c r="M22">
        <v>482</v>
      </c>
      <c r="N22" t="s">
        <v>18</v>
      </c>
      <c r="O22" t="s">
        <v>198</v>
      </c>
    </row>
    <row r="23" spans="1:15" x14ac:dyDescent="0.2">
      <c r="A23" t="s">
        <v>173</v>
      </c>
      <c r="B23" t="s">
        <v>58</v>
      </c>
      <c r="C23">
        <v>2</v>
      </c>
      <c r="D23" t="s">
        <v>17</v>
      </c>
      <c r="E23" t="s">
        <v>17</v>
      </c>
      <c r="F23">
        <v>1</v>
      </c>
      <c r="G23" t="s">
        <v>17</v>
      </c>
      <c r="H23" t="s">
        <v>17</v>
      </c>
      <c r="I23">
        <v>0.84389999999999998</v>
      </c>
      <c r="J23">
        <v>3.29</v>
      </c>
      <c r="K23">
        <v>2.7799999999999998E-2</v>
      </c>
      <c r="L23" t="s">
        <v>17</v>
      </c>
      <c r="M23">
        <v>7.99</v>
      </c>
      <c r="N23" t="s">
        <v>18</v>
      </c>
      <c r="O23" t="s">
        <v>199</v>
      </c>
    </row>
    <row r="24" spans="1:15" x14ac:dyDescent="0.2">
      <c r="A24" t="s">
        <v>173</v>
      </c>
      <c r="B24" t="s">
        <v>58</v>
      </c>
      <c r="C24">
        <v>2</v>
      </c>
      <c r="D24" t="s">
        <v>17</v>
      </c>
      <c r="E24" t="s">
        <v>17</v>
      </c>
      <c r="F24">
        <v>1</v>
      </c>
      <c r="G24" t="s">
        <v>17</v>
      </c>
      <c r="H24" t="s">
        <v>17</v>
      </c>
      <c r="I24">
        <v>0.75900000000000001</v>
      </c>
      <c r="J24">
        <v>7.09</v>
      </c>
      <c r="K24">
        <v>5.3800000000000001E-2</v>
      </c>
      <c r="L24" t="s">
        <v>17</v>
      </c>
      <c r="M24">
        <v>8.9700000000000006</v>
      </c>
      <c r="N24" t="s">
        <v>18</v>
      </c>
      <c r="O24" t="s">
        <v>199</v>
      </c>
    </row>
    <row r="25" spans="1:15" x14ac:dyDescent="0.2">
      <c r="A25" t="s">
        <v>173</v>
      </c>
      <c r="B25" t="s">
        <v>58</v>
      </c>
      <c r="C25">
        <v>2</v>
      </c>
      <c r="D25" t="s">
        <v>17</v>
      </c>
      <c r="E25" t="s">
        <v>17</v>
      </c>
      <c r="F25">
        <v>1</v>
      </c>
      <c r="G25" t="s">
        <v>17</v>
      </c>
      <c r="H25" t="s">
        <v>17</v>
      </c>
      <c r="I25">
        <v>0.75219999999999998</v>
      </c>
      <c r="J25">
        <v>4.01</v>
      </c>
      <c r="K25">
        <v>3.0099999999999998E-2</v>
      </c>
      <c r="L25" t="s">
        <v>17</v>
      </c>
      <c r="M25">
        <v>9.9700000000000006</v>
      </c>
      <c r="N25" t="s">
        <v>18</v>
      </c>
      <c r="O25" t="s">
        <v>199</v>
      </c>
    </row>
    <row r="26" spans="1:15" x14ac:dyDescent="0.2">
      <c r="A26" t="s">
        <v>173</v>
      </c>
      <c r="B26" t="s">
        <v>58</v>
      </c>
      <c r="C26">
        <v>2</v>
      </c>
      <c r="D26" t="s">
        <v>17</v>
      </c>
      <c r="E26" t="s">
        <v>17</v>
      </c>
      <c r="F26">
        <v>1</v>
      </c>
      <c r="G26" t="s">
        <v>17</v>
      </c>
      <c r="H26" t="s">
        <v>17</v>
      </c>
      <c r="I26">
        <v>0.68779999999999997</v>
      </c>
      <c r="J26">
        <v>6.9</v>
      </c>
      <c r="K26">
        <v>4.7399999999999998E-2</v>
      </c>
      <c r="L26" t="s">
        <v>17</v>
      </c>
      <c r="M26">
        <v>10.97</v>
      </c>
      <c r="N26" t="s">
        <v>18</v>
      </c>
      <c r="O26" t="s">
        <v>199</v>
      </c>
    </row>
    <row r="27" spans="1:15" x14ac:dyDescent="0.2">
      <c r="A27" t="s">
        <v>173</v>
      </c>
      <c r="B27" t="s">
        <v>58</v>
      </c>
      <c r="C27">
        <v>2</v>
      </c>
      <c r="D27" t="s">
        <v>17</v>
      </c>
      <c r="E27" t="s">
        <v>17</v>
      </c>
      <c r="F27">
        <v>1</v>
      </c>
      <c r="G27" t="s">
        <v>17</v>
      </c>
      <c r="H27" t="s">
        <v>17</v>
      </c>
      <c r="I27">
        <v>0.69789999999999996</v>
      </c>
      <c r="J27">
        <v>3.98</v>
      </c>
      <c r="K27">
        <v>2.7799999999999998E-2</v>
      </c>
      <c r="L27" t="s">
        <v>17</v>
      </c>
      <c r="M27">
        <v>11.72</v>
      </c>
      <c r="N27" t="s">
        <v>18</v>
      </c>
      <c r="O27" t="s">
        <v>199</v>
      </c>
    </row>
    <row r="28" spans="1:15" x14ac:dyDescent="0.2">
      <c r="A28" t="s">
        <v>173</v>
      </c>
      <c r="B28" t="s">
        <v>58</v>
      </c>
      <c r="C28">
        <v>2</v>
      </c>
      <c r="D28" t="s">
        <v>17</v>
      </c>
      <c r="E28" t="s">
        <v>17</v>
      </c>
      <c r="F28">
        <v>1</v>
      </c>
      <c r="G28" t="s">
        <v>17</v>
      </c>
      <c r="H28" t="s">
        <v>17</v>
      </c>
      <c r="I28">
        <v>0.70879999999999999</v>
      </c>
      <c r="J28">
        <v>5.73</v>
      </c>
      <c r="K28">
        <v>4.0599999999999997E-2</v>
      </c>
      <c r="L28" t="s">
        <v>17</v>
      </c>
      <c r="M28">
        <v>11.97</v>
      </c>
      <c r="N28" t="s">
        <v>18</v>
      </c>
      <c r="O28" t="s">
        <v>199</v>
      </c>
    </row>
    <row r="29" spans="1:15" x14ac:dyDescent="0.2">
      <c r="A29" t="s">
        <v>173</v>
      </c>
      <c r="B29" t="s">
        <v>58</v>
      </c>
      <c r="C29">
        <v>2</v>
      </c>
      <c r="D29" t="s">
        <v>17</v>
      </c>
      <c r="E29" t="s">
        <v>17</v>
      </c>
      <c r="F29">
        <v>1</v>
      </c>
      <c r="G29" t="s">
        <v>17</v>
      </c>
      <c r="H29" t="s">
        <v>17</v>
      </c>
      <c r="I29">
        <v>0.65329999999999999</v>
      </c>
      <c r="J29">
        <v>5.0999999999999996</v>
      </c>
      <c r="K29">
        <v>3.3300000000000003E-2</v>
      </c>
      <c r="L29" t="s">
        <v>17</v>
      </c>
      <c r="M29">
        <v>12.98</v>
      </c>
      <c r="N29" t="s">
        <v>18</v>
      </c>
      <c r="O29" t="s">
        <v>199</v>
      </c>
    </row>
    <row r="30" spans="1:15" x14ac:dyDescent="0.2">
      <c r="A30" t="s">
        <v>173</v>
      </c>
      <c r="B30" t="s">
        <v>58</v>
      </c>
      <c r="C30">
        <v>2</v>
      </c>
      <c r="D30" t="s">
        <v>17</v>
      </c>
      <c r="E30" t="s">
        <v>17</v>
      </c>
      <c r="F30">
        <v>1</v>
      </c>
      <c r="G30" t="s">
        <v>17</v>
      </c>
      <c r="H30" t="s">
        <v>17</v>
      </c>
      <c r="I30">
        <v>0.57850000000000001</v>
      </c>
      <c r="J30">
        <v>12.02</v>
      </c>
      <c r="K30">
        <v>6.9599999999999995E-2</v>
      </c>
      <c r="L30" t="s">
        <v>17</v>
      </c>
      <c r="M30">
        <v>13.99</v>
      </c>
      <c r="N30" t="s">
        <v>18</v>
      </c>
      <c r="O30" t="s">
        <v>199</v>
      </c>
    </row>
    <row r="31" spans="1:15" x14ac:dyDescent="0.2">
      <c r="A31" t="s">
        <v>173</v>
      </c>
      <c r="B31" t="s">
        <v>58</v>
      </c>
      <c r="C31">
        <v>2</v>
      </c>
      <c r="D31" t="s">
        <v>17</v>
      </c>
      <c r="E31" t="s">
        <v>17</v>
      </c>
      <c r="F31">
        <v>1</v>
      </c>
      <c r="G31" t="s">
        <v>17</v>
      </c>
      <c r="H31" t="s">
        <v>17</v>
      </c>
      <c r="I31">
        <v>0.58609999999999995</v>
      </c>
      <c r="J31">
        <v>4.1500000000000004</v>
      </c>
      <c r="K31">
        <v>2.4299999999999999E-2</v>
      </c>
      <c r="L31" t="s">
        <v>17</v>
      </c>
      <c r="M31">
        <v>14</v>
      </c>
      <c r="N31" t="s">
        <v>18</v>
      </c>
      <c r="O31" t="s">
        <v>199</v>
      </c>
    </row>
    <row r="32" spans="1:15" x14ac:dyDescent="0.2">
      <c r="A32" t="s">
        <v>173</v>
      </c>
      <c r="B32" t="s">
        <v>58</v>
      </c>
      <c r="C32">
        <v>2</v>
      </c>
      <c r="D32" t="s">
        <v>17</v>
      </c>
      <c r="E32" t="s">
        <v>17</v>
      </c>
      <c r="F32">
        <v>1</v>
      </c>
      <c r="G32" t="s">
        <v>17</v>
      </c>
      <c r="H32" t="s">
        <v>17</v>
      </c>
      <c r="I32">
        <v>0.58560000000000001</v>
      </c>
      <c r="J32">
        <v>3.02</v>
      </c>
      <c r="K32">
        <v>1.77E-2</v>
      </c>
      <c r="L32" t="s">
        <v>17</v>
      </c>
      <c r="M32">
        <v>14.01</v>
      </c>
      <c r="N32" t="s">
        <v>18</v>
      </c>
      <c r="O32" t="s">
        <v>199</v>
      </c>
    </row>
    <row r="33" spans="1:15" x14ac:dyDescent="0.2">
      <c r="A33" t="s">
        <v>173</v>
      </c>
      <c r="B33" t="s">
        <v>58</v>
      </c>
      <c r="C33">
        <v>2</v>
      </c>
      <c r="D33" t="s">
        <v>17</v>
      </c>
      <c r="E33" t="s">
        <v>17</v>
      </c>
      <c r="F33">
        <v>1</v>
      </c>
      <c r="G33" t="s">
        <v>17</v>
      </c>
      <c r="H33" t="s">
        <v>17</v>
      </c>
      <c r="I33">
        <v>0.55820000000000003</v>
      </c>
      <c r="J33">
        <v>5.3</v>
      </c>
      <c r="K33">
        <v>2.9600000000000001E-2</v>
      </c>
      <c r="L33" t="s">
        <v>17</v>
      </c>
      <c r="M33">
        <v>14.21</v>
      </c>
      <c r="N33" t="s">
        <v>18</v>
      </c>
      <c r="O33" t="s">
        <v>199</v>
      </c>
    </row>
    <row r="34" spans="1:15" x14ac:dyDescent="0.2">
      <c r="A34" t="s">
        <v>173</v>
      </c>
      <c r="B34" t="s">
        <v>58</v>
      </c>
      <c r="C34">
        <v>2</v>
      </c>
      <c r="D34" t="s">
        <v>17</v>
      </c>
      <c r="E34" t="s">
        <v>17</v>
      </c>
      <c r="F34">
        <v>1</v>
      </c>
      <c r="G34" t="s">
        <v>17</v>
      </c>
      <c r="H34" t="s">
        <v>17</v>
      </c>
      <c r="I34">
        <v>0.57140000000000002</v>
      </c>
      <c r="J34">
        <v>1.87</v>
      </c>
      <c r="K34">
        <v>1.0699999999999999E-2</v>
      </c>
      <c r="L34" t="s">
        <v>17</v>
      </c>
      <c r="M34">
        <v>15</v>
      </c>
      <c r="N34" t="s">
        <v>18</v>
      </c>
      <c r="O34" t="s">
        <v>199</v>
      </c>
    </row>
    <row r="35" spans="1:15" x14ac:dyDescent="0.2">
      <c r="A35" t="s">
        <v>173</v>
      </c>
      <c r="B35" t="s">
        <v>58</v>
      </c>
      <c r="C35">
        <v>2</v>
      </c>
      <c r="D35" t="s">
        <v>17</v>
      </c>
      <c r="E35" t="s">
        <v>17</v>
      </c>
      <c r="F35">
        <v>1</v>
      </c>
      <c r="G35" t="s">
        <v>17</v>
      </c>
      <c r="H35" t="s">
        <v>17</v>
      </c>
      <c r="I35">
        <v>0.5696</v>
      </c>
      <c r="J35">
        <v>2.06</v>
      </c>
      <c r="K35">
        <v>1.17E-2</v>
      </c>
      <c r="L35" t="s">
        <v>17</v>
      </c>
      <c r="M35">
        <v>15.06</v>
      </c>
      <c r="N35" t="s">
        <v>18</v>
      </c>
      <c r="O35" t="s">
        <v>199</v>
      </c>
    </row>
    <row r="36" spans="1:15" x14ac:dyDescent="0.2">
      <c r="A36" t="s">
        <v>173</v>
      </c>
      <c r="B36" t="s">
        <v>58</v>
      </c>
      <c r="C36">
        <v>2</v>
      </c>
      <c r="D36" t="s">
        <v>17</v>
      </c>
      <c r="E36" t="s">
        <v>17</v>
      </c>
      <c r="F36">
        <v>1</v>
      </c>
      <c r="G36" t="s">
        <v>17</v>
      </c>
      <c r="H36" t="s">
        <v>17</v>
      </c>
      <c r="I36">
        <v>0.53210000000000002</v>
      </c>
      <c r="J36">
        <v>2.57</v>
      </c>
      <c r="K36">
        <v>1.37E-2</v>
      </c>
      <c r="L36" t="s">
        <v>17</v>
      </c>
      <c r="M36">
        <v>15.41</v>
      </c>
      <c r="N36" t="s">
        <v>18</v>
      </c>
      <c r="O36" t="s">
        <v>199</v>
      </c>
    </row>
    <row r="37" spans="1:15" x14ac:dyDescent="0.2">
      <c r="A37" t="s">
        <v>173</v>
      </c>
      <c r="B37" t="s">
        <v>58</v>
      </c>
      <c r="C37">
        <v>2</v>
      </c>
      <c r="D37" t="s">
        <v>17</v>
      </c>
      <c r="E37" t="s">
        <v>17</v>
      </c>
      <c r="F37">
        <v>1</v>
      </c>
      <c r="G37" t="s">
        <v>17</v>
      </c>
      <c r="H37" t="s">
        <v>17</v>
      </c>
      <c r="I37">
        <v>6.7500000000000004E-2</v>
      </c>
      <c r="J37">
        <v>3</v>
      </c>
      <c r="K37">
        <v>2E-3</v>
      </c>
      <c r="L37" t="s">
        <v>17</v>
      </c>
      <c r="M37">
        <v>300</v>
      </c>
      <c r="N37" t="s">
        <v>18</v>
      </c>
      <c r="O37" t="s">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B7B2-3CA8-8445-83D6-D342427F5CC0}">
  <dimension ref="A1:O29"/>
  <sheetViews>
    <sheetView workbookViewId="0">
      <selection activeCell="J30" sqref="J30"/>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173</v>
      </c>
      <c r="B2" t="s">
        <v>209</v>
      </c>
      <c r="C2">
        <v>24</v>
      </c>
      <c r="D2" t="s">
        <v>17</v>
      </c>
      <c r="E2" t="s">
        <v>17</v>
      </c>
      <c r="F2">
        <v>25</v>
      </c>
      <c r="G2" t="s">
        <v>17</v>
      </c>
      <c r="H2" t="s">
        <v>17</v>
      </c>
      <c r="I2">
        <v>4.65E-2</v>
      </c>
      <c r="J2">
        <v>50</v>
      </c>
      <c r="K2">
        <f>J2*I2/100</f>
        <v>2.3250000000000003E-2</v>
      </c>
      <c r="L2">
        <v>0.75</v>
      </c>
      <c r="M2">
        <v>296</v>
      </c>
      <c r="N2" t="s">
        <v>18</v>
      </c>
      <c r="O2" t="s">
        <v>210</v>
      </c>
    </row>
    <row r="3" spans="1:15" x14ac:dyDescent="0.2">
      <c r="A3" t="s">
        <v>173</v>
      </c>
      <c r="B3" t="s">
        <v>58</v>
      </c>
      <c r="C3">
        <v>24</v>
      </c>
      <c r="D3" t="s">
        <v>17</v>
      </c>
      <c r="E3" t="s">
        <v>17</v>
      </c>
      <c r="F3">
        <v>25</v>
      </c>
      <c r="G3" t="s">
        <v>17</v>
      </c>
      <c r="H3" t="s">
        <v>17</v>
      </c>
      <c r="I3">
        <v>6.7799999999999999E-2</v>
      </c>
      <c r="J3">
        <v>50</v>
      </c>
      <c r="K3">
        <f t="shared" ref="K3:K29" si="0">J3*I3/100</f>
        <v>3.39E-2</v>
      </c>
      <c r="L3">
        <v>0.75</v>
      </c>
      <c r="M3">
        <v>296</v>
      </c>
      <c r="N3" t="s">
        <v>18</v>
      </c>
      <c r="O3" t="s">
        <v>211</v>
      </c>
    </row>
    <row r="4" spans="1:15" x14ac:dyDescent="0.2">
      <c r="A4" t="s">
        <v>173</v>
      </c>
      <c r="B4" t="s">
        <v>209</v>
      </c>
      <c r="C4">
        <v>23</v>
      </c>
      <c r="D4" t="s">
        <v>17</v>
      </c>
      <c r="E4" t="s">
        <v>17</v>
      </c>
      <c r="F4">
        <v>22</v>
      </c>
      <c r="G4" t="s">
        <v>17</v>
      </c>
      <c r="H4" t="s">
        <v>17</v>
      </c>
      <c r="I4">
        <v>4.9700000000000001E-2</v>
      </c>
      <c r="J4">
        <v>50</v>
      </c>
      <c r="K4">
        <f t="shared" si="0"/>
        <v>2.4849999999999997E-2</v>
      </c>
      <c r="L4">
        <v>0.75</v>
      </c>
      <c r="M4">
        <v>296</v>
      </c>
      <c r="N4" t="s">
        <v>18</v>
      </c>
      <c r="O4" t="s">
        <v>212</v>
      </c>
    </row>
    <row r="5" spans="1:15" x14ac:dyDescent="0.2">
      <c r="A5" t="s">
        <v>173</v>
      </c>
      <c r="B5" t="s">
        <v>58</v>
      </c>
      <c r="C5">
        <v>23</v>
      </c>
      <c r="D5" t="s">
        <v>17</v>
      </c>
      <c r="E5" t="s">
        <v>17</v>
      </c>
      <c r="F5">
        <v>22</v>
      </c>
      <c r="G5" t="s">
        <v>17</v>
      </c>
      <c r="H5" t="s">
        <v>17</v>
      </c>
      <c r="I5">
        <v>7.0800000000000002E-2</v>
      </c>
      <c r="J5">
        <v>50</v>
      </c>
      <c r="K5">
        <f t="shared" si="0"/>
        <v>3.5400000000000001E-2</v>
      </c>
      <c r="L5">
        <v>0.75</v>
      </c>
      <c r="M5">
        <v>296</v>
      </c>
      <c r="N5" t="s">
        <v>18</v>
      </c>
      <c r="O5" t="s">
        <v>213</v>
      </c>
    </row>
    <row r="6" spans="1:15" x14ac:dyDescent="0.2">
      <c r="A6" t="s">
        <v>173</v>
      </c>
      <c r="B6" t="s">
        <v>209</v>
      </c>
      <c r="C6">
        <v>22</v>
      </c>
      <c r="D6" t="s">
        <v>17</v>
      </c>
      <c r="E6" t="s">
        <v>17</v>
      </c>
      <c r="F6">
        <v>21</v>
      </c>
      <c r="G6" t="s">
        <v>17</v>
      </c>
      <c r="H6" t="s">
        <v>17</v>
      </c>
      <c r="I6">
        <v>5.0200000000000002E-2</v>
      </c>
      <c r="J6">
        <v>50</v>
      </c>
      <c r="K6">
        <f t="shared" si="0"/>
        <v>2.5100000000000001E-2</v>
      </c>
      <c r="L6">
        <v>0.75</v>
      </c>
      <c r="M6">
        <v>296</v>
      </c>
      <c r="N6" t="s">
        <v>18</v>
      </c>
      <c r="O6" t="s">
        <v>214</v>
      </c>
    </row>
    <row r="7" spans="1:15" x14ac:dyDescent="0.2">
      <c r="A7" t="s">
        <v>173</v>
      </c>
      <c r="B7" t="s">
        <v>58</v>
      </c>
      <c r="C7">
        <v>22</v>
      </c>
      <c r="D7" t="s">
        <v>17</v>
      </c>
      <c r="E7" t="s">
        <v>17</v>
      </c>
      <c r="F7">
        <v>21</v>
      </c>
      <c r="G7" t="s">
        <v>17</v>
      </c>
      <c r="H7" t="s">
        <v>17</v>
      </c>
      <c r="I7">
        <v>6.9900000000000004E-2</v>
      </c>
      <c r="J7">
        <v>50</v>
      </c>
      <c r="K7">
        <f t="shared" si="0"/>
        <v>3.4950000000000002E-2</v>
      </c>
      <c r="L7">
        <v>0.75</v>
      </c>
      <c r="M7">
        <v>296</v>
      </c>
      <c r="N7" t="s">
        <v>18</v>
      </c>
      <c r="O7" t="s">
        <v>215</v>
      </c>
    </row>
    <row r="8" spans="1:15" x14ac:dyDescent="0.2">
      <c r="A8" t="s">
        <v>173</v>
      </c>
      <c r="B8" t="s">
        <v>209</v>
      </c>
      <c r="C8">
        <v>21</v>
      </c>
      <c r="D8" t="s">
        <v>17</v>
      </c>
      <c r="E8" t="s">
        <v>17</v>
      </c>
      <c r="F8">
        <v>20</v>
      </c>
      <c r="G8" t="s">
        <v>17</v>
      </c>
      <c r="H8" t="s">
        <v>17</v>
      </c>
      <c r="I8">
        <v>5.0599999999999999E-2</v>
      </c>
      <c r="J8">
        <v>50</v>
      </c>
      <c r="K8">
        <f t="shared" si="0"/>
        <v>2.53E-2</v>
      </c>
      <c r="L8">
        <v>0.75</v>
      </c>
      <c r="M8">
        <v>296</v>
      </c>
      <c r="N8" t="s">
        <v>18</v>
      </c>
      <c r="O8" t="s">
        <v>216</v>
      </c>
    </row>
    <row r="9" spans="1:15" x14ac:dyDescent="0.2">
      <c r="A9" t="s">
        <v>173</v>
      </c>
      <c r="B9" t="s">
        <v>58</v>
      </c>
      <c r="C9">
        <v>21</v>
      </c>
      <c r="D9" t="s">
        <v>17</v>
      </c>
      <c r="E9" t="s">
        <v>17</v>
      </c>
      <c r="F9">
        <v>20</v>
      </c>
      <c r="G9" t="s">
        <v>17</v>
      </c>
      <c r="H9" t="s">
        <v>17</v>
      </c>
      <c r="I9">
        <v>6.9699999999999998E-2</v>
      </c>
      <c r="J9">
        <v>50</v>
      </c>
      <c r="K9">
        <f t="shared" si="0"/>
        <v>3.4849999999999999E-2</v>
      </c>
      <c r="L9">
        <v>0.75</v>
      </c>
      <c r="M9">
        <v>296</v>
      </c>
      <c r="N9" t="s">
        <v>18</v>
      </c>
      <c r="O9" t="s">
        <v>217</v>
      </c>
    </row>
    <row r="10" spans="1:15" x14ac:dyDescent="0.2">
      <c r="A10" t="s">
        <v>173</v>
      </c>
      <c r="B10" t="s">
        <v>209</v>
      </c>
      <c r="C10">
        <v>19</v>
      </c>
      <c r="D10" t="s">
        <v>17</v>
      </c>
      <c r="E10" t="s">
        <v>17</v>
      </c>
      <c r="F10">
        <v>18</v>
      </c>
      <c r="G10" t="s">
        <v>17</v>
      </c>
      <c r="H10" t="s">
        <v>17</v>
      </c>
      <c r="I10">
        <v>5.2299999999999999E-2</v>
      </c>
      <c r="J10">
        <v>50</v>
      </c>
      <c r="K10">
        <f t="shared" si="0"/>
        <v>2.6149999999999996E-2</v>
      </c>
      <c r="L10">
        <v>0.75</v>
      </c>
      <c r="M10">
        <v>296</v>
      </c>
      <c r="N10" t="s">
        <v>18</v>
      </c>
      <c r="O10" t="s">
        <v>218</v>
      </c>
    </row>
    <row r="11" spans="1:15" x14ac:dyDescent="0.2">
      <c r="A11" t="s">
        <v>173</v>
      </c>
      <c r="B11" t="s">
        <v>58</v>
      </c>
      <c r="C11">
        <v>19</v>
      </c>
      <c r="D11" t="s">
        <v>17</v>
      </c>
      <c r="E11" t="s">
        <v>17</v>
      </c>
      <c r="F11">
        <v>18</v>
      </c>
      <c r="G11" t="s">
        <v>17</v>
      </c>
      <c r="H11" t="s">
        <v>17</v>
      </c>
      <c r="I11">
        <v>6.9099999999999995E-2</v>
      </c>
      <c r="J11">
        <v>50</v>
      </c>
      <c r="K11">
        <f t="shared" si="0"/>
        <v>3.4549999999999997E-2</v>
      </c>
      <c r="L11">
        <v>0.75</v>
      </c>
      <c r="M11">
        <v>296</v>
      </c>
      <c r="N11" t="s">
        <v>18</v>
      </c>
      <c r="O11" t="s">
        <v>219</v>
      </c>
    </row>
    <row r="12" spans="1:15" x14ac:dyDescent="0.2">
      <c r="A12" t="s">
        <v>173</v>
      </c>
      <c r="B12" t="s">
        <v>58</v>
      </c>
      <c r="C12">
        <v>20</v>
      </c>
      <c r="D12" t="s">
        <v>17</v>
      </c>
      <c r="E12" t="s">
        <v>17</v>
      </c>
      <c r="F12">
        <v>19</v>
      </c>
      <c r="G12" t="s">
        <v>17</v>
      </c>
      <c r="H12" t="s">
        <v>17</v>
      </c>
      <c r="I12">
        <v>6.9000000000000006E-2</v>
      </c>
      <c r="J12">
        <v>50</v>
      </c>
      <c r="K12">
        <f t="shared" si="0"/>
        <v>3.4500000000000003E-2</v>
      </c>
      <c r="L12">
        <v>0.75</v>
      </c>
      <c r="M12">
        <v>296</v>
      </c>
      <c r="N12" t="s">
        <v>18</v>
      </c>
      <c r="O12" t="s">
        <v>220</v>
      </c>
    </row>
    <row r="13" spans="1:15" x14ac:dyDescent="0.2">
      <c r="A13" t="s">
        <v>173</v>
      </c>
      <c r="B13" t="s">
        <v>58</v>
      </c>
      <c r="C13">
        <v>18</v>
      </c>
      <c r="D13" t="s">
        <v>17</v>
      </c>
      <c r="E13" t="s">
        <v>17</v>
      </c>
      <c r="F13">
        <v>17</v>
      </c>
      <c r="G13" t="s">
        <v>17</v>
      </c>
      <c r="H13" t="s">
        <v>17</v>
      </c>
      <c r="I13">
        <v>6.83E-2</v>
      </c>
      <c r="J13">
        <v>50</v>
      </c>
      <c r="K13">
        <f t="shared" si="0"/>
        <v>3.415E-2</v>
      </c>
      <c r="L13">
        <v>0.75</v>
      </c>
      <c r="M13">
        <v>296</v>
      </c>
      <c r="N13" t="s">
        <v>18</v>
      </c>
      <c r="O13" t="s">
        <v>221</v>
      </c>
    </row>
    <row r="14" spans="1:15" x14ac:dyDescent="0.2">
      <c r="A14" t="s">
        <v>173</v>
      </c>
      <c r="B14" t="s">
        <v>58</v>
      </c>
      <c r="C14">
        <v>17</v>
      </c>
      <c r="D14" t="s">
        <v>17</v>
      </c>
      <c r="E14" t="s">
        <v>17</v>
      </c>
      <c r="F14">
        <v>16</v>
      </c>
      <c r="G14" t="s">
        <v>17</v>
      </c>
      <c r="H14" t="s">
        <v>17</v>
      </c>
      <c r="I14">
        <v>6.7799999999999999E-2</v>
      </c>
      <c r="J14">
        <v>50</v>
      </c>
      <c r="K14">
        <f t="shared" si="0"/>
        <v>3.39E-2</v>
      </c>
      <c r="L14">
        <v>0.75</v>
      </c>
      <c r="M14">
        <v>296</v>
      </c>
      <c r="N14" t="s">
        <v>18</v>
      </c>
      <c r="O14" t="s">
        <v>222</v>
      </c>
    </row>
    <row r="15" spans="1:15" x14ac:dyDescent="0.2">
      <c r="A15" t="s">
        <v>173</v>
      </c>
      <c r="B15" t="s">
        <v>58</v>
      </c>
      <c r="C15">
        <v>16</v>
      </c>
      <c r="D15" t="s">
        <v>17</v>
      </c>
      <c r="E15" t="s">
        <v>17</v>
      </c>
      <c r="F15">
        <v>15</v>
      </c>
      <c r="G15" t="s">
        <v>17</v>
      </c>
      <c r="H15" t="s">
        <v>17</v>
      </c>
      <c r="I15">
        <v>6.7599999999999993E-2</v>
      </c>
      <c r="J15">
        <v>50</v>
      </c>
      <c r="K15">
        <f t="shared" si="0"/>
        <v>3.3799999999999997E-2</v>
      </c>
      <c r="L15">
        <v>0.75</v>
      </c>
      <c r="M15">
        <v>296</v>
      </c>
      <c r="N15" t="s">
        <v>18</v>
      </c>
      <c r="O15" t="s">
        <v>223</v>
      </c>
    </row>
    <row r="16" spans="1:15" x14ac:dyDescent="0.2">
      <c r="A16" t="s">
        <v>173</v>
      </c>
      <c r="B16" t="s">
        <v>58</v>
      </c>
      <c r="C16">
        <v>15</v>
      </c>
      <c r="D16" t="s">
        <v>17</v>
      </c>
      <c r="E16" t="s">
        <v>17</v>
      </c>
      <c r="F16">
        <v>14</v>
      </c>
      <c r="G16" t="s">
        <v>17</v>
      </c>
      <c r="H16" t="s">
        <v>17</v>
      </c>
      <c r="I16">
        <v>6.7100000000000007E-2</v>
      </c>
      <c r="J16">
        <v>50</v>
      </c>
      <c r="K16">
        <f t="shared" si="0"/>
        <v>3.3550000000000003E-2</v>
      </c>
      <c r="L16">
        <v>0.75</v>
      </c>
      <c r="M16">
        <v>296</v>
      </c>
      <c r="N16" t="s">
        <v>18</v>
      </c>
      <c r="O16" t="s">
        <v>224</v>
      </c>
    </row>
    <row r="17" spans="1:15" x14ac:dyDescent="0.2">
      <c r="A17" t="s">
        <v>173</v>
      </c>
      <c r="B17" t="s">
        <v>58</v>
      </c>
      <c r="C17">
        <v>14</v>
      </c>
      <c r="D17" t="s">
        <v>17</v>
      </c>
      <c r="E17" t="s">
        <v>17</v>
      </c>
      <c r="F17">
        <v>13</v>
      </c>
      <c r="G17" t="s">
        <v>17</v>
      </c>
      <c r="H17" t="s">
        <v>17</v>
      </c>
      <c r="I17">
        <v>6.6699999999999995E-2</v>
      </c>
      <c r="J17">
        <v>50</v>
      </c>
      <c r="K17">
        <f t="shared" si="0"/>
        <v>3.3349999999999998E-2</v>
      </c>
      <c r="L17">
        <v>0.75</v>
      </c>
      <c r="M17">
        <v>296</v>
      </c>
      <c r="N17" t="s">
        <v>18</v>
      </c>
      <c r="O17" t="s">
        <v>225</v>
      </c>
    </row>
    <row r="18" spans="1:15" x14ac:dyDescent="0.2">
      <c r="A18" t="s">
        <v>173</v>
      </c>
      <c r="B18" t="s">
        <v>58</v>
      </c>
      <c r="C18">
        <v>13</v>
      </c>
      <c r="D18" t="s">
        <v>17</v>
      </c>
      <c r="E18" t="s">
        <v>17</v>
      </c>
      <c r="F18">
        <v>12</v>
      </c>
      <c r="G18" t="s">
        <v>17</v>
      </c>
      <c r="H18" t="s">
        <v>17</v>
      </c>
      <c r="I18">
        <v>6.6400000000000001E-2</v>
      </c>
      <c r="J18">
        <v>50</v>
      </c>
      <c r="K18">
        <f t="shared" si="0"/>
        <v>3.32E-2</v>
      </c>
      <c r="L18">
        <v>0.75</v>
      </c>
      <c r="M18">
        <v>296</v>
      </c>
      <c r="N18" t="s">
        <v>18</v>
      </c>
      <c r="O18" t="s">
        <v>226</v>
      </c>
    </row>
    <row r="19" spans="1:15" x14ac:dyDescent="0.2">
      <c r="A19" t="s">
        <v>173</v>
      </c>
      <c r="B19" t="s">
        <v>58</v>
      </c>
      <c r="C19">
        <v>12</v>
      </c>
      <c r="D19" t="s">
        <v>17</v>
      </c>
      <c r="E19" t="s">
        <v>17</v>
      </c>
      <c r="F19">
        <v>11</v>
      </c>
      <c r="G19" t="s">
        <v>17</v>
      </c>
      <c r="H19" t="s">
        <v>17</v>
      </c>
      <c r="I19">
        <v>6.6100000000000006E-2</v>
      </c>
      <c r="J19">
        <v>50</v>
      </c>
      <c r="K19">
        <f t="shared" si="0"/>
        <v>3.3050000000000003E-2</v>
      </c>
      <c r="L19">
        <v>0.75</v>
      </c>
      <c r="M19">
        <v>296</v>
      </c>
      <c r="N19" t="s">
        <v>18</v>
      </c>
      <c r="O19" t="s">
        <v>227</v>
      </c>
    </row>
    <row r="20" spans="1:15" x14ac:dyDescent="0.2">
      <c r="A20" t="s">
        <v>173</v>
      </c>
      <c r="B20" t="s">
        <v>58</v>
      </c>
      <c r="C20">
        <v>11</v>
      </c>
      <c r="D20" t="s">
        <v>17</v>
      </c>
      <c r="E20" t="s">
        <v>17</v>
      </c>
      <c r="F20">
        <v>10</v>
      </c>
      <c r="G20" t="s">
        <v>17</v>
      </c>
      <c r="H20" t="s">
        <v>17</v>
      </c>
      <c r="I20">
        <v>6.5799999999999997E-2</v>
      </c>
      <c r="J20">
        <v>50</v>
      </c>
      <c r="K20">
        <f t="shared" si="0"/>
        <v>3.2899999999999999E-2</v>
      </c>
      <c r="L20">
        <v>0.75</v>
      </c>
      <c r="M20">
        <v>296</v>
      </c>
      <c r="N20" t="s">
        <v>18</v>
      </c>
      <c r="O20" t="s">
        <v>228</v>
      </c>
    </row>
    <row r="21" spans="1:15" x14ac:dyDescent="0.2">
      <c r="A21" t="s">
        <v>173</v>
      </c>
      <c r="B21" t="s">
        <v>58</v>
      </c>
      <c r="C21">
        <v>10</v>
      </c>
      <c r="D21" t="s">
        <v>17</v>
      </c>
      <c r="E21" t="s">
        <v>17</v>
      </c>
      <c r="F21">
        <v>9</v>
      </c>
      <c r="G21" t="s">
        <v>17</v>
      </c>
      <c r="H21" t="s">
        <v>17</v>
      </c>
      <c r="I21">
        <v>6.54E-2</v>
      </c>
      <c r="J21">
        <v>50</v>
      </c>
      <c r="K21">
        <f t="shared" si="0"/>
        <v>3.27E-2</v>
      </c>
      <c r="L21">
        <v>0.75</v>
      </c>
      <c r="M21">
        <v>296</v>
      </c>
      <c r="N21" t="s">
        <v>18</v>
      </c>
      <c r="O21" t="s">
        <v>229</v>
      </c>
    </row>
    <row r="22" spans="1:15" x14ac:dyDescent="0.2">
      <c r="A22" t="s">
        <v>173</v>
      </c>
      <c r="B22" t="s">
        <v>58</v>
      </c>
      <c r="C22">
        <v>9</v>
      </c>
      <c r="D22" t="s">
        <v>17</v>
      </c>
      <c r="E22" t="s">
        <v>17</v>
      </c>
      <c r="F22">
        <v>8</v>
      </c>
      <c r="G22" t="s">
        <v>17</v>
      </c>
      <c r="H22" t="s">
        <v>17</v>
      </c>
      <c r="I22">
        <v>6.5000000000000002E-2</v>
      </c>
      <c r="J22">
        <v>50</v>
      </c>
      <c r="K22">
        <f t="shared" si="0"/>
        <v>3.2500000000000001E-2</v>
      </c>
      <c r="L22">
        <v>0.75</v>
      </c>
      <c r="M22">
        <v>296</v>
      </c>
      <c r="N22" t="s">
        <v>18</v>
      </c>
      <c r="O22" t="s">
        <v>230</v>
      </c>
    </row>
    <row r="23" spans="1:15" x14ac:dyDescent="0.2">
      <c r="A23" t="s">
        <v>173</v>
      </c>
      <c r="B23" t="s">
        <v>58</v>
      </c>
      <c r="C23">
        <v>8</v>
      </c>
      <c r="D23" t="s">
        <v>17</v>
      </c>
      <c r="E23" t="s">
        <v>17</v>
      </c>
      <c r="F23">
        <v>7</v>
      </c>
      <c r="G23" t="s">
        <v>17</v>
      </c>
      <c r="H23" t="s">
        <v>17</v>
      </c>
      <c r="I23">
        <v>6.4699999999999994E-2</v>
      </c>
      <c r="J23">
        <v>50</v>
      </c>
      <c r="K23">
        <f t="shared" si="0"/>
        <v>3.2349999999999997E-2</v>
      </c>
      <c r="L23">
        <v>0.75</v>
      </c>
      <c r="M23">
        <v>296</v>
      </c>
      <c r="N23" t="s">
        <v>18</v>
      </c>
      <c r="O23" t="s">
        <v>231</v>
      </c>
    </row>
    <row r="24" spans="1:15" x14ac:dyDescent="0.2">
      <c r="A24" t="s">
        <v>173</v>
      </c>
      <c r="B24" t="s">
        <v>58</v>
      </c>
      <c r="C24">
        <v>7</v>
      </c>
      <c r="D24" t="s">
        <v>17</v>
      </c>
      <c r="E24" t="s">
        <v>17</v>
      </c>
      <c r="F24">
        <v>6</v>
      </c>
      <c r="G24" t="s">
        <v>17</v>
      </c>
      <c r="H24" t="s">
        <v>17</v>
      </c>
      <c r="I24">
        <v>6.4299999999999996E-2</v>
      </c>
      <c r="J24">
        <v>50</v>
      </c>
      <c r="K24">
        <f t="shared" si="0"/>
        <v>3.2149999999999998E-2</v>
      </c>
      <c r="L24">
        <v>0.75</v>
      </c>
      <c r="M24">
        <v>296</v>
      </c>
      <c r="N24" t="s">
        <v>18</v>
      </c>
      <c r="O24" t="s">
        <v>232</v>
      </c>
    </row>
    <row r="25" spans="1:15" x14ac:dyDescent="0.2">
      <c r="A25" t="s">
        <v>173</v>
      </c>
      <c r="B25" t="s">
        <v>58</v>
      </c>
      <c r="C25">
        <v>6</v>
      </c>
      <c r="D25" t="s">
        <v>17</v>
      </c>
      <c r="E25" t="s">
        <v>17</v>
      </c>
      <c r="F25">
        <v>5</v>
      </c>
      <c r="G25" t="s">
        <v>17</v>
      </c>
      <c r="H25" t="s">
        <v>17</v>
      </c>
      <c r="I25">
        <v>6.3799999999999996E-2</v>
      </c>
      <c r="J25">
        <v>50</v>
      </c>
      <c r="K25">
        <f t="shared" si="0"/>
        <v>3.1899999999999998E-2</v>
      </c>
      <c r="L25">
        <v>0.75</v>
      </c>
      <c r="M25">
        <v>296</v>
      </c>
      <c r="N25" t="s">
        <v>18</v>
      </c>
      <c r="O25" t="s">
        <v>233</v>
      </c>
    </row>
    <row r="26" spans="1:15" x14ac:dyDescent="0.2">
      <c r="A26" t="s">
        <v>173</v>
      </c>
      <c r="B26" t="s">
        <v>58</v>
      </c>
      <c r="C26">
        <v>5</v>
      </c>
      <c r="D26" t="s">
        <v>17</v>
      </c>
      <c r="E26" t="s">
        <v>17</v>
      </c>
      <c r="F26">
        <v>4</v>
      </c>
      <c r="G26" t="s">
        <v>17</v>
      </c>
      <c r="H26" t="s">
        <v>17</v>
      </c>
      <c r="I26">
        <v>6.3200000000000006E-2</v>
      </c>
      <c r="J26">
        <v>50</v>
      </c>
      <c r="K26">
        <f t="shared" si="0"/>
        <v>3.1600000000000003E-2</v>
      </c>
      <c r="L26">
        <v>0.75</v>
      </c>
      <c r="M26">
        <v>296</v>
      </c>
      <c r="N26" t="s">
        <v>18</v>
      </c>
      <c r="O26" t="s">
        <v>234</v>
      </c>
    </row>
    <row r="27" spans="1:15" x14ac:dyDescent="0.2">
      <c r="A27" t="s">
        <v>173</v>
      </c>
      <c r="B27" t="s">
        <v>58</v>
      </c>
      <c r="C27">
        <v>4</v>
      </c>
      <c r="D27" t="s">
        <v>17</v>
      </c>
      <c r="E27" t="s">
        <v>17</v>
      </c>
      <c r="F27">
        <v>3</v>
      </c>
      <c r="G27" t="s">
        <v>17</v>
      </c>
      <c r="H27" t="s">
        <v>17</v>
      </c>
      <c r="I27">
        <v>6.2399999999999997E-2</v>
      </c>
      <c r="J27">
        <v>50</v>
      </c>
      <c r="K27">
        <f t="shared" si="0"/>
        <v>3.1199999999999995E-2</v>
      </c>
      <c r="L27">
        <v>0.75</v>
      </c>
      <c r="M27">
        <v>296</v>
      </c>
      <c r="N27" t="s">
        <v>18</v>
      </c>
      <c r="O27" t="s">
        <v>235</v>
      </c>
    </row>
    <row r="28" spans="1:15" x14ac:dyDescent="0.2">
      <c r="A28" t="s">
        <v>173</v>
      </c>
      <c r="B28" t="s">
        <v>58</v>
      </c>
      <c r="C28">
        <v>3</v>
      </c>
      <c r="D28" t="s">
        <v>17</v>
      </c>
      <c r="E28" t="s">
        <v>17</v>
      </c>
      <c r="F28">
        <v>2</v>
      </c>
      <c r="G28" t="s">
        <v>17</v>
      </c>
      <c r="H28" t="s">
        <v>17</v>
      </c>
      <c r="I28">
        <v>6.1600000000000002E-2</v>
      </c>
      <c r="J28">
        <v>50</v>
      </c>
      <c r="K28">
        <f t="shared" si="0"/>
        <v>3.0800000000000001E-2</v>
      </c>
      <c r="L28">
        <v>0.75</v>
      </c>
      <c r="M28">
        <v>296</v>
      </c>
      <c r="N28" t="s">
        <v>18</v>
      </c>
      <c r="O28" t="s">
        <v>236</v>
      </c>
    </row>
    <row r="29" spans="1:15" x14ac:dyDescent="0.2">
      <c r="A29" t="s">
        <v>173</v>
      </c>
      <c r="B29" t="s">
        <v>58</v>
      </c>
      <c r="C29">
        <v>2</v>
      </c>
      <c r="D29" t="s">
        <v>17</v>
      </c>
      <c r="E29" t="s">
        <v>17</v>
      </c>
      <c r="F29">
        <v>1</v>
      </c>
      <c r="G29" t="s">
        <v>17</v>
      </c>
      <c r="H29" t="s">
        <v>17</v>
      </c>
      <c r="I29">
        <v>6.0600000000000001E-2</v>
      </c>
      <c r="J29">
        <v>50</v>
      </c>
      <c r="K29">
        <f t="shared" si="0"/>
        <v>3.0300000000000004E-2</v>
      </c>
      <c r="L29">
        <v>0.75</v>
      </c>
      <c r="M29">
        <v>296</v>
      </c>
      <c r="N29" t="s">
        <v>18</v>
      </c>
      <c r="O29" t="s">
        <v>237</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D1416-9400-3945-B77F-FE8E7635D976}">
  <dimension ref="A1:O7"/>
  <sheetViews>
    <sheetView workbookViewId="0">
      <selection activeCell="H12" sqref="H1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173</v>
      </c>
      <c r="B2" t="s">
        <v>57</v>
      </c>
      <c r="C2">
        <v>5</v>
      </c>
      <c r="D2" t="s">
        <v>17</v>
      </c>
      <c r="E2" t="s">
        <v>17</v>
      </c>
      <c r="F2">
        <v>4</v>
      </c>
      <c r="G2" t="s">
        <v>17</v>
      </c>
      <c r="H2" t="s">
        <v>17</v>
      </c>
      <c r="I2">
        <v>6.3452999999999996E-2</v>
      </c>
      <c r="J2">
        <v>0.26400000000000001</v>
      </c>
      <c r="K2">
        <v>1.6699999999999999E-4</v>
      </c>
      <c r="L2">
        <v>0.77249999999999996</v>
      </c>
      <c r="M2">
        <v>296</v>
      </c>
      <c r="N2" t="s">
        <v>201</v>
      </c>
      <c r="O2" t="s">
        <v>202</v>
      </c>
    </row>
    <row r="3" spans="1:15" x14ac:dyDescent="0.2">
      <c r="A3" t="s">
        <v>173</v>
      </c>
      <c r="B3" t="s">
        <v>203</v>
      </c>
      <c r="C3">
        <v>5</v>
      </c>
      <c r="D3" t="s">
        <v>17</v>
      </c>
      <c r="E3" t="s">
        <v>17</v>
      </c>
      <c r="F3">
        <v>4</v>
      </c>
      <c r="G3" t="s">
        <v>17</v>
      </c>
      <c r="H3" t="s">
        <v>17</v>
      </c>
      <c r="I3">
        <v>5.4260999999999997E-2</v>
      </c>
      <c r="J3">
        <v>0.378</v>
      </c>
      <c r="K3">
        <v>2.05E-4</v>
      </c>
      <c r="L3">
        <v>0.79900000000000004</v>
      </c>
      <c r="M3">
        <v>296</v>
      </c>
      <c r="N3" t="s">
        <v>201</v>
      </c>
      <c r="O3" t="s">
        <v>204</v>
      </c>
    </row>
    <row r="4" spans="1:15" x14ac:dyDescent="0.2">
      <c r="A4" t="s">
        <v>173</v>
      </c>
      <c r="B4" t="s">
        <v>58</v>
      </c>
      <c r="C4">
        <v>5</v>
      </c>
      <c r="D4" t="s">
        <v>17</v>
      </c>
      <c r="E4" t="s">
        <v>17</v>
      </c>
      <c r="F4">
        <v>4</v>
      </c>
      <c r="G4" t="s">
        <v>17</v>
      </c>
      <c r="H4" t="s">
        <v>17</v>
      </c>
      <c r="I4">
        <v>7.0695999999999995E-2</v>
      </c>
      <c r="J4">
        <v>0.23300000000000001</v>
      </c>
      <c r="K4">
        <v>1.65E-4</v>
      </c>
      <c r="L4">
        <v>0.61209999999999998</v>
      </c>
      <c r="M4">
        <v>296</v>
      </c>
      <c r="N4" t="s">
        <v>201</v>
      </c>
      <c r="O4" t="s">
        <v>205</v>
      </c>
    </row>
    <row r="5" spans="1:15" x14ac:dyDescent="0.2">
      <c r="A5" t="s">
        <v>173</v>
      </c>
      <c r="B5" t="s">
        <v>191</v>
      </c>
      <c r="C5">
        <v>5</v>
      </c>
      <c r="D5" t="s">
        <v>17</v>
      </c>
      <c r="E5" t="s">
        <v>17</v>
      </c>
      <c r="F5">
        <v>4</v>
      </c>
      <c r="G5" t="s">
        <v>17</v>
      </c>
      <c r="H5" t="s">
        <v>17</v>
      </c>
      <c r="I5">
        <v>4.7832E-2</v>
      </c>
      <c r="J5">
        <v>0.39700000000000002</v>
      </c>
      <c r="K5">
        <v>1.9000000000000001E-4</v>
      </c>
      <c r="L5">
        <v>0.53690000000000004</v>
      </c>
      <c r="M5">
        <v>296</v>
      </c>
      <c r="N5" t="s">
        <v>201</v>
      </c>
      <c r="O5" t="s">
        <v>206</v>
      </c>
    </row>
    <row r="6" spans="1:15" x14ac:dyDescent="0.2">
      <c r="A6" t="s">
        <v>173</v>
      </c>
      <c r="B6" t="s">
        <v>173</v>
      </c>
      <c r="C6">
        <v>5</v>
      </c>
      <c r="D6" t="s">
        <v>17</v>
      </c>
      <c r="E6" t="s">
        <v>17</v>
      </c>
      <c r="F6">
        <v>4</v>
      </c>
      <c r="G6" t="s">
        <v>17</v>
      </c>
      <c r="H6" t="s">
        <v>17</v>
      </c>
      <c r="I6">
        <v>7.4785000000000004E-2</v>
      </c>
      <c r="J6">
        <v>5.4240000000000004</v>
      </c>
      <c r="K6">
        <v>4.0559999999999997E-3</v>
      </c>
      <c r="L6">
        <v>1.377</v>
      </c>
      <c r="M6">
        <v>296</v>
      </c>
      <c r="N6" t="s">
        <v>201</v>
      </c>
      <c r="O6" t="s">
        <v>207</v>
      </c>
    </row>
    <row r="7" spans="1:15" x14ac:dyDescent="0.2">
      <c r="A7" t="s">
        <v>173</v>
      </c>
      <c r="B7" t="s">
        <v>32</v>
      </c>
      <c r="C7">
        <v>5</v>
      </c>
      <c r="D7" t="s">
        <v>17</v>
      </c>
      <c r="E7" t="s">
        <v>17</v>
      </c>
      <c r="F7">
        <v>4</v>
      </c>
      <c r="G7" t="s">
        <v>17</v>
      </c>
      <c r="H7" t="s">
        <v>17</v>
      </c>
      <c r="I7">
        <v>0.100212</v>
      </c>
      <c r="J7">
        <v>1.619</v>
      </c>
      <c r="K7">
        <v>1.622E-3</v>
      </c>
      <c r="L7">
        <v>0.35099999999999998</v>
      </c>
      <c r="M7">
        <v>296</v>
      </c>
      <c r="N7" t="s">
        <v>201</v>
      </c>
      <c r="O7" t="s">
        <v>208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38AC0-9ED8-624B-ADF4-79EE7B60E2CA}">
  <dimension ref="A1:O42"/>
  <sheetViews>
    <sheetView workbookViewId="0">
      <selection activeCell="F31" sqref="F31"/>
    </sheetView>
  </sheetViews>
  <sheetFormatPr baseColWidth="10" defaultRowHeight="16" x14ac:dyDescent="0.2"/>
  <sheetData>
    <row r="1" spans="1:15" x14ac:dyDescent="0.2">
      <c r="A1" s="3"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3</v>
      </c>
      <c r="D2">
        <v>1</v>
      </c>
      <c r="E2">
        <v>3</v>
      </c>
      <c r="F2">
        <v>2</v>
      </c>
      <c r="G2">
        <v>2</v>
      </c>
      <c r="H2">
        <v>0</v>
      </c>
      <c r="I2">
        <v>1.799912E-2</v>
      </c>
      <c r="J2">
        <v>5</v>
      </c>
      <c r="K2">
        <v>8.9996E-4</v>
      </c>
      <c r="L2">
        <v>0.49</v>
      </c>
      <c r="M2">
        <v>597</v>
      </c>
      <c r="N2" t="s">
        <v>201</v>
      </c>
      <c r="O2" t="s">
        <v>278</v>
      </c>
    </row>
    <row r="3" spans="1:15" x14ac:dyDescent="0.2">
      <c r="A3" t="s">
        <v>190</v>
      </c>
      <c r="B3" t="s">
        <v>191</v>
      </c>
      <c r="C3">
        <v>3</v>
      </c>
      <c r="D3">
        <v>1</v>
      </c>
      <c r="E3">
        <v>3</v>
      </c>
      <c r="F3">
        <v>2</v>
      </c>
      <c r="G3">
        <v>2</v>
      </c>
      <c r="H3">
        <v>0</v>
      </c>
      <c r="I3">
        <v>2.0280699999999999E-2</v>
      </c>
      <c r="J3">
        <v>5</v>
      </c>
      <c r="K3">
        <v>1.01403E-3</v>
      </c>
      <c r="L3">
        <v>0.49</v>
      </c>
      <c r="M3">
        <v>444</v>
      </c>
      <c r="N3" t="s">
        <v>201</v>
      </c>
      <c r="O3" t="s">
        <v>279</v>
      </c>
    </row>
    <row r="4" spans="1:15" x14ac:dyDescent="0.2">
      <c r="A4" t="s">
        <v>190</v>
      </c>
      <c r="B4" t="s">
        <v>191</v>
      </c>
      <c r="C4">
        <v>3</v>
      </c>
      <c r="D4">
        <v>1</v>
      </c>
      <c r="E4">
        <v>3</v>
      </c>
      <c r="F4">
        <v>2</v>
      </c>
      <c r="G4">
        <v>2</v>
      </c>
      <c r="H4">
        <v>0</v>
      </c>
      <c r="I4">
        <v>2.205526E-2</v>
      </c>
      <c r="J4">
        <v>5</v>
      </c>
      <c r="K4">
        <v>1.1027599999999999E-3</v>
      </c>
      <c r="L4">
        <v>0.49</v>
      </c>
      <c r="M4">
        <v>297</v>
      </c>
      <c r="N4" t="s">
        <v>201</v>
      </c>
      <c r="O4" t="s">
        <v>280</v>
      </c>
    </row>
    <row r="5" spans="1:15" x14ac:dyDescent="0.2">
      <c r="A5" t="s">
        <v>190</v>
      </c>
      <c r="B5" t="s">
        <v>191</v>
      </c>
      <c r="C5">
        <v>3</v>
      </c>
      <c r="D5">
        <v>1</v>
      </c>
      <c r="E5">
        <v>3</v>
      </c>
      <c r="F5">
        <v>2</v>
      </c>
      <c r="G5">
        <v>2</v>
      </c>
      <c r="H5">
        <v>0</v>
      </c>
      <c r="I5">
        <v>2.408333E-2</v>
      </c>
      <c r="J5">
        <v>5</v>
      </c>
      <c r="K5">
        <v>1.2041700000000001E-3</v>
      </c>
      <c r="L5">
        <v>0.49</v>
      </c>
      <c r="M5">
        <v>264</v>
      </c>
      <c r="N5" t="s">
        <v>201</v>
      </c>
      <c r="O5" t="s">
        <v>281</v>
      </c>
    </row>
    <row r="6" spans="1:15" x14ac:dyDescent="0.2">
      <c r="A6" t="s">
        <v>190</v>
      </c>
      <c r="B6" t="s">
        <v>191</v>
      </c>
      <c r="C6">
        <v>3</v>
      </c>
      <c r="D6">
        <v>1</v>
      </c>
      <c r="E6">
        <v>3</v>
      </c>
      <c r="F6">
        <v>2</v>
      </c>
      <c r="G6">
        <v>2</v>
      </c>
      <c r="H6">
        <v>0</v>
      </c>
      <c r="I6">
        <v>2.9407010000000001E-2</v>
      </c>
      <c r="J6">
        <v>5</v>
      </c>
      <c r="K6">
        <v>1.47035E-3</v>
      </c>
      <c r="L6">
        <v>0.49</v>
      </c>
      <c r="M6">
        <v>192</v>
      </c>
      <c r="N6" t="s">
        <v>201</v>
      </c>
      <c r="O6" t="s">
        <v>282</v>
      </c>
    </row>
    <row r="7" spans="1:15" x14ac:dyDescent="0.2">
      <c r="A7" t="s">
        <v>190</v>
      </c>
      <c r="B7" t="s">
        <v>191</v>
      </c>
      <c r="C7">
        <v>3</v>
      </c>
      <c r="D7">
        <v>1</v>
      </c>
      <c r="E7">
        <v>3</v>
      </c>
      <c r="F7">
        <v>2</v>
      </c>
      <c r="G7">
        <v>2</v>
      </c>
      <c r="H7">
        <v>0</v>
      </c>
      <c r="I7">
        <v>3.219561E-2</v>
      </c>
      <c r="J7">
        <v>5</v>
      </c>
      <c r="K7">
        <v>1.6097799999999999E-3</v>
      </c>
      <c r="L7">
        <v>0.49</v>
      </c>
      <c r="M7">
        <v>177</v>
      </c>
      <c r="N7" t="s">
        <v>201</v>
      </c>
      <c r="O7" t="s">
        <v>283</v>
      </c>
    </row>
    <row r="8" spans="1:15" x14ac:dyDescent="0.2">
      <c r="A8" t="s">
        <v>190</v>
      </c>
      <c r="B8" t="s">
        <v>191</v>
      </c>
      <c r="C8">
        <v>3</v>
      </c>
      <c r="D8">
        <v>1</v>
      </c>
      <c r="E8">
        <v>3</v>
      </c>
      <c r="F8">
        <v>2</v>
      </c>
      <c r="G8">
        <v>2</v>
      </c>
      <c r="H8">
        <v>0</v>
      </c>
      <c r="I8">
        <v>3.4223679999999999E-2</v>
      </c>
      <c r="J8">
        <v>5</v>
      </c>
      <c r="K8">
        <v>1.7111800000000001E-3</v>
      </c>
      <c r="L8">
        <v>0.49</v>
      </c>
      <c r="M8">
        <v>162</v>
      </c>
      <c r="N8" t="s">
        <v>201</v>
      </c>
      <c r="O8" t="s">
        <v>284</v>
      </c>
    </row>
    <row r="9" spans="1:15" x14ac:dyDescent="0.2">
      <c r="A9" t="s">
        <v>190</v>
      </c>
      <c r="B9" t="s">
        <v>191</v>
      </c>
      <c r="C9">
        <v>3</v>
      </c>
      <c r="D9">
        <v>1</v>
      </c>
      <c r="E9">
        <v>3</v>
      </c>
      <c r="F9">
        <v>2</v>
      </c>
      <c r="G9">
        <v>2</v>
      </c>
      <c r="H9">
        <v>0</v>
      </c>
      <c r="I9">
        <v>3.7265779999999998E-2</v>
      </c>
      <c r="J9">
        <v>5</v>
      </c>
      <c r="K9">
        <v>1.8632900000000001E-3</v>
      </c>
      <c r="L9">
        <v>0.49</v>
      </c>
      <c r="M9">
        <v>144</v>
      </c>
      <c r="N9" t="s">
        <v>201</v>
      </c>
      <c r="O9" t="s">
        <v>285</v>
      </c>
    </row>
    <row r="10" spans="1:15" x14ac:dyDescent="0.2">
      <c r="A10" t="s">
        <v>190</v>
      </c>
      <c r="B10" t="s">
        <v>191</v>
      </c>
      <c r="C10">
        <v>3</v>
      </c>
      <c r="D10">
        <v>1</v>
      </c>
      <c r="E10">
        <v>3</v>
      </c>
      <c r="F10">
        <v>2</v>
      </c>
      <c r="G10">
        <v>2</v>
      </c>
      <c r="H10">
        <v>0</v>
      </c>
      <c r="I10">
        <v>3.8279819999999999E-2</v>
      </c>
      <c r="J10">
        <v>5</v>
      </c>
      <c r="K10">
        <v>1.91399E-3</v>
      </c>
      <c r="L10">
        <v>0.49</v>
      </c>
      <c r="M10">
        <v>120</v>
      </c>
      <c r="N10" t="s">
        <v>201</v>
      </c>
      <c r="O10" t="s">
        <v>286</v>
      </c>
    </row>
    <row r="11" spans="1:15" x14ac:dyDescent="0.2">
      <c r="A11" t="s">
        <v>190</v>
      </c>
      <c r="B11" t="s">
        <v>191</v>
      </c>
      <c r="C11">
        <v>3</v>
      </c>
      <c r="D11">
        <v>1</v>
      </c>
      <c r="E11">
        <v>3</v>
      </c>
      <c r="F11">
        <v>2</v>
      </c>
      <c r="G11">
        <v>2</v>
      </c>
      <c r="H11">
        <v>0</v>
      </c>
      <c r="I11">
        <v>4.0561390000000003E-2</v>
      </c>
      <c r="J11">
        <v>5</v>
      </c>
      <c r="K11">
        <v>2.0280699999999999E-3</v>
      </c>
      <c r="L11">
        <v>0.49</v>
      </c>
      <c r="M11">
        <v>104</v>
      </c>
      <c r="N11" t="s">
        <v>201</v>
      </c>
      <c r="O11" t="s">
        <v>287</v>
      </c>
    </row>
    <row r="12" spans="1:15" x14ac:dyDescent="0.2">
      <c r="A12" t="s">
        <v>190</v>
      </c>
      <c r="B12" t="s">
        <v>191</v>
      </c>
      <c r="C12">
        <v>3</v>
      </c>
      <c r="D12">
        <v>1</v>
      </c>
      <c r="E12">
        <v>3</v>
      </c>
      <c r="F12">
        <v>2</v>
      </c>
      <c r="G12">
        <v>2</v>
      </c>
      <c r="H12">
        <v>0</v>
      </c>
      <c r="I12">
        <v>3.9293849999999998E-2</v>
      </c>
      <c r="J12">
        <v>5</v>
      </c>
      <c r="K12">
        <v>1.9646899999999998E-3</v>
      </c>
      <c r="L12">
        <v>0.49</v>
      </c>
      <c r="M12">
        <v>103</v>
      </c>
      <c r="N12" t="s">
        <v>201</v>
      </c>
      <c r="O12" t="s">
        <v>288</v>
      </c>
    </row>
    <row r="13" spans="1:15" x14ac:dyDescent="0.2">
      <c r="A13" t="s">
        <v>190</v>
      </c>
      <c r="B13" t="s">
        <v>58</v>
      </c>
      <c r="C13">
        <v>3</v>
      </c>
      <c r="D13">
        <v>1</v>
      </c>
      <c r="E13">
        <v>3</v>
      </c>
      <c r="F13">
        <v>2</v>
      </c>
      <c r="G13">
        <v>2</v>
      </c>
      <c r="H13">
        <v>0</v>
      </c>
      <c r="I13">
        <v>6.3884200000000002E-2</v>
      </c>
      <c r="J13">
        <v>5</v>
      </c>
      <c r="K13">
        <v>3.1942099999999998E-3</v>
      </c>
      <c r="L13">
        <v>0.95</v>
      </c>
      <c r="M13">
        <v>400</v>
      </c>
      <c r="N13" t="s">
        <v>201</v>
      </c>
      <c r="O13" t="s">
        <v>289</v>
      </c>
    </row>
    <row r="14" spans="1:15" x14ac:dyDescent="0.2">
      <c r="A14" t="s">
        <v>190</v>
      </c>
      <c r="B14" t="s">
        <v>58</v>
      </c>
      <c r="C14">
        <v>3</v>
      </c>
      <c r="D14">
        <v>1</v>
      </c>
      <c r="E14">
        <v>3</v>
      </c>
      <c r="F14">
        <v>2</v>
      </c>
      <c r="G14">
        <v>2</v>
      </c>
      <c r="H14">
        <v>0</v>
      </c>
      <c r="I14">
        <v>7.9855239999999994E-2</v>
      </c>
      <c r="J14">
        <v>5</v>
      </c>
      <c r="K14">
        <v>3.9927599999999997E-3</v>
      </c>
      <c r="L14">
        <v>0.95</v>
      </c>
      <c r="M14">
        <v>296</v>
      </c>
      <c r="N14" t="s">
        <v>201</v>
      </c>
      <c r="O14" t="s">
        <v>290</v>
      </c>
    </row>
    <row r="15" spans="1:15" x14ac:dyDescent="0.2">
      <c r="A15" t="s">
        <v>190</v>
      </c>
      <c r="B15" t="s">
        <v>58</v>
      </c>
      <c r="C15">
        <v>3</v>
      </c>
      <c r="D15">
        <v>1</v>
      </c>
      <c r="E15">
        <v>3</v>
      </c>
      <c r="F15">
        <v>2</v>
      </c>
      <c r="G15">
        <v>2</v>
      </c>
      <c r="H15">
        <v>0</v>
      </c>
      <c r="I15">
        <v>8.7460510000000005E-2</v>
      </c>
      <c r="J15">
        <v>5</v>
      </c>
      <c r="K15">
        <v>4.37303E-3</v>
      </c>
      <c r="L15">
        <v>0.95</v>
      </c>
      <c r="M15">
        <v>261</v>
      </c>
      <c r="N15" t="s">
        <v>201</v>
      </c>
      <c r="O15" t="s">
        <v>291</v>
      </c>
    </row>
    <row r="16" spans="1:15" x14ac:dyDescent="0.2">
      <c r="A16" t="s">
        <v>190</v>
      </c>
      <c r="B16" t="s">
        <v>58</v>
      </c>
      <c r="C16">
        <v>3</v>
      </c>
      <c r="D16">
        <v>1</v>
      </c>
      <c r="E16">
        <v>3</v>
      </c>
      <c r="F16">
        <v>2</v>
      </c>
      <c r="G16">
        <v>2</v>
      </c>
      <c r="H16">
        <v>0</v>
      </c>
      <c r="I16">
        <v>9.7600850000000003E-2</v>
      </c>
      <c r="J16">
        <v>5</v>
      </c>
      <c r="K16">
        <v>4.8800400000000004E-3</v>
      </c>
      <c r="L16">
        <v>0.95</v>
      </c>
      <c r="M16">
        <v>245</v>
      </c>
      <c r="N16" t="s">
        <v>201</v>
      </c>
      <c r="O16" t="s">
        <v>292</v>
      </c>
    </row>
    <row r="17" spans="1:15" x14ac:dyDescent="0.2">
      <c r="A17" t="s">
        <v>190</v>
      </c>
      <c r="B17" t="s">
        <v>58</v>
      </c>
      <c r="C17">
        <v>3</v>
      </c>
      <c r="D17">
        <v>1</v>
      </c>
      <c r="E17">
        <v>3</v>
      </c>
      <c r="F17">
        <v>2</v>
      </c>
      <c r="G17">
        <v>2</v>
      </c>
      <c r="H17">
        <v>0</v>
      </c>
      <c r="I17">
        <v>0.14145785999999999</v>
      </c>
      <c r="J17">
        <v>5</v>
      </c>
      <c r="K17">
        <v>7.0728900000000001E-3</v>
      </c>
      <c r="L17">
        <v>0.95</v>
      </c>
      <c r="M17">
        <v>166</v>
      </c>
      <c r="N17" t="s">
        <v>201</v>
      </c>
      <c r="O17" t="s">
        <v>293</v>
      </c>
    </row>
    <row r="18" spans="1:15" x14ac:dyDescent="0.2">
      <c r="A18" t="s">
        <v>190</v>
      </c>
      <c r="B18" t="s">
        <v>58</v>
      </c>
      <c r="C18">
        <v>3</v>
      </c>
      <c r="D18">
        <v>1</v>
      </c>
      <c r="E18">
        <v>3</v>
      </c>
      <c r="F18">
        <v>2</v>
      </c>
      <c r="G18">
        <v>2</v>
      </c>
      <c r="H18">
        <v>0</v>
      </c>
      <c r="I18">
        <v>0.14931663000000001</v>
      </c>
      <c r="J18">
        <v>5</v>
      </c>
      <c r="K18">
        <v>7.4658299999999997E-3</v>
      </c>
      <c r="L18" t="s">
        <v>17</v>
      </c>
      <c r="M18">
        <v>148</v>
      </c>
      <c r="N18" t="s">
        <v>201</v>
      </c>
      <c r="O18" t="s">
        <v>294</v>
      </c>
    </row>
    <row r="19" spans="1:15" x14ac:dyDescent="0.2">
      <c r="A19" t="s">
        <v>190</v>
      </c>
      <c r="B19" t="s">
        <v>58</v>
      </c>
      <c r="C19">
        <v>3</v>
      </c>
      <c r="D19">
        <v>1</v>
      </c>
      <c r="E19">
        <v>3</v>
      </c>
      <c r="F19">
        <v>2</v>
      </c>
      <c r="G19">
        <v>2</v>
      </c>
      <c r="H19">
        <v>0</v>
      </c>
      <c r="I19">
        <v>0.16224558</v>
      </c>
      <c r="J19">
        <v>5</v>
      </c>
      <c r="K19">
        <v>8.1122799999999995E-3</v>
      </c>
      <c r="L19" t="s">
        <v>17</v>
      </c>
      <c r="M19">
        <v>125</v>
      </c>
      <c r="N19" t="s">
        <v>201</v>
      </c>
      <c r="O19" t="s">
        <v>295</v>
      </c>
    </row>
    <row r="20" spans="1:15" x14ac:dyDescent="0.2">
      <c r="A20" t="s">
        <v>190</v>
      </c>
      <c r="B20" t="s">
        <v>58</v>
      </c>
      <c r="C20">
        <v>3</v>
      </c>
      <c r="D20">
        <v>1</v>
      </c>
      <c r="E20">
        <v>3</v>
      </c>
      <c r="F20">
        <v>2</v>
      </c>
      <c r="G20">
        <v>2</v>
      </c>
      <c r="H20">
        <v>0</v>
      </c>
      <c r="I20">
        <v>0.17035785000000001</v>
      </c>
      <c r="J20">
        <v>5</v>
      </c>
      <c r="K20">
        <v>8.5178900000000002E-3</v>
      </c>
      <c r="L20" t="s">
        <v>17</v>
      </c>
      <c r="M20">
        <v>106</v>
      </c>
      <c r="N20" t="s">
        <v>201</v>
      </c>
      <c r="O20" t="s">
        <v>296</v>
      </c>
    </row>
    <row r="21" spans="1:15" x14ac:dyDescent="0.2">
      <c r="A21" t="s">
        <v>190</v>
      </c>
      <c r="B21" t="s">
        <v>58</v>
      </c>
      <c r="C21">
        <v>3</v>
      </c>
      <c r="D21">
        <v>1</v>
      </c>
      <c r="E21">
        <v>3</v>
      </c>
      <c r="F21">
        <v>2</v>
      </c>
      <c r="G21">
        <v>2</v>
      </c>
      <c r="H21">
        <v>0</v>
      </c>
      <c r="I21">
        <v>0.17390697999999999</v>
      </c>
      <c r="J21">
        <v>5</v>
      </c>
      <c r="K21">
        <v>8.6953499999999993E-3</v>
      </c>
      <c r="L21" t="s">
        <v>17</v>
      </c>
      <c r="M21">
        <v>103</v>
      </c>
      <c r="N21" t="s">
        <v>201</v>
      </c>
      <c r="O21" t="s">
        <v>297</v>
      </c>
    </row>
    <row r="22" spans="1:15" x14ac:dyDescent="0.2">
      <c r="A22" t="s">
        <v>190</v>
      </c>
      <c r="B22" t="s">
        <v>191</v>
      </c>
      <c r="C22">
        <v>4</v>
      </c>
      <c r="D22">
        <v>1</v>
      </c>
      <c r="E22">
        <v>4</v>
      </c>
      <c r="F22">
        <v>3</v>
      </c>
      <c r="G22">
        <v>2</v>
      </c>
      <c r="H22">
        <v>1</v>
      </c>
      <c r="I22">
        <v>1.5717539999999999E-2</v>
      </c>
      <c r="J22">
        <v>5</v>
      </c>
      <c r="K22">
        <v>7.8587999999999998E-4</v>
      </c>
      <c r="L22">
        <v>0.54</v>
      </c>
      <c r="M22">
        <v>520</v>
      </c>
      <c r="N22" t="s">
        <v>201</v>
      </c>
      <c r="O22" t="s">
        <v>298</v>
      </c>
    </row>
    <row r="23" spans="1:15" x14ac:dyDescent="0.2">
      <c r="A23" t="s">
        <v>190</v>
      </c>
      <c r="B23" t="s">
        <v>191</v>
      </c>
      <c r="C23">
        <v>4</v>
      </c>
      <c r="D23">
        <v>1</v>
      </c>
      <c r="E23">
        <v>4</v>
      </c>
      <c r="F23">
        <v>3</v>
      </c>
      <c r="G23">
        <v>2</v>
      </c>
      <c r="H23">
        <v>1</v>
      </c>
      <c r="I23">
        <v>1.7745609999999998E-2</v>
      </c>
      <c r="J23">
        <v>5</v>
      </c>
      <c r="K23">
        <v>8.8727999999999995E-4</v>
      </c>
      <c r="L23">
        <v>0.54</v>
      </c>
      <c r="M23">
        <v>433</v>
      </c>
      <c r="N23" t="s">
        <v>201</v>
      </c>
      <c r="O23" t="s">
        <v>299</v>
      </c>
    </row>
    <row r="24" spans="1:15" x14ac:dyDescent="0.2">
      <c r="A24" t="s">
        <v>190</v>
      </c>
      <c r="B24" t="s">
        <v>191</v>
      </c>
      <c r="C24">
        <v>4</v>
      </c>
      <c r="D24">
        <v>1</v>
      </c>
      <c r="E24">
        <v>4</v>
      </c>
      <c r="F24">
        <v>3</v>
      </c>
      <c r="G24">
        <v>2</v>
      </c>
      <c r="H24">
        <v>1</v>
      </c>
      <c r="I24">
        <v>1.8252629999999999E-2</v>
      </c>
      <c r="J24">
        <v>5</v>
      </c>
      <c r="K24">
        <v>9.1263E-4</v>
      </c>
      <c r="L24">
        <v>0.54</v>
      </c>
      <c r="M24">
        <v>375</v>
      </c>
      <c r="N24" t="s">
        <v>201</v>
      </c>
      <c r="O24" t="s">
        <v>300</v>
      </c>
    </row>
    <row r="25" spans="1:15" x14ac:dyDescent="0.2">
      <c r="A25" t="s">
        <v>190</v>
      </c>
      <c r="B25" t="s">
        <v>191</v>
      </c>
      <c r="C25">
        <v>4</v>
      </c>
      <c r="D25">
        <v>1</v>
      </c>
      <c r="E25">
        <v>4</v>
      </c>
      <c r="F25">
        <v>3</v>
      </c>
      <c r="G25">
        <v>2</v>
      </c>
      <c r="H25">
        <v>1</v>
      </c>
      <c r="I25">
        <v>2.0534210000000001E-2</v>
      </c>
      <c r="J25">
        <v>5</v>
      </c>
      <c r="K25">
        <v>1.0267099999999999E-3</v>
      </c>
      <c r="L25">
        <v>0.54</v>
      </c>
      <c r="M25">
        <v>298</v>
      </c>
      <c r="N25" t="s">
        <v>201</v>
      </c>
      <c r="O25" t="s">
        <v>301</v>
      </c>
    </row>
    <row r="26" spans="1:15" x14ac:dyDescent="0.2">
      <c r="A26" t="s">
        <v>190</v>
      </c>
      <c r="B26" t="s">
        <v>191</v>
      </c>
      <c r="C26">
        <v>4</v>
      </c>
      <c r="D26">
        <v>1</v>
      </c>
      <c r="E26">
        <v>4</v>
      </c>
      <c r="F26">
        <v>3</v>
      </c>
      <c r="G26">
        <v>2</v>
      </c>
      <c r="H26">
        <v>1</v>
      </c>
      <c r="I26">
        <v>2.3069289999999999E-2</v>
      </c>
      <c r="J26">
        <v>5</v>
      </c>
      <c r="K26">
        <v>1.15346E-3</v>
      </c>
      <c r="L26">
        <v>0.54</v>
      </c>
      <c r="M26">
        <v>272</v>
      </c>
      <c r="N26" t="s">
        <v>201</v>
      </c>
      <c r="O26" t="s">
        <v>302</v>
      </c>
    </row>
    <row r="27" spans="1:15" x14ac:dyDescent="0.2">
      <c r="A27" t="s">
        <v>190</v>
      </c>
      <c r="B27" t="s">
        <v>191</v>
      </c>
      <c r="C27">
        <v>4</v>
      </c>
      <c r="D27">
        <v>1</v>
      </c>
      <c r="E27">
        <v>4</v>
      </c>
      <c r="F27">
        <v>3</v>
      </c>
      <c r="G27">
        <v>2</v>
      </c>
      <c r="H27">
        <v>1</v>
      </c>
      <c r="I27">
        <v>3.016754E-2</v>
      </c>
      <c r="J27">
        <v>5</v>
      </c>
      <c r="K27">
        <v>1.5083799999999999E-3</v>
      </c>
      <c r="L27">
        <v>0.54</v>
      </c>
      <c r="M27">
        <v>173</v>
      </c>
      <c r="N27" t="s">
        <v>201</v>
      </c>
      <c r="O27" t="s">
        <v>303</v>
      </c>
    </row>
    <row r="28" spans="1:15" x14ac:dyDescent="0.2">
      <c r="A28" t="s">
        <v>190</v>
      </c>
      <c r="B28" t="s">
        <v>191</v>
      </c>
      <c r="C28">
        <v>4</v>
      </c>
      <c r="D28">
        <v>1</v>
      </c>
      <c r="E28">
        <v>4</v>
      </c>
      <c r="F28">
        <v>3</v>
      </c>
      <c r="G28">
        <v>2</v>
      </c>
      <c r="H28">
        <v>1</v>
      </c>
      <c r="I28">
        <v>2.9153499999999999E-2</v>
      </c>
      <c r="J28">
        <v>5</v>
      </c>
      <c r="K28">
        <v>1.45768E-3</v>
      </c>
      <c r="L28">
        <v>0.54</v>
      </c>
      <c r="M28">
        <v>152</v>
      </c>
      <c r="N28" t="s">
        <v>201</v>
      </c>
      <c r="O28" t="s">
        <v>304</v>
      </c>
    </row>
    <row r="29" spans="1:15" x14ac:dyDescent="0.2">
      <c r="A29" t="s">
        <v>190</v>
      </c>
      <c r="B29" t="s">
        <v>191</v>
      </c>
      <c r="C29">
        <v>4</v>
      </c>
      <c r="D29">
        <v>1</v>
      </c>
      <c r="E29">
        <v>4</v>
      </c>
      <c r="F29">
        <v>3</v>
      </c>
      <c r="G29">
        <v>2</v>
      </c>
      <c r="H29">
        <v>1</v>
      </c>
      <c r="I29">
        <v>3.1688590000000003E-2</v>
      </c>
      <c r="J29">
        <v>5</v>
      </c>
      <c r="K29">
        <v>1.58443E-3</v>
      </c>
      <c r="L29">
        <v>0.54</v>
      </c>
      <c r="M29">
        <v>133</v>
      </c>
      <c r="N29" t="s">
        <v>201</v>
      </c>
      <c r="O29" t="s">
        <v>305</v>
      </c>
    </row>
    <row r="30" spans="1:15" x14ac:dyDescent="0.2">
      <c r="A30" t="s">
        <v>190</v>
      </c>
      <c r="B30" t="s">
        <v>191</v>
      </c>
      <c r="C30">
        <v>4</v>
      </c>
      <c r="D30">
        <v>1</v>
      </c>
      <c r="E30">
        <v>4</v>
      </c>
      <c r="F30">
        <v>3</v>
      </c>
      <c r="G30">
        <v>2</v>
      </c>
      <c r="H30">
        <v>1</v>
      </c>
      <c r="I30">
        <v>3.9293849999999998E-2</v>
      </c>
      <c r="J30">
        <v>5</v>
      </c>
      <c r="K30">
        <v>1.9646899999999998E-3</v>
      </c>
      <c r="L30">
        <v>0.54</v>
      </c>
      <c r="M30">
        <v>108</v>
      </c>
      <c r="N30" t="s">
        <v>201</v>
      </c>
      <c r="O30" t="s">
        <v>306</v>
      </c>
    </row>
    <row r="31" spans="1:15" x14ac:dyDescent="0.2">
      <c r="A31" t="s">
        <v>190</v>
      </c>
      <c r="B31" t="s">
        <v>58</v>
      </c>
      <c r="C31">
        <v>4</v>
      </c>
      <c r="D31">
        <v>1</v>
      </c>
      <c r="E31">
        <v>4</v>
      </c>
      <c r="F31">
        <v>3</v>
      </c>
      <c r="G31">
        <v>2</v>
      </c>
      <c r="H31">
        <v>1</v>
      </c>
      <c r="I31">
        <v>5.2222789999999998E-2</v>
      </c>
      <c r="J31">
        <v>5</v>
      </c>
      <c r="K31">
        <v>2.6111400000000001E-3</v>
      </c>
      <c r="L31">
        <v>0.85</v>
      </c>
      <c r="M31">
        <v>520</v>
      </c>
      <c r="N31" t="s">
        <v>201</v>
      </c>
      <c r="O31" t="s">
        <v>307</v>
      </c>
    </row>
    <row r="32" spans="1:15" x14ac:dyDescent="0.2">
      <c r="A32" t="s">
        <v>190</v>
      </c>
      <c r="B32" t="s">
        <v>58</v>
      </c>
      <c r="C32">
        <v>4</v>
      </c>
      <c r="D32">
        <v>1</v>
      </c>
      <c r="E32">
        <v>4</v>
      </c>
      <c r="F32">
        <v>3</v>
      </c>
      <c r="G32">
        <v>2</v>
      </c>
      <c r="H32">
        <v>1</v>
      </c>
      <c r="I32">
        <v>5.8306999999999998E-2</v>
      </c>
      <c r="J32">
        <v>5</v>
      </c>
      <c r="K32">
        <v>2.9153500000000001E-3</v>
      </c>
      <c r="L32">
        <v>0.85</v>
      </c>
      <c r="M32">
        <v>433</v>
      </c>
      <c r="N32" t="s">
        <v>201</v>
      </c>
      <c r="O32" t="s">
        <v>308</v>
      </c>
    </row>
    <row r="33" spans="1:15" x14ac:dyDescent="0.2">
      <c r="A33" t="s">
        <v>190</v>
      </c>
      <c r="B33" t="s">
        <v>58</v>
      </c>
      <c r="C33">
        <v>4</v>
      </c>
      <c r="D33">
        <v>1</v>
      </c>
      <c r="E33">
        <v>4</v>
      </c>
      <c r="F33">
        <v>3</v>
      </c>
      <c r="G33">
        <v>2</v>
      </c>
      <c r="H33">
        <v>1</v>
      </c>
      <c r="I33">
        <v>7.5799099999999994E-2</v>
      </c>
      <c r="J33">
        <v>5</v>
      </c>
      <c r="K33">
        <v>3.7899600000000002E-3</v>
      </c>
      <c r="L33">
        <v>0.85</v>
      </c>
      <c r="M33">
        <v>298</v>
      </c>
      <c r="N33" t="s">
        <v>201</v>
      </c>
      <c r="O33" t="s">
        <v>309</v>
      </c>
    </row>
    <row r="34" spans="1:15" x14ac:dyDescent="0.2">
      <c r="A34" t="s">
        <v>190</v>
      </c>
      <c r="B34" t="s">
        <v>58</v>
      </c>
      <c r="C34">
        <v>4</v>
      </c>
      <c r="D34">
        <v>1</v>
      </c>
      <c r="E34">
        <v>4</v>
      </c>
      <c r="F34">
        <v>3</v>
      </c>
      <c r="G34">
        <v>2</v>
      </c>
      <c r="H34">
        <v>1</v>
      </c>
      <c r="I34">
        <v>8.7460510000000005E-2</v>
      </c>
      <c r="J34">
        <v>5</v>
      </c>
      <c r="K34">
        <v>4.37303E-3</v>
      </c>
      <c r="L34">
        <v>0.85</v>
      </c>
      <c r="M34">
        <v>272</v>
      </c>
      <c r="N34" t="s">
        <v>201</v>
      </c>
      <c r="O34" t="s">
        <v>310</v>
      </c>
    </row>
    <row r="35" spans="1:15" x14ac:dyDescent="0.2">
      <c r="A35" t="s">
        <v>190</v>
      </c>
      <c r="B35" t="s">
        <v>58</v>
      </c>
      <c r="C35">
        <v>4</v>
      </c>
      <c r="D35">
        <v>1</v>
      </c>
      <c r="E35">
        <v>4</v>
      </c>
      <c r="F35">
        <v>3</v>
      </c>
      <c r="G35">
        <v>2</v>
      </c>
      <c r="H35">
        <v>1</v>
      </c>
      <c r="I35">
        <v>0.13233154999999999</v>
      </c>
      <c r="J35">
        <v>5</v>
      </c>
      <c r="K35">
        <v>6.6165800000000004E-3</v>
      </c>
      <c r="L35">
        <v>0.85</v>
      </c>
      <c r="M35">
        <v>173</v>
      </c>
      <c r="N35" t="s">
        <v>201</v>
      </c>
      <c r="O35" t="s">
        <v>311</v>
      </c>
    </row>
    <row r="36" spans="1:15" x14ac:dyDescent="0.2">
      <c r="A36" t="s">
        <v>190</v>
      </c>
      <c r="B36" t="s">
        <v>58</v>
      </c>
      <c r="C36">
        <v>4</v>
      </c>
      <c r="D36">
        <v>1</v>
      </c>
      <c r="E36">
        <v>4</v>
      </c>
      <c r="F36">
        <v>3</v>
      </c>
      <c r="G36">
        <v>2</v>
      </c>
      <c r="H36">
        <v>1</v>
      </c>
      <c r="I36">
        <v>0.14272541</v>
      </c>
      <c r="J36">
        <v>5</v>
      </c>
      <c r="K36">
        <v>7.1362700000000001E-3</v>
      </c>
      <c r="L36">
        <v>0.85</v>
      </c>
      <c r="M36">
        <v>152</v>
      </c>
      <c r="N36" t="s">
        <v>201</v>
      </c>
      <c r="O36" t="s">
        <v>312</v>
      </c>
    </row>
    <row r="37" spans="1:15" x14ac:dyDescent="0.2">
      <c r="A37" t="s">
        <v>190</v>
      </c>
      <c r="B37" t="s">
        <v>58</v>
      </c>
      <c r="C37">
        <v>4</v>
      </c>
      <c r="D37">
        <v>1</v>
      </c>
      <c r="E37">
        <v>4</v>
      </c>
      <c r="F37">
        <v>3</v>
      </c>
      <c r="G37">
        <v>2</v>
      </c>
      <c r="H37">
        <v>1</v>
      </c>
      <c r="I37">
        <v>0.14526048999999999</v>
      </c>
      <c r="J37">
        <v>5</v>
      </c>
      <c r="K37">
        <v>7.2630200000000002E-3</v>
      </c>
      <c r="L37" t="s">
        <v>17</v>
      </c>
      <c r="M37">
        <v>133</v>
      </c>
      <c r="N37" t="s">
        <v>201</v>
      </c>
      <c r="O37" t="s">
        <v>313</v>
      </c>
    </row>
    <row r="38" spans="1:15" x14ac:dyDescent="0.2">
      <c r="A38" t="s">
        <v>190</v>
      </c>
      <c r="B38" t="s">
        <v>58</v>
      </c>
      <c r="C38">
        <v>4</v>
      </c>
      <c r="D38">
        <v>1</v>
      </c>
      <c r="E38">
        <v>4</v>
      </c>
      <c r="F38">
        <v>3</v>
      </c>
      <c r="G38">
        <v>2</v>
      </c>
      <c r="H38">
        <v>1</v>
      </c>
      <c r="I38">
        <v>0.15717539999999999</v>
      </c>
      <c r="J38">
        <v>5</v>
      </c>
      <c r="K38">
        <v>7.8587699999999993E-3</v>
      </c>
      <c r="L38" t="s">
        <v>17</v>
      </c>
      <c r="M38">
        <v>108</v>
      </c>
      <c r="N38" t="s">
        <v>201</v>
      </c>
      <c r="O38" t="s">
        <v>314</v>
      </c>
    </row>
    <row r="39" spans="1:15" x14ac:dyDescent="0.2">
      <c r="A39" t="s">
        <v>190</v>
      </c>
      <c r="B39" t="s">
        <v>191</v>
      </c>
      <c r="C39">
        <v>3</v>
      </c>
      <c r="D39">
        <v>1</v>
      </c>
      <c r="E39">
        <v>3</v>
      </c>
      <c r="F39">
        <v>2</v>
      </c>
      <c r="G39">
        <v>2</v>
      </c>
      <c r="H39">
        <v>0</v>
      </c>
      <c r="I39">
        <v>2.408333E-2</v>
      </c>
      <c r="J39">
        <v>3.16</v>
      </c>
      <c r="K39">
        <v>7.6053000000000004E-4</v>
      </c>
      <c r="L39">
        <v>0.49</v>
      </c>
      <c r="M39">
        <v>300</v>
      </c>
      <c r="N39" t="s">
        <v>201</v>
      </c>
      <c r="O39" t="s">
        <v>315</v>
      </c>
    </row>
    <row r="40" spans="1:15" x14ac:dyDescent="0.2">
      <c r="A40" t="s">
        <v>190</v>
      </c>
      <c r="B40" t="s">
        <v>58</v>
      </c>
      <c r="C40">
        <v>3</v>
      </c>
      <c r="D40">
        <v>1</v>
      </c>
      <c r="E40">
        <v>3</v>
      </c>
      <c r="F40">
        <v>2</v>
      </c>
      <c r="G40">
        <v>2</v>
      </c>
      <c r="H40">
        <v>0</v>
      </c>
      <c r="I40">
        <v>8.112279E-2</v>
      </c>
      <c r="J40">
        <v>2.5</v>
      </c>
      <c r="K40">
        <v>2.0280699999999999E-3</v>
      </c>
      <c r="L40">
        <v>0.95</v>
      </c>
      <c r="M40">
        <v>300</v>
      </c>
      <c r="N40" t="s">
        <v>201</v>
      </c>
      <c r="O40" t="s">
        <v>316</v>
      </c>
    </row>
    <row r="41" spans="1:15" x14ac:dyDescent="0.2">
      <c r="A41" t="s">
        <v>190</v>
      </c>
      <c r="B41" t="s">
        <v>191</v>
      </c>
      <c r="C41">
        <v>4</v>
      </c>
      <c r="D41">
        <v>1</v>
      </c>
      <c r="E41">
        <v>4</v>
      </c>
      <c r="F41">
        <v>3</v>
      </c>
      <c r="G41">
        <v>2</v>
      </c>
      <c r="H41">
        <v>1</v>
      </c>
      <c r="I41">
        <v>2.1294730000000001E-2</v>
      </c>
      <c r="J41">
        <v>1.19</v>
      </c>
      <c r="K41">
        <v>2.5350999999999998E-4</v>
      </c>
      <c r="L41">
        <v>0.54</v>
      </c>
      <c r="M41">
        <v>300</v>
      </c>
      <c r="N41" t="s">
        <v>201</v>
      </c>
      <c r="O41" t="s">
        <v>317</v>
      </c>
    </row>
    <row r="42" spans="1:15" x14ac:dyDescent="0.2">
      <c r="A42" t="s">
        <v>190</v>
      </c>
      <c r="B42" t="s">
        <v>58</v>
      </c>
      <c r="C42">
        <v>4</v>
      </c>
      <c r="D42">
        <v>1</v>
      </c>
      <c r="E42">
        <v>4</v>
      </c>
      <c r="F42">
        <v>3</v>
      </c>
      <c r="G42">
        <v>2</v>
      </c>
      <c r="H42">
        <v>1</v>
      </c>
      <c r="I42">
        <v>8.0869280000000002E-2</v>
      </c>
      <c r="J42">
        <v>2.19</v>
      </c>
      <c r="K42">
        <v>1.7745599999999999E-3</v>
      </c>
      <c r="L42">
        <v>0.85</v>
      </c>
      <c r="M42">
        <v>300</v>
      </c>
      <c r="N42" t="s">
        <v>201</v>
      </c>
      <c r="O42" t="s">
        <v>318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4344B-784C-3A40-B100-AF3A9BAAB24B}">
  <dimension ref="A1:O7"/>
  <sheetViews>
    <sheetView workbookViewId="0">
      <selection activeCell="E21" sqref="E2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240</v>
      </c>
      <c r="C2">
        <v>1</v>
      </c>
      <c r="D2">
        <v>1</v>
      </c>
      <c r="E2">
        <v>0</v>
      </c>
      <c r="F2">
        <v>1</v>
      </c>
      <c r="G2">
        <v>0</v>
      </c>
      <c r="H2">
        <v>1</v>
      </c>
      <c r="I2">
        <v>0.288574</v>
      </c>
      <c r="J2">
        <v>1.1830000000000001</v>
      </c>
      <c r="K2">
        <v>3.4150000000000001E-3</v>
      </c>
      <c r="L2">
        <v>-0.3</v>
      </c>
      <c r="M2">
        <v>20</v>
      </c>
      <c r="N2" t="s">
        <v>18</v>
      </c>
      <c r="O2" t="s">
        <v>241</v>
      </c>
    </row>
    <row r="3" spans="1:15" x14ac:dyDescent="0.2">
      <c r="A3" t="s">
        <v>190</v>
      </c>
      <c r="B3" t="s">
        <v>242</v>
      </c>
      <c r="C3">
        <v>1</v>
      </c>
      <c r="D3">
        <v>1</v>
      </c>
      <c r="E3">
        <v>0</v>
      </c>
      <c r="F3">
        <v>1</v>
      </c>
      <c r="G3">
        <v>0</v>
      </c>
      <c r="H3">
        <v>1</v>
      </c>
      <c r="I3">
        <v>1.8799980000000001</v>
      </c>
      <c r="J3">
        <v>1.181</v>
      </c>
      <c r="K3">
        <v>2.2197999999999999E-2</v>
      </c>
      <c r="L3">
        <v>-0.36</v>
      </c>
      <c r="M3">
        <v>20</v>
      </c>
      <c r="N3" t="s">
        <v>18</v>
      </c>
      <c r="O3" t="s">
        <v>243</v>
      </c>
    </row>
    <row r="4" spans="1:15" x14ac:dyDescent="0.2">
      <c r="A4" t="s">
        <v>190</v>
      </c>
      <c r="B4" t="s">
        <v>240</v>
      </c>
      <c r="C4">
        <v>1</v>
      </c>
      <c r="D4">
        <v>1</v>
      </c>
      <c r="E4">
        <v>1</v>
      </c>
      <c r="F4">
        <v>0</v>
      </c>
      <c r="G4">
        <v>0</v>
      </c>
      <c r="H4">
        <v>0</v>
      </c>
      <c r="I4">
        <v>0.14514099999999999</v>
      </c>
      <c r="J4">
        <v>9.4120000000000008</v>
      </c>
      <c r="K4">
        <v>1.366E-2</v>
      </c>
      <c r="L4">
        <v>0.13</v>
      </c>
      <c r="M4">
        <v>20</v>
      </c>
      <c r="N4" t="s">
        <v>18</v>
      </c>
      <c r="O4" t="s">
        <v>244</v>
      </c>
    </row>
    <row r="5" spans="1:15" x14ac:dyDescent="0.2">
      <c r="A5" t="s">
        <v>190</v>
      </c>
      <c r="B5" t="s">
        <v>242</v>
      </c>
      <c r="C5">
        <v>1</v>
      </c>
      <c r="D5">
        <v>1</v>
      </c>
      <c r="E5">
        <v>1</v>
      </c>
      <c r="F5">
        <v>0</v>
      </c>
      <c r="G5">
        <v>0</v>
      </c>
      <c r="H5">
        <v>0</v>
      </c>
      <c r="I5">
        <v>1.3660300000000001</v>
      </c>
      <c r="J5">
        <v>2.5</v>
      </c>
      <c r="K5">
        <v>3.4151000000000001E-2</v>
      </c>
      <c r="L5">
        <v>-0.24</v>
      </c>
      <c r="M5">
        <v>20</v>
      </c>
      <c r="N5" t="s">
        <v>18</v>
      </c>
      <c r="O5" t="s">
        <v>245</v>
      </c>
    </row>
    <row r="6" spans="1:15" x14ac:dyDescent="0.2">
      <c r="A6" t="s">
        <v>190</v>
      </c>
      <c r="B6" t="s">
        <v>240</v>
      </c>
      <c r="C6">
        <v>2</v>
      </c>
      <c r="D6">
        <v>0</v>
      </c>
      <c r="E6">
        <v>2</v>
      </c>
      <c r="F6">
        <v>1</v>
      </c>
      <c r="G6">
        <v>1</v>
      </c>
      <c r="H6">
        <v>1</v>
      </c>
      <c r="I6">
        <v>0.25442300000000001</v>
      </c>
      <c r="J6">
        <v>3.3559999999999999</v>
      </c>
      <c r="K6">
        <v>8.5380000000000005E-3</v>
      </c>
      <c r="L6">
        <v>-0.2</v>
      </c>
      <c r="M6">
        <v>20</v>
      </c>
      <c r="N6" t="s">
        <v>18</v>
      </c>
      <c r="O6" t="s">
        <v>246</v>
      </c>
    </row>
    <row r="7" spans="1:15" x14ac:dyDescent="0.2">
      <c r="A7" t="s">
        <v>190</v>
      </c>
      <c r="B7" t="s">
        <v>242</v>
      </c>
      <c r="C7">
        <v>2</v>
      </c>
      <c r="D7">
        <v>0</v>
      </c>
      <c r="E7">
        <v>2</v>
      </c>
      <c r="F7">
        <v>1</v>
      </c>
      <c r="G7">
        <v>1</v>
      </c>
      <c r="H7">
        <v>1</v>
      </c>
      <c r="I7">
        <v>1.6904619999999999</v>
      </c>
      <c r="J7">
        <v>2.02</v>
      </c>
      <c r="K7">
        <v>3.4151000000000001E-2</v>
      </c>
      <c r="L7">
        <v>-0.35</v>
      </c>
      <c r="M7">
        <v>20</v>
      </c>
      <c r="N7" t="s">
        <v>18</v>
      </c>
      <c r="O7" t="s">
        <v>247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6C033-3A78-CE4F-B2F8-8D775A368295}">
  <dimension ref="A1:O33"/>
  <sheetViews>
    <sheetView workbookViewId="0">
      <selection activeCell="O24" sqref="O24"/>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3</v>
      </c>
      <c r="D2">
        <v>1</v>
      </c>
      <c r="E2">
        <v>3</v>
      </c>
      <c r="F2">
        <v>2</v>
      </c>
      <c r="G2">
        <v>2</v>
      </c>
      <c r="H2">
        <v>0</v>
      </c>
      <c r="I2">
        <v>2.1700000000000001E-2</v>
      </c>
      <c r="J2">
        <v>0.92</v>
      </c>
      <c r="K2">
        <v>2.0000000000000001E-4</v>
      </c>
      <c r="L2">
        <v>0.39</v>
      </c>
      <c r="M2">
        <v>300</v>
      </c>
      <c r="N2" t="s">
        <v>18</v>
      </c>
      <c r="O2" t="s">
        <v>248</v>
      </c>
    </row>
    <row r="3" spans="1:15" x14ac:dyDescent="0.2">
      <c r="A3" t="s">
        <v>190</v>
      </c>
      <c r="B3" t="s">
        <v>191</v>
      </c>
      <c r="C3">
        <v>3</v>
      </c>
      <c r="D3">
        <v>1</v>
      </c>
      <c r="E3">
        <v>3</v>
      </c>
      <c r="F3">
        <v>2</v>
      </c>
      <c r="G3">
        <v>2</v>
      </c>
      <c r="H3">
        <v>0</v>
      </c>
      <c r="I3">
        <v>2.1399999999999999E-2</v>
      </c>
      <c r="J3">
        <v>0.93</v>
      </c>
      <c r="K3">
        <v>2.0000000000000001E-4</v>
      </c>
      <c r="L3">
        <v>0.39</v>
      </c>
      <c r="M3">
        <v>315</v>
      </c>
      <c r="N3" t="s">
        <v>18</v>
      </c>
      <c r="O3" t="s">
        <v>249</v>
      </c>
    </row>
    <row r="4" spans="1:15" x14ac:dyDescent="0.2">
      <c r="A4" t="s">
        <v>190</v>
      </c>
      <c r="B4" t="s">
        <v>191</v>
      </c>
      <c r="C4">
        <v>3</v>
      </c>
      <c r="D4">
        <v>1</v>
      </c>
      <c r="E4">
        <v>3</v>
      </c>
      <c r="F4">
        <v>2</v>
      </c>
      <c r="G4">
        <v>2</v>
      </c>
      <c r="H4">
        <v>0</v>
      </c>
      <c r="I4">
        <v>2.1100000000000001E-2</v>
      </c>
      <c r="J4">
        <v>0.95</v>
      </c>
      <c r="K4">
        <v>2.0000000000000001E-4</v>
      </c>
      <c r="L4">
        <v>0.39</v>
      </c>
      <c r="M4">
        <v>330</v>
      </c>
      <c r="N4" t="s">
        <v>18</v>
      </c>
      <c r="O4" t="s">
        <v>250</v>
      </c>
    </row>
    <row r="5" spans="1:15" x14ac:dyDescent="0.2">
      <c r="A5" t="s">
        <v>190</v>
      </c>
      <c r="B5" t="s">
        <v>191</v>
      </c>
      <c r="C5">
        <v>3</v>
      </c>
      <c r="D5">
        <v>1</v>
      </c>
      <c r="E5">
        <v>3</v>
      </c>
      <c r="F5">
        <v>2</v>
      </c>
      <c r="G5">
        <v>2</v>
      </c>
      <c r="H5">
        <v>0</v>
      </c>
      <c r="I5">
        <v>2.0400000000000001E-2</v>
      </c>
      <c r="J5">
        <v>0.98</v>
      </c>
      <c r="K5">
        <v>2.0000000000000001E-4</v>
      </c>
      <c r="L5">
        <v>0.39</v>
      </c>
      <c r="M5">
        <v>360</v>
      </c>
      <c r="N5" t="s">
        <v>18</v>
      </c>
      <c r="O5" t="s">
        <v>251</v>
      </c>
    </row>
    <row r="6" spans="1:15" x14ac:dyDescent="0.2">
      <c r="A6" t="s">
        <v>190</v>
      </c>
      <c r="B6" t="s">
        <v>191</v>
      </c>
      <c r="C6">
        <v>3</v>
      </c>
      <c r="D6">
        <v>1</v>
      </c>
      <c r="E6">
        <v>3</v>
      </c>
      <c r="F6">
        <v>2</v>
      </c>
      <c r="G6">
        <v>2</v>
      </c>
      <c r="H6">
        <v>0</v>
      </c>
      <c r="I6">
        <v>2.01E-2</v>
      </c>
      <c r="J6">
        <v>1</v>
      </c>
      <c r="K6">
        <v>2.0000000000000001E-4</v>
      </c>
      <c r="L6">
        <v>0.39</v>
      </c>
      <c r="M6">
        <v>375</v>
      </c>
      <c r="N6" t="s">
        <v>18</v>
      </c>
      <c r="O6" t="s">
        <v>252</v>
      </c>
    </row>
    <row r="7" spans="1:15" x14ac:dyDescent="0.2">
      <c r="A7" t="s">
        <v>190</v>
      </c>
      <c r="B7" t="s">
        <v>191</v>
      </c>
      <c r="C7">
        <v>3</v>
      </c>
      <c r="D7">
        <v>1</v>
      </c>
      <c r="E7">
        <v>3</v>
      </c>
      <c r="F7">
        <v>2</v>
      </c>
      <c r="G7">
        <v>2</v>
      </c>
      <c r="H7">
        <v>0</v>
      </c>
      <c r="I7">
        <v>1.9599999999999999E-2</v>
      </c>
      <c r="J7">
        <v>1.53</v>
      </c>
      <c r="K7">
        <v>2.9999999999999997E-4</v>
      </c>
      <c r="L7">
        <v>0.39</v>
      </c>
      <c r="M7">
        <v>390</v>
      </c>
      <c r="N7" t="s">
        <v>18</v>
      </c>
      <c r="O7" t="s">
        <v>253</v>
      </c>
    </row>
    <row r="8" spans="1:15" x14ac:dyDescent="0.2">
      <c r="A8" t="s">
        <v>190</v>
      </c>
      <c r="B8" t="s">
        <v>191</v>
      </c>
      <c r="C8">
        <v>4</v>
      </c>
      <c r="D8">
        <v>1</v>
      </c>
      <c r="E8">
        <v>4</v>
      </c>
      <c r="F8">
        <v>3</v>
      </c>
      <c r="G8">
        <v>2</v>
      </c>
      <c r="H8">
        <v>1</v>
      </c>
      <c r="I8">
        <v>2.0299999999999999E-2</v>
      </c>
      <c r="J8">
        <v>0.99</v>
      </c>
      <c r="K8">
        <v>2.0000000000000001E-4</v>
      </c>
      <c r="L8">
        <v>0.34</v>
      </c>
      <c r="M8">
        <v>300</v>
      </c>
      <c r="N8" t="s">
        <v>18</v>
      </c>
      <c r="O8" t="s">
        <v>254</v>
      </c>
    </row>
    <row r="9" spans="1:15" x14ac:dyDescent="0.2">
      <c r="A9" t="s">
        <v>190</v>
      </c>
      <c r="B9" t="s">
        <v>191</v>
      </c>
      <c r="C9">
        <v>4</v>
      </c>
      <c r="D9">
        <v>1</v>
      </c>
      <c r="E9">
        <v>4</v>
      </c>
      <c r="F9">
        <v>3</v>
      </c>
      <c r="G9">
        <v>2</v>
      </c>
      <c r="H9">
        <v>1</v>
      </c>
      <c r="I9">
        <v>1.9800000000000002E-2</v>
      </c>
      <c r="J9">
        <v>1.01</v>
      </c>
      <c r="K9">
        <v>2.0000000000000001E-4</v>
      </c>
      <c r="L9">
        <v>0.34</v>
      </c>
      <c r="M9">
        <v>324</v>
      </c>
      <c r="N9" t="s">
        <v>18</v>
      </c>
      <c r="O9" t="s">
        <v>255</v>
      </c>
    </row>
    <row r="10" spans="1:15" x14ac:dyDescent="0.2">
      <c r="A10" t="s">
        <v>190</v>
      </c>
      <c r="B10" t="s">
        <v>191</v>
      </c>
      <c r="C10">
        <v>4</v>
      </c>
      <c r="D10">
        <v>1</v>
      </c>
      <c r="E10">
        <v>4</v>
      </c>
      <c r="F10">
        <v>3</v>
      </c>
      <c r="G10">
        <v>2</v>
      </c>
      <c r="H10">
        <v>1</v>
      </c>
      <c r="I10">
        <v>1.9300000000000001E-2</v>
      </c>
      <c r="J10">
        <v>1.04</v>
      </c>
      <c r="K10">
        <v>2.0000000000000001E-4</v>
      </c>
      <c r="L10">
        <v>0.34</v>
      </c>
      <c r="M10">
        <v>348</v>
      </c>
      <c r="N10" t="s">
        <v>18</v>
      </c>
      <c r="O10" t="s">
        <v>256</v>
      </c>
    </row>
    <row r="11" spans="1:15" x14ac:dyDescent="0.2">
      <c r="A11" t="s">
        <v>190</v>
      </c>
      <c r="B11" t="s">
        <v>191</v>
      </c>
      <c r="C11">
        <v>4</v>
      </c>
      <c r="D11">
        <v>1</v>
      </c>
      <c r="E11">
        <v>4</v>
      </c>
      <c r="F11">
        <v>3</v>
      </c>
      <c r="G11">
        <v>2</v>
      </c>
      <c r="H11">
        <v>1</v>
      </c>
      <c r="I11">
        <v>1.89E-2</v>
      </c>
      <c r="J11">
        <v>1.06</v>
      </c>
      <c r="K11">
        <v>2.0000000000000001E-4</v>
      </c>
      <c r="L11">
        <v>0.34</v>
      </c>
      <c r="M11">
        <v>373</v>
      </c>
      <c r="N11" t="s">
        <v>18</v>
      </c>
      <c r="O11" t="s">
        <v>257</v>
      </c>
    </row>
    <row r="12" spans="1:15" x14ac:dyDescent="0.2">
      <c r="A12" t="s">
        <v>190</v>
      </c>
      <c r="B12" t="s">
        <v>191</v>
      </c>
      <c r="C12">
        <v>6</v>
      </c>
      <c r="D12">
        <v>1</v>
      </c>
      <c r="E12">
        <v>6</v>
      </c>
      <c r="F12">
        <v>5</v>
      </c>
      <c r="G12">
        <v>2</v>
      </c>
      <c r="H12">
        <v>3</v>
      </c>
      <c r="I12">
        <v>2.46E-2</v>
      </c>
      <c r="J12">
        <v>2.0299999999999998</v>
      </c>
      <c r="K12">
        <v>5.0000000000000001E-4</v>
      </c>
      <c r="L12" t="s">
        <v>17</v>
      </c>
      <c r="M12">
        <v>300</v>
      </c>
      <c r="N12" t="s">
        <v>18</v>
      </c>
      <c r="O12" t="s">
        <v>258</v>
      </c>
    </row>
    <row r="13" spans="1:15" x14ac:dyDescent="0.2">
      <c r="A13" t="s">
        <v>190</v>
      </c>
      <c r="B13" t="s">
        <v>191</v>
      </c>
      <c r="C13">
        <v>6</v>
      </c>
      <c r="D13">
        <v>1</v>
      </c>
      <c r="E13">
        <v>6</v>
      </c>
      <c r="F13">
        <v>5</v>
      </c>
      <c r="G13">
        <v>2</v>
      </c>
      <c r="H13">
        <v>3</v>
      </c>
      <c r="I13">
        <v>0.02</v>
      </c>
      <c r="J13">
        <v>6.5</v>
      </c>
      <c r="K13">
        <v>1.2999999999999999E-3</v>
      </c>
      <c r="L13" t="s">
        <v>17</v>
      </c>
      <c r="M13">
        <v>293</v>
      </c>
      <c r="N13" t="s">
        <v>18</v>
      </c>
      <c r="O13" t="s">
        <v>259</v>
      </c>
    </row>
    <row r="14" spans="1:15" x14ac:dyDescent="0.2">
      <c r="A14" t="s">
        <v>190</v>
      </c>
      <c r="B14" t="s">
        <v>191</v>
      </c>
      <c r="C14">
        <v>3</v>
      </c>
      <c r="D14">
        <v>1</v>
      </c>
      <c r="E14">
        <v>3</v>
      </c>
      <c r="F14">
        <v>2</v>
      </c>
      <c r="G14">
        <v>2</v>
      </c>
      <c r="H14">
        <v>0</v>
      </c>
      <c r="I14">
        <v>1.7999999999999999E-2</v>
      </c>
      <c r="J14">
        <v>10</v>
      </c>
      <c r="K14">
        <v>1.8E-3</v>
      </c>
      <c r="L14">
        <v>0.49</v>
      </c>
      <c r="M14">
        <v>591</v>
      </c>
      <c r="N14" t="s">
        <v>18</v>
      </c>
      <c r="O14" t="s">
        <v>260</v>
      </c>
    </row>
    <row r="15" spans="1:15" x14ac:dyDescent="0.2">
      <c r="A15" t="s">
        <v>190</v>
      </c>
      <c r="B15" t="s">
        <v>191</v>
      </c>
      <c r="C15">
        <v>3</v>
      </c>
      <c r="D15">
        <v>1</v>
      </c>
      <c r="E15">
        <v>3</v>
      </c>
      <c r="F15">
        <v>2</v>
      </c>
      <c r="G15">
        <v>2</v>
      </c>
      <c r="H15">
        <v>0</v>
      </c>
      <c r="I15">
        <v>2.0299999999999999E-2</v>
      </c>
      <c r="J15">
        <v>9.85</v>
      </c>
      <c r="K15">
        <v>2E-3</v>
      </c>
      <c r="L15">
        <v>0.49</v>
      </c>
      <c r="M15">
        <v>444</v>
      </c>
      <c r="N15" t="s">
        <v>18</v>
      </c>
      <c r="O15" t="s">
        <v>261</v>
      </c>
    </row>
    <row r="16" spans="1:15" x14ac:dyDescent="0.2">
      <c r="A16" t="s">
        <v>190</v>
      </c>
      <c r="B16" t="s">
        <v>191</v>
      </c>
      <c r="C16">
        <v>3</v>
      </c>
      <c r="D16">
        <v>1</v>
      </c>
      <c r="E16">
        <v>3</v>
      </c>
      <c r="F16">
        <v>2</v>
      </c>
      <c r="G16">
        <v>2</v>
      </c>
      <c r="H16">
        <v>0</v>
      </c>
      <c r="I16">
        <v>2.1999999999999999E-2</v>
      </c>
      <c r="J16">
        <v>10</v>
      </c>
      <c r="K16">
        <v>2.2000000000000001E-3</v>
      </c>
      <c r="L16">
        <v>0.49</v>
      </c>
      <c r="M16">
        <v>297</v>
      </c>
      <c r="N16" t="s">
        <v>18</v>
      </c>
      <c r="O16" t="s">
        <v>262</v>
      </c>
    </row>
    <row r="17" spans="1:15" x14ac:dyDescent="0.2">
      <c r="A17" t="s">
        <v>190</v>
      </c>
      <c r="B17" t="s">
        <v>191</v>
      </c>
      <c r="C17">
        <v>3</v>
      </c>
      <c r="D17">
        <v>1</v>
      </c>
      <c r="E17">
        <v>3</v>
      </c>
      <c r="F17">
        <v>2</v>
      </c>
      <c r="G17">
        <v>2</v>
      </c>
      <c r="H17">
        <v>0</v>
      </c>
      <c r="I17">
        <v>2.41E-2</v>
      </c>
      <c r="J17">
        <v>9.9600000000000009</v>
      </c>
      <c r="K17">
        <v>2.3999999999999998E-3</v>
      </c>
      <c r="L17">
        <v>0.49</v>
      </c>
      <c r="M17">
        <v>264</v>
      </c>
      <c r="N17" t="s">
        <v>18</v>
      </c>
      <c r="O17" t="s">
        <v>263</v>
      </c>
    </row>
    <row r="18" spans="1:15" x14ac:dyDescent="0.2">
      <c r="A18" t="s">
        <v>190</v>
      </c>
      <c r="B18" t="s">
        <v>191</v>
      </c>
      <c r="C18">
        <v>3</v>
      </c>
      <c r="D18">
        <v>1</v>
      </c>
      <c r="E18">
        <v>3</v>
      </c>
      <c r="F18">
        <v>2</v>
      </c>
      <c r="G18">
        <v>2</v>
      </c>
      <c r="H18">
        <v>0</v>
      </c>
      <c r="I18">
        <v>2.9399999999999999E-2</v>
      </c>
      <c r="J18">
        <v>9.86</v>
      </c>
      <c r="K18">
        <v>2.8999999999999998E-3</v>
      </c>
      <c r="L18">
        <v>0.49</v>
      </c>
      <c r="M18">
        <v>192</v>
      </c>
      <c r="N18" t="s">
        <v>18</v>
      </c>
      <c r="O18" t="s">
        <v>264</v>
      </c>
    </row>
    <row r="19" spans="1:15" x14ac:dyDescent="0.2">
      <c r="A19" t="s">
        <v>190</v>
      </c>
      <c r="B19" t="s">
        <v>191</v>
      </c>
      <c r="C19">
        <v>3</v>
      </c>
      <c r="D19">
        <v>1</v>
      </c>
      <c r="E19">
        <v>3</v>
      </c>
      <c r="F19">
        <v>2</v>
      </c>
      <c r="G19">
        <v>2</v>
      </c>
      <c r="H19">
        <v>0</v>
      </c>
      <c r="I19">
        <v>3.2199999999999999E-2</v>
      </c>
      <c r="J19">
        <v>9.94</v>
      </c>
      <c r="K19">
        <v>3.2000000000000002E-3</v>
      </c>
      <c r="L19">
        <v>0.49</v>
      </c>
      <c r="M19">
        <v>177</v>
      </c>
      <c r="N19" t="s">
        <v>18</v>
      </c>
      <c r="O19" t="s">
        <v>265</v>
      </c>
    </row>
    <row r="20" spans="1:15" x14ac:dyDescent="0.2">
      <c r="A20" t="s">
        <v>190</v>
      </c>
      <c r="B20" t="s">
        <v>191</v>
      </c>
      <c r="C20">
        <v>3</v>
      </c>
      <c r="D20">
        <v>1</v>
      </c>
      <c r="E20">
        <v>3</v>
      </c>
      <c r="F20">
        <v>2</v>
      </c>
      <c r="G20">
        <v>2</v>
      </c>
      <c r="H20">
        <v>0</v>
      </c>
      <c r="I20">
        <v>3.4200000000000001E-2</v>
      </c>
      <c r="J20">
        <v>9.94</v>
      </c>
      <c r="K20">
        <v>3.3999999999999998E-3</v>
      </c>
      <c r="L20">
        <v>0.49</v>
      </c>
      <c r="M20">
        <v>162</v>
      </c>
      <c r="N20" t="s">
        <v>18</v>
      </c>
      <c r="O20" t="s">
        <v>266</v>
      </c>
    </row>
    <row r="21" spans="1:15" x14ac:dyDescent="0.2">
      <c r="A21" t="s">
        <v>190</v>
      </c>
      <c r="B21" t="s">
        <v>191</v>
      </c>
      <c r="C21">
        <v>3</v>
      </c>
      <c r="D21">
        <v>1</v>
      </c>
      <c r="E21">
        <v>3</v>
      </c>
      <c r="F21">
        <v>2</v>
      </c>
      <c r="G21">
        <v>2</v>
      </c>
      <c r="H21">
        <v>0</v>
      </c>
      <c r="I21">
        <v>3.7199999999999997E-2</v>
      </c>
      <c r="J21">
        <v>9.9499999999999993</v>
      </c>
      <c r="K21">
        <v>3.7000000000000002E-3</v>
      </c>
      <c r="L21">
        <v>0.49</v>
      </c>
      <c r="M21">
        <v>144</v>
      </c>
      <c r="N21" t="s">
        <v>18</v>
      </c>
      <c r="O21" t="s">
        <v>267</v>
      </c>
    </row>
    <row r="22" spans="1:15" x14ac:dyDescent="0.2">
      <c r="A22" t="s">
        <v>190</v>
      </c>
      <c r="B22" t="s">
        <v>191</v>
      </c>
      <c r="C22">
        <v>3</v>
      </c>
      <c r="D22">
        <v>1</v>
      </c>
      <c r="E22">
        <v>3</v>
      </c>
      <c r="F22">
        <v>2</v>
      </c>
      <c r="G22">
        <v>2</v>
      </c>
      <c r="H22">
        <v>0</v>
      </c>
      <c r="I22">
        <v>3.8199999999999998E-2</v>
      </c>
      <c r="J22">
        <v>9.9499999999999993</v>
      </c>
      <c r="K22">
        <v>3.8E-3</v>
      </c>
      <c r="L22">
        <v>0.49</v>
      </c>
      <c r="M22">
        <v>120</v>
      </c>
      <c r="N22" t="s">
        <v>18</v>
      </c>
      <c r="O22" t="s">
        <v>268</v>
      </c>
    </row>
    <row r="23" spans="1:15" x14ac:dyDescent="0.2">
      <c r="A23" t="s">
        <v>190</v>
      </c>
      <c r="B23" t="s">
        <v>191</v>
      </c>
      <c r="C23">
        <v>3</v>
      </c>
      <c r="D23">
        <v>1</v>
      </c>
      <c r="E23">
        <v>3</v>
      </c>
      <c r="F23">
        <v>2</v>
      </c>
      <c r="G23">
        <v>2</v>
      </c>
      <c r="H23">
        <v>0</v>
      </c>
      <c r="I23">
        <v>4.0500000000000001E-2</v>
      </c>
      <c r="J23">
        <v>9.8800000000000008</v>
      </c>
      <c r="K23">
        <v>4.0000000000000001E-3</v>
      </c>
      <c r="L23">
        <v>0.49</v>
      </c>
      <c r="M23">
        <v>104</v>
      </c>
      <c r="N23" t="s">
        <v>18</v>
      </c>
      <c r="O23" t="s">
        <v>269</v>
      </c>
    </row>
    <row r="24" spans="1:15" x14ac:dyDescent="0.2">
      <c r="A24" t="s">
        <v>190</v>
      </c>
      <c r="B24" t="s">
        <v>191</v>
      </c>
      <c r="C24">
        <v>3</v>
      </c>
      <c r="D24">
        <v>1</v>
      </c>
      <c r="E24">
        <v>3</v>
      </c>
      <c r="F24">
        <v>2</v>
      </c>
      <c r="G24">
        <v>2</v>
      </c>
      <c r="H24">
        <v>0</v>
      </c>
      <c r="I24">
        <v>3.9300000000000002E-2</v>
      </c>
      <c r="J24">
        <v>9.93</v>
      </c>
      <c r="K24">
        <v>3.8999999999999998E-3</v>
      </c>
      <c r="L24">
        <v>0.49</v>
      </c>
      <c r="M24">
        <v>103</v>
      </c>
      <c r="N24" t="s">
        <v>18</v>
      </c>
      <c r="O24" t="s">
        <v>270</v>
      </c>
    </row>
    <row r="25" spans="1:15" x14ac:dyDescent="0.2">
      <c r="A25" t="s">
        <v>190</v>
      </c>
      <c r="B25" t="s">
        <v>191</v>
      </c>
      <c r="C25">
        <v>3</v>
      </c>
      <c r="D25">
        <v>1</v>
      </c>
      <c r="E25">
        <v>3</v>
      </c>
      <c r="F25">
        <v>2</v>
      </c>
      <c r="G25">
        <v>2</v>
      </c>
      <c r="H25">
        <v>0</v>
      </c>
      <c r="I25">
        <v>4.41E-2</v>
      </c>
      <c r="J25">
        <v>9.98</v>
      </c>
      <c r="K25">
        <v>4.4000000000000003E-3</v>
      </c>
      <c r="L25">
        <v>0.49</v>
      </c>
      <c r="M25">
        <v>87</v>
      </c>
      <c r="N25" t="s">
        <v>18</v>
      </c>
      <c r="O25" t="s">
        <v>271</v>
      </c>
    </row>
    <row r="26" spans="1:15" x14ac:dyDescent="0.2">
      <c r="A26" t="s">
        <v>190</v>
      </c>
      <c r="B26" t="s">
        <v>191</v>
      </c>
      <c r="C26">
        <v>3</v>
      </c>
      <c r="D26">
        <v>1</v>
      </c>
      <c r="E26">
        <v>3</v>
      </c>
      <c r="F26">
        <v>2</v>
      </c>
      <c r="G26">
        <v>2</v>
      </c>
      <c r="H26">
        <v>0</v>
      </c>
      <c r="I26">
        <v>4.6899999999999997E-2</v>
      </c>
      <c r="J26">
        <v>8.74</v>
      </c>
      <c r="K26">
        <v>4.1000000000000003E-3</v>
      </c>
      <c r="L26">
        <v>0.49</v>
      </c>
      <c r="M26">
        <v>83</v>
      </c>
      <c r="N26" t="s">
        <v>18</v>
      </c>
      <c r="O26" t="s">
        <v>272</v>
      </c>
    </row>
    <row r="27" spans="1:15" x14ac:dyDescent="0.2">
      <c r="A27" t="s">
        <v>190</v>
      </c>
      <c r="B27" t="s">
        <v>58</v>
      </c>
      <c r="C27">
        <v>6</v>
      </c>
      <c r="D27">
        <v>1</v>
      </c>
      <c r="E27">
        <v>6</v>
      </c>
      <c r="F27">
        <v>5</v>
      </c>
      <c r="G27">
        <v>2</v>
      </c>
      <c r="H27">
        <v>3</v>
      </c>
      <c r="I27">
        <v>7.0999999999999994E-2</v>
      </c>
      <c r="J27">
        <v>10.7</v>
      </c>
      <c r="K27">
        <v>7.6E-3</v>
      </c>
      <c r="L27" t="s">
        <v>17</v>
      </c>
      <c r="M27">
        <v>293</v>
      </c>
      <c r="N27" t="s">
        <v>18</v>
      </c>
      <c r="O27" t="s">
        <v>273</v>
      </c>
    </row>
    <row r="28" spans="1:15" x14ac:dyDescent="0.2">
      <c r="A28" t="s">
        <v>190</v>
      </c>
      <c r="B28" t="s">
        <v>58</v>
      </c>
      <c r="C28">
        <v>6</v>
      </c>
      <c r="D28">
        <v>1</v>
      </c>
      <c r="E28">
        <v>6</v>
      </c>
      <c r="F28">
        <v>5</v>
      </c>
      <c r="G28">
        <v>2</v>
      </c>
      <c r="H28">
        <v>3</v>
      </c>
      <c r="I28">
        <v>8.3400000000000002E-2</v>
      </c>
      <c r="J28">
        <v>2.52</v>
      </c>
      <c r="K28">
        <v>2.0999999999999999E-3</v>
      </c>
      <c r="L28" t="s">
        <v>17</v>
      </c>
      <c r="M28">
        <v>300</v>
      </c>
      <c r="N28" t="s">
        <v>18</v>
      </c>
      <c r="O28" t="s">
        <v>274</v>
      </c>
    </row>
    <row r="29" spans="1:15" x14ac:dyDescent="0.2">
      <c r="A29" t="s">
        <v>190</v>
      </c>
      <c r="B29" t="s">
        <v>58</v>
      </c>
      <c r="C29">
        <v>3</v>
      </c>
      <c r="D29">
        <v>1</v>
      </c>
      <c r="E29">
        <v>3</v>
      </c>
      <c r="F29">
        <v>2</v>
      </c>
      <c r="G29">
        <v>2</v>
      </c>
      <c r="H29">
        <v>0</v>
      </c>
      <c r="I29">
        <v>8.1100000000000005E-2</v>
      </c>
      <c r="J29">
        <v>2.4700000000000002</v>
      </c>
      <c r="K29">
        <v>2E-3</v>
      </c>
      <c r="L29" t="s">
        <v>17</v>
      </c>
      <c r="M29">
        <v>300</v>
      </c>
      <c r="N29" t="s">
        <v>18</v>
      </c>
      <c r="O29" t="s">
        <v>275</v>
      </c>
    </row>
    <row r="30" spans="1:15" x14ac:dyDescent="0.2">
      <c r="A30" t="s">
        <v>190</v>
      </c>
      <c r="B30" t="s">
        <v>58</v>
      </c>
      <c r="C30">
        <v>4</v>
      </c>
      <c r="D30">
        <v>1</v>
      </c>
      <c r="E30">
        <v>4</v>
      </c>
      <c r="F30">
        <v>3</v>
      </c>
      <c r="G30">
        <v>2</v>
      </c>
      <c r="H30">
        <v>1</v>
      </c>
      <c r="I30">
        <v>8.1100000000000005E-2</v>
      </c>
      <c r="J30">
        <v>2.4700000000000002</v>
      </c>
      <c r="K30">
        <v>2E-3</v>
      </c>
      <c r="L30" t="s">
        <v>17</v>
      </c>
      <c r="M30">
        <v>300</v>
      </c>
      <c r="N30" t="s">
        <v>18</v>
      </c>
      <c r="O30" t="s">
        <v>276</v>
      </c>
    </row>
    <row r="31" spans="1:15" x14ac:dyDescent="0.2">
      <c r="A31" t="s">
        <v>190</v>
      </c>
      <c r="B31" t="s">
        <v>191</v>
      </c>
      <c r="C31">
        <v>3</v>
      </c>
      <c r="D31">
        <v>1</v>
      </c>
      <c r="E31">
        <v>3</v>
      </c>
      <c r="F31">
        <v>2</v>
      </c>
      <c r="G31">
        <v>2</v>
      </c>
      <c r="H31">
        <v>0</v>
      </c>
      <c r="I31">
        <v>2.18E-2</v>
      </c>
      <c r="J31">
        <v>50</v>
      </c>
      <c r="K31">
        <f>I31*J31/100</f>
        <v>1.09E-2</v>
      </c>
      <c r="L31" t="s">
        <v>17</v>
      </c>
      <c r="M31">
        <v>296</v>
      </c>
      <c r="N31" t="s">
        <v>18</v>
      </c>
      <c r="O31" t="s">
        <v>277</v>
      </c>
    </row>
    <row r="32" spans="1:15" x14ac:dyDescent="0.2">
      <c r="A32" t="s">
        <v>190</v>
      </c>
      <c r="B32" t="s">
        <v>191</v>
      </c>
      <c r="C32">
        <v>4</v>
      </c>
      <c r="D32">
        <v>1</v>
      </c>
      <c r="E32">
        <v>4</v>
      </c>
      <c r="F32">
        <v>3</v>
      </c>
      <c r="G32">
        <v>2</v>
      </c>
      <c r="H32">
        <v>1</v>
      </c>
      <c r="I32">
        <v>2.0400000000000001E-2</v>
      </c>
      <c r="J32">
        <v>50</v>
      </c>
      <c r="K32">
        <f t="shared" ref="K32:K33" si="0">I32*J32/100</f>
        <v>1.0200000000000001E-2</v>
      </c>
      <c r="L32" t="s">
        <v>17</v>
      </c>
      <c r="M32">
        <v>296</v>
      </c>
      <c r="N32" t="s">
        <v>18</v>
      </c>
      <c r="O32" t="s">
        <v>277</v>
      </c>
    </row>
    <row r="33" spans="1:15" x14ac:dyDescent="0.2">
      <c r="A33" t="s">
        <v>190</v>
      </c>
      <c r="B33" t="s">
        <v>191</v>
      </c>
      <c r="C33">
        <v>6</v>
      </c>
      <c r="D33">
        <v>1</v>
      </c>
      <c r="E33">
        <v>6</v>
      </c>
      <c r="F33">
        <v>5</v>
      </c>
      <c r="G33">
        <v>2</v>
      </c>
      <c r="H33">
        <v>3</v>
      </c>
      <c r="I33">
        <v>2.4799999999999999E-2</v>
      </c>
      <c r="J33">
        <v>50</v>
      </c>
      <c r="K33">
        <f t="shared" si="0"/>
        <v>1.24E-2</v>
      </c>
      <c r="L33" t="s">
        <v>17</v>
      </c>
      <c r="M33">
        <v>296</v>
      </c>
      <c r="N33" t="s">
        <v>18</v>
      </c>
      <c r="O33" t="s">
        <v>277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12A90-703B-5841-8889-706D73B5F8F9}">
  <dimension ref="A1:O42"/>
  <sheetViews>
    <sheetView workbookViewId="0">
      <selection activeCell="O42" sqref="O4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319</v>
      </c>
      <c r="B2" t="s">
        <v>319</v>
      </c>
      <c r="C2">
        <v>9</v>
      </c>
      <c r="D2">
        <v>4</v>
      </c>
      <c r="E2">
        <v>6</v>
      </c>
      <c r="F2">
        <v>8</v>
      </c>
      <c r="G2">
        <v>3</v>
      </c>
      <c r="H2">
        <v>6</v>
      </c>
      <c r="I2">
        <v>8.4099999999999994E-2</v>
      </c>
      <c r="J2">
        <v>2.9</v>
      </c>
      <c r="K2">
        <v>2.4390000000000002E-3</v>
      </c>
      <c r="L2" t="s">
        <v>17</v>
      </c>
      <c r="M2">
        <v>296</v>
      </c>
      <c r="N2" t="s">
        <v>201</v>
      </c>
      <c r="O2" t="s">
        <v>320</v>
      </c>
    </row>
    <row r="3" spans="1:15" x14ac:dyDescent="0.2">
      <c r="A3" t="s">
        <v>319</v>
      </c>
      <c r="B3" t="s">
        <v>319</v>
      </c>
      <c r="C3">
        <v>9</v>
      </c>
      <c r="D3">
        <v>4</v>
      </c>
      <c r="E3">
        <v>5</v>
      </c>
      <c r="F3">
        <v>8</v>
      </c>
      <c r="G3">
        <v>3</v>
      </c>
      <c r="H3">
        <v>5</v>
      </c>
      <c r="I3">
        <v>8.4099999999999994E-2</v>
      </c>
      <c r="J3">
        <v>2.9</v>
      </c>
      <c r="K3">
        <v>2.4390000000000002E-3</v>
      </c>
      <c r="L3" t="s">
        <v>17</v>
      </c>
      <c r="M3">
        <v>296</v>
      </c>
      <c r="N3" t="s">
        <v>201</v>
      </c>
      <c r="O3" t="s">
        <v>320</v>
      </c>
    </row>
    <row r="4" spans="1:15" x14ac:dyDescent="0.2">
      <c r="A4" t="s">
        <v>319</v>
      </c>
      <c r="B4" t="s">
        <v>319</v>
      </c>
      <c r="C4">
        <v>14</v>
      </c>
      <c r="D4">
        <v>3</v>
      </c>
      <c r="E4">
        <v>11</v>
      </c>
      <c r="F4">
        <v>13</v>
      </c>
      <c r="G4">
        <v>2</v>
      </c>
      <c r="H4">
        <v>11</v>
      </c>
      <c r="I4">
        <v>8.14E-2</v>
      </c>
      <c r="J4">
        <v>3.4</v>
      </c>
      <c r="K4">
        <v>2.7680000000000001E-3</v>
      </c>
      <c r="L4" t="s">
        <v>17</v>
      </c>
      <c r="M4">
        <v>296</v>
      </c>
      <c r="N4" t="s">
        <v>201</v>
      </c>
      <c r="O4" t="s">
        <v>320</v>
      </c>
    </row>
    <row r="5" spans="1:15" x14ac:dyDescent="0.2">
      <c r="A5" t="s">
        <v>319</v>
      </c>
      <c r="B5" t="s">
        <v>319</v>
      </c>
      <c r="C5">
        <v>5</v>
      </c>
      <c r="D5">
        <v>5</v>
      </c>
      <c r="E5">
        <v>0</v>
      </c>
      <c r="F5">
        <v>4</v>
      </c>
      <c r="G5">
        <v>4</v>
      </c>
      <c r="H5">
        <v>0</v>
      </c>
      <c r="I5">
        <v>7.4499999999999997E-2</v>
      </c>
      <c r="J5">
        <v>3.3</v>
      </c>
      <c r="K5">
        <v>2.4580000000000001E-3</v>
      </c>
      <c r="L5" t="s">
        <v>17</v>
      </c>
      <c r="M5">
        <v>296</v>
      </c>
      <c r="N5" t="s">
        <v>201</v>
      </c>
      <c r="O5" t="s">
        <v>320</v>
      </c>
    </row>
    <row r="6" spans="1:15" x14ac:dyDescent="0.2">
      <c r="A6" t="s">
        <v>319</v>
      </c>
      <c r="B6" t="s">
        <v>319</v>
      </c>
      <c r="C6">
        <v>5</v>
      </c>
      <c r="D6">
        <v>5</v>
      </c>
      <c r="E6">
        <v>1</v>
      </c>
      <c r="F6">
        <v>4</v>
      </c>
      <c r="G6">
        <v>4</v>
      </c>
      <c r="H6">
        <v>1</v>
      </c>
      <c r="I6">
        <v>7.4499999999999997E-2</v>
      </c>
      <c r="J6">
        <v>3.3</v>
      </c>
      <c r="K6">
        <v>2.4580000000000001E-3</v>
      </c>
      <c r="L6" t="s">
        <v>17</v>
      </c>
      <c r="M6">
        <v>296</v>
      </c>
      <c r="N6" t="s">
        <v>201</v>
      </c>
      <c r="O6" t="s">
        <v>320</v>
      </c>
    </row>
    <row r="7" spans="1:15" x14ac:dyDescent="0.2">
      <c r="A7" t="s">
        <v>319</v>
      </c>
      <c r="B7" t="s">
        <v>319</v>
      </c>
      <c r="C7">
        <v>16</v>
      </c>
      <c r="D7">
        <v>2</v>
      </c>
      <c r="E7">
        <v>14</v>
      </c>
      <c r="F7">
        <v>15</v>
      </c>
      <c r="G7">
        <v>1</v>
      </c>
      <c r="H7">
        <v>14</v>
      </c>
      <c r="I7">
        <v>7.2599999999999998E-2</v>
      </c>
      <c r="J7">
        <v>3.7</v>
      </c>
      <c r="K7">
        <v>2.686E-3</v>
      </c>
      <c r="L7" t="s">
        <v>17</v>
      </c>
      <c r="M7">
        <v>296</v>
      </c>
      <c r="N7" t="s">
        <v>201</v>
      </c>
      <c r="O7" t="s">
        <v>320</v>
      </c>
    </row>
    <row r="8" spans="1:15" x14ac:dyDescent="0.2">
      <c r="A8" t="s">
        <v>319</v>
      </c>
      <c r="B8" t="s">
        <v>319</v>
      </c>
      <c r="C8">
        <v>12</v>
      </c>
      <c r="D8">
        <v>3</v>
      </c>
      <c r="E8">
        <v>10</v>
      </c>
      <c r="F8">
        <v>11</v>
      </c>
      <c r="G8">
        <v>2</v>
      </c>
      <c r="H8">
        <v>10</v>
      </c>
      <c r="I8">
        <v>8.14E-2</v>
      </c>
      <c r="J8">
        <v>3.4</v>
      </c>
      <c r="K8">
        <v>2.7680000000000001E-3</v>
      </c>
      <c r="L8" t="s">
        <v>17</v>
      </c>
      <c r="M8">
        <v>296</v>
      </c>
      <c r="N8" t="s">
        <v>201</v>
      </c>
      <c r="O8" t="s">
        <v>320</v>
      </c>
    </row>
    <row r="9" spans="1:15" x14ac:dyDescent="0.2">
      <c r="A9" t="s">
        <v>319</v>
      </c>
      <c r="B9" t="s">
        <v>319</v>
      </c>
      <c r="C9">
        <v>13</v>
      </c>
      <c r="D9">
        <v>2</v>
      </c>
      <c r="E9">
        <v>12</v>
      </c>
      <c r="F9">
        <v>12</v>
      </c>
      <c r="G9">
        <v>1</v>
      </c>
      <c r="H9">
        <v>12</v>
      </c>
      <c r="I9">
        <v>0.1232</v>
      </c>
      <c r="J9">
        <v>1.8</v>
      </c>
      <c r="K9">
        <v>2.2179999999999999E-3</v>
      </c>
      <c r="L9" t="s">
        <v>17</v>
      </c>
      <c r="M9">
        <v>296</v>
      </c>
      <c r="N9" t="s">
        <v>201</v>
      </c>
      <c r="O9" t="s">
        <v>320</v>
      </c>
    </row>
    <row r="10" spans="1:15" x14ac:dyDescent="0.2">
      <c r="A10" t="s">
        <v>319</v>
      </c>
      <c r="B10" t="s">
        <v>319</v>
      </c>
      <c r="C10">
        <v>13</v>
      </c>
      <c r="D10">
        <v>3</v>
      </c>
      <c r="E10">
        <v>10</v>
      </c>
      <c r="F10">
        <v>12</v>
      </c>
      <c r="G10">
        <v>2</v>
      </c>
      <c r="H10">
        <v>10</v>
      </c>
      <c r="I10">
        <v>0.1201</v>
      </c>
      <c r="J10">
        <v>1.8</v>
      </c>
      <c r="K10">
        <v>2.1619999999999999E-3</v>
      </c>
      <c r="L10" t="s">
        <v>17</v>
      </c>
      <c r="M10">
        <v>296</v>
      </c>
      <c r="N10" t="s">
        <v>201</v>
      </c>
      <c r="O10" t="s">
        <v>320</v>
      </c>
    </row>
    <row r="11" spans="1:15" x14ac:dyDescent="0.2">
      <c r="A11" t="s">
        <v>319</v>
      </c>
      <c r="B11" t="s">
        <v>319</v>
      </c>
      <c r="C11">
        <v>8</v>
      </c>
      <c r="D11">
        <v>4</v>
      </c>
      <c r="E11">
        <v>5</v>
      </c>
      <c r="F11">
        <v>7</v>
      </c>
      <c r="G11">
        <v>3</v>
      </c>
      <c r="H11">
        <v>5</v>
      </c>
      <c r="I11">
        <v>0.1249</v>
      </c>
      <c r="J11">
        <v>0.9</v>
      </c>
      <c r="K11">
        <v>1.124E-3</v>
      </c>
      <c r="L11" t="s">
        <v>17</v>
      </c>
      <c r="M11">
        <v>296</v>
      </c>
      <c r="N11" t="s">
        <v>201</v>
      </c>
      <c r="O11" t="s">
        <v>320</v>
      </c>
    </row>
    <row r="12" spans="1:15" x14ac:dyDescent="0.2">
      <c r="A12" t="s">
        <v>319</v>
      </c>
      <c r="B12" t="s">
        <v>319</v>
      </c>
      <c r="C12">
        <v>8</v>
      </c>
      <c r="D12">
        <v>4</v>
      </c>
      <c r="E12">
        <v>4</v>
      </c>
      <c r="F12">
        <v>7</v>
      </c>
      <c r="G12">
        <v>3</v>
      </c>
      <c r="H12">
        <v>4</v>
      </c>
      <c r="I12">
        <v>0.1249</v>
      </c>
      <c r="J12">
        <v>0.9</v>
      </c>
      <c r="K12">
        <v>1.124E-3</v>
      </c>
      <c r="L12" t="s">
        <v>17</v>
      </c>
      <c r="M12">
        <v>296</v>
      </c>
      <c r="N12" t="s">
        <v>201</v>
      </c>
      <c r="O12" t="s">
        <v>320</v>
      </c>
    </row>
    <row r="13" spans="1:15" x14ac:dyDescent="0.2">
      <c r="A13" t="s">
        <v>319</v>
      </c>
      <c r="B13" t="s">
        <v>319</v>
      </c>
      <c r="C13">
        <v>21</v>
      </c>
      <c r="D13">
        <v>6</v>
      </c>
      <c r="E13">
        <v>15</v>
      </c>
      <c r="F13">
        <v>21</v>
      </c>
      <c r="G13">
        <v>5</v>
      </c>
      <c r="H13">
        <v>17</v>
      </c>
      <c r="I13">
        <v>0.1195</v>
      </c>
      <c r="J13">
        <v>4</v>
      </c>
      <c r="K13">
        <v>4.7800000000000004E-3</v>
      </c>
      <c r="L13" t="s">
        <v>17</v>
      </c>
      <c r="M13">
        <v>296</v>
      </c>
      <c r="N13" t="s">
        <v>201</v>
      </c>
      <c r="O13" t="s">
        <v>320</v>
      </c>
    </row>
    <row r="14" spans="1:15" x14ac:dyDescent="0.2">
      <c r="A14" t="s">
        <v>319</v>
      </c>
      <c r="B14" t="s">
        <v>319</v>
      </c>
      <c r="C14">
        <v>20</v>
      </c>
      <c r="D14">
        <v>6</v>
      </c>
      <c r="E14">
        <v>14</v>
      </c>
      <c r="F14">
        <v>20</v>
      </c>
      <c r="G14">
        <v>5</v>
      </c>
      <c r="H14">
        <v>16</v>
      </c>
      <c r="I14">
        <v>0.1164</v>
      </c>
      <c r="J14">
        <v>3.4</v>
      </c>
      <c r="K14">
        <v>3.9579999999999997E-3</v>
      </c>
      <c r="L14" t="s">
        <v>17</v>
      </c>
      <c r="M14">
        <v>296</v>
      </c>
      <c r="N14" t="s">
        <v>201</v>
      </c>
      <c r="O14" t="s">
        <v>320</v>
      </c>
    </row>
    <row r="15" spans="1:15" x14ac:dyDescent="0.2">
      <c r="A15" t="s">
        <v>319</v>
      </c>
      <c r="B15" t="s">
        <v>319</v>
      </c>
      <c r="C15">
        <v>19</v>
      </c>
      <c r="D15">
        <v>6</v>
      </c>
      <c r="E15">
        <v>13</v>
      </c>
      <c r="F15">
        <v>19</v>
      </c>
      <c r="G15">
        <v>5</v>
      </c>
      <c r="H15">
        <v>15</v>
      </c>
      <c r="I15">
        <v>0.1255</v>
      </c>
      <c r="J15">
        <v>2.9</v>
      </c>
      <c r="K15">
        <v>3.6389999999999999E-3</v>
      </c>
      <c r="L15" t="s">
        <v>17</v>
      </c>
      <c r="M15">
        <v>296</v>
      </c>
      <c r="N15" t="s">
        <v>201</v>
      </c>
      <c r="O15" t="s">
        <v>320</v>
      </c>
    </row>
    <row r="16" spans="1:15" x14ac:dyDescent="0.2">
      <c r="A16" t="s">
        <v>319</v>
      </c>
      <c r="B16" t="s">
        <v>319</v>
      </c>
      <c r="C16">
        <v>18</v>
      </c>
      <c r="D16">
        <v>6</v>
      </c>
      <c r="E16">
        <v>12</v>
      </c>
      <c r="F16">
        <v>18</v>
      </c>
      <c r="G16">
        <v>5</v>
      </c>
      <c r="H16">
        <v>14</v>
      </c>
      <c r="I16">
        <v>0.1173</v>
      </c>
      <c r="J16">
        <v>2.9</v>
      </c>
      <c r="K16">
        <v>3.4020000000000001E-3</v>
      </c>
      <c r="L16" t="s">
        <v>17</v>
      </c>
      <c r="M16">
        <v>296</v>
      </c>
      <c r="N16" t="s">
        <v>201</v>
      </c>
      <c r="O16" t="s">
        <v>320</v>
      </c>
    </row>
    <row r="17" spans="1:15" x14ac:dyDescent="0.2">
      <c r="A17" t="s">
        <v>319</v>
      </c>
      <c r="B17" t="s">
        <v>319</v>
      </c>
      <c r="C17">
        <v>21</v>
      </c>
      <c r="D17">
        <v>6</v>
      </c>
      <c r="E17">
        <v>16</v>
      </c>
      <c r="F17">
        <v>21</v>
      </c>
      <c r="G17">
        <v>5</v>
      </c>
      <c r="H17">
        <v>16</v>
      </c>
      <c r="I17">
        <v>0.1179</v>
      </c>
      <c r="J17">
        <v>4.9000000000000004</v>
      </c>
      <c r="K17">
        <v>5.777E-3</v>
      </c>
      <c r="L17" t="s">
        <v>17</v>
      </c>
      <c r="M17">
        <v>296</v>
      </c>
      <c r="N17" t="s">
        <v>201</v>
      </c>
      <c r="O17" t="s">
        <v>320</v>
      </c>
    </row>
    <row r="18" spans="1:15" x14ac:dyDescent="0.2">
      <c r="A18" t="s">
        <v>319</v>
      </c>
      <c r="B18" t="s">
        <v>319</v>
      </c>
      <c r="C18">
        <v>22</v>
      </c>
      <c r="D18">
        <v>6</v>
      </c>
      <c r="E18">
        <v>17</v>
      </c>
      <c r="F18">
        <v>22</v>
      </c>
      <c r="G18">
        <v>5</v>
      </c>
      <c r="H18">
        <v>17</v>
      </c>
      <c r="I18">
        <v>0.1212</v>
      </c>
      <c r="J18">
        <v>5.7</v>
      </c>
      <c r="K18">
        <v>6.9080000000000001E-3</v>
      </c>
      <c r="L18" t="s">
        <v>17</v>
      </c>
      <c r="M18">
        <v>296</v>
      </c>
      <c r="N18" t="s">
        <v>201</v>
      </c>
      <c r="O18" t="s">
        <v>320</v>
      </c>
    </row>
    <row r="19" spans="1:15" x14ac:dyDescent="0.2">
      <c r="A19" t="s">
        <v>319</v>
      </c>
      <c r="B19" t="s">
        <v>319</v>
      </c>
      <c r="C19">
        <v>20</v>
      </c>
      <c r="D19">
        <v>6</v>
      </c>
      <c r="E19">
        <v>15</v>
      </c>
      <c r="F19">
        <v>20</v>
      </c>
      <c r="G19">
        <v>5</v>
      </c>
      <c r="H19">
        <v>15</v>
      </c>
      <c r="I19">
        <v>0.11260000000000001</v>
      </c>
      <c r="J19">
        <v>3.9</v>
      </c>
      <c r="K19">
        <v>4.3909999999999999E-3</v>
      </c>
      <c r="L19" t="s">
        <v>17</v>
      </c>
      <c r="M19">
        <v>296</v>
      </c>
      <c r="N19" t="s">
        <v>201</v>
      </c>
      <c r="O19" t="s">
        <v>320</v>
      </c>
    </row>
    <row r="20" spans="1:15" x14ac:dyDescent="0.2">
      <c r="A20" t="s">
        <v>319</v>
      </c>
      <c r="B20" t="s">
        <v>319</v>
      </c>
      <c r="C20">
        <v>23</v>
      </c>
      <c r="D20">
        <v>6</v>
      </c>
      <c r="E20">
        <v>18</v>
      </c>
      <c r="F20">
        <v>23</v>
      </c>
      <c r="G20">
        <v>5</v>
      </c>
      <c r="H20">
        <v>18</v>
      </c>
      <c r="I20">
        <v>0.11799999999999999</v>
      </c>
      <c r="J20">
        <v>6.2</v>
      </c>
      <c r="K20">
        <v>7.3159999999999996E-3</v>
      </c>
      <c r="L20" t="s">
        <v>17</v>
      </c>
      <c r="M20">
        <v>296</v>
      </c>
      <c r="N20" t="s">
        <v>201</v>
      </c>
      <c r="O20" t="s">
        <v>320</v>
      </c>
    </row>
    <row r="21" spans="1:15" x14ac:dyDescent="0.2">
      <c r="A21" t="s">
        <v>319</v>
      </c>
      <c r="B21" t="s">
        <v>319</v>
      </c>
      <c r="C21">
        <v>19</v>
      </c>
      <c r="D21">
        <v>6</v>
      </c>
      <c r="E21">
        <v>14</v>
      </c>
      <c r="F21">
        <v>19</v>
      </c>
      <c r="G21">
        <v>5</v>
      </c>
      <c r="H21">
        <v>14</v>
      </c>
      <c r="I21">
        <v>0.1182</v>
      </c>
      <c r="J21">
        <v>4.8</v>
      </c>
      <c r="K21">
        <v>5.6740000000000002E-3</v>
      </c>
      <c r="L21" t="s">
        <v>17</v>
      </c>
      <c r="M21">
        <v>296</v>
      </c>
      <c r="N21" t="s">
        <v>201</v>
      </c>
      <c r="O21" t="s">
        <v>320</v>
      </c>
    </row>
    <row r="22" spans="1:15" x14ac:dyDescent="0.2">
      <c r="A22" t="s">
        <v>319</v>
      </c>
      <c r="B22" t="s">
        <v>319</v>
      </c>
      <c r="C22">
        <v>17</v>
      </c>
      <c r="D22">
        <v>6</v>
      </c>
      <c r="E22">
        <v>11</v>
      </c>
      <c r="F22">
        <v>17</v>
      </c>
      <c r="G22">
        <v>5</v>
      </c>
      <c r="H22">
        <v>13</v>
      </c>
      <c r="I22">
        <v>0.1132</v>
      </c>
      <c r="J22">
        <v>3.3</v>
      </c>
      <c r="K22">
        <v>3.7360000000000002E-3</v>
      </c>
      <c r="L22" t="s">
        <v>17</v>
      </c>
      <c r="M22">
        <v>296</v>
      </c>
      <c r="N22" t="s">
        <v>201</v>
      </c>
      <c r="O22" t="s">
        <v>320</v>
      </c>
    </row>
    <row r="23" spans="1:15" x14ac:dyDescent="0.2">
      <c r="A23" t="s">
        <v>319</v>
      </c>
      <c r="B23" t="s">
        <v>319</v>
      </c>
      <c r="C23">
        <v>17</v>
      </c>
      <c r="D23">
        <v>6</v>
      </c>
      <c r="E23">
        <v>12</v>
      </c>
      <c r="F23">
        <v>17</v>
      </c>
      <c r="G23">
        <v>5</v>
      </c>
      <c r="H23">
        <v>12</v>
      </c>
      <c r="I23">
        <v>0.1152</v>
      </c>
      <c r="J23">
        <v>2.8</v>
      </c>
      <c r="K23">
        <v>3.2260000000000001E-3</v>
      </c>
      <c r="L23" t="s">
        <v>17</v>
      </c>
      <c r="M23">
        <v>296</v>
      </c>
      <c r="N23" t="s">
        <v>201</v>
      </c>
      <c r="O23" t="s">
        <v>320</v>
      </c>
    </row>
    <row r="24" spans="1:15" x14ac:dyDescent="0.2">
      <c r="A24" t="s">
        <v>319</v>
      </c>
      <c r="B24" t="s">
        <v>319</v>
      </c>
      <c r="C24">
        <v>16</v>
      </c>
      <c r="D24">
        <v>6</v>
      </c>
      <c r="E24">
        <v>11</v>
      </c>
      <c r="F24">
        <v>16</v>
      </c>
      <c r="G24">
        <v>5</v>
      </c>
      <c r="H24">
        <v>11</v>
      </c>
      <c r="I24">
        <v>0.1163</v>
      </c>
      <c r="J24">
        <v>2.2999999999999998</v>
      </c>
      <c r="K24">
        <v>2.6749999999999999E-3</v>
      </c>
      <c r="L24" t="s">
        <v>17</v>
      </c>
      <c r="M24">
        <v>296</v>
      </c>
      <c r="N24" t="s">
        <v>201</v>
      </c>
      <c r="O24" t="s">
        <v>320</v>
      </c>
    </row>
    <row r="25" spans="1:15" x14ac:dyDescent="0.2">
      <c r="A25" t="s">
        <v>319</v>
      </c>
      <c r="B25" t="s">
        <v>319</v>
      </c>
      <c r="C25">
        <v>15</v>
      </c>
      <c r="D25">
        <v>6</v>
      </c>
      <c r="E25">
        <v>10</v>
      </c>
      <c r="F25">
        <v>15</v>
      </c>
      <c r="G25">
        <v>5</v>
      </c>
      <c r="H25">
        <v>10</v>
      </c>
      <c r="I25">
        <v>0.1216</v>
      </c>
      <c r="J25">
        <v>2.1</v>
      </c>
      <c r="K25">
        <v>2.5539999999999998E-3</v>
      </c>
      <c r="L25" t="s">
        <v>17</v>
      </c>
      <c r="M25">
        <v>296</v>
      </c>
      <c r="N25" t="s">
        <v>201</v>
      </c>
      <c r="O25" t="s">
        <v>320</v>
      </c>
    </row>
    <row r="26" spans="1:15" x14ac:dyDescent="0.2">
      <c r="A26" t="s">
        <v>319</v>
      </c>
      <c r="B26" t="s">
        <v>319</v>
      </c>
      <c r="C26">
        <v>14</v>
      </c>
      <c r="D26">
        <v>6</v>
      </c>
      <c r="E26">
        <v>9</v>
      </c>
      <c r="F26">
        <v>14</v>
      </c>
      <c r="G26">
        <v>5</v>
      </c>
      <c r="H26">
        <v>9</v>
      </c>
      <c r="I26">
        <v>0.11509999999999999</v>
      </c>
      <c r="J26">
        <v>2.1</v>
      </c>
      <c r="K26">
        <v>2.4169999999999999E-3</v>
      </c>
      <c r="L26" t="s">
        <v>17</v>
      </c>
      <c r="M26">
        <v>296</v>
      </c>
      <c r="N26" t="s">
        <v>201</v>
      </c>
      <c r="O26" t="s">
        <v>320</v>
      </c>
    </row>
    <row r="27" spans="1:15" x14ac:dyDescent="0.2">
      <c r="A27" t="s">
        <v>319</v>
      </c>
      <c r="B27" t="s">
        <v>319</v>
      </c>
      <c r="C27">
        <v>14</v>
      </c>
      <c r="D27">
        <v>6</v>
      </c>
      <c r="E27">
        <v>8</v>
      </c>
      <c r="F27">
        <v>14</v>
      </c>
      <c r="G27">
        <v>5</v>
      </c>
      <c r="H27">
        <v>10</v>
      </c>
      <c r="I27">
        <v>0.1153</v>
      </c>
      <c r="J27">
        <v>2.1</v>
      </c>
      <c r="K27">
        <v>2.421E-3</v>
      </c>
      <c r="L27" t="s">
        <v>17</v>
      </c>
      <c r="M27">
        <v>296</v>
      </c>
      <c r="N27" t="s">
        <v>201</v>
      </c>
      <c r="O27" t="s">
        <v>320</v>
      </c>
    </row>
    <row r="28" spans="1:15" x14ac:dyDescent="0.2">
      <c r="A28" t="s">
        <v>319</v>
      </c>
      <c r="B28" t="s">
        <v>319</v>
      </c>
      <c r="C28">
        <v>13</v>
      </c>
      <c r="D28">
        <v>6</v>
      </c>
      <c r="E28">
        <v>8</v>
      </c>
      <c r="F28">
        <v>13</v>
      </c>
      <c r="G28">
        <v>5</v>
      </c>
      <c r="H28">
        <v>8</v>
      </c>
      <c r="I28">
        <v>0.1245</v>
      </c>
      <c r="J28">
        <v>1.6</v>
      </c>
      <c r="K28">
        <v>1.9919999999999998E-3</v>
      </c>
      <c r="L28" t="s">
        <v>17</v>
      </c>
      <c r="M28">
        <v>296</v>
      </c>
      <c r="N28" t="s">
        <v>201</v>
      </c>
      <c r="O28" t="s">
        <v>320</v>
      </c>
    </row>
    <row r="29" spans="1:15" x14ac:dyDescent="0.2">
      <c r="A29" t="s">
        <v>319</v>
      </c>
      <c r="B29" t="s">
        <v>319</v>
      </c>
      <c r="C29">
        <v>13</v>
      </c>
      <c r="D29">
        <v>6</v>
      </c>
      <c r="E29">
        <v>7</v>
      </c>
      <c r="F29">
        <v>13</v>
      </c>
      <c r="G29">
        <v>5</v>
      </c>
      <c r="H29">
        <v>9</v>
      </c>
      <c r="I29">
        <v>0.1245</v>
      </c>
      <c r="J29">
        <v>1.6</v>
      </c>
      <c r="K29">
        <v>1.9919999999999998E-3</v>
      </c>
      <c r="L29" t="s">
        <v>17</v>
      </c>
      <c r="M29">
        <v>296</v>
      </c>
      <c r="N29" t="s">
        <v>201</v>
      </c>
      <c r="O29" t="s">
        <v>320</v>
      </c>
    </row>
    <row r="30" spans="1:15" x14ac:dyDescent="0.2">
      <c r="A30" t="s">
        <v>319</v>
      </c>
      <c r="B30" t="s">
        <v>319</v>
      </c>
      <c r="C30">
        <v>26</v>
      </c>
      <c r="D30">
        <v>6</v>
      </c>
      <c r="E30">
        <v>21</v>
      </c>
      <c r="F30">
        <v>26</v>
      </c>
      <c r="G30">
        <v>5</v>
      </c>
      <c r="H30">
        <v>21</v>
      </c>
      <c r="I30">
        <v>9.8599999999999993E-2</v>
      </c>
      <c r="J30">
        <v>11.4</v>
      </c>
      <c r="K30">
        <v>1.124E-2</v>
      </c>
      <c r="L30" t="s">
        <v>17</v>
      </c>
      <c r="M30">
        <v>296</v>
      </c>
      <c r="N30" t="s">
        <v>201</v>
      </c>
      <c r="O30" t="s">
        <v>320</v>
      </c>
    </row>
    <row r="31" spans="1:15" x14ac:dyDescent="0.2">
      <c r="A31" t="s">
        <v>319</v>
      </c>
      <c r="B31" t="s">
        <v>319</v>
      </c>
      <c r="C31">
        <v>10</v>
      </c>
      <c r="D31">
        <v>2</v>
      </c>
      <c r="E31">
        <v>8</v>
      </c>
      <c r="F31">
        <v>9</v>
      </c>
      <c r="G31">
        <v>1</v>
      </c>
      <c r="H31">
        <v>8</v>
      </c>
      <c r="I31">
        <v>0.1227</v>
      </c>
      <c r="J31">
        <v>1.06</v>
      </c>
      <c r="K31">
        <v>1.2999999999999999E-3</v>
      </c>
      <c r="L31" t="s">
        <v>17</v>
      </c>
      <c r="M31">
        <v>296</v>
      </c>
      <c r="N31" t="s">
        <v>201</v>
      </c>
      <c r="O31" t="s">
        <v>321</v>
      </c>
    </row>
    <row r="32" spans="1:15" x14ac:dyDescent="0.2">
      <c r="A32" t="s">
        <v>319</v>
      </c>
      <c r="B32" t="s">
        <v>319</v>
      </c>
      <c r="C32">
        <v>15</v>
      </c>
      <c r="D32">
        <v>4</v>
      </c>
      <c r="E32">
        <v>12</v>
      </c>
      <c r="F32">
        <v>15</v>
      </c>
      <c r="G32">
        <v>3</v>
      </c>
      <c r="H32">
        <v>12</v>
      </c>
      <c r="I32">
        <v>0.1245</v>
      </c>
      <c r="J32">
        <v>1.53</v>
      </c>
      <c r="K32">
        <v>1.9E-3</v>
      </c>
      <c r="L32" t="s">
        <v>17</v>
      </c>
      <c r="M32">
        <v>296</v>
      </c>
      <c r="N32" t="s">
        <v>201</v>
      </c>
      <c r="O32" t="s">
        <v>321</v>
      </c>
    </row>
    <row r="33" spans="1:15" x14ac:dyDescent="0.2">
      <c r="A33" t="s">
        <v>319</v>
      </c>
      <c r="B33" t="s">
        <v>319</v>
      </c>
      <c r="C33">
        <v>8</v>
      </c>
      <c r="D33">
        <v>2</v>
      </c>
      <c r="E33">
        <v>6</v>
      </c>
      <c r="F33">
        <v>7</v>
      </c>
      <c r="G33">
        <v>1</v>
      </c>
      <c r="H33">
        <v>6</v>
      </c>
      <c r="I33">
        <v>0.12740000000000001</v>
      </c>
      <c r="J33">
        <v>0.86</v>
      </c>
      <c r="K33">
        <v>1.1000000000000001E-3</v>
      </c>
      <c r="L33" t="s">
        <v>17</v>
      </c>
      <c r="M33">
        <v>296</v>
      </c>
      <c r="N33" t="s">
        <v>201</v>
      </c>
      <c r="O33" t="s">
        <v>321</v>
      </c>
    </row>
    <row r="34" spans="1:15" x14ac:dyDescent="0.2">
      <c r="A34" t="s">
        <v>319</v>
      </c>
      <c r="B34" t="s">
        <v>319</v>
      </c>
      <c r="C34">
        <v>8</v>
      </c>
      <c r="D34">
        <v>1</v>
      </c>
      <c r="E34">
        <v>7</v>
      </c>
      <c r="F34">
        <v>7</v>
      </c>
      <c r="G34">
        <v>0</v>
      </c>
      <c r="H34">
        <v>0</v>
      </c>
      <c r="I34">
        <v>0.1293</v>
      </c>
      <c r="J34">
        <v>1.39</v>
      </c>
      <c r="K34">
        <v>1.8E-3</v>
      </c>
      <c r="L34" t="s">
        <v>17</v>
      </c>
      <c r="M34">
        <v>296</v>
      </c>
      <c r="N34" t="s">
        <v>201</v>
      </c>
      <c r="O34" t="s">
        <v>321</v>
      </c>
    </row>
    <row r="35" spans="1:15" x14ac:dyDescent="0.2">
      <c r="A35" t="s">
        <v>319</v>
      </c>
      <c r="B35" t="s">
        <v>319</v>
      </c>
      <c r="C35">
        <v>5</v>
      </c>
      <c r="D35">
        <v>2</v>
      </c>
      <c r="E35">
        <v>4</v>
      </c>
      <c r="F35">
        <v>4</v>
      </c>
      <c r="G35">
        <v>1</v>
      </c>
      <c r="H35">
        <v>4</v>
      </c>
      <c r="I35">
        <v>0.13239999999999999</v>
      </c>
      <c r="J35">
        <v>0.98</v>
      </c>
      <c r="K35">
        <v>1.2999999999999999E-3</v>
      </c>
      <c r="L35" t="s">
        <v>17</v>
      </c>
      <c r="M35">
        <v>296</v>
      </c>
      <c r="N35" t="s">
        <v>201</v>
      </c>
      <c r="O35" t="s">
        <v>321</v>
      </c>
    </row>
    <row r="36" spans="1:15" x14ac:dyDescent="0.2">
      <c r="A36" t="s">
        <v>319</v>
      </c>
      <c r="B36" t="s">
        <v>319</v>
      </c>
      <c r="C36">
        <v>5</v>
      </c>
      <c r="D36">
        <v>0</v>
      </c>
      <c r="E36">
        <v>5</v>
      </c>
      <c r="F36">
        <v>5</v>
      </c>
      <c r="G36">
        <v>1</v>
      </c>
      <c r="H36">
        <v>5</v>
      </c>
      <c r="I36">
        <v>0.13159999999999999</v>
      </c>
      <c r="J36">
        <v>0.61</v>
      </c>
      <c r="K36">
        <v>8.0000000000000004E-4</v>
      </c>
      <c r="L36" t="s">
        <v>17</v>
      </c>
      <c r="M36">
        <v>296</v>
      </c>
      <c r="N36" t="s">
        <v>201</v>
      </c>
      <c r="O36" t="s">
        <v>321</v>
      </c>
    </row>
    <row r="37" spans="1:15" x14ac:dyDescent="0.2">
      <c r="A37" t="s">
        <v>1783</v>
      </c>
      <c r="B37" t="s">
        <v>1783</v>
      </c>
      <c r="C37">
        <v>10</v>
      </c>
      <c r="D37">
        <v>2</v>
      </c>
      <c r="E37">
        <v>8</v>
      </c>
      <c r="F37">
        <v>9</v>
      </c>
      <c r="G37">
        <v>1</v>
      </c>
      <c r="H37">
        <v>8</v>
      </c>
      <c r="I37">
        <v>0.12089999999999999</v>
      </c>
      <c r="J37">
        <v>0.33</v>
      </c>
      <c r="K37">
        <v>4.0000000000000002E-4</v>
      </c>
      <c r="L37" t="s">
        <v>17</v>
      </c>
      <c r="M37">
        <v>296</v>
      </c>
      <c r="N37" t="s">
        <v>201</v>
      </c>
      <c r="O37" t="s">
        <v>322</v>
      </c>
    </row>
    <row r="38" spans="1:15" x14ac:dyDescent="0.2">
      <c r="A38" t="s">
        <v>1783</v>
      </c>
      <c r="B38" t="s">
        <v>1783</v>
      </c>
      <c r="C38">
        <v>15</v>
      </c>
      <c r="D38">
        <v>4</v>
      </c>
      <c r="E38">
        <v>12</v>
      </c>
      <c r="F38">
        <v>15</v>
      </c>
      <c r="G38">
        <v>3</v>
      </c>
      <c r="H38">
        <v>12</v>
      </c>
      <c r="I38">
        <v>0.1178</v>
      </c>
      <c r="J38">
        <v>0.25</v>
      </c>
      <c r="K38">
        <v>2.9999999999999997E-4</v>
      </c>
      <c r="L38" t="s">
        <v>17</v>
      </c>
      <c r="M38">
        <v>296</v>
      </c>
      <c r="N38" t="s">
        <v>201</v>
      </c>
      <c r="O38" t="s">
        <v>322</v>
      </c>
    </row>
    <row r="39" spans="1:15" x14ac:dyDescent="0.2">
      <c r="A39" t="s">
        <v>1783</v>
      </c>
      <c r="B39" t="s">
        <v>1783</v>
      </c>
      <c r="C39">
        <v>8</v>
      </c>
      <c r="D39">
        <v>2</v>
      </c>
      <c r="E39">
        <v>6</v>
      </c>
      <c r="F39">
        <v>7</v>
      </c>
      <c r="G39">
        <v>1</v>
      </c>
      <c r="H39">
        <v>6</v>
      </c>
      <c r="I39">
        <v>0.1246</v>
      </c>
      <c r="J39">
        <v>0.32</v>
      </c>
      <c r="K39">
        <v>4.0000000000000002E-4</v>
      </c>
      <c r="L39" t="s">
        <v>17</v>
      </c>
      <c r="M39">
        <v>296</v>
      </c>
      <c r="N39" t="s">
        <v>201</v>
      </c>
      <c r="O39" t="s">
        <v>322</v>
      </c>
    </row>
    <row r="40" spans="1:15" x14ac:dyDescent="0.2">
      <c r="A40" t="s">
        <v>1783</v>
      </c>
      <c r="B40" t="s">
        <v>1783</v>
      </c>
      <c r="C40">
        <v>8</v>
      </c>
      <c r="D40">
        <v>1</v>
      </c>
      <c r="E40">
        <v>7</v>
      </c>
      <c r="F40">
        <v>7</v>
      </c>
      <c r="G40">
        <v>0</v>
      </c>
      <c r="H40">
        <v>0</v>
      </c>
      <c r="I40">
        <v>0.1222</v>
      </c>
      <c r="J40">
        <v>0.25</v>
      </c>
      <c r="K40">
        <v>2.9999999999999997E-4</v>
      </c>
      <c r="L40" t="s">
        <v>17</v>
      </c>
      <c r="M40">
        <v>296</v>
      </c>
      <c r="N40" t="s">
        <v>201</v>
      </c>
      <c r="O40" t="s">
        <v>322</v>
      </c>
    </row>
    <row r="41" spans="1:15" x14ac:dyDescent="0.2">
      <c r="A41" t="s">
        <v>1783</v>
      </c>
      <c r="B41" t="s">
        <v>1783</v>
      </c>
      <c r="C41">
        <v>5</v>
      </c>
      <c r="D41">
        <v>2</v>
      </c>
      <c r="E41">
        <v>4</v>
      </c>
      <c r="F41">
        <v>4</v>
      </c>
      <c r="G41">
        <v>1</v>
      </c>
      <c r="H41">
        <v>4</v>
      </c>
      <c r="I41">
        <v>0.11799999999999999</v>
      </c>
      <c r="J41">
        <v>0.34</v>
      </c>
      <c r="K41">
        <v>4.0000000000000002E-4</v>
      </c>
      <c r="L41" t="s">
        <v>17</v>
      </c>
      <c r="M41">
        <v>296</v>
      </c>
      <c r="N41" t="s">
        <v>201</v>
      </c>
      <c r="O41" t="s">
        <v>322</v>
      </c>
    </row>
    <row r="42" spans="1:15" x14ac:dyDescent="0.2">
      <c r="A42" t="s">
        <v>1783</v>
      </c>
      <c r="B42" t="s">
        <v>1783</v>
      </c>
      <c r="C42">
        <v>5</v>
      </c>
      <c r="D42">
        <v>0</v>
      </c>
      <c r="E42">
        <v>5</v>
      </c>
      <c r="F42">
        <v>5</v>
      </c>
      <c r="G42">
        <v>1</v>
      </c>
      <c r="H42">
        <v>5</v>
      </c>
      <c r="I42">
        <v>0.1186</v>
      </c>
      <c r="J42">
        <v>0.34</v>
      </c>
      <c r="K42">
        <v>4.0000000000000002E-4</v>
      </c>
      <c r="L42" t="s">
        <v>17</v>
      </c>
      <c r="M42">
        <v>296</v>
      </c>
      <c r="N42" t="s">
        <v>201</v>
      </c>
      <c r="O42" t="s">
        <v>322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8778-FD83-E644-B83C-0F55268D15B3}">
  <dimension ref="A1:P19"/>
  <sheetViews>
    <sheetView workbookViewId="0">
      <selection activeCell="J18" sqref="J18"/>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row>
    <row r="2" spans="1:16" x14ac:dyDescent="0.2">
      <c r="A2" t="s">
        <v>1784</v>
      </c>
      <c r="B2" t="s">
        <v>209</v>
      </c>
      <c r="C2">
        <v>22</v>
      </c>
      <c r="D2" t="s">
        <v>17</v>
      </c>
      <c r="E2" t="s">
        <v>17</v>
      </c>
      <c r="F2">
        <v>23</v>
      </c>
      <c r="G2" t="s">
        <v>17</v>
      </c>
      <c r="H2" t="s">
        <v>17</v>
      </c>
      <c r="I2">
        <v>4.725E-2</v>
      </c>
      <c r="J2">
        <v>0.7</v>
      </c>
      <c r="K2">
        <f>I2*J2/100</f>
        <v>3.3074999999999999E-4</v>
      </c>
      <c r="L2">
        <v>0.71740000000000004</v>
      </c>
      <c r="M2">
        <v>296</v>
      </c>
      <c r="N2" t="s">
        <v>323</v>
      </c>
      <c r="O2" t="s">
        <v>324</v>
      </c>
    </row>
    <row r="3" spans="1:16" x14ac:dyDescent="0.2">
      <c r="A3" t="s">
        <v>1784</v>
      </c>
      <c r="B3" t="s">
        <v>209</v>
      </c>
      <c r="C3">
        <v>19</v>
      </c>
      <c r="D3" t="s">
        <v>17</v>
      </c>
      <c r="E3" t="s">
        <v>17</v>
      </c>
      <c r="F3">
        <v>20</v>
      </c>
      <c r="G3" t="s">
        <v>17</v>
      </c>
      <c r="H3" t="s">
        <v>17</v>
      </c>
      <c r="I3">
        <v>4.9700000000000001E-2</v>
      </c>
      <c r="J3">
        <v>0.24</v>
      </c>
      <c r="K3">
        <f t="shared" ref="K3:K19" si="0">I3*J3/100</f>
        <v>1.1928E-4</v>
      </c>
      <c r="L3">
        <v>0.70630000000000004</v>
      </c>
      <c r="M3">
        <v>296</v>
      </c>
      <c r="N3" t="s">
        <v>323</v>
      </c>
      <c r="O3" t="s">
        <v>325</v>
      </c>
    </row>
    <row r="4" spans="1:16" x14ac:dyDescent="0.2">
      <c r="A4" t="s">
        <v>1784</v>
      </c>
      <c r="B4" t="s">
        <v>209</v>
      </c>
      <c r="C4">
        <v>16</v>
      </c>
      <c r="D4" t="s">
        <v>17</v>
      </c>
      <c r="E4" t="s">
        <v>17</v>
      </c>
      <c r="F4">
        <v>17</v>
      </c>
      <c r="G4" t="s">
        <v>17</v>
      </c>
      <c r="H4" t="s">
        <v>17</v>
      </c>
      <c r="I4">
        <v>5.2240000000000002E-2</v>
      </c>
      <c r="J4">
        <v>0.1</v>
      </c>
      <c r="K4">
        <f t="shared" si="0"/>
        <v>5.2240000000000001E-5</v>
      </c>
      <c r="L4">
        <v>0.71660000000000001</v>
      </c>
      <c r="M4">
        <v>296</v>
      </c>
      <c r="N4" t="s">
        <v>323</v>
      </c>
      <c r="O4" t="s">
        <v>326</v>
      </c>
    </row>
    <row r="5" spans="1:16" x14ac:dyDescent="0.2">
      <c r="A5" t="s">
        <v>1784</v>
      </c>
      <c r="B5" t="s">
        <v>209</v>
      </c>
      <c r="C5">
        <v>13</v>
      </c>
      <c r="D5" t="s">
        <v>17</v>
      </c>
      <c r="E5" t="s">
        <v>17</v>
      </c>
      <c r="F5">
        <v>14</v>
      </c>
      <c r="G5" t="s">
        <v>17</v>
      </c>
      <c r="H5" t="s">
        <v>17</v>
      </c>
      <c r="I5">
        <v>5.4449999999999998E-2</v>
      </c>
      <c r="J5">
        <v>0.06</v>
      </c>
      <c r="K5">
        <f t="shared" si="0"/>
        <v>3.2669999999999997E-5</v>
      </c>
      <c r="L5">
        <v>0.74909999999999999</v>
      </c>
      <c r="M5">
        <v>296</v>
      </c>
      <c r="N5" t="s">
        <v>323</v>
      </c>
      <c r="O5" t="s">
        <v>327</v>
      </c>
    </row>
    <row r="6" spans="1:16" x14ac:dyDescent="0.2">
      <c r="A6" t="s">
        <v>1784</v>
      </c>
      <c r="B6" t="s">
        <v>209</v>
      </c>
      <c r="C6">
        <v>10</v>
      </c>
      <c r="D6" t="s">
        <v>17</v>
      </c>
      <c r="E6" t="s">
        <v>17</v>
      </c>
      <c r="F6">
        <v>11</v>
      </c>
      <c r="G6" t="s">
        <v>17</v>
      </c>
      <c r="H6" t="s">
        <v>17</v>
      </c>
      <c r="I6">
        <v>5.6430000000000001E-2</v>
      </c>
      <c r="J6">
        <v>0.04</v>
      </c>
      <c r="K6">
        <f t="shared" si="0"/>
        <v>2.2572E-5</v>
      </c>
      <c r="L6">
        <v>0.77959999999999996</v>
      </c>
      <c r="M6">
        <v>296</v>
      </c>
      <c r="N6" t="s">
        <v>323</v>
      </c>
      <c r="O6" t="s">
        <v>328</v>
      </c>
    </row>
    <row r="7" spans="1:16" x14ac:dyDescent="0.2">
      <c r="A7" t="s">
        <v>1784</v>
      </c>
      <c r="B7" t="s">
        <v>209</v>
      </c>
      <c r="C7">
        <v>7</v>
      </c>
      <c r="D7" t="s">
        <v>17</v>
      </c>
      <c r="E7" t="s">
        <v>17</v>
      </c>
      <c r="F7">
        <v>8</v>
      </c>
      <c r="G7" t="s">
        <v>17</v>
      </c>
      <c r="H7" t="s">
        <v>17</v>
      </c>
      <c r="I7">
        <v>5.8650000000000001E-2</v>
      </c>
      <c r="J7">
        <v>0.03</v>
      </c>
      <c r="K7">
        <f t="shared" si="0"/>
        <v>1.7595E-5</v>
      </c>
      <c r="L7">
        <v>0.78469999999999995</v>
      </c>
      <c r="M7">
        <v>296</v>
      </c>
      <c r="N7" t="s">
        <v>323</v>
      </c>
      <c r="O7" t="s">
        <v>329</v>
      </c>
    </row>
    <row r="8" spans="1:16" x14ac:dyDescent="0.2">
      <c r="A8" t="s">
        <v>1784</v>
      </c>
      <c r="B8" t="s">
        <v>209</v>
      </c>
      <c r="C8">
        <v>4</v>
      </c>
      <c r="D8" t="s">
        <v>17</v>
      </c>
      <c r="E8" t="s">
        <v>17</v>
      </c>
      <c r="F8">
        <v>5</v>
      </c>
      <c r="G8" t="s">
        <v>17</v>
      </c>
      <c r="H8" t="s">
        <v>17</v>
      </c>
      <c r="I8">
        <v>6.3659999999999994E-2</v>
      </c>
      <c r="J8">
        <v>0.03</v>
      </c>
      <c r="K8">
        <f t="shared" si="0"/>
        <v>1.9097999999999996E-5</v>
      </c>
      <c r="L8">
        <v>0.76180000000000003</v>
      </c>
      <c r="M8">
        <v>296</v>
      </c>
      <c r="N8" t="s">
        <v>323</v>
      </c>
      <c r="O8" t="s">
        <v>330</v>
      </c>
    </row>
    <row r="9" spans="1:16" x14ac:dyDescent="0.2">
      <c r="A9" t="s">
        <v>1784</v>
      </c>
      <c r="B9" t="s">
        <v>209</v>
      </c>
      <c r="C9">
        <v>2</v>
      </c>
      <c r="D9" t="s">
        <v>17</v>
      </c>
      <c r="E9" t="s">
        <v>17</v>
      </c>
      <c r="F9">
        <v>3</v>
      </c>
      <c r="G9" t="s">
        <v>17</v>
      </c>
      <c r="H9" t="s">
        <v>17</v>
      </c>
      <c r="I9">
        <v>6.9809999999999997E-2</v>
      </c>
      <c r="J9">
        <v>0.03</v>
      </c>
      <c r="K9">
        <f t="shared" si="0"/>
        <v>2.0942999999999999E-5</v>
      </c>
      <c r="L9">
        <v>0.76890000000000003</v>
      </c>
      <c r="M9">
        <v>296</v>
      </c>
      <c r="N9" t="s">
        <v>323</v>
      </c>
      <c r="O9" t="s">
        <v>331</v>
      </c>
    </row>
    <row r="10" spans="1:16" x14ac:dyDescent="0.2">
      <c r="A10" t="s">
        <v>1785</v>
      </c>
      <c r="B10" t="s">
        <v>209</v>
      </c>
      <c r="C10">
        <v>24</v>
      </c>
      <c r="D10" t="s">
        <v>17</v>
      </c>
      <c r="E10" t="s">
        <v>17</v>
      </c>
      <c r="F10">
        <v>25</v>
      </c>
      <c r="G10" t="s">
        <v>17</v>
      </c>
      <c r="H10" t="s">
        <v>17</v>
      </c>
      <c r="I10">
        <v>4.8030000000000003E-2</v>
      </c>
      <c r="J10">
        <v>0.9</v>
      </c>
      <c r="K10">
        <f t="shared" si="0"/>
        <v>4.3227000000000001E-4</v>
      </c>
      <c r="L10" t="s">
        <v>17</v>
      </c>
      <c r="M10">
        <v>296</v>
      </c>
      <c r="N10" t="s">
        <v>323</v>
      </c>
      <c r="O10" t="s">
        <v>332</v>
      </c>
    </row>
    <row r="11" spans="1:16" x14ac:dyDescent="0.2">
      <c r="A11" t="s">
        <v>1785</v>
      </c>
      <c r="B11" t="s">
        <v>209</v>
      </c>
      <c r="C11">
        <v>20</v>
      </c>
      <c r="D11" t="s">
        <v>17</v>
      </c>
      <c r="E11" t="s">
        <v>17</v>
      </c>
      <c r="F11">
        <v>21</v>
      </c>
      <c r="G11" t="s">
        <v>17</v>
      </c>
      <c r="H11" t="s">
        <v>17</v>
      </c>
      <c r="I11">
        <v>5.1130000000000002E-2</v>
      </c>
      <c r="J11">
        <v>0.35</v>
      </c>
      <c r="K11">
        <f t="shared" si="0"/>
        <v>1.7895499999999998E-4</v>
      </c>
      <c r="L11" t="s">
        <v>17</v>
      </c>
      <c r="M11">
        <v>296</v>
      </c>
      <c r="N11" t="s">
        <v>323</v>
      </c>
      <c r="O11" t="s">
        <v>333</v>
      </c>
    </row>
    <row r="12" spans="1:16" x14ac:dyDescent="0.2">
      <c r="A12" t="s">
        <v>1785</v>
      </c>
      <c r="B12" t="s">
        <v>209</v>
      </c>
      <c r="C12">
        <v>19</v>
      </c>
      <c r="D12" t="s">
        <v>17</v>
      </c>
      <c r="E12" t="s">
        <v>17</v>
      </c>
      <c r="F12">
        <v>20</v>
      </c>
      <c r="G12" t="s">
        <v>17</v>
      </c>
      <c r="H12" t="s">
        <v>17</v>
      </c>
      <c r="I12">
        <v>5.1650000000000001E-2</v>
      </c>
      <c r="J12">
        <v>0.27</v>
      </c>
      <c r="K12">
        <f t="shared" si="0"/>
        <v>1.3945500000000003E-4</v>
      </c>
      <c r="L12">
        <v>0.70979999999999999</v>
      </c>
      <c r="M12">
        <v>296</v>
      </c>
      <c r="N12" t="s">
        <v>323</v>
      </c>
      <c r="O12" t="s">
        <v>334</v>
      </c>
    </row>
    <row r="13" spans="1:16" x14ac:dyDescent="0.2">
      <c r="A13" t="s">
        <v>1785</v>
      </c>
      <c r="B13" t="s">
        <v>209</v>
      </c>
      <c r="C13">
        <v>18</v>
      </c>
      <c r="D13" t="s">
        <v>17</v>
      </c>
      <c r="E13" t="s">
        <v>17</v>
      </c>
      <c r="F13">
        <v>19</v>
      </c>
      <c r="G13" t="s">
        <v>17</v>
      </c>
      <c r="H13" t="s">
        <v>17</v>
      </c>
      <c r="I13">
        <v>5.2679999999999998E-2</v>
      </c>
      <c r="J13">
        <v>0.19</v>
      </c>
      <c r="K13">
        <f t="shared" si="0"/>
        <v>1.0009199999999999E-4</v>
      </c>
      <c r="L13">
        <v>0.69740000000000002</v>
      </c>
      <c r="M13">
        <v>296</v>
      </c>
      <c r="N13" t="s">
        <v>323</v>
      </c>
      <c r="O13" t="s">
        <v>335</v>
      </c>
    </row>
    <row r="14" spans="1:16" x14ac:dyDescent="0.2">
      <c r="A14" t="s">
        <v>1785</v>
      </c>
      <c r="B14" t="s">
        <v>209</v>
      </c>
      <c r="C14">
        <v>17</v>
      </c>
      <c r="D14" t="s">
        <v>17</v>
      </c>
      <c r="E14" t="s">
        <v>17</v>
      </c>
      <c r="F14">
        <v>18</v>
      </c>
      <c r="G14" t="s">
        <v>17</v>
      </c>
      <c r="H14" t="s">
        <v>17</v>
      </c>
      <c r="I14">
        <v>5.3120000000000001E-2</v>
      </c>
      <c r="J14">
        <v>0.15</v>
      </c>
      <c r="K14">
        <f t="shared" si="0"/>
        <v>7.9679999999999996E-5</v>
      </c>
      <c r="L14">
        <v>0.73040000000000005</v>
      </c>
      <c r="M14">
        <v>296</v>
      </c>
      <c r="N14" t="s">
        <v>323</v>
      </c>
      <c r="O14" t="s">
        <v>336</v>
      </c>
    </row>
    <row r="15" spans="1:16" x14ac:dyDescent="0.2">
      <c r="A15" t="s">
        <v>1785</v>
      </c>
      <c r="B15" t="s">
        <v>209</v>
      </c>
      <c r="C15">
        <v>16</v>
      </c>
      <c r="D15" t="s">
        <v>17</v>
      </c>
      <c r="E15" t="s">
        <v>17</v>
      </c>
      <c r="F15">
        <v>17</v>
      </c>
      <c r="G15" t="s">
        <v>17</v>
      </c>
      <c r="H15" t="s">
        <v>17</v>
      </c>
      <c r="I15">
        <v>5.3900000000000003E-2</v>
      </c>
      <c r="J15">
        <v>0.11</v>
      </c>
      <c r="K15">
        <f t="shared" si="0"/>
        <v>5.9290000000000003E-5</v>
      </c>
      <c r="L15">
        <v>0.73050000000000004</v>
      </c>
      <c r="M15">
        <v>296</v>
      </c>
      <c r="N15" t="s">
        <v>323</v>
      </c>
      <c r="O15" t="s">
        <v>337</v>
      </c>
      <c r="P15" t="s">
        <v>338</v>
      </c>
    </row>
    <row r="16" spans="1:16" x14ac:dyDescent="0.2">
      <c r="A16" t="s">
        <v>1785</v>
      </c>
      <c r="B16" t="s">
        <v>209</v>
      </c>
      <c r="C16">
        <v>15</v>
      </c>
      <c r="D16" t="s">
        <v>17</v>
      </c>
      <c r="E16" t="s">
        <v>17</v>
      </c>
      <c r="F16">
        <v>16</v>
      </c>
      <c r="G16" t="s">
        <v>17</v>
      </c>
      <c r="H16" t="s">
        <v>17</v>
      </c>
      <c r="I16">
        <v>5.4510000000000003E-2</v>
      </c>
      <c r="J16">
        <v>0.09</v>
      </c>
      <c r="K16">
        <f t="shared" si="0"/>
        <v>4.9059000000000006E-5</v>
      </c>
      <c r="L16">
        <v>0.74509999999999998</v>
      </c>
      <c r="M16">
        <v>296</v>
      </c>
      <c r="N16" t="s">
        <v>323</v>
      </c>
      <c r="O16" t="s">
        <v>339</v>
      </c>
    </row>
    <row r="17" spans="1:16" x14ac:dyDescent="0.2">
      <c r="A17" t="s">
        <v>1785</v>
      </c>
      <c r="B17" t="s">
        <v>209</v>
      </c>
      <c r="C17">
        <v>14</v>
      </c>
      <c r="D17" t="s">
        <v>17</v>
      </c>
      <c r="E17" t="s">
        <v>17</v>
      </c>
      <c r="F17">
        <v>15</v>
      </c>
      <c r="G17" t="s">
        <v>17</v>
      </c>
      <c r="H17" t="s">
        <v>17</v>
      </c>
      <c r="I17">
        <v>5.525E-2</v>
      </c>
      <c r="J17">
        <v>7.0000000000000007E-2</v>
      </c>
      <c r="K17">
        <f t="shared" si="0"/>
        <v>3.8675000000000005E-5</v>
      </c>
      <c r="L17">
        <v>0.74639999999999995</v>
      </c>
      <c r="M17">
        <v>296</v>
      </c>
      <c r="N17" t="s">
        <v>323</v>
      </c>
      <c r="O17" t="s">
        <v>340</v>
      </c>
    </row>
    <row r="18" spans="1:16" x14ac:dyDescent="0.2">
      <c r="A18" t="s">
        <v>1785</v>
      </c>
      <c r="B18" t="s">
        <v>209</v>
      </c>
      <c r="C18">
        <v>13</v>
      </c>
      <c r="D18" t="s">
        <v>17</v>
      </c>
      <c r="E18" t="s">
        <v>17</v>
      </c>
      <c r="F18">
        <v>14</v>
      </c>
      <c r="G18" t="s">
        <v>17</v>
      </c>
      <c r="H18" t="s">
        <v>17</v>
      </c>
      <c r="I18">
        <v>5.5739999999999998E-2</v>
      </c>
      <c r="J18" s="11">
        <v>0.05</v>
      </c>
      <c r="K18">
        <f t="shared" si="0"/>
        <v>2.7869999999999999E-5</v>
      </c>
      <c r="L18">
        <v>0.7591</v>
      </c>
      <c r="M18">
        <v>296</v>
      </c>
      <c r="N18" t="s">
        <v>323</v>
      </c>
      <c r="O18" t="s">
        <v>337</v>
      </c>
      <c r="P18" t="s">
        <v>341</v>
      </c>
    </row>
    <row r="19" spans="1:16" x14ac:dyDescent="0.2">
      <c r="A19" t="s">
        <v>1785</v>
      </c>
      <c r="B19" t="s">
        <v>209</v>
      </c>
      <c r="C19">
        <v>12</v>
      </c>
      <c r="D19" t="s">
        <v>17</v>
      </c>
      <c r="E19" t="s">
        <v>17</v>
      </c>
      <c r="F19">
        <v>13</v>
      </c>
      <c r="G19" t="s">
        <v>17</v>
      </c>
      <c r="H19" t="s">
        <v>17</v>
      </c>
      <c r="I19">
        <v>5.6509999999999998E-2</v>
      </c>
      <c r="J19">
        <v>0.05</v>
      </c>
      <c r="K19">
        <f t="shared" si="0"/>
        <v>2.8255E-5</v>
      </c>
      <c r="L19">
        <v>0.76229999999999998</v>
      </c>
      <c r="M19">
        <v>296</v>
      </c>
      <c r="N19" t="s">
        <v>323</v>
      </c>
      <c r="O19" t="s">
        <v>342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978B0-0334-1847-8101-0FEC75EB4294}">
  <dimension ref="A1:O101"/>
  <sheetViews>
    <sheetView zoomScale="98" workbookViewId="0">
      <selection activeCell="L68" sqref="L68"/>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343</v>
      </c>
      <c r="B2" t="s">
        <v>343</v>
      </c>
      <c r="C2">
        <v>2</v>
      </c>
      <c r="D2" t="s">
        <v>17</v>
      </c>
      <c r="E2" t="s">
        <v>17</v>
      </c>
      <c r="F2">
        <v>0</v>
      </c>
      <c r="G2" t="s">
        <v>17</v>
      </c>
      <c r="H2" t="s">
        <v>17</v>
      </c>
      <c r="I2">
        <v>8.2073270000000004E-2</v>
      </c>
      <c r="J2">
        <v>6.1728399999999999</v>
      </c>
      <c r="K2">
        <v>5.0662499999999996E-3</v>
      </c>
      <c r="L2" t="s">
        <v>17</v>
      </c>
      <c r="M2">
        <v>298</v>
      </c>
      <c r="N2" t="s">
        <v>18</v>
      </c>
      <c r="O2" t="s">
        <v>344</v>
      </c>
    </row>
    <row r="3" spans="1:15" x14ac:dyDescent="0.2">
      <c r="A3" t="s">
        <v>343</v>
      </c>
      <c r="B3" t="s">
        <v>345</v>
      </c>
      <c r="C3">
        <v>2</v>
      </c>
      <c r="D3" t="s">
        <v>17</v>
      </c>
      <c r="E3" t="s">
        <v>17</v>
      </c>
      <c r="F3">
        <v>0</v>
      </c>
      <c r="G3" t="s">
        <v>17</v>
      </c>
      <c r="H3" t="s">
        <v>17</v>
      </c>
      <c r="I3">
        <v>0.11145753</v>
      </c>
      <c r="J3">
        <v>9.0909089999999999</v>
      </c>
      <c r="K3">
        <v>1.0132499999999999E-2</v>
      </c>
      <c r="L3" t="s">
        <v>17</v>
      </c>
      <c r="M3">
        <v>298</v>
      </c>
      <c r="N3" t="s">
        <v>18</v>
      </c>
      <c r="O3" t="s">
        <v>344</v>
      </c>
    </row>
    <row r="4" spans="1:15" x14ac:dyDescent="0.2">
      <c r="A4" t="s">
        <v>343</v>
      </c>
      <c r="B4" t="s">
        <v>346</v>
      </c>
      <c r="C4">
        <v>2</v>
      </c>
      <c r="D4" t="s">
        <v>17</v>
      </c>
      <c r="E4" t="s">
        <v>17</v>
      </c>
      <c r="F4">
        <v>0</v>
      </c>
      <c r="G4" t="s">
        <v>17</v>
      </c>
      <c r="H4" t="s">
        <v>17</v>
      </c>
      <c r="I4">
        <v>0.11551053</v>
      </c>
      <c r="J4">
        <v>8.7719299999999993</v>
      </c>
      <c r="K4">
        <v>1.0132499999999999E-2</v>
      </c>
      <c r="L4" t="s">
        <v>17</v>
      </c>
      <c r="M4">
        <v>298</v>
      </c>
      <c r="N4" t="s">
        <v>18</v>
      </c>
      <c r="O4" t="s">
        <v>344</v>
      </c>
    </row>
    <row r="5" spans="1:15" x14ac:dyDescent="0.2">
      <c r="A5" t="s">
        <v>343</v>
      </c>
      <c r="B5" t="s">
        <v>347</v>
      </c>
      <c r="C5">
        <v>2</v>
      </c>
      <c r="D5" t="s">
        <v>17</v>
      </c>
      <c r="E5" t="s">
        <v>17</v>
      </c>
      <c r="F5">
        <v>0</v>
      </c>
      <c r="G5" t="s">
        <v>17</v>
      </c>
      <c r="H5" t="s">
        <v>17</v>
      </c>
      <c r="I5">
        <v>0.12361653</v>
      </c>
      <c r="J5">
        <v>9.0163930000000008</v>
      </c>
      <c r="K5">
        <v>1.1145749999999999E-2</v>
      </c>
      <c r="L5" t="s">
        <v>17</v>
      </c>
      <c r="M5">
        <v>298</v>
      </c>
      <c r="N5" t="s">
        <v>18</v>
      </c>
      <c r="O5" t="s">
        <v>344</v>
      </c>
    </row>
    <row r="6" spans="1:15" x14ac:dyDescent="0.2">
      <c r="A6" t="s">
        <v>343</v>
      </c>
      <c r="B6" t="s">
        <v>343</v>
      </c>
      <c r="C6">
        <v>2</v>
      </c>
      <c r="D6" t="s">
        <v>17</v>
      </c>
      <c r="E6" t="s">
        <v>17</v>
      </c>
      <c r="F6">
        <v>1</v>
      </c>
      <c r="G6" t="s">
        <v>17</v>
      </c>
      <c r="H6" t="s">
        <v>17</v>
      </c>
      <c r="I6">
        <v>7.8020270000000003E-2</v>
      </c>
      <c r="J6">
        <v>3.8961039999999998</v>
      </c>
      <c r="K6">
        <v>3.0397499999999999E-3</v>
      </c>
      <c r="L6" t="s">
        <v>17</v>
      </c>
      <c r="M6">
        <v>298</v>
      </c>
      <c r="N6" t="s">
        <v>18</v>
      </c>
      <c r="O6" t="s">
        <v>348</v>
      </c>
    </row>
    <row r="7" spans="1:15" x14ac:dyDescent="0.2">
      <c r="A7" t="s">
        <v>343</v>
      </c>
      <c r="B7" t="s">
        <v>345</v>
      </c>
      <c r="C7">
        <v>2</v>
      </c>
      <c r="D7" t="s">
        <v>17</v>
      </c>
      <c r="E7" t="s">
        <v>17</v>
      </c>
      <c r="F7">
        <v>1</v>
      </c>
      <c r="G7" t="s">
        <v>17</v>
      </c>
      <c r="H7" t="s">
        <v>17</v>
      </c>
      <c r="I7">
        <v>0.10639128</v>
      </c>
      <c r="J7">
        <v>6.6666670000000003</v>
      </c>
      <c r="K7">
        <v>7.0927500000000001E-3</v>
      </c>
      <c r="L7" t="s">
        <v>17</v>
      </c>
      <c r="M7">
        <v>298</v>
      </c>
      <c r="N7" t="s">
        <v>18</v>
      </c>
      <c r="O7" t="s">
        <v>348</v>
      </c>
    </row>
    <row r="8" spans="1:15" x14ac:dyDescent="0.2">
      <c r="A8" t="s">
        <v>343</v>
      </c>
      <c r="B8" t="s">
        <v>346</v>
      </c>
      <c r="C8">
        <v>2</v>
      </c>
      <c r="D8" t="s">
        <v>17</v>
      </c>
      <c r="E8" t="s">
        <v>17</v>
      </c>
      <c r="F8">
        <v>1</v>
      </c>
      <c r="G8" t="s">
        <v>17</v>
      </c>
      <c r="H8" t="s">
        <v>17</v>
      </c>
      <c r="I8">
        <v>0.10943103</v>
      </c>
      <c r="J8">
        <v>6.4814809999999996</v>
      </c>
      <c r="K8">
        <v>7.0927500000000001E-3</v>
      </c>
      <c r="L8" t="s">
        <v>17</v>
      </c>
      <c r="M8">
        <v>298</v>
      </c>
      <c r="N8" t="s">
        <v>18</v>
      </c>
      <c r="O8" t="s">
        <v>348</v>
      </c>
    </row>
    <row r="9" spans="1:15" x14ac:dyDescent="0.2">
      <c r="A9" t="s">
        <v>343</v>
      </c>
      <c r="B9" t="s">
        <v>347</v>
      </c>
      <c r="C9">
        <v>2</v>
      </c>
      <c r="D9" t="s">
        <v>17</v>
      </c>
      <c r="E9" t="s">
        <v>17</v>
      </c>
      <c r="F9">
        <v>1</v>
      </c>
      <c r="G9" t="s">
        <v>17</v>
      </c>
      <c r="H9" t="s">
        <v>17</v>
      </c>
      <c r="I9">
        <v>0.11753703</v>
      </c>
      <c r="J9">
        <v>6.0344829999999998</v>
      </c>
      <c r="K9">
        <v>7.0927500000000001E-3</v>
      </c>
      <c r="L9" t="s">
        <v>17</v>
      </c>
      <c r="M9">
        <v>298</v>
      </c>
      <c r="N9" t="s">
        <v>18</v>
      </c>
      <c r="O9" t="s">
        <v>348</v>
      </c>
    </row>
    <row r="10" spans="1:15" x14ac:dyDescent="0.2">
      <c r="A10" t="s">
        <v>343</v>
      </c>
      <c r="B10" t="s">
        <v>343</v>
      </c>
      <c r="C10">
        <v>3</v>
      </c>
      <c r="D10" t="s">
        <v>17</v>
      </c>
      <c r="E10" t="s">
        <v>17</v>
      </c>
      <c r="F10">
        <v>1</v>
      </c>
      <c r="G10" t="s">
        <v>17</v>
      </c>
      <c r="H10" t="s">
        <v>17</v>
      </c>
      <c r="I10">
        <v>8.3086519999999997E-2</v>
      </c>
      <c r="J10">
        <v>2.4390239999999999</v>
      </c>
      <c r="K10">
        <v>2.0265000000000001E-3</v>
      </c>
      <c r="L10" t="s">
        <v>17</v>
      </c>
      <c r="M10">
        <v>298</v>
      </c>
      <c r="N10" t="s">
        <v>18</v>
      </c>
      <c r="O10" t="s">
        <v>349</v>
      </c>
    </row>
    <row r="11" spans="1:15" x14ac:dyDescent="0.2">
      <c r="A11" t="s">
        <v>343</v>
      </c>
      <c r="B11" t="s">
        <v>345</v>
      </c>
      <c r="C11">
        <v>3</v>
      </c>
      <c r="D11" t="s">
        <v>17</v>
      </c>
      <c r="E11" t="s">
        <v>17</v>
      </c>
      <c r="F11">
        <v>1</v>
      </c>
      <c r="G11" t="s">
        <v>17</v>
      </c>
      <c r="H11" t="s">
        <v>17</v>
      </c>
      <c r="I11">
        <v>0.11044428000000001</v>
      </c>
      <c r="J11">
        <v>4.5871560000000002</v>
      </c>
      <c r="K11">
        <v>5.0662499999999996E-3</v>
      </c>
      <c r="L11" t="s">
        <v>17</v>
      </c>
      <c r="M11">
        <v>298</v>
      </c>
      <c r="N11" t="s">
        <v>18</v>
      </c>
      <c r="O11" t="s">
        <v>349</v>
      </c>
    </row>
    <row r="12" spans="1:15" x14ac:dyDescent="0.2">
      <c r="A12" t="s">
        <v>343</v>
      </c>
      <c r="B12" t="s">
        <v>346</v>
      </c>
      <c r="C12">
        <v>3</v>
      </c>
      <c r="D12" t="s">
        <v>17</v>
      </c>
      <c r="E12" t="s">
        <v>17</v>
      </c>
      <c r="F12">
        <v>1</v>
      </c>
      <c r="G12" t="s">
        <v>17</v>
      </c>
      <c r="H12" t="s">
        <v>17</v>
      </c>
      <c r="I12">
        <v>0.11449728000000001</v>
      </c>
      <c r="J12">
        <v>4.3511449999999998</v>
      </c>
      <c r="K12">
        <v>5.0662499999999996E-3</v>
      </c>
      <c r="L12" t="s">
        <v>17</v>
      </c>
      <c r="M12">
        <v>298</v>
      </c>
      <c r="N12" t="s">
        <v>18</v>
      </c>
      <c r="O12" t="s">
        <v>349</v>
      </c>
    </row>
    <row r="13" spans="1:15" x14ac:dyDescent="0.2">
      <c r="A13" t="s">
        <v>343</v>
      </c>
      <c r="B13" t="s">
        <v>347</v>
      </c>
      <c r="C13">
        <v>3</v>
      </c>
      <c r="D13" t="s">
        <v>17</v>
      </c>
      <c r="E13" t="s">
        <v>17</v>
      </c>
      <c r="F13">
        <v>1</v>
      </c>
      <c r="G13" t="s">
        <v>17</v>
      </c>
      <c r="H13" t="s">
        <v>17</v>
      </c>
      <c r="I13">
        <v>0.11956353</v>
      </c>
      <c r="J13">
        <v>4.3103449999999999</v>
      </c>
      <c r="K13">
        <v>5.0662499999999996E-3</v>
      </c>
      <c r="L13" t="s">
        <v>17</v>
      </c>
      <c r="M13">
        <v>298</v>
      </c>
      <c r="N13" t="s">
        <v>18</v>
      </c>
      <c r="O13" t="s">
        <v>349</v>
      </c>
    </row>
    <row r="14" spans="1:15" x14ac:dyDescent="0.2">
      <c r="A14" t="s">
        <v>343</v>
      </c>
      <c r="B14" t="s">
        <v>343</v>
      </c>
      <c r="C14">
        <v>3</v>
      </c>
      <c r="D14" t="s">
        <v>17</v>
      </c>
      <c r="E14" t="s">
        <v>17</v>
      </c>
      <c r="F14">
        <v>2</v>
      </c>
      <c r="G14" t="s">
        <v>17</v>
      </c>
      <c r="H14" t="s">
        <v>17</v>
      </c>
      <c r="I14">
        <v>7.195145E-2</v>
      </c>
      <c r="J14">
        <v>4.225352</v>
      </c>
      <c r="K14">
        <v>3.0381000000000002E-3</v>
      </c>
      <c r="L14" t="s">
        <v>17</v>
      </c>
      <c r="M14">
        <v>298</v>
      </c>
      <c r="N14" t="s">
        <v>18</v>
      </c>
      <c r="O14" t="s">
        <v>350</v>
      </c>
    </row>
    <row r="15" spans="1:15" x14ac:dyDescent="0.2">
      <c r="A15" t="s">
        <v>343</v>
      </c>
      <c r="B15" t="s">
        <v>345</v>
      </c>
      <c r="C15">
        <v>3</v>
      </c>
      <c r="D15" t="s">
        <v>17</v>
      </c>
      <c r="E15" t="s">
        <v>17</v>
      </c>
      <c r="F15">
        <v>2</v>
      </c>
      <c r="G15" t="s">
        <v>17</v>
      </c>
      <c r="H15" t="s">
        <v>17</v>
      </c>
      <c r="I15">
        <v>9.8294099999999995E-2</v>
      </c>
      <c r="J15">
        <v>7.2164950000000001</v>
      </c>
      <c r="K15">
        <v>7.0930899999999998E-3</v>
      </c>
      <c r="L15" t="s">
        <v>17</v>
      </c>
      <c r="M15">
        <v>298</v>
      </c>
      <c r="N15" t="s">
        <v>18</v>
      </c>
      <c r="O15" t="s">
        <v>350</v>
      </c>
    </row>
    <row r="16" spans="1:15" x14ac:dyDescent="0.2">
      <c r="A16" t="s">
        <v>343</v>
      </c>
      <c r="B16" t="s">
        <v>346</v>
      </c>
      <c r="C16">
        <v>3</v>
      </c>
      <c r="D16" t="s">
        <v>17</v>
      </c>
      <c r="E16" t="s">
        <v>17</v>
      </c>
      <c r="F16">
        <v>2</v>
      </c>
      <c r="G16" t="s">
        <v>17</v>
      </c>
      <c r="H16" t="s">
        <v>17</v>
      </c>
      <c r="I16">
        <v>0.10133385</v>
      </c>
      <c r="J16">
        <v>7</v>
      </c>
      <c r="K16">
        <v>7.0930899999999998E-3</v>
      </c>
      <c r="L16" t="s">
        <v>17</v>
      </c>
      <c r="M16">
        <v>298</v>
      </c>
      <c r="N16" t="s">
        <v>18</v>
      </c>
      <c r="O16" t="s">
        <v>350</v>
      </c>
    </row>
    <row r="17" spans="1:15" x14ac:dyDescent="0.2">
      <c r="A17" t="s">
        <v>343</v>
      </c>
      <c r="B17" t="s">
        <v>347</v>
      </c>
      <c r="C17">
        <v>3</v>
      </c>
      <c r="D17" t="s">
        <v>17</v>
      </c>
      <c r="E17" t="s">
        <v>17</v>
      </c>
      <c r="F17">
        <v>2</v>
      </c>
      <c r="G17" t="s">
        <v>17</v>
      </c>
      <c r="H17" t="s">
        <v>17</v>
      </c>
      <c r="I17">
        <v>0.10842694</v>
      </c>
      <c r="J17">
        <v>6.5420559999999996</v>
      </c>
      <c r="K17">
        <v>7.0930899999999998E-3</v>
      </c>
      <c r="L17" t="s">
        <v>17</v>
      </c>
      <c r="M17">
        <v>298</v>
      </c>
      <c r="N17" t="s">
        <v>18</v>
      </c>
      <c r="O17" t="s">
        <v>350</v>
      </c>
    </row>
    <row r="18" spans="1:15" x14ac:dyDescent="0.2">
      <c r="A18" t="s">
        <v>343</v>
      </c>
      <c r="B18" t="s">
        <v>343</v>
      </c>
      <c r="C18">
        <v>4</v>
      </c>
      <c r="D18" t="s">
        <v>17</v>
      </c>
      <c r="E18" t="s">
        <v>17</v>
      </c>
      <c r="F18">
        <v>2</v>
      </c>
      <c r="G18" t="s">
        <v>17</v>
      </c>
      <c r="H18" t="s">
        <v>17</v>
      </c>
      <c r="I18">
        <v>8.0046770000000003E-2</v>
      </c>
      <c r="J18">
        <v>2.53165</v>
      </c>
      <c r="K18">
        <v>2.0265000000000001E-3</v>
      </c>
      <c r="L18" t="s">
        <v>17</v>
      </c>
      <c r="M18">
        <v>298</v>
      </c>
      <c r="N18" t="s">
        <v>18</v>
      </c>
      <c r="O18" t="s">
        <v>351</v>
      </c>
    </row>
    <row r="19" spans="1:15" x14ac:dyDescent="0.2">
      <c r="A19" t="s">
        <v>343</v>
      </c>
      <c r="B19" t="s">
        <v>345</v>
      </c>
      <c r="C19">
        <v>4</v>
      </c>
      <c r="D19" t="s">
        <v>17</v>
      </c>
      <c r="E19" t="s">
        <v>17</v>
      </c>
      <c r="F19">
        <v>2</v>
      </c>
      <c r="G19" t="s">
        <v>17</v>
      </c>
      <c r="H19" t="s">
        <v>17</v>
      </c>
      <c r="I19">
        <v>0.10943103</v>
      </c>
      <c r="J19">
        <v>5.5555599999999998</v>
      </c>
      <c r="K19">
        <v>6.0794999999999998E-3</v>
      </c>
      <c r="L19" t="s">
        <v>17</v>
      </c>
      <c r="M19">
        <v>298</v>
      </c>
      <c r="N19" t="s">
        <v>18</v>
      </c>
      <c r="O19" t="s">
        <v>351</v>
      </c>
    </row>
    <row r="20" spans="1:15" x14ac:dyDescent="0.2">
      <c r="A20" t="s">
        <v>343</v>
      </c>
      <c r="B20" t="s">
        <v>346</v>
      </c>
      <c r="C20">
        <v>4</v>
      </c>
      <c r="D20" t="s">
        <v>17</v>
      </c>
      <c r="E20" t="s">
        <v>17</v>
      </c>
      <c r="F20">
        <v>2</v>
      </c>
      <c r="G20" t="s">
        <v>17</v>
      </c>
      <c r="H20" t="s">
        <v>17</v>
      </c>
      <c r="I20">
        <v>0.11753703</v>
      </c>
      <c r="J20">
        <v>5.1724100000000002</v>
      </c>
      <c r="K20">
        <v>6.0794999999999998E-3</v>
      </c>
      <c r="L20" t="s">
        <v>17</v>
      </c>
      <c r="M20">
        <v>298</v>
      </c>
      <c r="N20" t="s">
        <v>18</v>
      </c>
      <c r="O20" t="s">
        <v>351</v>
      </c>
    </row>
    <row r="21" spans="1:15" x14ac:dyDescent="0.2">
      <c r="A21" t="s">
        <v>343</v>
      </c>
      <c r="B21" t="s">
        <v>347</v>
      </c>
      <c r="C21">
        <v>4</v>
      </c>
      <c r="D21" t="s">
        <v>17</v>
      </c>
      <c r="E21" t="s">
        <v>17</v>
      </c>
      <c r="F21">
        <v>2</v>
      </c>
      <c r="G21" t="s">
        <v>17</v>
      </c>
      <c r="H21" t="s">
        <v>17</v>
      </c>
      <c r="I21">
        <v>0.11956353</v>
      </c>
      <c r="J21">
        <v>5.0847499999999997</v>
      </c>
      <c r="K21">
        <v>6.0794999999999998E-3</v>
      </c>
      <c r="L21" t="s">
        <v>17</v>
      </c>
      <c r="M21">
        <v>298</v>
      </c>
      <c r="N21" t="s">
        <v>18</v>
      </c>
      <c r="O21" t="s">
        <v>351</v>
      </c>
    </row>
    <row r="22" spans="1:15" x14ac:dyDescent="0.2">
      <c r="A22" t="s">
        <v>343</v>
      </c>
      <c r="B22" t="s">
        <v>343</v>
      </c>
      <c r="C22">
        <v>4</v>
      </c>
      <c r="D22" t="s">
        <v>17</v>
      </c>
      <c r="E22" t="s">
        <v>17</v>
      </c>
      <c r="F22">
        <v>3</v>
      </c>
      <c r="G22" t="s">
        <v>17</v>
      </c>
      <c r="H22" t="s">
        <v>17</v>
      </c>
      <c r="I22">
        <v>7.9033519999999996E-2</v>
      </c>
      <c r="J22">
        <v>1.2820499999999999</v>
      </c>
      <c r="K22">
        <v>1.01325E-3</v>
      </c>
      <c r="L22" t="s">
        <v>17</v>
      </c>
      <c r="M22">
        <v>298</v>
      </c>
      <c r="N22" t="s">
        <v>18</v>
      </c>
      <c r="O22" t="s">
        <v>352</v>
      </c>
    </row>
    <row r="23" spans="1:15" x14ac:dyDescent="0.2">
      <c r="A23" t="s">
        <v>343</v>
      </c>
      <c r="B23" t="s">
        <v>345</v>
      </c>
      <c r="C23">
        <v>4</v>
      </c>
      <c r="D23" t="s">
        <v>17</v>
      </c>
      <c r="E23" t="s">
        <v>17</v>
      </c>
      <c r="F23">
        <v>3</v>
      </c>
      <c r="G23" t="s">
        <v>17</v>
      </c>
      <c r="H23" t="s">
        <v>17</v>
      </c>
      <c r="I23">
        <v>0.10537803</v>
      </c>
      <c r="J23">
        <v>2.88462</v>
      </c>
      <c r="K23">
        <v>3.0397499999999999E-3</v>
      </c>
      <c r="L23" t="s">
        <v>17</v>
      </c>
      <c r="M23">
        <v>298</v>
      </c>
      <c r="N23" t="s">
        <v>18</v>
      </c>
      <c r="O23" t="s">
        <v>352</v>
      </c>
    </row>
    <row r="24" spans="1:15" x14ac:dyDescent="0.2">
      <c r="A24" t="s">
        <v>343</v>
      </c>
      <c r="B24" t="s">
        <v>346</v>
      </c>
      <c r="C24">
        <v>4</v>
      </c>
      <c r="D24" t="s">
        <v>17</v>
      </c>
      <c r="E24" t="s">
        <v>17</v>
      </c>
      <c r="F24">
        <v>3</v>
      </c>
      <c r="G24" t="s">
        <v>17</v>
      </c>
      <c r="H24" t="s">
        <v>17</v>
      </c>
      <c r="I24">
        <v>0.10943103</v>
      </c>
      <c r="J24">
        <v>2.7777799999999999</v>
      </c>
      <c r="K24">
        <v>3.0397499999999999E-3</v>
      </c>
      <c r="L24" t="s">
        <v>17</v>
      </c>
      <c r="M24">
        <v>298</v>
      </c>
      <c r="N24" t="s">
        <v>18</v>
      </c>
      <c r="O24" t="s">
        <v>352</v>
      </c>
    </row>
    <row r="25" spans="1:15" x14ac:dyDescent="0.2">
      <c r="A25" t="s">
        <v>343</v>
      </c>
      <c r="B25" t="s">
        <v>347</v>
      </c>
      <c r="C25">
        <v>4</v>
      </c>
      <c r="D25" t="s">
        <v>17</v>
      </c>
      <c r="E25" t="s">
        <v>17</v>
      </c>
      <c r="F25">
        <v>3</v>
      </c>
      <c r="G25" t="s">
        <v>17</v>
      </c>
      <c r="H25" t="s">
        <v>17</v>
      </c>
      <c r="I25">
        <v>0.11348403</v>
      </c>
      <c r="J25">
        <v>2.6785700000000001</v>
      </c>
      <c r="K25">
        <v>3.0397499999999999E-3</v>
      </c>
      <c r="L25" t="s">
        <v>17</v>
      </c>
      <c r="M25">
        <v>298</v>
      </c>
      <c r="N25" t="s">
        <v>18</v>
      </c>
      <c r="O25" t="s">
        <v>352</v>
      </c>
    </row>
    <row r="26" spans="1:15" x14ac:dyDescent="0.2">
      <c r="A26" t="s">
        <v>343</v>
      </c>
      <c r="B26" t="s">
        <v>343</v>
      </c>
      <c r="C26">
        <v>5</v>
      </c>
      <c r="D26" t="s">
        <v>17</v>
      </c>
      <c r="E26" t="s">
        <v>17</v>
      </c>
      <c r="F26">
        <v>3</v>
      </c>
      <c r="G26" t="s">
        <v>17</v>
      </c>
      <c r="H26" t="s">
        <v>17</v>
      </c>
      <c r="I26">
        <v>7.7007019999999995E-2</v>
      </c>
      <c r="J26">
        <v>1.31579</v>
      </c>
      <c r="K26">
        <v>1.01325E-3</v>
      </c>
      <c r="L26" t="s">
        <v>17</v>
      </c>
      <c r="M26">
        <v>298</v>
      </c>
      <c r="N26" t="s">
        <v>18</v>
      </c>
      <c r="O26" t="s">
        <v>353</v>
      </c>
    </row>
    <row r="27" spans="1:15" x14ac:dyDescent="0.2">
      <c r="A27" t="s">
        <v>343</v>
      </c>
      <c r="B27" t="s">
        <v>345</v>
      </c>
      <c r="C27">
        <v>5</v>
      </c>
      <c r="D27" t="s">
        <v>17</v>
      </c>
      <c r="E27" t="s">
        <v>17</v>
      </c>
      <c r="F27">
        <v>3</v>
      </c>
      <c r="G27" t="s">
        <v>17</v>
      </c>
      <c r="H27" t="s">
        <v>17</v>
      </c>
      <c r="I27">
        <v>0.10537803</v>
      </c>
      <c r="J27">
        <v>2.88462</v>
      </c>
      <c r="K27">
        <v>3.0397499999999999E-3</v>
      </c>
      <c r="L27" t="s">
        <v>17</v>
      </c>
      <c r="M27">
        <v>298</v>
      </c>
      <c r="N27" t="s">
        <v>18</v>
      </c>
      <c r="O27" t="s">
        <v>353</v>
      </c>
    </row>
    <row r="28" spans="1:15" x14ac:dyDescent="0.2">
      <c r="A28" t="s">
        <v>343</v>
      </c>
      <c r="B28" t="s">
        <v>346</v>
      </c>
      <c r="C28">
        <v>5</v>
      </c>
      <c r="D28" t="s">
        <v>17</v>
      </c>
      <c r="E28" t="s">
        <v>17</v>
      </c>
      <c r="F28">
        <v>3</v>
      </c>
      <c r="G28" t="s">
        <v>17</v>
      </c>
      <c r="H28" t="s">
        <v>17</v>
      </c>
      <c r="I28">
        <v>0.11145753</v>
      </c>
      <c r="J28">
        <v>2.7272699999999999</v>
      </c>
      <c r="K28">
        <v>3.0397499999999999E-3</v>
      </c>
      <c r="L28" t="s">
        <v>17</v>
      </c>
      <c r="M28">
        <v>298</v>
      </c>
      <c r="N28" t="s">
        <v>18</v>
      </c>
      <c r="O28" t="s">
        <v>353</v>
      </c>
    </row>
    <row r="29" spans="1:15" x14ac:dyDescent="0.2">
      <c r="A29" t="s">
        <v>343</v>
      </c>
      <c r="B29" t="s">
        <v>347</v>
      </c>
      <c r="C29">
        <v>5</v>
      </c>
      <c r="D29" t="s">
        <v>17</v>
      </c>
      <c r="E29" t="s">
        <v>17</v>
      </c>
      <c r="F29">
        <v>3</v>
      </c>
      <c r="G29" t="s">
        <v>17</v>
      </c>
      <c r="H29" t="s">
        <v>17</v>
      </c>
      <c r="I29">
        <v>0.11247078000000001</v>
      </c>
      <c r="J29">
        <v>2.7027000000000001</v>
      </c>
      <c r="K29">
        <v>3.0397499999999999E-3</v>
      </c>
      <c r="L29" t="s">
        <v>17</v>
      </c>
      <c r="M29">
        <v>298</v>
      </c>
      <c r="N29" t="s">
        <v>18</v>
      </c>
      <c r="O29" t="s">
        <v>353</v>
      </c>
    </row>
    <row r="30" spans="1:15" x14ac:dyDescent="0.2">
      <c r="A30" t="s">
        <v>343</v>
      </c>
      <c r="B30" t="s">
        <v>343</v>
      </c>
      <c r="C30">
        <v>5</v>
      </c>
      <c r="D30" t="s">
        <v>17</v>
      </c>
      <c r="E30" t="s">
        <v>17</v>
      </c>
      <c r="F30">
        <v>4</v>
      </c>
      <c r="G30" t="s">
        <v>17</v>
      </c>
      <c r="H30" t="s">
        <v>17</v>
      </c>
      <c r="I30">
        <v>7.1940770000000001E-2</v>
      </c>
      <c r="J30">
        <v>2.8169</v>
      </c>
      <c r="K30">
        <v>2.0265000000000001E-3</v>
      </c>
      <c r="L30" t="s">
        <v>17</v>
      </c>
      <c r="M30">
        <v>298</v>
      </c>
      <c r="N30" t="s">
        <v>18</v>
      </c>
      <c r="O30" t="s">
        <v>354</v>
      </c>
    </row>
    <row r="31" spans="1:15" x14ac:dyDescent="0.2">
      <c r="A31" t="s">
        <v>343</v>
      </c>
      <c r="B31" t="s">
        <v>345</v>
      </c>
      <c r="C31">
        <v>5</v>
      </c>
      <c r="D31" t="s">
        <v>17</v>
      </c>
      <c r="E31" t="s">
        <v>17</v>
      </c>
      <c r="F31">
        <v>4</v>
      </c>
      <c r="G31" t="s">
        <v>17</v>
      </c>
      <c r="H31" t="s">
        <v>17</v>
      </c>
      <c r="I31">
        <v>9.5245529999999995E-2</v>
      </c>
      <c r="J31">
        <v>4.2553200000000002</v>
      </c>
      <c r="K31">
        <v>4.0530000000000002E-3</v>
      </c>
      <c r="L31" t="s">
        <v>17</v>
      </c>
      <c r="M31">
        <v>298</v>
      </c>
      <c r="N31" t="s">
        <v>18</v>
      </c>
      <c r="O31" t="s">
        <v>354</v>
      </c>
    </row>
    <row r="32" spans="1:15" x14ac:dyDescent="0.2">
      <c r="A32" t="s">
        <v>343</v>
      </c>
      <c r="B32" t="s">
        <v>346</v>
      </c>
      <c r="C32">
        <v>5</v>
      </c>
      <c r="D32" t="s">
        <v>17</v>
      </c>
      <c r="E32" t="s">
        <v>17</v>
      </c>
      <c r="F32">
        <v>4</v>
      </c>
      <c r="G32" t="s">
        <v>17</v>
      </c>
      <c r="H32" t="s">
        <v>17</v>
      </c>
      <c r="I32">
        <v>9.9298529999999996E-2</v>
      </c>
      <c r="J32">
        <v>4.0816299999999996</v>
      </c>
      <c r="K32">
        <v>4.0530000000000002E-3</v>
      </c>
      <c r="L32" t="s">
        <v>17</v>
      </c>
      <c r="M32">
        <v>298</v>
      </c>
      <c r="N32" t="s">
        <v>18</v>
      </c>
      <c r="O32" t="s">
        <v>354</v>
      </c>
    </row>
    <row r="33" spans="1:15" x14ac:dyDescent="0.2">
      <c r="A33" t="s">
        <v>343</v>
      </c>
      <c r="B33" t="s">
        <v>347</v>
      </c>
      <c r="C33">
        <v>5</v>
      </c>
      <c r="D33" t="s">
        <v>17</v>
      </c>
      <c r="E33" t="s">
        <v>17</v>
      </c>
      <c r="F33">
        <v>4</v>
      </c>
      <c r="G33" t="s">
        <v>17</v>
      </c>
      <c r="H33" t="s">
        <v>17</v>
      </c>
      <c r="I33">
        <v>0.10233828</v>
      </c>
      <c r="J33">
        <v>3.9603999999999999</v>
      </c>
      <c r="K33">
        <v>4.0530000000000002E-3</v>
      </c>
      <c r="L33" t="s">
        <v>17</v>
      </c>
      <c r="M33">
        <v>298</v>
      </c>
      <c r="N33" t="s">
        <v>18</v>
      </c>
      <c r="O33" t="s">
        <v>354</v>
      </c>
    </row>
    <row r="34" spans="1:15" x14ac:dyDescent="0.2">
      <c r="A34" t="s">
        <v>343</v>
      </c>
      <c r="B34" t="s">
        <v>343</v>
      </c>
      <c r="C34">
        <v>6</v>
      </c>
      <c r="D34" t="s">
        <v>17</v>
      </c>
      <c r="E34" t="s">
        <v>17</v>
      </c>
      <c r="F34">
        <v>4</v>
      </c>
      <c r="G34" t="s">
        <v>17</v>
      </c>
      <c r="H34" t="s">
        <v>17</v>
      </c>
      <c r="I34">
        <v>7.4980519999999995E-2</v>
      </c>
      <c r="J34">
        <v>1.3513500000000001</v>
      </c>
      <c r="K34">
        <v>1.01325E-3</v>
      </c>
      <c r="L34" t="s">
        <v>17</v>
      </c>
      <c r="M34">
        <v>298</v>
      </c>
      <c r="N34" t="s">
        <v>18</v>
      </c>
      <c r="O34" t="s">
        <v>355</v>
      </c>
    </row>
    <row r="35" spans="1:15" x14ac:dyDescent="0.2">
      <c r="A35" t="s">
        <v>343</v>
      </c>
      <c r="B35" t="s">
        <v>345</v>
      </c>
      <c r="C35">
        <v>6</v>
      </c>
      <c r="D35" t="s">
        <v>17</v>
      </c>
      <c r="E35" t="s">
        <v>17</v>
      </c>
      <c r="F35">
        <v>4</v>
      </c>
      <c r="G35" t="s">
        <v>17</v>
      </c>
      <c r="H35" t="s">
        <v>17</v>
      </c>
      <c r="I35">
        <v>0.10233828</v>
      </c>
      <c r="J35">
        <v>1.9802</v>
      </c>
      <c r="K35">
        <v>2.0265000000000001E-3</v>
      </c>
      <c r="L35" t="s">
        <v>17</v>
      </c>
      <c r="M35">
        <v>298</v>
      </c>
      <c r="N35" t="s">
        <v>18</v>
      </c>
      <c r="O35" t="s">
        <v>355</v>
      </c>
    </row>
    <row r="36" spans="1:15" x14ac:dyDescent="0.2">
      <c r="A36" t="s">
        <v>343</v>
      </c>
      <c r="B36" t="s">
        <v>346</v>
      </c>
      <c r="C36">
        <v>6</v>
      </c>
      <c r="D36" t="s">
        <v>17</v>
      </c>
      <c r="E36" t="s">
        <v>17</v>
      </c>
      <c r="F36">
        <v>4</v>
      </c>
      <c r="G36" t="s">
        <v>17</v>
      </c>
      <c r="H36" t="s">
        <v>17</v>
      </c>
      <c r="I36">
        <v>0.10537803</v>
      </c>
      <c r="J36">
        <v>1.9230799999999999</v>
      </c>
      <c r="K36">
        <v>2.0265000000000001E-3</v>
      </c>
      <c r="L36" t="s">
        <v>17</v>
      </c>
      <c r="M36">
        <v>298</v>
      </c>
      <c r="N36" t="s">
        <v>18</v>
      </c>
      <c r="O36" t="s">
        <v>355</v>
      </c>
    </row>
    <row r="37" spans="1:15" x14ac:dyDescent="0.2">
      <c r="A37" t="s">
        <v>343</v>
      </c>
      <c r="B37" t="s">
        <v>347</v>
      </c>
      <c r="C37">
        <v>6</v>
      </c>
      <c r="D37" t="s">
        <v>17</v>
      </c>
      <c r="E37" t="s">
        <v>17</v>
      </c>
      <c r="F37">
        <v>4</v>
      </c>
      <c r="G37" t="s">
        <v>17</v>
      </c>
      <c r="H37" t="s">
        <v>17</v>
      </c>
      <c r="I37">
        <v>0.11145753</v>
      </c>
      <c r="J37">
        <v>2.7272699999999999</v>
      </c>
      <c r="K37">
        <v>3.0397499999999999E-3</v>
      </c>
      <c r="L37" t="s">
        <v>17</v>
      </c>
      <c r="M37">
        <v>298</v>
      </c>
      <c r="N37" t="s">
        <v>18</v>
      </c>
      <c r="O37" t="s">
        <v>355</v>
      </c>
    </row>
    <row r="38" spans="1:15" x14ac:dyDescent="0.2">
      <c r="A38" t="s">
        <v>343</v>
      </c>
      <c r="B38" t="s">
        <v>343</v>
      </c>
      <c r="C38">
        <v>6</v>
      </c>
      <c r="D38" t="s">
        <v>17</v>
      </c>
      <c r="E38" t="s">
        <v>17</v>
      </c>
      <c r="F38">
        <v>5</v>
      </c>
      <c r="G38" t="s">
        <v>17</v>
      </c>
      <c r="H38" t="s">
        <v>17</v>
      </c>
      <c r="I38">
        <v>7.4980519999999995E-2</v>
      </c>
      <c r="J38">
        <v>2.7027000000000001</v>
      </c>
      <c r="K38">
        <v>2.0265000000000001E-3</v>
      </c>
      <c r="L38" t="s">
        <v>17</v>
      </c>
      <c r="M38">
        <v>298</v>
      </c>
      <c r="N38" t="s">
        <v>18</v>
      </c>
      <c r="O38" t="s">
        <v>356</v>
      </c>
    </row>
    <row r="39" spans="1:15" x14ac:dyDescent="0.2">
      <c r="A39" t="s">
        <v>343</v>
      </c>
      <c r="B39" t="s">
        <v>345</v>
      </c>
      <c r="C39">
        <v>6</v>
      </c>
      <c r="D39" t="s">
        <v>17</v>
      </c>
      <c r="E39" t="s">
        <v>17</v>
      </c>
      <c r="F39">
        <v>5</v>
      </c>
      <c r="G39" t="s">
        <v>17</v>
      </c>
      <c r="H39" t="s">
        <v>17</v>
      </c>
      <c r="I39">
        <v>0.10132503</v>
      </c>
      <c r="J39">
        <v>5</v>
      </c>
      <c r="K39">
        <v>5.0662499999999996E-3</v>
      </c>
      <c r="L39" t="s">
        <v>17</v>
      </c>
      <c r="M39">
        <v>298</v>
      </c>
      <c r="N39" t="s">
        <v>18</v>
      </c>
      <c r="O39" t="s">
        <v>356</v>
      </c>
    </row>
    <row r="40" spans="1:15" x14ac:dyDescent="0.2">
      <c r="A40" t="s">
        <v>343</v>
      </c>
      <c r="B40" t="s">
        <v>346</v>
      </c>
      <c r="C40">
        <v>6</v>
      </c>
      <c r="D40" t="s">
        <v>17</v>
      </c>
      <c r="E40" t="s">
        <v>17</v>
      </c>
      <c r="F40">
        <v>5</v>
      </c>
      <c r="G40" t="s">
        <v>17</v>
      </c>
      <c r="H40" t="s">
        <v>17</v>
      </c>
      <c r="I40">
        <v>0.10943103</v>
      </c>
      <c r="J40">
        <v>4.6296299999999997</v>
      </c>
      <c r="K40">
        <v>5.0662499999999996E-3</v>
      </c>
      <c r="L40" t="s">
        <v>17</v>
      </c>
      <c r="M40">
        <v>298</v>
      </c>
      <c r="N40" t="s">
        <v>18</v>
      </c>
      <c r="O40" t="s">
        <v>356</v>
      </c>
    </row>
    <row r="41" spans="1:15" x14ac:dyDescent="0.2">
      <c r="A41" t="s">
        <v>343</v>
      </c>
      <c r="B41" t="s">
        <v>347</v>
      </c>
      <c r="C41">
        <v>6</v>
      </c>
      <c r="D41" t="s">
        <v>17</v>
      </c>
      <c r="E41" t="s">
        <v>17</v>
      </c>
      <c r="F41">
        <v>5</v>
      </c>
      <c r="G41" t="s">
        <v>17</v>
      </c>
      <c r="H41" t="s">
        <v>17</v>
      </c>
      <c r="I41">
        <v>0.11145753</v>
      </c>
      <c r="J41">
        <v>4.5454499999999998</v>
      </c>
      <c r="K41">
        <v>5.0662499999999996E-3</v>
      </c>
      <c r="L41" t="s">
        <v>17</v>
      </c>
      <c r="M41">
        <v>298</v>
      </c>
      <c r="N41" t="s">
        <v>18</v>
      </c>
      <c r="O41" t="s">
        <v>356</v>
      </c>
    </row>
    <row r="42" spans="1:15" x14ac:dyDescent="0.2">
      <c r="A42" t="s">
        <v>343</v>
      </c>
      <c r="B42" t="s">
        <v>345</v>
      </c>
      <c r="C42">
        <v>7</v>
      </c>
      <c r="D42" t="s">
        <v>17</v>
      </c>
      <c r="E42" t="s">
        <v>17</v>
      </c>
      <c r="F42">
        <v>5</v>
      </c>
      <c r="G42" t="s">
        <v>17</v>
      </c>
      <c r="H42" t="s">
        <v>17</v>
      </c>
      <c r="I42">
        <v>9.4232280000000002E-2</v>
      </c>
      <c r="J42">
        <v>3.2258100000000001</v>
      </c>
      <c r="K42">
        <v>3.0397499999999999E-3</v>
      </c>
      <c r="L42" t="s">
        <v>17</v>
      </c>
      <c r="M42">
        <v>298</v>
      </c>
      <c r="N42" t="s">
        <v>18</v>
      </c>
      <c r="O42" t="s">
        <v>357</v>
      </c>
    </row>
    <row r="43" spans="1:15" x14ac:dyDescent="0.2">
      <c r="A43" t="s">
        <v>343</v>
      </c>
      <c r="B43" t="s">
        <v>343</v>
      </c>
      <c r="C43">
        <v>7</v>
      </c>
      <c r="D43" t="s">
        <v>17</v>
      </c>
      <c r="E43" t="s">
        <v>17</v>
      </c>
      <c r="F43">
        <v>5</v>
      </c>
      <c r="G43" t="s">
        <v>17</v>
      </c>
      <c r="H43" t="s">
        <v>17</v>
      </c>
      <c r="I43">
        <v>6.8901019999999993E-2</v>
      </c>
      <c r="J43">
        <v>1.4705900000000001</v>
      </c>
      <c r="K43">
        <v>1.01325E-3</v>
      </c>
      <c r="L43" t="s">
        <v>17</v>
      </c>
      <c r="M43">
        <v>298</v>
      </c>
      <c r="N43" t="s">
        <v>18</v>
      </c>
      <c r="O43" t="s">
        <v>358</v>
      </c>
    </row>
    <row r="44" spans="1:15" x14ac:dyDescent="0.2">
      <c r="A44" t="s">
        <v>343</v>
      </c>
      <c r="B44" t="s">
        <v>347</v>
      </c>
      <c r="C44">
        <v>7</v>
      </c>
      <c r="D44" t="s">
        <v>17</v>
      </c>
      <c r="E44" t="s">
        <v>17</v>
      </c>
      <c r="F44">
        <v>5</v>
      </c>
      <c r="G44" t="s">
        <v>17</v>
      </c>
      <c r="H44" t="s">
        <v>17</v>
      </c>
      <c r="I44">
        <v>0.10233828</v>
      </c>
      <c r="J44">
        <v>2.9702999999999999</v>
      </c>
      <c r="K44">
        <v>3.0397499999999999E-3</v>
      </c>
      <c r="L44" t="s">
        <v>17</v>
      </c>
      <c r="M44">
        <v>298</v>
      </c>
      <c r="N44" t="s">
        <v>18</v>
      </c>
      <c r="O44" t="s">
        <v>359</v>
      </c>
    </row>
    <row r="45" spans="1:15" x14ac:dyDescent="0.2">
      <c r="A45" t="s">
        <v>343</v>
      </c>
      <c r="B45" t="s">
        <v>346</v>
      </c>
      <c r="C45">
        <v>7</v>
      </c>
      <c r="D45" t="s">
        <v>17</v>
      </c>
      <c r="E45" t="s">
        <v>17</v>
      </c>
      <c r="F45">
        <v>5</v>
      </c>
      <c r="G45" t="s">
        <v>17</v>
      </c>
      <c r="H45" t="s">
        <v>17</v>
      </c>
      <c r="I45">
        <v>9.8285280000000003E-2</v>
      </c>
      <c r="J45">
        <v>3.0927799999999999</v>
      </c>
      <c r="K45">
        <v>3.0397499999999999E-3</v>
      </c>
      <c r="L45" t="s">
        <v>17</v>
      </c>
      <c r="M45">
        <v>298</v>
      </c>
      <c r="N45" t="s">
        <v>18</v>
      </c>
      <c r="O45" t="s">
        <v>359</v>
      </c>
    </row>
    <row r="46" spans="1:15" x14ac:dyDescent="0.2">
      <c r="A46" t="s">
        <v>343</v>
      </c>
      <c r="B46" t="s">
        <v>345</v>
      </c>
      <c r="C46">
        <v>7</v>
      </c>
      <c r="D46" t="s">
        <v>17</v>
      </c>
      <c r="E46" t="s">
        <v>17</v>
      </c>
      <c r="F46">
        <v>6</v>
      </c>
      <c r="G46" t="s">
        <v>17</v>
      </c>
      <c r="H46" t="s">
        <v>17</v>
      </c>
      <c r="I46">
        <v>8.9166029999999993E-2</v>
      </c>
      <c r="J46">
        <v>4.5454499999999998</v>
      </c>
      <c r="K46">
        <v>4.0530000000000002E-3</v>
      </c>
      <c r="L46" t="s">
        <v>17</v>
      </c>
      <c r="M46">
        <v>298</v>
      </c>
      <c r="N46" t="s">
        <v>18</v>
      </c>
      <c r="O46" t="s">
        <v>360</v>
      </c>
    </row>
    <row r="47" spans="1:15" x14ac:dyDescent="0.2">
      <c r="A47" t="s">
        <v>343</v>
      </c>
      <c r="B47" t="s">
        <v>343</v>
      </c>
      <c r="C47">
        <v>7</v>
      </c>
      <c r="D47" t="s">
        <v>17</v>
      </c>
      <c r="E47" t="s">
        <v>17</v>
      </c>
      <c r="F47">
        <v>6</v>
      </c>
      <c r="G47" t="s">
        <v>17</v>
      </c>
      <c r="H47" t="s">
        <v>17</v>
      </c>
      <c r="I47">
        <v>6.586127E-2</v>
      </c>
      <c r="J47">
        <v>1.5384599999999999</v>
      </c>
      <c r="K47">
        <v>1.01325E-3</v>
      </c>
      <c r="L47" t="s">
        <v>17</v>
      </c>
      <c r="M47">
        <v>298</v>
      </c>
      <c r="N47" t="s">
        <v>18</v>
      </c>
      <c r="O47" t="s">
        <v>360</v>
      </c>
    </row>
    <row r="48" spans="1:15" x14ac:dyDescent="0.2">
      <c r="A48" t="s">
        <v>343</v>
      </c>
      <c r="B48" t="s">
        <v>347</v>
      </c>
      <c r="C48">
        <v>7</v>
      </c>
      <c r="D48" t="s">
        <v>17</v>
      </c>
      <c r="E48" t="s">
        <v>17</v>
      </c>
      <c r="F48">
        <v>6</v>
      </c>
      <c r="G48" t="s">
        <v>17</v>
      </c>
      <c r="H48" t="s">
        <v>17</v>
      </c>
      <c r="I48">
        <v>9.7272029999999995E-2</v>
      </c>
      <c r="J48">
        <v>4.1666699999999999</v>
      </c>
      <c r="K48">
        <v>4.0530000000000002E-3</v>
      </c>
      <c r="L48" t="s">
        <v>17</v>
      </c>
      <c r="M48">
        <v>298</v>
      </c>
      <c r="N48" t="s">
        <v>18</v>
      </c>
      <c r="O48" t="s">
        <v>360</v>
      </c>
    </row>
    <row r="49" spans="1:15" x14ac:dyDescent="0.2">
      <c r="A49" t="s">
        <v>343</v>
      </c>
      <c r="B49" t="s">
        <v>346</v>
      </c>
      <c r="C49">
        <v>7</v>
      </c>
      <c r="D49" t="s">
        <v>17</v>
      </c>
      <c r="E49" t="s">
        <v>17</v>
      </c>
      <c r="F49">
        <v>6</v>
      </c>
      <c r="G49" t="s">
        <v>17</v>
      </c>
      <c r="H49" t="s">
        <v>17</v>
      </c>
      <c r="I49">
        <v>9.5245529999999995E-2</v>
      </c>
      <c r="J49">
        <v>4.2553200000000002</v>
      </c>
      <c r="K49">
        <v>4.0530000000000002E-3</v>
      </c>
      <c r="L49" t="s">
        <v>17</v>
      </c>
      <c r="M49">
        <v>298</v>
      </c>
      <c r="N49" t="s">
        <v>18</v>
      </c>
      <c r="O49" t="s">
        <v>360</v>
      </c>
    </row>
    <row r="50" spans="1:15" x14ac:dyDescent="0.2">
      <c r="A50" t="s">
        <v>343</v>
      </c>
      <c r="B50" t="s">
        <v>345</v>
      </c>
      <c r="C50">
        <v>8</v>
      </c>
      <c r="D50" t="s">
        <v>17</v>
      </c>
      <c r="E50" t="s">
        <v>17</v>
      </c>
      <c r="F50">
        <v>6</v>
      </c>
      <c r="G50" t="s">
        <v>17</v>
      </c>
      <c r="H50" t="s">
        <v>17</v>
      </c>
      <c r="I50">
        <v>8.815278E-2</v>
      </c>
      <c r="J50">
        <v>2.2988499999999998</v>
      </c>
      <c r="K50">
        <v>2.0265000000000001E-3</v>
      </c>
      <c r="L50" t="s">
        <v>17</v>
      </c>
      <c r="M50">
        <v>298</v>
      </c>
      <c r="N50" t="s">
        <v>18</v>
      </c>
      <c r="O50" t="s">
        <v>361</v>
      </c>
    </row>
    <row r="51" spans="1:15" x14ac:dyDescent="0.2">
      <c r="A51" t="s">
        <v>343</v>
      </c>
      <c r="B51" t="s">
        <v>343</v>
      </c>
      <c r="C51">
        <v>8</v>
      </c>
      <c r="D51" t="s">
        <v>17</v>
      </c>
      <c r="E51" t="s">
        <v>17</v>
      </c>
      <c r="F51">
        <v>6</v>
      </c>
      <c r="G51" t="s">
        <v>17</v>
      </c>
      <c r="H51" t="s">
        <v>17</v>
      </c>
      <c r="I51">
        <v>6.3835020000000006E-2</v>
      </c>
      <c r="J51">
        <v>1.5872999999999999</v>
      </c>
      <c r="K51">
        <v>1.01325E-3</v>
      </c>
      <c r="L51" t="s">
        <v>17</v>
      </c>
      <c r="M51">
        <v>298</v>
      </c>
      <c r="N51" t="s">
        <v>18</v>
      </c>
      <c r="O51" t="s">
        <v>361</v>
      </c>
    </row>
    <row r="52" spans="1:15" x14ac:dyDescent="0.2">
      <c r="A52" t="s">
        <v>343</v>
      </c>
      <c r="B52" t="s">
        <v>347</v>
      </c>
      <c r="C52">
        <v>8</v>
      </c>
      <c r="D52" t="s">
        <v>17</v>
      </c>
      <c r="E52" t="s">
        <v>17</v>
      </c>
      <c r="F52">
        <v>6</v>
      </c>
      <c r="G52" t="s">
        <v>17</v>
      </c>
      <c r="H52" t="s">
        <v>17</v>
      </c>
      <c r="I52">
        <v>9.7272029999999995E-2</v>
      </c>
      <c r="J52">
        <v>2.0833300000000001</v>
      </c>
      <c r="K52">
        <v>2.0265000000000001E-3</v>
      </c>
      <c r="L52" t="s">
        <v>17</v>
      </c>
      <c r="M52">
        <v>298</v>
      </c>
      <c r="N52" t="s">
        <v>18</v>
      </c>
      <c r="O52" t="s">
        <v>361</v>
      </c>
    </row>
    <row r="53" spans="1:15" x14ac:dyDescent="0.2">
      <c r="A53" t="s">
        <v>343</v>
      </c>
      <c r="B53" t="s">
        <v>346</v>
      </c>
      <c r="C53">
        <v>8</v>
      </c>
      <c r="D53" t="s">
        <v>17</v>
      </c>
      <c r="E53" t="s">
        <v>17</v>
      </c>
      <c r="F53">
        <v>6</v>
      </c>
      <c r="G53" t="s">
        <v>17</v>
      </c>
      <c r="H53" t="s">
        <v>17</v>
      </c>
      <c r="I53">
        <v>9.6258780000000002E-2</v>
      </c>
      <c r="J53">
        <v>2.1052599999999999</v>
      </c>
      <c r="K53">
        <v>2.0265000000000001E-3</v>
      </c>
      <c r="L53" t="s">
        <v>17</v>
      </c>
      <c r="M53">
        <v>298</v>
      </c>
      <c r="N53" t="s">
        <v>18</v>
      </c>
      <c r="O53" t="s">
        <v>361</v>
      </c>
    </row>
    <row r="54" spans="1:15" x14ac:dyDescent="0.2">
      <c r="A54" t="s">
        <v>343</v>
      </c>
      <c r="B54" t="s">
        <v>345</v>
      </c>
      <c r="C54">
        <v>8</v>
      </c>
      <c r="D54" t="s">
        <v>17</v>
      </c>
      <c r="E54" t="s">
        <v>17</v>
      </c>
      <c r="F54">
        <v>7</v>
      </c>
      <c r="G54" t="s">
        <v>17</v>
      </c>
      <c r="H54" t="s">
        <v>17</v>
      </c>
      <c r="I54">
        <v>9.1192529999999994E-2</v>
      </c>
      <c r="J54">
        <v>3.2967</v>
      </c>
      <c r="K54">
        <v>3.0032800000000001E-3</v>
      </c>
      <c r="L54" t="s">
        <v>17</v>
      </c>
      <c r="M54">
        <v>298</v>
      </c>
      <c r="N54" t="s">
        <v>18</v>
      </c>
      <c r="O54" t="s">
        <v>362</v>
      </c>
    </row>
    <row r="55" spans="1:15" x14ac:dyDescent="0.2">
      <c r="A55" t="s">
        <v>343</v>
      </c>
      <c r="B55" t="s">
        <v>343</v>
      </c>
      <c r="C55">
        <v>8</v>
      </c>
      <c r="D55" t="s">
        <v>17</v>
      </c>
      <c r="E55" t="s">
        <v>17</v>
      </c>
      <c r="F55">
        <v>7</v>
      </c>
      <c r="G55" t="s">
        <v>17</v>
      </c>
      <c r="H55" t="s">
        <v>17</v>
      </c>
      <c r="I55">
        <v>6.6874520000000007E-2</v>
      </c>
      <c r="J55">
        <v>1.51515</v>
      </c>
      <c r="K55">
        <v>1.01325E-3</v>
      </c>
      <c r="L55" t="s">
        <v>17</v>
      </c>
      <c r="M55">
        <v>298</v>
      </c>
      <c r="N55" t="s">
        <v>18</v>
      </c>
      <c r="O55" t="s">
        <v>362</v>
      </c>
    </row>
    <row r="56" spans="1:15" x14ac:dyDescent="0.2">
      <c r="A56" t="s">
        <v>343</v>
      </c>
      <c r="B56" t="s">
        <v>347</v>
      </c>
      <c r="C56">
        <v>8</v>
      </c>
      <c r="D56" t="s">
        <v>17</v>
      </c>
      <c r="E56" t="s">
        <v>17</v>
      </c>
      <c r="F56">
        <v>7</v>
      </c>
      <c r="G56" t="s">
        <v>17</v>
      </c>
      <c r="H56" t="s">
        <v>17</v>
      </c>
      <c r="I56">
        <v>9.7272029999999995E-2</v>
      </c>
      <c r="J56">
        <v>3.0927799999999999</v>
      </c>
      <c r="K56">
        <v>3.0032800000000001E-3</v>
      </c>
      <c r="L56" t="s">
        <v>17</v>
      </c>
      <c r="M56">
        <v>298</v>
      </c>
      <c r="N56" t="s">
        <v>18</v>
      </c>
      <c r="O56" t="s">
        <v>362</v>
      </c>
    </row>
    <row r="57" spans="1:15" x14ac:dyDescent="0.2">
      <c r="A57" t="s">
        <v>343</v>
      </c>
      <c r="B57" t="s">
        <v>346</v>
      </c>
      <c r="C57">
        <v>8</v>
      </c>
      <c r="D57" t="s">
        <v>17</v>
      </c>
      <c r="E57" t="s">
        <v>17</v>
      </c>
      <c r="F57">
        <v>7</v>
      </c>
      <c r="G57" t="s">
        <v>17</v>
      </c>
      <c r="H57" t="s">
        <v>17</v>
      </c>
      <c r="I57">
        <v>9.5245529999999995E-2</v>
      </c>
      <c r="J57">
        <v>3.1914899999999999</v>
      </c>
      <c r="K57">
        <v>3.0032800000000001E-3</v>
      </c>
      <c r="L57" t="s">
        <v>17</v>
      </c>
      <c r="M57">
        <v>298</v>
      </c>
      <c r="N57" t="s">
        <v>18</v>
      </c>
      <c r="O57" t="s">
        <v>362</v>
      </c>
    </row>
    <row r="58" spans="1:15" x14ac:dyDescent="0.2">
      <c r="A58" t="s">
        <v>343</v>
      </c>
      <c r="B58" t="s">
        <v>345</v>
      </c>
      <c r="C58">
        <v>9</v>
      </c>
      <c r="D58" t="s">
        <v>17</v>
      </c>
      <c r="E58" t="s">
        <v>17</v>
      </c>
      <c r="F58">
        <v>7</v>
      </c>
      <c r="G58" t="s">
        <v>17</v>
      </c>
      <c r="H58" t="s">
        <v>17</v>
      </c>
      <c r="I58">
        <v>8.9166029999999993E-2</v>
      </c>
      <c r="J58">
        <v>2.2727300000000001</v>
      </c>
      <c r="K58">
        <v>2.0265000000000001E-3</v>
      </c>
      <c r="L58" t="s">
        <v>17</v>
      </c>
      <c r="M58">
        <v>298</v>
      </c>
      <c r="N58" t="s">
        <v>18</v>
      </c>
      <c r="O58" t="s">
        <v>363</v>
      </c>
    </row>
    <row r="59" spans="1:15" x14ac:dyDescent="0.2">
      <c r="A59" t="s">
        <v>343</v>
      </c>
      <c r="B59" t="s">
        <v>343</v>
      </c>
      <c r="C59">
        <v>9</v>
      </c>
      <c r="D59" t="s">
        <v>17</v>
      </c>
      <c r="E59" t="s">
        <v>17</v>
      </c>
      <c r="F59">
        <v>7</v>
      </c>
      <c r="G59" t="s">
        <v>17</v>
      </c>
      <c r="H59" t="s">
        <v>17</v>
      </c>
      <c r="I59">
        <v>6.3835020000000006E-2</v>
      </c>
      <c r="J59">
        <v>1.5872999999999999</v>
      </c>
      <c r="K59">
        <v>1.01325E-3</v>
      </c>
      <c r="L59" t="s">
        <v>17</v>
      </c>
      <c r="M59">
        <v>298</v>
      </c>
      <c r="N59" t="s">
        <v>18</v>
      </c>
      <c r="O59" t="s">
        <v>363</v>
      </c>
    </row>
    <row r="60" spans="1:15" x14ac:dyDescent="0.2">
      <c r="A60" t="s">
        <v>343</v>
      </c>
      <c r="B60" t="s">
        <v>347</v>
      </c>
      <c r="C60">
        <v>9</v>
      </c>
      <c r="D60" t="s">
        <v>17</v>
      </c>
      <c r="E60" t="s">
        <v>17</v>
      </c>
      <c r="F60">
        <v>7</v>
      </c>
      <c r="G60" t="s">
        <v>17</v>
      </c>
      <c r="H60" t="s">
        <v>17</v>
      </c>
      <c r="I60">
        <v>9.2205780000000001E-2</v>
      </c>
      <c r="J60">
        <v>2.1739099999999998</v>
      </c>
      <c r="K60">
        <v>2.0265000000000001E-3</v>
      </c>
      <c r="L60" t="s">
        <v>17</v>
      </c>
      <c r="M60">
        <v>298</v>
      </c>
      <c r="N60" t="s">
        <v>18</v>
      </c>
      <c r="O60" t="s">
        <v>363</v>
      </c>
    </row>
    <row r="61" spans="1:15" x14ac:dyDescent="0.2">
      <c r="A61" t="s">
        <v>343</v>
      </c>
      <c r="B61" t="s">
        <v>346</v>
      </c>
      <c r="C61">
        <v>9</v>
      </c>
      <c r="D61" t="s">
        <v>17</v>
      </c>
      <c r="E61" t="s">
        <v>17</v>
      </c>
      <c r="F61">
        <v>7</v>
      </c>
      <c r="G61" t="s">
        <v>17</v>
      </c>
      <c r="H61" t="s">
        <v>17</v>
      </c>
      <c r="I61">
        <v>9.3219029999999994E-2</v>
      </c>
      <c r="J61">
        <v>2.1739099999999998</v>
      </c>
      <c r="K61">
        <v>2.0265000000000001E-3</v>
      </c>
      <c r="L61" t="s">
        <v>17</v>
      </c>
      <c r="M61">
        <v>298</v>
      </c>
      <c r="N61" t="s">
        <v>18</v>
      </c>
      <c r="O61" t="s">
        <v>363</v>
      </c>
    </row>
    <row r="62" spans="1:15" x14ac:dyDescent="0.2">
      <c r="A62" t="s">
        <v>343</v>
      </c>
      <c r="B62" t="s">
        <v>345</v>
      </c>
      <c r="C62">
        <v>9</v>
      </c>
      <c r="D62" t="s">
        <v>17</v>
      </c>
      <c r="E62" t="s">
        <v>17</v>
      </c>
      <c r="F62">
        <v>8</v>
      </c>
      <c r="G62" t="s">
        <v>17</v>
      </c>
      <c r="H62" t="s">
        <v>17</v>
      </c>
      <c r="I62">
        <v>8.3086519999999997E-2</v>
      </c>
      <c r="J62">
        <v>4.81928</v>
      </c>
      <c r="K62">
        <v>4.0032799999999997E-3</v>
      </c>
      <c r="L62" t="s">
        <v>17</v>
      </c>
      <c r="M62">
        <v>298</v>
      </c>
      <c r="N62" t="s">
        <v>18</v>
      </c>
      <c r="O62" t="s">
        <v>364</v>
      </c>
    </row>
    <row r="63" spans="1:15" x14ac:dyDescent="0.2">
      <c r="A63" t="s">
        <v>343</v>
      </c>
      <c r="B63" t="s">
        <v>343</v>
      </c>
      <c r="C63">
        <v>9</v>
      </c>
      <c r="D63" t="s">
        <v>17</v>
      </c>
      <c r="E63" t="s">
        <v>17</v>
      </c>
      <c r="F63">
        <v>8</v>
      </c>
      <c r="G63" t="s">
        <v>17</v>
      </c>
      <c r="H63" t="s">
        <v>17</v>
      </c>
      <c r="I63">
        <v>6.0795269999999998E-2</v>
      </c>
      <c r="J63">
        <v>3.2786900000000001</v>
      </c>
      <c r="K63">
        <v>1.9932499999999998E-3</v>
      </c>
      <c r="L63" t="s">
        <v>17</v>
      </c>
      <c r="M63">
        <v>298</v>
      </c>
      <c r="N63" t="s">
        <v>18</v>
      </c>
      <c r="O63" t="s">
        <v>364</v>
      </c>
    </row>
    <row r="64" spans="1:15" x14ac:dyDescent="0.2">
      <c r="A64" t="s">
        <v>343</v>
      </c>
      <c r="B64" t="s">
        <v>347</v>
      </c>
      <c r="C64">
        <v>9</v>
      </c>
      <c r="D64" t="s">
        <v>17</v>
      </c>
      <c r="E64" t="s">
        <v>17</v>
      </c>
      <c r="F64">
        <v>8</v>
      </c>
      <c r="G64" t="s">
        <v>17</v>
      </c>
      <c r="H64" t="s">
        <v>17</v>
      </c>
      <c r="I64">
        <v>8.4099770000000004E-2</v>
      </c>
      <c r="J64">
        <v>4.65116</v>
      </c>
      <c r="K64">
        <v>3.9032799999999999E-3</v>
      </c>
      <c r="L64" t="s">
        <v>17</v>
      </c>
      <c r="M64">
        <v>298</v>
      </c>
      <c r="N64" t="s">
        <v>18</v>
      </c>
      <c r="O64" t="s">
        <v>364</v>
      </c>
    </row>
    <row r="65" spans="1:15" x14ac:dyDescent="0.2">
      <c r="A65" t="s">
        <v>343</v>
      </c>
      <c r="B65" t="s">
        <v>346</v>
      </c>
      <c r="C65">
        <v>9</v>
      </c>
      <c r="D65" t="s">
        <v>17</v>
      </c>
      <c r="E65" t="s">
        <v>17</v>
      </c>
      <c r="F65">
        <v>8</v>
      </c>
      <c r="G65" t="s">
        <v>17</v>
      </c>
      <c r="H65" t="s">
        <v>17</v>
      </c>
      <c r="I65">
        <v>8.3086519999999997E-2</v>
      </c>
      <c r="J65">
        <v>4.5976999999999997</v>
      </c>
      <c r="K65">
        <v>3.9032799999999999E-3</v>
      </c>
      <c r="L65" t="s">
        <v>17</v>
      </c>
      <c r="M65">
        <v>298</v>
      </c>
      <c r="N65" t="s">
        <v>18</v>
      </c>
      <c r="O65" t="s">
        <v>364</v>
      </c>
    </row>
    <row r="66" spans="1:15" x14ac:dyDescent="0.2">
      <c r="A66" t="s">
        <v>343</v>
      </c>
      <c r="B66" t="s">
        <v>345</v>
      </c>
      <c r="C66">
        <v>10</v>
      </c>
      <c r="D66" t="s">
        <v>17</v>
      </c>
      <c r="E66" t="s">
        <v>17</v>
      </c>
      <c r="F66">
        <v>8</v>
      </c>
      <c r="G66" t="s">
        <v>17</v>
      </c>
      <c r="H66" t="s">
        <v>17</v>
      </c>
      <c r="I66">
        <v>8.1060019999999997E-2</v>
      </c>
      <c r="J66">
        <v>2.4691399999999999</v>
      </c>
      <c r="K66">
        <v>2.0010000000000002E-3</v>
      </c>
      <c r="L66" t="s">
        <v>17</v>
      </c>
      <c r="M66">
        <v>298</v>
      </c>
      <c r="N66" t="s">
        <v>18</v>
      </c>
      <c r="O66" t="s">
        <v>365</v>
      </c>
    </row>
    <row r="67" spans="1:15" x14ac:dyDescent="0.2">
      <c r="A67" t="s">
        <v>343</v>
      </c>
      <c r="B67" t="s">
        <v>343</v>
      </c>
      <c r="C67">
        <v>10</v>
      </c>
      <c r="D67" t="s">
        <v>17</v>
      </c>
      <c r="E67" t="s">
        <v>17</v>
      </c>
      <c r="F67">
        <v>8</v>
      </c>
      <c r="G67" t="s">
        <v>17</v>
      </c>
      <c r="H67" t="s">
        <v>17</v>
      </c>
      <c r="I67">
        <v>5.7755519999999998E-2</v>
      </c>
      <c r="J67">
        <v>1.72414</v>
      </c>
      <c r="K67">
        <v>9.9649999999999999E-4</v>
      </c>
      <c r="L67" t="s">
        <v>17</v>
      </c>
      <c r="M67">
        <v>298</v>
      </c>
      <c r="N67" t="s">
        <v>18</v>
      </c>
      <c r="O67" t="s">
        <v>365</v>
      </c>
    </row>
    <row r="68" spans="1:15" x14ac:dyDescent="0.2">
      <c r="A68" t="s">
        <v>343</v>
      </c>
      <c r="B68" t="s">
        <v>347</v>
      </c>
      <c r="C68">
        <v>10</v>
      </c>
      <c r="D68" t="s">
        <v>17</v>
      </c>
      <c r="E68" t="s">
        <v>17</v>
      </c>
      <c r="F68">
        <v>8</v>
      </c>
      <c r="G68" t="s">
        <v>17</v>
      </c>
      <c r="H68" t="s">
        <v>17</v>
      </c>
      <c r="I68">
        <v>8.4099770000000004E-2</v>
      </c>
      <c r="J68">
        <v>2.3809499999999999</v>
      </c>
      <c r="K68">
        <v>2.0010000000000002E-3</v>
      </c>
      <c r="L68" t="s">
        <v>17</v>
      </c>
      <c r="M68">
        <v>298</v>
      </c>
      <c r="N68" t="s">
        <v>18</v>
      </c>
      <c r="O68" t="s">
        <v>365</v>
      </c>
    </row>
    <row r="69" spans="1:15" x14ac:dyDescent="0.2">
      <c r="A69" t="s">
        <v>343</v>
      </c>
      <c r="B69" t="s">
        <v>346</v>
      </c>
      <c r="C69">
        <v>10</v>
      </c>
      <c r="D69" t="s">
        <v>17</v>
      </c>
      <c r="E69" t="s">
        <v>17</v>
      </c>
      <c r="F69">
        <v>8</v>
      </c>
      <c r="G69" t="s">
        <v>17</v>
      </c>
      <c r="H69" t="s">
        <v>17</v>
      </c>
      <c r="I69">
        <v>8.3086519999999997E-2</v>
      </c>
      <c r="J69">
        <v>2.40964</v>
      </c>
      <c r="K69">
        <v>2.0010000000000002E-3</v>
      </c>
      <c r="L69" t="s">
        <v>17</v>
      </c>
      <c r="M69">
        <v>298</v>
      </c>
      <c r="N69" t="s">
        <v>18</v>
      </c>
      <c r="O69" t="s">
        <v>365</v>
      </c>
    </row>
    <row r="70" spans="1:15" x14ac:dyDescent="0.2">
      <c r="A70" t="s">
        <v>343</v>
      </c>
      <c r="B70" t="s">
        <v>345</v>
      </c>
      <c r="C70">
        <v>10</v>
      </c>
      <c r="D70" t="s">
        <v>17</v>
      </c>
      <c r="E70" t="s">
        <v>17</v>
      </c>
      <c r="F70">
        <v>9</v>
      </c>
      <c r="G70" t="s">
        <v>17</v>
      </c>
      <c r="H70" t="s">
        <v>17</v>
      </c>
      <c r="I70">
        <v>7.2968770000000002E-2</v>
      </c>
      <c r="J70">
        <v>4.1666699999999999</v>
      </c>
      <c r="K70">
        <v>3.0400000000000002E-3</v>
      </c>
      <c r="L70" t="s">
        <v>17</v>
      </c>
      <c r="M70">
        <v>298</v>
      </c>
      <c r="N70" t="s">
        <v>18</v>
      </c>
      <c r="O70" t="s">
        <v>366</v>
      </c>
    </row>
    <row r="71" spans="1:15" x14ac:dyDescent="0.2">
      <c r="A71" t="s">
        <v>343</v>
      </c>
      <c r="B71" t="s">
        <v>343</v>
      </c>
      <c r="C71">
        <v>10</v>
      </c>
      <c r="D71" t="s">
        <v>17</v>
      </c>
      <c r="E71" t="s">
        <v>17</v>
      </c>
      <c r="F71">
        <v>9</v>
      </c>
      <c r="G71" t="s">
        <v>17</v>
      </c>
      <c r="H71" t="s">
        <v>17</v>
      </c>
      <c r="I71">
        <v>5.1676020000000003E-2</v>
      </c>
      <c r="J71">
        <v>3.8461500000000002</v>
      </c>
      <c r="K71">
        <v>1.9859999999999999E-3</v>
      </c>
      <c r="L71" t="s">
        <v>17</v>
      </c>
      <c r="M71">
        <v>298</v>
      </c>
      <c r="N71" t="s">
        <v>18</v>
      </c>
      <c r="O71" t="s">
        <v>366</v>
      </c>
    </row>
    <row r="72" spans="1:15" x14ac:dyDescent="0.2">
      <c r="A72" t="s">
        <v>343</v>
      </c>
      <c r="B72" t="s">
        <v>347</v>
      </c>
      <c r="C72">
        <v>10</v>
      </c>
      <c r="D72" t="s">
        <v>17</v>
      </c>
      <c r="E72" t="s">
        <v>17</v>
      </c>
      <c r="F72">
        <v>9</v>
      </c>
      <c r="G72" t="s">
        <v>17</v>
      </c>
      <c r="H72" t="s">
        <v>17</v>
      </c>
      <c r="I72">
        <v>7.8034019999999996E-2</v>
      </c>
      <c r="J72">
        <v>3.8461500000000002</v>
      </c>
      <c r="K72">
        <v>3.0000000000000001E-3</v>
      </c>
      <c r="L72" t="s">
        <v>17</v>
      </c>
      <c r="M72">
        <v>298</v>
      </c>
      <c r="N72" t="s">
        <v>18</v>
      </c>
      <c r="O72" t="s">
        <v>366</v>
      </c>
    </row>
    <row r="73" spans="1:15" x14ac:dyDescent="0.2">
      <c r="A73" t="s">
        <v>343</v>
      </c>
      <c r="B73" t="s">
        <v>346</v>
      </c>
      <c r="C73">
        <v>10</v>
      </c>
      <c r="D73" t="s">
        <v>17</v>
      </c>
      <c r="E73" t="s">
        <v>17</v>
      </c>
      <c r="F73">
        <v>9</v>
      </c>
      <c r="G73" t="s">
        <v>17</v>
      </c>
      <c r="H73" t="s">
        <v>17</v>
      </c>
      <c r="I73">
        <v>7.4994270000000002E-2</v>
      </c>
      <c r="J73">
        <v>4.0540500000000002</v>
      </c>
      <c r="K73">
        <v>3.0400000000000002E-3</v>
      </c>
      <c r="L73" t="s">
        <v>17</v>
      </c>
      <c r="M73">
        <v>298</v>
      </c>
      <c r="N73" t="s">
        <v>18</v>
      </c>
      <c r="O73" t="s">
        <v>366</v>
      </c>
    </row>
    <row r="74" spans="1:15" x14ac:dyDescent="0.2">
      <c r="A74" t="s">
        <v>343</v>
      </c>
      <c r="B74" t="s">
        <v>345</v>
      </c>
      <c r="C74">
        <v>11</v>
      </c>
      <c r="D74" t="s">
        <v>17</v>
      </c>
      <c r="E74" t="s">
        <v>17</v>
      </c>
      <c r="F74">
        <v>9</v>
      </c>
      <c r="G74" t="s">
        <v>17</v>
      </c>
      <c r="H74" t="s">
        <v>17</v>
      </c>
      <c r="I74">
        <v>7.0942270000000002E-2</v>
      </c>
      <c r="J74">
        <v>3.8709699999999998</v>
      </c>
      <c r="K74">
        <v>2.74625E-3</v>
      </c>
      <c r="L74" t="s">
        <v>17</v>
      </c>
      <c r="M74">
        <v>298</v>
      </c>
      <c r="N74" t="s">
        <v>18</v>
      </c>
      <c r="O74" t="s">
        <v>367</v>
      </c>
    </row>
    <row r="75" spans="1:15" x14ac:dyDescent="0.2">
      <c r="A75" t="s">
        <v>343</v>
      </c>
      <c r="B75" t="s">
        <v>343</v>
      </c>
      <c r="C75">
        <v>11</v>
      </c>
      <c r="D75" t="s">
        <v>17</v>
      </c>
      <c r="E75" t="s">
        <v>17</v>
      </c>
      <c r="F75">
        <v>9</v>
      </c>
      <c r="G75" t="s">
        <v>17</v>
      </c>
      <c r="H75" t="s">
        <v>17</v>
      </c>
      <c r="I75">
        <v>5.5729019999999997E-2</v>
      </c>
      <c r="J75">
        <v>1.88679</v>
      </c>
      <c r="K75">
        <v>1.05075E-3</v>
      </c>
      <c r="L75" t="s">
        <v>17</v>
      </c>
      <c r="M75">
        <v>298</v>
      </c>
      <c r="N75" t="s">
        <v>18</v>
      </c>
      <c r="O75" t="s">
        <v>367</v>
      </c>
    </row>
    <row r="76" spans="1:15" x14ac:dyDescent="0.2">
      <c r="A76" t="s">
        <v>343</v>
      </c>
      <c r="B76" t="s">
        <v>347</v>
      </c>
      <c r="C76">
        <v>11</v>
      </c>
      <c r="D76" t="s">
        <v>17</v>
      </c>
      <c r="E76" t="s">
        <v>17</v>
      </c>
      <c r="F76">
        <v>9</v>
      </c>
      <c r="G76" t="s">
        <v>17</v>
      </c>
      <c r="H76" t="s">
        <v>17</v>
      </c>
      <c r="I76">
        <v>8.815278E-2</v>
      </c>
      <c r="J76">
        <v>3.75</v>
      </c>
      <c r="K76">
        <v>3.3062500000000002E-3</v>
      </c>
      <c r="L76" t="s">
        <v>17</v>
      </c>
      <c r="M76">
        <v>298</v>
      </c>
      <c r="N76" t="s">
        <v>18</v>
      </c>
      <c r="O76" t="s">
        <v>367</v>
      </c>
    </row>
    <row r="77" spans="1:15" x14ac:dyDescent="0.2">
      <c r="A77" t="s">
        <v>343</v>
      </c>
      <c r="B77" t="s">
        <v>346</v>
      </c>
      <c r="C77">
        <v>11</v>
      </c>
      <c r="D77" t="s">
        <v>17</v>
      </c>
      <c r="E77" t="s">
        <v>17</v>
      </c>
      <c r="F77">
        <v>9</v>
      </c>
      <c r="G77" t="s">
        <v>17</v>
      </c>
      <c r="H77" t="s">
        <v>17</v>
      </c>
      <c r="I77">
        <v>8.4099770000000004E-2</v>
      </c>
      <c r="J77">
        <v>3.75</v>
      </c>
      <c r="K77">
        <v>3.153E-3</v>
      </c>
      <c r="L77" t="s">
        <v>17</v>
      </c>
      <c r="M77">
        <v>298</v>
      </c>
      <c r="N77" t="s">
        <v>18</v>
      </c>
      <c r="O77" t="s">
        <v>367</v>
      </c>
    </row>
    <row r="78" spans="1:15" x14ac:dyDescent="0.2">
      <c r="A78" t="s">
        <v>343</v>
      </c>
      <c r="B78" t="s">
        <v>345</v>
      </c>
      <c r="C78">
        <v>11</v>
      </c>
      <c r="D78" t="s">
        <v>17</v>
      </c>
      <c r="E78" t="s">
        <v>17</v>
      </c>
      <c r="F78">
        <v>10</v>
      </c>
      <c r="G78" t="s">
        <v>17</v>
      </c>
      <c r="H78" t="s">
        <v>17</v>
      </c>
      <c r="I78">
        <v>8.3086519999999997E-2</v>
      </c>
      <c r="J78">
        <v>6.0240999999999998</v>
      </c>
      <c r="K78">
        <v>5.0000000000000001E-3</v>
      </c>
      <c r="L78" t="s">
        <v>17</v>
      </c>
      <c r="M78">
        <v>298</v>
      </c>
      <c r="N78" t="s">
        <v>18</v>
      </c>
      <c r="O78" t="s">
        <v>368</v>
      </c>
    </row>
    <row r="79" spans="1:15" x14ac:dyDescent="0.2">
      <c r="A79" t="s">
        <v>343</v>
      </c>
      <c r="B79" t="s">
        <v>343</v>
      </c>
      <c r="C79">
        <v>11</v>
      </c>
      <c r="D79" t="s">
        <v>17</v>
      </c>
      <c r="E79" t="s">
        <v>17</v>
      </c>
      <c r="F79">
        <v>10</v>
      </c>
      <c r="G79" t="s">
        <v>17</v>
      </c>
      <c r="H79" t="s">
        <v>17</v>
      </c>
      <c r="I79">
        <v>6.3835020000000006E-2</v>
      </c>
      <c r="J79">
        <v>4.9180299999999999</v>
      </c>
      <c r="K79">
        <v>3.1384999999999998E-3</v>
      </c>
      <c r="L79" t="s">
        <v>17</v>
      </c>
      <c r="M79">
        <v>298</v>
      </c>
      <c r="N79" t="s">
        <v>18</v>
      </c>
      <c r="O79" t="s">
        <v>368</v>
      </c>
    </row>
    <row r="80" spans="1:15" x14ac:dyDescent="0.2">
      <c r="A80" t="s">
        <v>343</v>
      </c>
      <c r="B80" t="s">
        <v>347</v>
      </c>
      <c r="C80">
        <v>11</v>
      </c>
      <c r="D80" t="s">
        <v>17</v>
      </c>
      <c r="E80" t="s">
        <v>17</v>
      </c>
      <c r="F80">
        <v>10</v>
      </c>
      <c r="G80" t="s">
        <v>17</v>
      </c>
      <c r="H80" t="s">
        <v>17</v>
      </c>
      <c r="I80">
        <v>8.7139530000000007E-2</v>
      </c>
      <c r="J80">
        <v>5.49451</v>
      </c>
      <c r="K80">
        <v>4.7910000000000001E-3</v>
      </c>
      <c r="L80" t="s">
        <v>17</v>
      </c>
      <c r="M80">
        <v>298</v>
      </c>
      <c r="N80" t="s">
        <v>18</v>
      </c>
      <c r="O80" t="s">
        <v>368</v>
      </c>
    </row>
    <row r="81" spans="1:15" x14ac:dyDescent="0.2">
      <c r="A81" t="s">
        <v>343</v>
      </c>
      <c r="B81" t="s">
        <v>346</v>
      </c>
      <c r="C81">
        <v>11</v>
      </c>
      <c r="D81" t="s">
        <v>17</v>
      </c>
      <c r="E81" t="s">
        <v>17</v>
      </c>
      <c r="F81">
        <v>10</v>
      </c>
      <c r="G81" t="s">
        <v>17</v>
      </c>
      <c r="H81" t="s">
        <v>17</v>
      </c>
      <c r="I81">
        <v>8.2073270000000004E-2</v>
      </c>
      <c r="J81">
        <v>5.8139500000000002</v>
      </c>
      <c r="K81">
        <v>4.7724999999999998E-3</v>
      </c>
      <c r="L81" t="s">
        <v>17</v>
      </c>
      <c r="M81">
        <v>298</v>
      </c>
      <c r="N81" t="s">
        <v>18</v>
      </c>
      <c r="O81" t="s">
        <v>368</v>
      </c>
    </row>
    <row r="82" spans="1:15" x14ac:dyDescent="0.2">
      <c r="A82" t="s">
        <v>343</v>
      </c>
      <c r="B82" t="s">
        <v>345</v>
      </c>
      <c r="C82">
        <v>12</v>
      </c>
      <c r="D82" t="s">
        <v>17</v>
      </c>
      <c r="E82" t="s">
        <v>17</v>
      </c>
      <c r="F82">
        <v>10</v>
      </c>
      <c r="G82" t="s">
        <v>17</v>
      </c>
      <c r="H82" t="s">
        <v>17</v>
      </c>
      <c r="I82">
        <v>7.9033519999999996E-2</v>
      </c>
      <c r="J82">
        <v>5.46875</v>
      </c>
      <c r="K82">
        <v>4.3214999999999998E-3</v>
      </c>
      <c r="L82" t="s">
        <v>17</v>
      </c>
      <c r="M82">
        <v>298</v>
      </c>
      <c r="N82" t="s">
        <v>18</v>
      </c>
      <c r="O82" t="s">
        <v>369</v>
      </c>
    </row>
    <row r="83" spans="1:15" x14ac:dyDescent="0.2">
      <c r="A83" t="s">
        <v>343</v>
      </c>
      <c r="B83" t="s">
        <v>343</v>
      </c>
      <c r="C83">
        <v>12</v>
      </c>
      <c r="D83" t="s">
        <v>17</v>
      </c>
      <c r="E83" t="s">
        <v>17</v>
      </c>
      <c r="F83">
        <v>10</v>
      </c>
      <c r="G83" t="s">
        <v>17</v>
      </c>
      <c r="H83" t="s">
        <v>17</v>
      </c>
      <c r="I83">
        <v>5.5729019999999997E-2</v>
      </c>
      <c r="J83">
        <v>3.5989399999999998</v>
      </c>
      <c r="K83">
        <v>2.0032499999999998E-3</v>
      </c>
      <c r="L83" t="s">
        <v>17</v>
      </c>
      <c r="M83">
        <v>298</v>
      </c>
      <c r="N83" t="s">
        <v>18</v>
      </c>
      <c r="O83" t="s">
        <v>369</v>
      </c>
    </row>
    <row r="84" spans="1:15" x14ac:dyDescent="0.2">
      <c r="A84" t="s">
        <v>343</v>
      </c>
      <c r="B84" t="s">
        <v>347</v>
      </c>
      <c r="C84">
        <v>12</v>
      </c>
      <c r="D84" t="s">
        <v>17</v>
      </c>
      <c r="E84" t="s">
        <v>17</v>
      </c>
      <c r="F84">
        <v>10</v>
      </c>
      <c r="G84" t="s">
        <v>17</v>
      </c>
      <c r="H84" t="s">
        <v>17</v>
      </c>
      <c r="I84">
        <v>8.7139530000000007E-2</v>
      </c>
      <c r="J84">
        <v>4.81928</v>
      </c>
      <c r="K84">
        <v>4.1925E-3</v>
      </c>
      <c r="L84" t="s">
        <v>17</v>
      </c>
      <c r="M84">
        <v>298</v>
      </c>
      <c r="N84" t="s">
        <v>18</v>
      </c>
      <c r="O84" t="s">
        <v>369</v>
      </c>
    </row>
    <row r="85" spans="1:15" x14ac:dyDescent="0.2">
      <c r="A85" t="s">
        <v>343</v>
      </c>
      <c r="B85" t="s">
        <v>346</v>
      </c>
      <c r="C85">
        <v>12</v>
      </c>
      <c r="D85" t="s">
        <v>17</v>
      </c>
      <c r="E85" t="s">
        <v>17</v>
      </c>
      <c r="F85">
        <v>10</v>
      </c>
      <c r="G85" t="s">
        <v>17</v>
      </c>
      <c r="H85" t="s">
        <v>17</v>
      </c>
      <c r="I85">
        <v>8.2073270000000004E-2</v>
      </c>
      <c r="J85">
        <v>4.9157299999999999</v>
      </c>
      <c r="K85">
        <v>4.0359999999999997E-3</v>
      </c>
      <c r="L85" t="s">
        <v>17</v>
      </c>
      <c r="M85">
        <v>298</v>
      </c>
      <c r="N85" t="s">
        <v>18</v>
      </c>
      <c r="O85" t="s">
        <v>369</v>
      </c>
    </row>
    <row r="86" spans="1:15" x14ac:dyDescent="0.2">
      <c r="A86" t="s">
        <v>343</v>
      </c>
      <c r="B86" t="s">
        <v>345</v>
      </c>
      <c r="C86">
        <v>12</v>
      </c>
      <c r="D86" t="s">
        <v>17</v>
      </c>
      <c r="E86" t="s">
        <v>17</v>
      </c>
      <c r="F86">
        <v>11</v>
      </c>
      <c r="G86" t="s">
        <v>17</v>
      </c>
      <c r="H86" t="s">
        <v>17</v>
      </c>
      <c r="I86">
        <v>7.8020270000000003E-2</v>
      </c>
      <c r="J86">
        <v>8.6419800000000002</v>
      </c>
      <c r="K86">
        <v>6.74925E-3</v>
      </c>
      <c r="L86" t="s">
        <v>17</v>
      </c>
      <c r="M86">
        <v>298</v>
      </c>
      <c r="N86" t="s">
        <v>18</v>
      </c>
      <c r="O86" t="s">
        <v>370</v>
      </c>
    </row>
    <row r="87" spans="1:15" x14ac:dyDescent="0.2">
      <c r="A87" t="s">
        <v>343</v>
      </c>
      <c r="B87" t="s">
        <v>343</v>
      </c>
      <c r="C87">
        <v>12</v>
      </c>
      <c r="D87" t="s">
        <v>17</v>
      </c>
      <c r="E87" t="s">
        <v>17</v>
      </c>
      <c r="F87">
        <v>11</v>
      </c>
      <c r="G87" t="s">
        <v>17</v>
      </c>
      <c r="H87" t="s">
        <v>17</v>
      </c>
      <c r="I87">
        <v>5.7755519999999998E-2</v>
      </c>
      <c r="J87">
        <v>6.7796599999999998</v>
      </c>
      <c r="K87">
        <v>3.9137499999999997E-3</v>
      </c>
      <c r="L87" t="s">
        <v>17</v>
      </c>
      <c r="M87">
        <v>298</v>
      </c>
      <c r="N87" t="s">
        <v>18</v>
      </c>
      <c r="O87" t="s">
        <v>370</v>
      </c>
    </row>
    <row r="88" spans="1:15" x14ac:dyDescent="0.2">
      <c r="A88" t="s">
        <v>343</v>
      </c>
      <c r="B88" t="s">
        <v>347</v>
      </c>
      <c r="C88">
        <v>12</v>
      </c>
      <c r="D88" t="s">
        <v>17</v>
      </c>
      <c r="E88" t="s">
        <v>17</v>
      </c>
      <c r="F88">
        <v>11</v>
      </c>
      <c r="G88" t="s">
        <v>17</v>
      </c>
      <c r="H88" t="s">
        <v>17</v>
      </c>
      <c r="I88">
        <v>8.5113030000000006E-2</v>
      </c>
      <c r="J88">
        <v>8.1788100000000004</v>
      </c>
      <c r="K88">
        <v>6.9632499999999998E-3</v>
      </c>
      <c r="L88" t="s">
        <v>17</v>
      </c>
      <c r="M88">
        <v>298</v>
      </c>
      <c r="N88" t="s">
        <v>18</v>
      </c>
      <c r="O88" t="s">
        <v>370</v>
      </c>
    </row>
    <row r="89" spans="1:15" x14ac:dyDescent="0.2">
      <c r="A89" t="s">
        <v>343</v>
      </c>
      <c r="B89" t="s">
        <v>346</v>
      </c>
      <c r="C89">
        <v>12</v>
      </c>
      <c r="D89" t="s">
        <v>17</v>
      </c>
      <c r="E89" t="s">
        <v>17</v>
      </c>
      <c r="F89">
        <v>11</v>
      </c>
      <c r="G89" t="s">
        <v>17</v>
      </c>
      <c r="H89" t="s">
        <v>17</v>
      </c>
      <c r="I89">
        <v>8.2073270000000004E-2</v>
      </c>
      <c r="J89">
        <v>8.3333300000000001</v>
      </c>
      <c r="K89">
        <v>6.8392499999999998E-3</v>
      </c>
      <c r="L89" t="s">
        <v>17</v>
      </c>
      <c r="M89">
        <v>298</v>
      </c>
      <c r="N89" t="s">
        <v>18</v>
      </c>
      <c r="O89" t="s">
        <v>370</v>
      </c>
    </row>
    <row r="90" spans="1:15" x14ac:dyDescent="0.2">
      <c r="A90" t="s">
        <v>343</v>
      </c>
      <c r="B90" t="s">
        <v>345</v>
      </c>
      <c r="C90">
        <v>13</v>
      </c>
      <c r="D90" t="s">
        <v>17</v>
      </c>
      <c r="E90" t="s">
        <v>17</v>
      </c>
      <c r="F90">
        <v>11</v>
      </c>
      <c r="G90" t="s">
        <v>17</v>
      </c>
      <c r="H90" t="s">
        <v>17</v>
      </c>
      <c r="I90">
        <v>7.6993820000000004E-2</v>
      </c>
      <c r="J90">
        <v>9.45946</v>
      </c>
      <c r="K90">
        <v>7.2837500000000003E-3</v>
      </c>
      <c r="L90" t="s">
        <v>17</v>
      </c>
      <c r="M90">
        <v>298</v>
      </c>
      <c r="N90" t="s">
        <v>18</v>
      </c>
      <c r="O90" t="s">
        <v>371</v>
      </c>
    </row>
    <row r="91" spans="1:15" x14ac:dyDescent="0.2">
      <c r="A91" t="s">
        <v>343</v>
      </c>
      <c r="B91" t="s">
        <v>343</v>
      </c>
      <c r="C91">
        <v>13</v>
      </c>
      <c r="D91" t="s">
        <v>17</v>
      </c>
      <c r="E91" t="s">
        <v>17</v>
      </c>
      <c r="F91">
        <v>11</v>
      </c>
      <c r="G91" t="s">
        <v>17</v>
      </c>
      <c r="H91" t="s">
        <v>17</v>
      </c>
      <c r="I91">
        <v>5.5729019999999997E-2</v>
      </c>
      <c r="J91">
        <v>7.2463800000000003</v>
      </c>
      <c r="K91">
        <v>4.0390000000000001E-3</v>
      </c>
      <c r="L91" t="s">
        <v>17</v>
      </c>
      <c r="M91">
        <v>298</v>
      </c>
      <c r="N91" t="s">
        <v>18</v>
      </c>
      <c r="O91" t="s">
        <v>371</v>
      </c>
    </row>
    <row r="92" spans="1:15" x14ac:dyDescent="0.2">
      <c r="A92" t="s">
        <v>343</v>
      </c>
      <c r="B92" t="s">
        <v>347</v>
      </c>
      <c r="C92">
        <v>13</v>
      </c>
      <c r="D92" t="s">
        <v>17</v>
      </c>
      <c r="E92" t="s">
        <v>17</v>
      </c>
      <c r="F92">
        <v>11</v>
      </c>
      <c r="G92" t="s">
        <v>17</v>
      </c>
      <c r="H92" t="s">
        <v>17</v>
      </c>
      <c r="I92">
        <v>8.5113030000000006E-2</v>
      </c>
      <c r="J92">
        <v>8.1871299999999998</v>
      </c>
      <c r="K92">
        <v>6.9734999999999997E-3</v>
      </c>
      <c r="L92" t="s">
        <v>17</v>
      </c>
      <c r="M92">
        <v>298</v>
      </c>
      <c r="N92" t="s">
        <v>18</v>
      </c>
      <c r="O92" t="s">
        <v>371</v>
      </c>
    </row>
    <row r="93" spans="1:15" x14ac:dyDescent="0.2">
      <c r="A93" t="s">
        <v>343</v>
      </c>
      <c r="B93" t="s">
        <v>346</v>
      </c>
      <c r="C93">
        <v>13</v>
      </c>
      <c r="D93" t="s">
        <v>17</v>
      </c>
      <c r="E93" t="s">
        <v>17</v>
      </c>
      <c r="F93">
        <v>11</v>
      </c>
      <c r="G93" t="s">
        <v>17</v>
      </c>
      <c r="H93" t="s">
        <v>17</v>
      </c>
      <c r="I93">
        <v>8.2073270000000004E-2</v>
      </c>
      <c r="J93">
        <v>8.5399399999999996</v>
      </c>
      <c r="K93">
        <v>7.0077500000000001E-3</v>
      </c>
      <c r="L93" t="s">
        <v>17</v>
      </c>
      <c r="M93">
        <v>298</v>
      </c>
      <c r="N93" t="s">
        <v>18</v>
      </c>
      <c r="O93" t="s">
        <v>371</v>
      </c>
    </row>
    <row r="94" spans="1:15" x14ac:dyDescent="0.2">
      <c r="A94" t="s">
        <v>343</v>
      </c>
      <c r="B94" t="s">
        <v>345</v>
      </c>
      <c r="C94">
        <v>14</v>
      </c>
      <c r="D94" t="s">
        <v>17</v>
      </c>
      <c r="E94" t="s">
        <v>17</v>
      </c>
      <c r="F94">
        <v>12</v>
      </c>
      <c r="G94" t="s">
        <v>17</v>
      </c>
      <c r="H94" t="s">
        <v>17</v>
      </c>
      <c r="I94">
        <v>7.4954069999999998E-2</v>
      </c>
      <c r="J94">
        <v>12.16216</v>
      </c>
      <c r="K94">
        <v>9.1072500000000008E-3</v>
      </c>
      <c r="L94" t="s">
        <v>17</v>
      </c>
      <c r="M94">
        <v>298</v>
      </c>
      <c r="N94" t="s">
        <v>18</v>
      </c>
      <c r="O94" t="s">
        <v>372</v>
      </c>
    </row>
    <row r="95" spans="1:15" x14ac:dyDescent="0.2">
      <c r="A95" t="s">
        <v>343</v>
      </c>
      <c r="B95" t="s">
        <v>343</v>
      </c>
      <c r="C95">
        <v>14</v>
      </c>
      <c r="D95" t="s">
        <v>17</v>
      </c>
      <c r="E95" t="s">
        <v>17</v>
      </c>
      <c r="F95">
        <v>12</v>
      </c>
      <c r="G95" t="s">
        <v>17</v>
      </c>
      <c r="H95" t="s">
        <v>17</v>
      </c>
      <c r="I95">
        <v>5.4715769999999997E-2</v>
      </c>
      <c r="J95">
        <v>11.11111</v>
      </c>
      <c r="K95">
        <v>6.0794999999999998E-3</v>
      </c>
      <c r="L95" t="s">
        <v>17</v>
      </c>
      <c r="M95">
        <v>298</v>
      </c>
      <c r="N95" t="s">
        <v>18</v>
      </c>
      <c r="O95" t="s">
        <v>372</v>
      </c>
    </row>
    <row r="96" spans="1:15" x14ac:dyDescent="0.2">
      <c r="A96" t="s">
        <v>343</v>
      </c>
      <c r="B96" t="s">
        <v>347</v>
      </c>
      <c r="C96">
        <v>14</v>
      </c>
      <c r="D96" t="s">
        <v>17</v>
      </c>
      <c r="E96" t="s">
        <v>17</v>
      </c>
      <c r="F96">
        <v>12</v>
      </c>
      <c r="G96" t="s">
        <v>17</v>
      </c>
      <c r="H96" t="s">
        <v>17</v>
      </c>
      <c r="I96">
        <v>8.0019320000000005E-2</v>
      </c>
      <c r="J96">
        <v>12.65823</v>
      </c>
      <c r="K96">
        <v>1.0132499999999999E-2</v>
      </c>
      <c r="L96" t="s">
        <v>17</v>
      </c>
      <c r="M96">
        <v>298</v>
      </c>
      <c r="N96" t="s">
        <v>18</v>
      </c>
      <c r="O96" t="s">
        <v>372</v>
      </c>
    </row>
    <row r="97" spans="1:15" x14ac:dyDescent="0.2">
      <c r="A97" t="s">
        <v>343</v>
      </c>
      <c r="B97" t="s">
        <v>346</v>
      </c>
      <c r="C97">
        <v>14</v>
      </c>
      <c r="D97" t="s">
        <v>17</v>
      </c>
      <c r="E97" t="s">
        <v>17</v>
      </c>
      <c r="F97">
        <v>12</v>
      </c>
      <c r="G97" t="s">
        <v>17</v>
      </c>
      <c r="H97" t="s">
        <v>17</v>
      </c>
      <c r="I97">
        <v>7.8020270000000003E-2</v>
      </c>
      <c r="J97">
        <v>12.98701</v>
      </c>
      <c r="K97">
        <v>1.0132499999999999E-2</v>
      </c>
      <c r="L97" t="s">
        <v>17</v>
      </c>
      <c r="M97">
        <v>298</v>
      </c>
      <c r="N97" t="s">
        <v>18</v>
      </c>
      <c r="O97" t="s">
        <v>372</v>
      </c>
    </row>
    <row r="98" spans="1:15" x14ac:dyDescent="0.2">
      <c r="A98" t="s">
        <v>343</v>
      </c>
      <c r="B98" t="s">
        <v>345</v>
      </c>
      <c r="C98">
        <v>15</v>
      </c>
      <c r="D98" t="s">
        <v>17</v>
      </c>
      <c r="E98" t="s">
        <v>17</v>
      </c>
      <c r="F98">
        <v>13</v>
      </c>
      <c r="G98" t="s">
        <v>17</v>
      </c>
      <c r="H98" t="s">
        <v>17</v>
      </c>
      <c r="I98">
        <v>6.3835020000000006E-2</v>
      </c>
      <c r="J98">
        <v>14.28571</v>
      </c>
      <c r="K98">
        <v>9.1192500000000006E-3</v>
      </c>
      <c r="L98" t="s">
        <v>17</v>
      </c>
      <c r="M98">
        <v>298</v>
      </c>
      <c r="N98" t="s">
        <v>18</v>
      </c>
      <c r="O98" t="s">
        <v>373</v>
      </c>
    </row>
    <row r="99" spans="1:15" x14ac:dyDescent="0.2">
      <c r="A99" t="s">
        <v>343</v>
      </c>
      <c r="B99" t="s">
        <v>343</v>
      </c>
      <c r="C99">
        <v>15</v>
      </c>
      <c r="D99" t="s">
        <v>17</v>
      </c>
      <c r="E99" t="s">
        <v>17</v>
      </c>
      <c r="F99">
        <v>13</v>
      </c>
      <c r="G99" t="s">
        <v>17</v>
      </c>
      <c r="H99" t="s">
        <v>17</v>
      </c>
      <c r="I99">
        <v>4.5596020000000001E-2</v>
      </c>
      <c r="J99">
        <v>13.33333</v>
      </c>
      <c r="K99">
        <v>6.0794999999999998E-3</v>
      </c>
      <c r="L99" t="s">
        <v>17</v>
      </c>
      <c r="M99">
        <v>298</v>
      </c>
      <c r="N99" t="s">
        <v>18</v>
      </c>
      <c r="O99" t="s">
        <v>373</v>
      </c>
    </row>
    <row r="100" spans="1:15" x14ac:dyDescent="0.2">
      <c r="A100" t="s">
        <v>343</v>
      </c>
      <c r="B100" t="s">
        <v>347</v>
      </c>
      <c r="C100">
        <v>15</v>
      </c>
      <c r="D100" t="s">
        <v>17</v>
      </c>
      <c r="E100" t="s">
        <v>17</v>
      </c>
      <c r="F100">
        <v>13</v>
      </c>
      <c r="G100" t="s">
        <v>17</v>
      </c>
      <c r="H100" t="s">
        <v>17</v>
      </c>
      <c r="I100">
        <v>7.0928019999999994E-2</v>
      </c>
      <c r="J100">
        <v>14.28571</v>
      </c>
      <c r="K100">
        <v>1.0132499999999999E-2</v>
      </c>
      <c r="L100" t="s">
        <v>17</v>
      </c>
      <c r="M100">
        <v>298</v>
      </c>
      <c r="N100" t="s">
        <v>18</v>
      </c>
      <c r="O100" t="s">
        <v>373</v>
      </c>
    </row>
    <row r="101" spans="1:15" x14ac:dyDescent="0.2">
      <c r="A101" t="s">
        <v>343</v>
      </c>
      <c r="B101" t="s">
        <v>346</v>
      </c>
      <c r="C101">
        <v>15</v>
      </c>
      <c r="D101" t="s">
        <v>17</v>
      </c>
      <c r="E101" t="s">
        <v>17</v>
      </c>
      <c r="F101">
        <v>13</v>
      </c>
      <c r="G101" t="s">
        <v>17</v>
      </c>
      <c r="H101" t="s">
        <v>17</v>
      </c>
      <c r="I101">
        <v>6.9914770000000001E-2</v>
      </c>
      <c r="J101">
        <v>14.492749999999999</v>
      </c>
      <c r="K101">
        <v>1.0132499999999999E-2</v>
      </c>
      <c r="L101" t="s">
        <v>17</v>
      </c>
      <c r="M101">
        <v>298</v>
      </c>
      <c r="N101" t="s">
        <v>18</v>
      </c>
      <c r="O101" t="s">
        <v>373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05CE-CA5D-9343-8FE8-612C8458490D}">
  <dimension ref="A1:O113"/>
  <sheetViews>
    <sheetView workbookViewId="0">
      <selection activeCell="A72" sqref="A7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0</v>
      </c>
      <c r="D2">
        <v>0</v>
      </c>
      <c r="E2">
        <v>0</v>
      </c>
      <c r="F2">
        <v>1</v>
      </c>
      <c r="G2">
        <v>0</v>
      </c>
      <c r="H2">
        <v>1</v>
      </c>
      <c r="I2">
        <v>2.1499999999999998E-2</v>
      </c>
      <c r="J2">
        <v>50</v>
      </c>
      <c r="K2">
        <f>I2*J2/100</f>
        <v>1.0749999999999999E-2</v>
      </c>
      <c r="L2" t="s">
        <v>17</v>
      </c>
      <c r="M2">
        <v>296</v>
      </c>
      <c r="N2" t="s">
        <v>201</v>
      </c>
      <c r="O2" t="s">
        <v>374</v>
      </c>
    </row>
    <row r="3" spans="1:15" x14ac:dyDescent="0.2">
      <c r="A3" t="s">
        <v>190</v>
      </c>
      <c r="B3" t="s">
        <v>239</v>
      </c>
      <c r="C3">
        <v>0</v>
      </c>
      <c r="D3">
        <v>0</v>
      </c>
      <c r="E3">
        <v>0</v>
      </c>
      <c r="F3">
        <v>1</v>
      </c>
      <c r="G3">
        <v>0</v>
      </c>
      <c r="H3">
        <v>1</v>
      </c>
      <c r="I3">
        <v>4.6399999999999997E-2</v>
      </c>
      <c r="J3">
        <v>50</v>
      </c>
      <c r="K3">
        <f t="shared" ref="K3:K65" si="0">I3*J3/100</f>
        <v>2.3199999999999998E-2</v>
      </c>
      <c r="L3" t="s">
        <v>17</v>
      </c>
      <c r="M3">
        <v>296</v>
      </c>
      <c r="N3" t="s">
        <v>201</v>
      </c>
      <c r="O3" t="s">
        <v>375</v>
      </c>
    </row>
    <row r="4" spans="1:15" x14ac:dyDescent="0.2">
      <c r="A4" t="s">
        <v>190</v>
      </c>
      <c r="B4" t="s">
        <v>376</v>
      </c>
      <c r="C4">
        <v>0</v>
      </c>
      <c r="D4">
        <v>0</v>
      </c>
      <c r="E4">
        <v>0</v>
      </c>
      <c r="F4">
        <v>1</v>
      </c>
      <c r="G4">
        <v>0</v>
      </c>
      <c r="H4">
        <v>1</v>
      </c>
      <c r="I4">
        <v>5.8000000000000003E-2</v>
      </c>
      <c r="J4">
        <v>50</v>
      </c>
      <c r="K4">
        <f t="shared" si="0"/>
        <v>2.9000000000000005E-2</v>
      </c>
      <c r="L4" t="s">
        <v>17</v>
      </c>
      <c r="M4">
        <v>296</v>
      </c>
      <c r="N4" t="s">
        <v>201</v>
      </c>
      <c r="O4" t="s">
        <v>377</v>
      </c>
    </row>
    <row r="6" spans="1:15" x14ac:dyDescent="0.2">
      <c r="A6" t="s">
        <v>190</v>
      </c>
      <c r="B6" t="s">
        <v>191</v>
      </c>
      <c r="C6">
        <v>1</v>
      </c>
      <c r="D6">
        <v>0</v>
      </c>
      <c r="E6">
        <v>1</v>
      </c>
      <c r="F6">
        <v>2</v>
      </c>
      <c r="G6">
        <v>0</v>
      </c>
      <c r="H6">
        <v>2</v>
      </c>
      <c r="I6">
        <v>2.12E-2</v>
      </c>
      <c r="J6">
        <v>50</v>
      </c>
      <c r="K6">
        <f t="shared" si="0"/>
        <v>1.06E-2</v>
      </c>
      <c r="L6" t="s">
        <v>17</v>
      </c>
      <c r="M6">
        <v>296</v>
      </c>
      <c r="N6" t="s">
        <v>201</v>
      </c>
      <c r="O6" t="s">
        <v>378</v>
      </c>
    </row>
    <row r="7" spans="1:15" x14ac:dyDescent="0.2">
      <c r="A7" t="s">
        <v>190</v>
      </c>
      <c r="B7" t="s">
        <v>239</v>
      </c>
      <c r="C7">
        <v>1</v>
      </c>
      <c r="D7">
        <v>0</v>
      </c>
      <c r="E7">
        <v>1</v>
      </c>
      <c r="F7">
        <v>2</v>
      </c>
      <c r="G7">
        <v>0</v>
      </c>
      <c r="H7">
        <v>2</v>
      </c>
      <c r="I7">
        <v>4.9000000000000002E-2</v>
      </c>
      <c r="J7">
        <v>50</v>
      </c>
      <c r="K7">
        <f t="shared" si="0"/>
        <v>2.4500000000000001E-2</v>
      </c>
      <c r="L7" t="s">
        <v>17</v>
      </c>
      <c r="M7">
        <v>296</v>
      </c>
      <c r="N7" t="s">
        <v>201</v>
      </c>
      <c r="O7" t="s">
        <v>379</v>
      </c>
    </row>
    <row r="8" spans="1:15" x14ac:dyDescent="0.2">
      <c r="A8" t="s">
        <v>190</v>
      </c>
      <c r="B8" t="s">
        <v>376</v>
      </c>
      <c r="C8">
        <v>1</v>
      </c>
      <c r="D8">
        <v>0</v>
      </c>
      <c r="E8">
        <v>1</v>
      </c>
      <c r="F8">
        <v>2</v>
      </c>
      <c r="G8">
        <v>0</v>
      </c>
      <c r="H8">
        <v>2</v>
      </c>
      <c r="I8">
        <v>6.4100000000000004E-2</v>
      </c>
      <c r="J8">
        <v>50</v>
      </c>
      <c r="K8">
        <f t="shared" si="0"/>
        <v>3.2050000000000002E-2</v>
      </c>
      <c r="L8" t="s">
        <v>17</v>
      </c>
      <c r="M8">
        <v>296</v>
      </c>
      <c r="N8" t="s">
        <v>201</v>
      </c>
      <c r="O8" t="s">
        <v>380</v>
      </c>
    </row>
    <row r="10" spans="1:15" x14ac:dyDescent="0.2">
      <c r="A10" t="s">
        <v>190</v>
      </c>
      <c r="B10" t="s">
        <v>191</v>
      </c>
      <c r="C10">
        <v>5</v>
      </c>
      <c r="D10">
        <v>0</v>
      </c>
      <c r="E10">
        <v>5</v>
      </c>
      <c r="F10">
        <v>4</v>
      </c>
      <c r="G10">
        <v>0</v>
      </c>
      <c r="H10">
        <v>4</v>
      </c>
      <c r="I10">
        <v>1.8800000000000001E-2</v>
      </c>
      <c r="J10">
        <v>50</v>
      </c>
      <c r="K10">
        <f t="shared" si="0"/>
        <v>9.4000000000000004E-3</v>
      </c>
      <c r="L10" t="s">
        <v>17</v>
      </c>
      <c r="M10">
        <v>296</v>
      </c>
      <c r="N10" t="s">
        <v>201</v>
      </c>
      <c r="O10" t="s">
        <v>381</v>
      </c>
    </row>
    <row r="11" spans="1:15" x14ac:dyDescent="0.2">
      <c r="A11" t="s">
        <v>190</v>
      </c>
      <c r="B11" t="s">
        <v>239</v>
      </c>
      <c r="C11">
        <v>5</v>
      </c>
      <c r="D11">
        <v>0</v>
      </c>
      <c r="E11">
        <v>5</v>
      </c>
      <c r="F11">
        <v>4</v>
      </c>
      <c r="G11">
        <v>0</v>
      </c>
      <c r="H11">
        <v>4</v>
      </c>
      <c r="I11">
        <v>3.7999999999999999E-2</v>
      </c>
      <c r="J11">
        <v>50</v>
      </c>
      <c r="K11">
        <f t="shared" si="0"/>
        <v>1.9E-2</v>
      </c>
      <c r="L11" t="s">
        <v>17</v>
      </c>
      <c r="M11">
        <v>296</v>
      </c>
      <c r="N11" t="s">
        <v>201</v>
      </c>
      <c r="O11" t="s">
        <v>382</v>
      </c>
    </row>
    <row r="12" spans="1:15" x14ac:dyDescent="0.2">
      <c r="A12" t="s">
        <v>190</v>
      </c>
      <c r="B12" t="s">
        <v>376</v>
      </c>
      <c r="C12">
        <v>5</v>
      </c>
      <c r="D12">
        <v>0</v>
      </c>
      <c r="E12">
        <v>5</v>
      </c>
      <c r="F12">
        <v>4</v>
      </c>
      <c r="G12">
        <v>0</v>
      </c>
      <c r="H12">
        <v>4</v>
      </c>
      <c r="I12">
        <v>5.04E-2</v>
      </c>
      <c r="J12">
        <v>50</v>
      </c>
      <c r="K12">
        <f t="shared" si="0"/>
        <v>2.52E-2</v>
      </c>
      <c r="L12" t="s">
        <v>17</v>
      </c>
      <c r="M12">
        <v>296</v>
      </c>
      <c r="N12" t="s">
        <v>201</v>
      </c>
      <c r="O12" t="s">
        <v>383</v>
      </c>
    </row>
    <row r="14" spans="1:15" x14ac:dyDescent="0.2">
      <c r="A14" t="s">
        <v>190</v>
      </c>
      <c r="B14" t="s">
        <v>191</v>
      </c>
      <c r="C14">
        <v>5</v>
      </c>
      <c r="D14">
        <v>0</v>
      </c>
      <c r="E14">
        <v>5</v>
      </c>
      <c r="F14">
        <v>6</v>
      </c>
      <c r="G14">
        <v>0</v>
      </c>
      <c r="H14">
        <v>6</v>
      </c>
      <c r="I14">
        <v>1.6799999999999999E-2</v>
      </c>
      <c r="J14">
        <v>50</v>
      </c>
      <c r="K14">
        <f t="shared" si="0"/>
        <v>8.3999999999999995E-3</v>
      </c>
      <c r="L14" t="s">
        <v>17</v>
      </c>
      <c r="M14">
        <v>296</v>
      </c>
      <c r="N14" t="s">
        <v>201</v>
      </c>
      <c r="O14" t="s">
        <v>384</v>
      </c>
    </row>
    <row r="15" spans="1:15" x14ac:dyDescent="0.2">
      <c r="A15" t="s">
        <v>190</v>
      </c>
      <c r="B15" t="s">
        <v>239</v>
      </c>
      <c r="C15">
        <v>5</v>
      </c>
      <c r="D15">
        <v>0</v>
      </c>
      <c r="E15">
        <v>5</v>
      </c>
      <c r="F15">
        <v>6</v>
      </c>
      <c r="G15">
        <v>0</v>
      </c>
      <c r="H15">
        <v>6</v>
      </c>
      <c r="I15">
        <v>3.2500000000000001E-2</v>
      </c>
      <c r="J15">
        <v>50</v>
      </c>
      <c r="K15">
        <f t="shared" si="0"/>
        <v>1.6250000000000001E-2</v>
      </c>
      <c r="L15" t="s">
        <v>17</v>
      </c>
      <c r="M15">
        <v>296</v>
      </c>
      <c r="N15" t="s">
        <v>201</v>
      </c>
      <c r="O15" t="s">
        <v>382</v>
      </c>
    </row>
    <row r="16" spans="1:15" x14ac:dyDescent="0.2">
      <c r="A16" t="s">
        <v>190</v>
      </c>
      <c r="B16" t="s">
        <v>376</v>
      </c>
      <c r="C16">
        <v>5</v>
      </c>
      <c r="D16">
        <v>0</v>
      </c>
      <c r="E16">
        <v>5</v>
      </c>
      <c r="F16">
        <v>6</v>
      </c>
      <c r="G16">
        <v>0</v>
      </c>
      <c r="H16">
        <v>6</v>
      </c>
      <c r="I16">
        <v>4.1799999999999997E-2</v>
      </c>
      <c r="J16">
        <v>50</v>
      </c>
      <c r="K16">
        <f t="shared" si="0"/>
        <v>2.0899999999999998E-2</v>
      </c>
      <c r="L16" t="s">
        <v>17</v>
      </c>
      <c r="M16">
        <v>296</v>
      </c>
      <c r="N16" t="s">
        <v>201</v>
      </c>
      <c r="O16" t="s">
        <v>383</v>
      </c>
    </row>
    <row r="18" spans="1:15" x14ac:dyDescent="0.2">
      <c r="A18" t="s">
        <v>190</v>
      </c>
      <c r="B18" t="s">
        <v>191</v>
      </c>
      <c r="C18">
        <v>6</v>
      </c>
      <c r="D18">
        <v>0</v>
      </c>
      <c r="E18">
        <v>6</v>
      </c>
      <c r="F18">
        <v>7</v>
      </c>
      <c r="G18">
        <v>0</v>
      </c>
      <c r="H18">
        <v>7</v>
      </c>
      <c r="I18">
        <v>1.5299999999999999E-2</v>
      </c>
      <c r="J18">
        <v>50</v>
      </c>
      <c r="K18">
        <f t="shared" si="0"/>
        <v>7.6500000000000005E-3</v>
      </c>
      <c r="L18" t="s">
        <v>17</v>
      </c>
      <c r="M18">
        <v>296</v>
      </c>
      <c r="N18" t="s">
        <v>201</v>
      </c>
      <c r="O18" t="s">
        <v>384</v>
      </c>
    </row>
    <row r="19" spans="1:15" x14ac:dyDescent="0.2">
      <c r="A19" t="s">
        <v>190</v>
      </c>
      <c r="B19" t="s">
        <v>239</v>
      </c>
      <c r="C19">
        <v>6</v>
      </c>
      <c r="D19">
        <v>0</v>
      </c>
      <c r="E19">
        <v>6</v>
      </c>
      <c r="F19">
        <v>7</v>
      </c>
      <c r="G19">
        <v>0</v>
      </c>
      <c r="H19">
        <v>7</v>
      </c>
      <c r="I19">
        <v>2.8199999999999999E-2</v>
      </c>
      <c r="J19">
        <v>50</v>
      </c>
      <c r="K19">
        <f t="shared" si="0"/>
        <v>1.41E-2</v>
      </c>
      <c r="L19" t="s">
        <v>17</v>
      </c>
      <c r="M19">
        <v>296</v>
      </c>
      <c r="N19" t="s">
        <v>201</v>
      </c>
      <c r="O19" t="s">
        <v>382</v>
      </c>
    </row>
    <row r="20" spans="1:15" x14ac:dyDescent="0.2">
      <c r="A20" t="s">
        <v>190</v>
      </c>
      <c r="B20" t="s">
        <v>376</v>
      </c>
      <c r="C20">
        <v>6</v>
      </c>
      <c r="D20">
        <v>0</v>
      </c>
      <c r="E20">
        <v>6</v>
      </c>
      <c r="F20">
        <v>7</v>
      </c>
      <c r="G20">
        <v>0</v>
      </c>
      <c r="H20">
        <v>7</v>
      </c>
      <c r="I20">
        <v>3.6400000000000002E-2</v>
      </c>
      <c r="J20">
        <v>50</v>
      </c>
      <c r="K20">
        <f t="shared" si="0"/>
        <v>1.8200000000000001E-2</v>
      </c>
      <c r="L20" t="s">
        <v>17</v>
      </c>
      <c r="M20">
        <v>296</v>
      </c>
      <c r="N20" t="s">
        <v>201</v>
      </c>
      <c r="O20" t="s">
        <v>383</v>
      </c>
    </row>
    <row r="22" spans="1:15" x14ac:dyDescent="0.2">
      <c r="A22" t="s">
        <v>190</v>
      </c>
      <c r="B22" t="s">
        <v>191</v>
      </c>
      <c r="C22">
        <v>6</v>
      </c>
      <c r="D22">
        <v>0</v>
      </c>
      <c r="E22">
        <v>6</v>
      </c>
      <c r="F22">
        <v>7</v>
      </c>
      <c r="G22">
        <v>0</v>
      </c>
      <c r="H22">
        <v>7</v>
      </c>
      <c r="I22">
        <v>1.66E-2</v>
      </c>
      <c r="J22">
        <v>50</v>
      </c>
      <c r="K22">
        <f t="shared" si="0"/>
        <v>8.3000000000000001E-3</v>
      </c>
      <c r="L22" t="s">
        <v>17</v>
      </c>
      <c r="M22">
        <v>296</v>
      </c>
      <c r="N22" t="s">
        <v>201</v>
      </c>
      <c r="O22" t="s">
        <v>385</v>
      </c>
    </row>
    <row r="23" spans="1:15" x14ac:dyDescent="0.2">
      <c r="A23" t="s">
        <v>190</v>
      </c>
      <c r="B23" t="s">
        <v>239</v>
      </c>
      <c r="C23">
        <v>6</v>
      </c>
      <c r="D23">
        <v>0</v>
      </c>
      <c r="E23">
        <v>6</v>
      </c>
      <c r="F23">
        <v>7</v>
      </c>
      <c r="G23">
        <v>0</v>
      </c>
      <c r="H23">
        <v>7</v>
      </c>
      <c r="I23">
        <v>3.2000000000000001E-2</v>
      </c>
      <c r="J23">
        <v>50</v>
      </c>
      <c r="K23">
        <f t="shared" si="0"/>
        <v>1.6E-2</v>
      </c>
      <c r="L23" t="s">
        <v>17</v>
      </c>
      <c r="M23">
        <v>296</v>
      </c>
      <c r="N23" t="s">
        <v>201</v>
      </c>
      <c r="O23" t="s">
        <v>386</v>
      </c>
    </row>
    <row r="24" spans="1:15" x14ac:dyDescent="0.2">
      <c r="A24" t="s">
        <v>190</v>
      </c>
      <c r="B24" t="s">
        <v>376</v>
      </c>
      <c r="C24">
        <v>6</v>
      </c>
      <c r="D24">
        <v>0</v>
      </c>
      <c r="E24">
        <v>6</v>
      </c>
      <c r="F24">
        <v>7</v>
      </c>
      <c r="G24">
        <v>0</v>
      </c>
      <c r="H24">
        <v>7</v>
      </c>
      <c r="I24">
        <v>4.3999999999999997E-2</v>
      </c>
      <c r="J24">
        <v>50</v>
      </c>
      <c r="K24">
        <f t="shared" si="0"/>
        <v>2.1999999999999999E-2</v>
      </c>
      <c r="L24" t="s">
        <v>17</v>
      </c>
      <c r="M24">
        <v>296</v>
      </c>
      <c r="N24" t="s">
        <v>201</v>
      </c>
      <c r="O24" t="s">
        <v>387</v>
      </c>
    </row>
    <row r="26" spans="1:15" x14ac:dyDescent="0.2">
      <c r="A26" t="s">
        <v>190</v>
      </c>
      <c r="B26" t="s">
        <v>191</v>
      </c>
      <c r="C26">
        <v>9</v>
      </c>
      <c r="D26">
        <v>0</v>
      </c>
      <c r="E26">
        <v>9</v>
      </c>
      <c r="F26">
        <v>8</v>
      </c>
      <c r="G26">
        <v>0</v>
      </c>
      <c r="H26">
        <v>8</v>
      </c>
      <c r="I26">
        <v>1.38E-2</v>
      </c>
      <c r="J26">
        <v>50</v>
      </c>
      <c r="K26">
        <f t="shared" si="0"/>
        <v>6.8999999999999999E-3</v>
      </c>
      <c r="L26" t="s">
        <v>17</v>
      </c>
      <c r="M26">
        <v>296</v>
      </c>
      <c r="N26" t="s">
        <v>201</v>
      </c>
      <c r="O26" t="s">
        <v>384</v>
      </c>
    </row>
    <row r="27" spans="1:15" x14ac:dyDescent="0.2">
      <c r="A27" t="s">
        <v>190</v>
      </c>
      <c r="B27" t="s">
        <v>239</v>
      </c>
      <c r="C27">
        <v>9</v>
      </c>
      <c r="D27">
        <v>0</v>
      </c>
      <c r="E27">
        <v>9</v>
      </c>
      <c r="F27">
        <v>8</v>
      </c>
      <c r="G27">
        <v>0</v>
      </c>
      <c r="H27">
        <v>8</v>
      </c>
      <c r="I27">
        <v>2.3800000000000002E-2</v>
      </c>
      <c r="J27">
        <v>50</v>
      </c>
      <c r="K27">
        <f t="shared" si="0"/>
        <v>1.1900000000000001E-2</v>
      </c>
      <c r="L27" t="s">
        <v>17</v>
      </c>
      <c r="M27">
        <v>296</v>
      </c>
      <c r="N27" t="s">
        <v>201</v>
      </c>
      <c r="O27" t="s">
        <v>382</v>
      </c>
    </row>
    <row r="28" spans="1:15" x14ac:dyDescent="0.2">
      <c r="A28" t="s">
        <v>190</v>
      </c>
      <c r="B28" t="s">
        <v>376</v>
      </c>
      <c r="C28">
        <v>9</v>
      </c>
      <c r="D28">
        <v>0</v>
      </c>
      <c r="E28">
        <v>9</v>
      </c>
      <c r="F28">
        <v>8</v>
      </c>
      <c r="G28">
        <v>0</v>
      </c>
      <c r="H28">
        <v>8</v>
      </c>
      <c r="I28">
        <v>3.4500000000000003E-2</v>
      </c>
      <c r="J28">
        <v>50</v>
      </c>
      <c r="K28">
        <f t="shared" si="0"/>
        <v>1.7250000000000001E-2</v>
      </c>
      <c r="L28" t="s">
        <v>17</v>
      </c>
      <c r="M28">
        <v>296</v>
      </c>
      <c r="N28" t="s">
        <v>201</v>
      </c>
      <c r="O28" t="s">
        <v>383</v>
      </c>
    </row>
    <row r="30" spans="1:15" x14ac:dyDescent="0.2">
      <c r="A30" t="s">
        <v>190</v>
      </c>
      <c r="B30" t="s">
        <v>191</v>
      </c>
      <c r="C30">
        <v>10</v>
      </c>
      <c r="D30">
        <v>0</v>
      </c>
      <c r="E30">
        <v>10</v>
      </c>
      <c r="F30">
        <v>9</v>
      </c>
      <c r="G30">
        <v>0</v>
      </c>
      <c r="H30">
        <v>9</v>
      </c>
      <c r="I30">
        <v>1.21E-2</v>
      </c>
      <c r="J30">
        <v>50</v>
      </c>
      <c r="K30">
        <f t="shared" si="0"/>
        <v>6.0499999999999998E-3</v>
      </c>
      <c r="L30" t="s">
        <v>17</v>
      </c>
      <c r="M30">
        <v>296</v>
      </c>
      <c r="N30" t="s">
        <v>201</v>
      </c>
      <c r="O30" t="s">
        <v>384</v>
      </c>
    </row>
    <row r="31" spans="1:15" x14ac:dyDescent="0.2">
      <c r="A31" t="s">
        <v>190</v>
      </c>
      <c r="B31" t="s">
        <v>239</v>
      </c>
      <c r="C31">
        <v>10</v>
      </c>
      <c r="D31">
        <v>0</v>
      </c>
      <c r="E31">
        <v>10</v>
      </c>
      <c r="F31">
        <v>9</v>
      </c>
      <c r="G31">
        <v>0</v>
      </c>
      <c r="H31">
        <v>9</v>
      </c>
      <c r="I31">
        <v>2.24E-2</v>
      </c>
      <c r="J31">
        <v>50</v>
      </c>
      <c r="K31">
        <f t="shared" si="0"/>
        <v>1.1199999999999998E-2</v>
      </c>
      <c r="L31" t="s">
        <v>17</v>
      </c>
      <c r="M31">
        <v>296</v>
      </c>
      <c r="N31" t="s">
        <v>201</v>
      </c>
      <c r="O31" t="s">
        <v>382</v>
      </c>
    </row>
    <row r="32" spans="1:15" x14ac:dyDescent="0.2">
      <c r="A32" t="s">
        <v>190</v>
      </c>
      <c r="B32" t="s">
        <v>376</v>
      </c>
      <c r="C32">
        <v>10</v>
      </c>
      <c r="D32">
        <v>0</v>
      </c>
      <c r="E32">
        <v>10</v>
      </c>
      <c r="F32">
        <v>9</v>
      </c>
      <c r="G32">
        <v>0</v>
      </c>
      <c r="H32">
        <v>9</v>
      </c>
      <c r="I32">
        <v>3.2399999999999998E-2</v>
      </c>
      <c r="J32">
        <v>50</v>
      </c>
      <c r="K32">
        <f t="shared" si="0"/>
        <v>1.6199999999999999E-2</v>
      </c>
      <c r="L32" t="s">
        <v>17</v>
      </c>
      <c r="M32">
        <v>296</v>
      </c>
      <c r="N32" t="s">
        <v>201</v>
      </c>
      <c r="O32" t="s">
        <v>383</v>
      </c>
    </row>
    <row r="34" spans="1:15" x14ac:dyDescent="0.2">
      <c r="A34" t="s">
        <v>190</v>
      </c>
      <c r="B34" t="s">
        <v>191</v>
      </c>
      <c r="C34">
        <v>1</v>
      </c>
      <c r="D34">
        <v>1</v>
      </c>
      <c r="E34">
        <v>0</v>
      </c>
      <c r="F34">
        <v>2</v>
      </c>
      <c r="G34">
        <v>1</v>
      </c>
      <c r="H34">
        <v>1</v>
      </c>
      <c r="I34">
        <v>2.8199999999999999E-2</v>
      </c>
      <c r="J34">
        <v>50</v>
      </c>
      <c r="K34">
        <f t="shared" si="0"/>
        <v>1.41E-2</v>
      </c>
      <c r="L34" t="s">
        <v>17</v>
      </c>
      <c r="M34">
        <v>296</v>
      </c>
      <c r="N34" t="s">
        <v>201</v>
      </c>
      <c r="O34" t="s">
        <v>388</v>
      </c>
    </row>
    <row r="35" spans="1:15" x14ac:dyDescent="0.2">
      <c r="A35" t="s">
        <v>190</v>
      </c>
      <c r="B35" t="s">
        <v>239</v>
      </c>
      <c r="C35">
        <v>1</v>
      </c>
      <c r="D35">
        <v>1</v>
      </c>
      <c r="E35">
        <v>0</v>
      </c>
      <c r="F35">
        <v>2</v>
      </c>
      <c r="G35">
        <v>1</v>
      </c>
      <c r="H35">
        <v>1</v>
      </c>
      <c r="I35">
        <v>4.3499999999999997E-2</v>
      </c>
      <c r="J35">
        <v>50</v>
      </c>
      <c r="K35">
        <f t="shared" si="0"/>
        <v>2.1749999999999999E-2</v>
      </c>
      <c r="L35" t="s">
        <v>17</v>
      </c>
      <c r="M35">
        <v>296</v>
      </c>
      <c r="N35" t="s">
        <v>201</v>
      </c>
      <c r="O35" t="s">
        <v>379</v>
      </c>
    </row>
    <row r="36" spans="1:15" x14ac:dyDescent="0.2">
      <c r="A36" t="s">
        <v>190</v>
      </c>
      <c r="B36" t="s">
        <v>376</v>
      </c>
      <c r="C36">
        <v>1</v>
      </c>
      <c r="D36">
        <v>1</v>
      </c>
      <c r="E36">
        <v>0</v>
      </c>
      <c r="F36">
        <v>2</v>
      </c>
      <c r="G36">
        <v>1</v>
      </c>
      <c r="H36">
        <v>1</v>
      </c>
      <c r="I36">
        <v>5.2600000000000001E-2</v>
      </c>
      <c r="J36">
        <v>50</v>
      </c>
      <c r="K36">
        <f t="shared" si="0"/>
        <v>2.63E-2</v>
      </c>
      <c r="L36" t="s">
        <v>17</v>
      </c>
      <c r="M36">
        <v>296</v>
      </c>
      <c r="N36" t="s">
        <v>201</v>
      </c>
      <c r="O36" t="s">
        <v>380</v>
      </c>
    </row>
    <row r="38" spans="1:15" x14ac:dyDescent="0.2">
      <c r="A38" t="s">
        <v>190</v>
      </c>
      <c r="B38" t="s">
        <v>191</v>
      </c>
      <c r="C38">
        <v>1</v>
      </c>
      <c r="D38">
        <v>1</v>
      </c>
      <c r="E38">
        <v>0</v>
      </c>
      <c r="F38">
        <v>2</v>
      </c>
      <c r="G38">
        <v>1</v>
      </c>
      <c r="H38">
        <v>1</v>
      </c>
      <c r="I38">
        <v>2.1399999999999999E-2</v>
      </c>
      <c r="J38">
        <v>50</v>
      </c>
      <c r="K38">
        <f t="shared" si="0"/>
        <v>1.0699999999999998E-2</v>
      </c>
      <c r="L38" t="s">
        <v>17</v>
      </c>
      <c r="M38">
        <v>296</v>
      </c>
      <c r="N38" t="s">
        <v>201</v>
      </c>
      <c r="O38" t="s">
        <v>389</v>
      </c>
    </row>
    <row r="39" spans="1:15" x14ac:dyDescent="0.2">
      <c r="A39" t="s">
        <v>190</v>
      </c>
      <c r="B39" t="s">
        <v>239</v>
      </c>
      <c r="C39">
        <v>1</v>
      </c>
      <c r="D39">
        <v>1</v>
      </c>
      <c r="E39">
        <v>0</v>
      </c>
      <c r="F39">
        <v>2</v>
      </c>
      <c r="G39">
        <v>1</v>
      </c>
      <c r="H39">
        <v>1</v>
      </c>
      <c r="I39">
        <v>4.7199999999999999E-2</v>
      </c>
      <c r="J39">
        <v>50</v>
      </c>
      <c r="K39">
        <f t="shared" si="0"/>
        <v>2.3599999999999999E-2</v>
      </c>
      <c r="L39" t="s">
        <v>17</v>
      </c>
      <c r="M39">
        <v>296</v>
      </c>
      <c r="N39" t="s">
        <v>201</v>
      </c>
      <c r="O39" t="s">
        <v>390</v>
      </c>
    </row>
    <row r="40" spans="1:15" x14ac:dyDescent="0.2">
      <c r="A40" t="s">
        <v>190</v>
      </c>
      <c r="B40" t="s">
        <v>376</v>
      </c>
      <c r="C40">
        <v>1</v>
      </c>
      <c r="D40">
        <v>1</v>
      </c>
      <c r="E40">
        <v>0</v>
      </c>
      <c r="F40">
        <v>2</v>
      </c>
      <c r="G40">
        <v>1</v>
      </c>
      <c r="H40">
        <v>1</v>
      </c>
      <c r="I40">
        <v>5.8799999999999998E-2</v>
      </c>
      <c r="J40">
        <v>50</v>
      </c>
      <c r="K40">
        <f t="shared" si="0"/>
        <v>2.9399999999999999E-2</v>
      </c>
      <c r="L40" t="s">
        <v>17</v>
      </c>
      <c r="M40">
        <v>296</v>
      </c>
      <c r="N40" t="s">
        <v>201</v>
      </c>
      <c r="O40" t="s">
        <v>391</v>
      </c>
    </row>
    <row r="42" spans="1:15" x14ac:dyDescent="0.2">
      <c r="A42" t="s">
        <v>190</v>
      </c>
      <c r="B42" t="s">
        <v>191</v>
      </c>
      <c r="C42">
        <v>1</v>
      </c>
      <c r="D42">
        <v>1</v>
      </c>
      <c r="E42">
        <v>1</v>
      </c>
      <c r="F42">
        <v>2</v>
      </c>
      <c r="G42">
        <v>1</v>
      </c>
      <c r="H42">
        <v>2</v>
      </c>
      <c r="I42">
        <v>2.1499999999999998E-2</v>
      </c>
      <c r="J42">
        <v>50</v>
      </c>
      <c r="K42">
        <f t="shared" si="0"/>
        <v>1.0749999999999999E-2</v>
      </c>
      <c r="L42" t="s">
        <v>17</v>
      </c>
      <c r="M42">
        <v>296</v>
      </c>
      <c r="N42" t="s">
        <v>201</v>
      </c>
      <c r="O42" t="s">
        <v>384</v>
      </c>
    </row>
    <row r="43" spans="1:15" x14ac:dyDescent="0.2">
      <c r="A43" t="s">
        <v>190</v>
      </c>
      <c r="B43" t="s">
        <v>239</v>
      </c>
      <c r="C43">
        <v>1</v>
      </c>
      <c r="D43">
        <v>1</v>
      </c>
      <c r="E43">
        <v>1</v>
      </c>
      <c r="F43">
        <v>2</v>
      </c>
      <c r="G43">
        <v>1</v>
      </c>
      <c r="H43">
        <v>2</v>
      </c>
      <c r="I43">
        <v>4.7100000000000003E-2</v>
      </c>
      <c r="J43">
        <v>50</v>
      </c>
      <c r="K43">
        <f t="shared" si="0"/>
        <v>2.3550000000000001E-2</v>
      </c>
      <c r="L43" t="s">
        <v>17</v>
      </c>
      <c r="M43">
        <v>296</v>
      </c>
      <c r="N43" t="s">
        <v>201</v>
      </c>
      <c r="O43" t="s">
        <v>382</v>
      </c>
    </row>
    <row r="44" spans="1:15" x14ac:dyDescent="0.2">
      <c r="A44" t="s">
        <v>190</v>
      </c>
      <c r="B44" t="s">
        <v>376</v>
      </c>
      <c r="C44">
        <v>1</v>
      </c>
      <c r="D44">
        <v>1</v>
      </c>
      <c r="E44">
        <v>1</v>
      </c>
      <c r="F44">
        <v>2</v>
      </c>
      <c r="G44">
        <v>1</v>
      </c>
      <c r="H44">
        <v>2</v>
      </c>
      <c r="I44">
        <v>6.2100000000000002E-2</v>
      </c>
      <c r="J44">
        <v>50</v>
      </c>
      <c r="K44">
        <f t="shared" si="0"/>
        <v>3.1050000000000001E-2</v>
      </c>
      <c r="L44" t="s">
        <v>17</v>
      </c>
      <c r="M44">
        <v>296</v>
      </c>
      <c r="N44" t="s">
        <v>201</v>
      </c>
      <c r="O44" t="s">
        <v>383</v>
      </c>
    </row>
    <row r="46" spans="1:15" x14ac:dyDescent="0.2">
      <c r="A46" t="s">
        <v>190</v>
      </c>
      <c r="B46" t="s">
        <v>191</v>
      </c>
      <c r="C46">
        <v>2</v>
      </c>
      <c r="D46">
        <v>1</v>
      </c>
      <c r="E46">
        <v>1</v>
      </c>
      <c r="F46">
        <v>1</v>
      </c>
      <c r="G46">
        <v>1</v>
      </c>
      <c r="H46">
        <v>0</v>
      </c>
      <c r="I46">
        <v>2.1100000000000001E-2</v>
      </c>
      <c r="J46">
        <v>50</v>
      </c>
      <c r="K46">
        <f t="shared" si="0"/>
        <v>1.0549999999999999E-2</v>
      </c>
      <c r="L46" t="s">
        <v>17</v>
      </c>
      <c r="M46">
        <v>296</v>
      </c>
      <c r="N46" t="s">
        <v>201</v>
      </c>
      <c r="O46" t="s">
        <v>384</v>
      </c>
    </row>
    <row r="47" spans="1:15" x14ac:dyDescent="0.2">
      <c r="A47" t="s">
        <v>190</v>
      </c>
      <c r="B47" t="s">
        <v>239</v>
      </c>
      <c r="C47">
        <v>2</v>
      </c>
      <c r="D47">
        <v>1</v>
      </c>
      <c r="E47">
        <v>1</v>
      </c>
      <c r="F47">
        <v>1</v>
      </c>
      <c r="G47">
        <v>1</v>
      </c>
      <c r="H47">
        <v>0</v>
      </c>
      <c r="I47">
        <v>4.4600000000000001E-2</v>
      </c>
      <c r="J47">
        <v>50</v>
      </c>
      <c r="K47">
        <f t="shared" si="0"/>
        <v>2.23E-2</v>
      </c>
      <c r="L47" t="s">
        <v>17</v>
      </c>
      <c r="M47">
        <v>296</v>
      </c>
      <c r="N47" t="s">
        <v>201</v>
      </c>
      <c r="O47" t="s">
        <v>382</v>
      </c>
    </row>
    <row r="48" spans="1:15" x14ac:dyDescent="0.2">
      <c r="A48" t="s">
        <v>190</v>
      </c>
      <c r="B48" t="s">
        <v>376</v>
      </c>
      <c r="C48">
        <v>2</v>
      </c>
      <c r="D48">
        <v>1</v>
      </c>
      <c r="E48">
        <v>1</v>
      </c>
      <c r="F48">
        <v>1</v>
      </c>
      <c r="G48">
        <v>1</v>
      </c>
      <c r="H48">
        <v>0</v>
      </c>
      <c r="I48">
        <v>5.7099999999999998E-2</v>
      </c>
      <c r="J48">
        <v>50</v>
      </c>
      <c r="K48">
        <f t="shared" si="0"/>
        <v>2.8549999999999999E-2</v>
      </c>
      <c r="L48" t="s">
        <v>17</v>
      </c>
      <c r="M48">
        <v>296</v>
      </c>
      <c r="N48" t="s">
        <v>201</v>
      </c>
      <c r="O48" t="s">
        <v>383</v>
      </c>
    </row>
    <row r="50" spans="1:15" x14ac:dyDescent="0.2">
      <c r="A50" t="s">
        <v>190</v>
      </c>
      <c r="B50" t="s">
        <v>191</v>
      </c>
      <c r="C50">
        <v>2</v>
      </c>
      <c r="D50">
        <v>1</v>
      </c>
      <c r="E50">
        <v>2</v>
      </c>
      <c r="F50">
        <v>2</v>
      </c>
      <c r="G50">
        <v>1</v>
      </c>
      <c r="H50">
        <v>1</v>
      </c>
      <c r="I50">
        <v>2.23E-2</v>
      </c>
      <c r="J50">
        <v>50</v>
      </c>
      <c r="K50">
        <f t="shared" si="0"/>
        <v>1.115E-2</v>
      </c>
      <c r="L50" t="s">
        <v>17</v>
      </c>
      <c r="M50">
        <v>296</v>
      </c>
      <c r="N50" t="s">
        <v>201</v>
      </c>
      <c r="O50" t="s">
        <v>392</v>
      </c>
    </row>
    <row r="51" spans="1:15" x14ac:dyDescent="0.2">
      <c r="A51" t="s">
        <v>190</v>
      </c>
      <c r="B51" t="s">
        <v>239</v>
      </c>
      <c r="C51">
        <v>2</v>
      </c>
      <c r="D51">
        <v>1</v>
      </c>
      <c r="E51">
        <v>2</v>
      </c>
      <c r="F51">
        <v>2</v>
      </c>
      <c r="G51">
        <v>1</v>
      </c>
      <c r="H51">
        <v>1</v>
      </c>
      <c r="I51">
        <v>5.1200000000000002E-2</v>
      </c>
      <c r="J51">
        <v>50</v>
      </c>
      <c r="K51">
        <f t="shared" si="0"/>
        <v>2.5600000000000001E-2</v>
      </c>
      <c r="L51" t="s">
        <v>17</v>
      </c>
      <c r="M51">
        <v>296</v>
      </c>
      <c r="N51" t="s">
        <v>201</v>
      </c>
      <c r="O51" t="s">
        <v>393</v>
      </c>
    </row>
    <row r="52" spans="1:15" x14ac:dyDescent="0.2">
      <c r="A52" t="s">
        <v>190</v>
      </c>
      <c r="B52" t="s">
        <v>376</v>
      </c>
      <c r="C52">
        <v>2</v>
      </c>
      <c r="D52">
        <v>1</v>
      </c>
      <c r="E52">
        <v>2</v>
      </c>
      <c r="F52">
        <v>2</v>
      </c>
      <c r="G52">
        <v>1</v>
      </c>
      <c r="H52">
        <v>1</v>
      </c>
      <c r="I52">
        <v>6.3299999999999995E-2</v>
      </c>
      <c r="J52">
        <v>50</v>
      </c>
      <c r="K52">
        <f t="shared" si="0"/>
        <v>3.1649999999999998E-2</v>
      </c>
      <c r="L52" t="s">
        <v>17</v>
      </c>
      <c r="M52">
        <v>296</v>
      </c>
      <c r="N52" t="s">
        <v>201</v>
      </c>
      <c r="O52" t="s">
        <v>394</v>
      </c>
    </row>
    <row r="54" spans="1:15" x14ac:dyDescent="0.2">
      <c r="A54" t="s">
        <v>190</v>
      </c>
      <c r="B54" t="s">
        <v>191</v>
      </c>
      <c r="C54">
        <v>6</v>
      </c>
      <c r="D54">
        <v>0</v>
      </c>
      <c r="E54">
        <v>6</v>
      </c>
      <c r="F54">
        <v>7</v>
      </c>
      <c r="G54">
        <v>0</v>
      </c>
      <c r="H54">
        <v>7</v>
      </c>
      <c r="I54">
        <v>1.8700000000000001E-2</v>
      </c>
      <c r="J54">
        <v>50</v>
      </c>
      <c r="K54">
        <f t="shared" si="0"/>
        <v>9.3500000000000007E-3</v>
      </c>
      <c r="L54" t="s">
        <v>17</v>
      </c>
      <c r="M54">
        <v>296</v>
      </c>
      <c r="N54" t="s">
        <v>201</v>
      </c>
      <c r="O54" t="s">
        <v>395</v>
      </c>
    </row>
    <row r="55" spans="1:15" x14ac:dyDescent="0.2">
      <c r="A55" t="s">
        <v>190</v>
      </c>
      <c r="B55" t="s">
        <v>191</v>
      </c>
      <c r="C55">
        <v>6</v>
      </c>
      <c r="D55">
        <v>1</v>
      </c>
      <c r="E55">
        <v>6</v>
      </c>
      <c r="F55">
        <v>7</v>
      </c>
      <c r="G55">
        <v>1</v>
      </c>
      <c r="H55">
        <v>7</v>
      </c>
      <c r="I55">
        <v>1.84E-2</v>
      </c>
      <c r="J55">
        <v>50</v>
      </c>
      <c r="K55">
        <f t="shared" si="0"/>
        <v>9.1999999999999998E-3</v>
      </c>
      <c r="L55" t="s">
        <v>17</v>
      </c>
      <c r="M55">
        <v>296</v>
      </c>
      <c r="N55" t="s">
        <v>201</v>
      </c>
      <c r="O55" t="s">
        <v>396</v>
      </c>
    </row>
    <row r="56" spans="1:15" x14ac:dyDescent="0.2">
      <c r="A56" t="s">
        <v>190</v>
      </c>
      <c r="B56" t="s">
        <v>191</v>
      </c>
      <c r="C56">
        <v>5</v>
      </c>
      <c r="D56">
        <v>3</v>
      </c>
      <c r="E56">
        <v>3</v>
      </c>
      <c r="F56">
        <v>6</v>
      </c>
      <c r="G56">
        <v>3</v>
      </c>
      <c r="H56">
        <v>4</v>
      </c>
      <c r="I56">
        <v>2.1100000000000001E-2</v>
      </c>
      <c r="J56">
        <v>50</v>
      </c>
      <c r="K56">
        <f t="shared" si="0"/>
        <v>1.0549999999999999E-2</v>
      </c>
      <c r="L56" t="s">
        <v>17</v>
      </c>
      <c r="M56">
        <v>296</v>
      </c>
      <c r="N56" t="s">
        <v>201</v>
      </c>
      <c r="O56" t="s">
        <v>396</v>
      </c>
    </row>
    <row r="57" spans="1:15" x14ac:dyDescent="0.2">
      <c r="A57" t="s">
        <v>190</v>
      </c>
      <c r="B57" t="s">
        <v>191</v>
      </c>
      <c r="C57">
        <v>5</v>
      </c>
      <c r="D57">
        <v>2</v>
      </c>
      <c r="E57">
        <v>4</v>
      </c>
      <c r="F57">
        <v>6</v>
      </c>
      <c r="G57">
        <v>2</v>
      </c>
      <c r="H57">
        <v>5</v>
      </c>
      <c r="I57">
        <v>2.1700000000000001E-2</v>
      </c>
      <c r="J57">
        <v>50</v>
      </c>
      <c r="K57">
        <f t="shared" si="0"/>
        <v>1.085E-2</v>
      </c>
      <c r="L57" t="s">
        <v>17</v>
      </c>
      <c r="M57">
        <v>296</v>
      </c>
      <c r="N57" t="s">
        <v>201</v>
      </c>
      <c r="O57" t="s">
        <v>396</v>
      </c>
    </row>
    <row r="58" spans="1:15" x14ac:dyDescent="0.2">
      <c r="A58" t="s">
        <v>190</v>
      </c>
      <c r="B58" t="s">
        <v>191</v>
      </c>
      <c r="C58">
        <v>1</v>
      </c>
      <c r="D58">
        <v>1</v>
      </c>
      <c r="E58">
        <v>1</v>
      </c>
      <c r="F58">
        <v>2</v>
      </c>
      <c r="G58">
        <v>1</v>
      </c>
      <c r="H58">
        <v>2</v>
      </c>
      <c r="I58">
        <v>2.5999999999999999E-2</v>
      </c>
      <c r="J58">
        <v>50</v>
      </c>
      <c r="K58">
        <f t="shared" si="0"/>
        <v>1.3000000000000001E-2</v>
      </c>
      <c r="L58" t="s">
        <v>17</v>
      </c>
      <c r="M58">
        <v>296</v>
      </c>
      <c r="N58" t="s">
        <v>201</v>
      </c>
      <c r="O58" t="s">
        <v>396</v>
      </c>
    </row>
    <row r="59" spans="1:15" x14ac:dyDescent="0.2">
      <c r="A59" t="s">
        <v>190</v>
      </c>
      <c r="B59" t="s">
        <v>191</v>
      </c>
      <c r="C59">
        <v>3</v>
      </c>
      <c r="D59">
        <v>2</v>
      </c>
      <c r="E59">
        <v>2</v>
      </c>
      <c r="F59">
        <v>3</v>
      </c>
      <c r="G59">
        <v>2</v>
      </c>
      <c r="H59">
        <v>1</v>
      </c>
      <c r="I59">
        <v>2.4799999999999999E-2</v>
      </c>
      <c r="J59">
        <v>50</v>
      </c>
      <c r="K59">
        <f t="shared" si="0"/>
        <v>1.24E-2</v>
      </c>
      <c r="L59" t="s">
        <v>17</v>
      </c>
      <c r="M59">
        <v>296</v>
      </c>
      <c r="N59" t="s">
        <v>201</v>
      </c>
      <c r="O59" t="s">
        <v>396</v>
      </c>
    </row>
    <row r="61" spans="1:15" x14ac:dyDescent="0.2">
      <c r="A61" t="s">
        <v>190</v>
      </c>
      <c r="B61" t="s">
        <v>239</v>
      </c>
      <c r="C61">
        <v>8</v>
      </c>
      <c r="D61">
        <v>2</v>
      </c>
      <c r="E61">
        <v>7</v>
      </c>
      <c r="F61">
        <v>7</v>
      </c>
      <c r="G61">
        <v>2</v>
      </c>
      <c r="H61">
        <v>6</v>
      </c>
      <c r="I61">
        <v>1.5800000000000002E-2</v>
      </c>
      <c r="J61">
        <v>50</v>
      </c>
      <c r="K61">
        <f t="shared" si="0"/>
        <v>7.9000000000000008E-3</v>
      </c>
      <c r="L61" t="s">
        <v>17</v>
      </c>
      <c r="M61">
        <v>296</v>
      </c>
      <c r="N61" t="s">
        <v>201</v>
      </c>
      <c r="O61" t="s">
        <v>397</v>
      </c>
    </row>
    <row r="62" spans="1:15" x14ac:dyDescent="0.2">
      <c r="A62" t="s">
        <v>190</v>
      </c>
      <c r="B62" t="s">
        <v>239</v>
      </c>
      <c r="C62">
        <v>8</v>
      </c>
      <c r="D62">
        <v>4</v>
      </c>
      <c r="E62">
        <v>4</v>
      </c>
      <c r="F62">
        <v>7</v>
      </c>
      <c r="G62">
        <v>4</v>
      </c>
      <c r="H62">
        <v>3</v>
      </c>
      <c r="I62">
        <v>1.5800000000000002E-2</v>
      </c>
      <c r="J62">
        <v>50</v>
      </c>
      <c r="K62">
        <f t="shared" si="0"/>
        <v>7.9000000000000008E-3</v>
      </c>
      <c r="L62" t="s">
        <v>17</v>
      </c>
      <c r="M62">
        <v>296</v>
      </c>
      <c r="N62" t="s">
        <v>201</v>
      </c>
      <c r="O62" t="s">
        <v>398</v>
      </c>
    </row>
    <row r="63" spans="1:15" x14ac:dyDescent="0.2">
      <c r="A63" t="s">
        <v>190</v>
      </c>
      <c r="B63" t="s">
        <v>239</v>
      </c>
      <c r="C63">
        <v>8</v>
      </c>
      <c r="D63">
        <v>3</v>
      </c>
      <c r="E63">
        <v>6</v>
      </c>
      <c r="F63">
        <v>7</v>
      </c>
      <c r="G63">
        <v>3</v>
      </c>
      <c r="H63">
        <v>5</v>
      </c>
      <c r="I63">
        <v>1.7500000000000002E-2</v>
      </c>
      <c r="J63">
        <v>50</v>
      </c>
      <c r="K63">
        <f t="shared" si="0"/>
        <v>8.7500000000000008E-3</v>
      </c>
      <c r="L63" t="s">
        <v>17</v>
      </c>
      <c r="M63">
        <v>296</v>
      </c>
      <c r="N63" t="s">
        <v>201</v>
      </c>
      <c r="O63" t="s">
        <v>399</v>
      </c>
    </row>
    <row r="64" spans="1:15" x14ac:dyDescent="0.2">
      <c r="A64" t="s">
        <v>190</v>
      </c>
      <c r="B64" t="s">
        <v>239</v>
      </c>
      <c r="C64">
        <v>7</v>
      </c>
      <c r="D64">
        <v>3</v>
      </c>
      <c r="E64">
        <v>5</v>
      </c>
      <c r="F64">
        <v>7</v>
      </c>
      <c r="G64">
        <v>1</v>
      </c>
      <c r="H64">
        <v>6</v>
      </c>
      <c r="I64">
        <v>9.2999999999999992E-3</v>
      </c>
      <c r="J64">
        <v>50</v>
      </c>
      <c r="K64">
        <f t="shared" si="0"/>
        <v>4.6499999999999996E-3</v>
      </c>
      <c r="L64" t="s">
        <v>17</v>
      </c>
      <c r="M64">
        <v>296</v>
      </c>
      <c r="N64" t="s">
        <v>201</v>
      </c>
      <c r="O64" t="s">
        <v>399</v>
      </c>
    </row>
    <row r="65" spans="1:15" x14ac:dyDescent="0.2">
      <c r="A65" t="s">
        <v>190</v>
      </c>
      <c r="B65" t="s">
        <v>239</v>
      </c>
      <c r="C65">
        <v>9</v>
      </c>
      <c r="D65">
        <v>4</v>
      </c>
      <c r="E65">
        <v>6</v>
      </c>
      <c r="F65">
        <v>10</v>
      </c>
      <c r="G65">
        <v>2</v>
      </c>
      <c r="H65">
        <v>9</v>
      </c>
      <c r="I65">
        <v>1.34E-2</v>
      </c>
      <c r="J65">
        <v>50</v>
      </c>
      <c r="K65">
        <f t="shared" si="0"/>
        <v>6.7000000000000002E-3</v>
      </c>
      <c r="L65" t="s">
        <v>17</v>
      </c>
      <c r="M65">
        <v>296</v>
      </c>
      <c r="N65" t="s">
        <v>17</v>
      </c>
      <c r="O65" t="s">
        <v>399</v>
      </c>
    </row>
    <row r="67" spans="1:15" x14ac:dyDescent="0.2">
      <c r="A67" t="s">
        <v>190</v>
      </c>
      <c r="B67" t="s">
        <v>239</v>
      </c>
      <c r="C67">
        <v>5</v>
      </c>
      <c r="D67">
        <v>2</v>
      </c>
      <c r="E67">
        <v>3</v>
      </c>
      <c r="F67">
        <v>5</v>
      </c>
      <c r="G67">
        <v>4</v>
      </c>
      <c r="H67">
        <v>2</v>
      </c>
      <c r="I67">
        <v>1.84E-2</v>
      </c>
      <c r="J67">
        <v>50</v>
      </c>
      <c r="K67">
        <f t="shared" ref="K67:K113" si="1">I67*J67/100</f>
        <v>9.1999999999999998E-3</v>
      </c>
      <c r="L67" t="s">
        <v>17</v>
      </c>
      <c r="M67">
        <v>296</v>
      </c>
      <c r="N67" t="s">
        <v>201</v>
      </c>
      <c r="O67" t="s">
        <v>400</v>
      </c>
    </row>
    <row r="68" spans="1:15" x14ac:dyDescent="0.2">
      <c r="A68" t="s">
        <v>190</v>
      </c>
      <c r="B68" t="s">
        <v>239</v>
      </c>
      <c r="C68">
        <v>5</v>
      </c>
      <c r="D68">
        <v>2</v>
      </c>
      <c r="E68">
        <v>3</v>
      </c>
      <c r="F68">
        <v>6</v>
      </c>
      <c r="G68">
        <v>4</v>
      </c>
      <c r="H68">
        <v>2</v>
      </c>
      <c r="I68">
        <v>2.4400000000000002E-2</v>
      </c>
      <c r="J68">
        <v>50</v>
      </c>
      <c r="K68">
        <f t="shared" si="1"/>
        <v>1.2199999999999999E-2</v>
      </c>
      <c r="L68" t="s">
        <v>17</v>
      </c>
      <c r="M68">
        <v>296</v>
      </c>
      <c r="N68" t="s">
        <v>201</v>
      </c>
      <c r="O68" t="s">
        <v>401</v>
      </c>
    </row>
    <row r="69" spans="1:15" x14ac:dyDescent="0.2">
      <c r="A69" t="s">
        <v>190</v>
      </c>
      <c r="B69" t="s">
        <v>239</v>
      </c>
      <c r="C69">
        <v>5</v>
      </c>
      <c r="D69">
        <v>1</v>
      </c>
      <c r="E69">
        <v>4</v>
      </c>
      <c r="F69">
        <v>6</v>
      </c>
      <c r="G69">
        <v>3</v>
      </c>
      <c r="H69">
        <v>3</v>
      </c>
      <c r="I69">
        <v>2.12E-2</v>
      </c>
      <c r="J69">
        <v>50</v>
      </c>
      <c r="K69">
        <f t="shared" si="1"/>
        <v>1.06E-2</v>
      </c>
      <c r="L69" t="s">
        <v>17</v>
      </c>
      <c r="M69">
        <v>296</v>
      </c>
      <c r="N69" t="s">
        <v>201</v>
      </c>
      <c r="O69" t="s">
        <v>400</v>
      </c>
    </row>
    <row r="70" spans="1:15" x14ac:dyDescent="0.2">
      <c r="A70" t="s">
        <v>190</v>
      </c>
      <c r="B70" t="s">
        <v>239</v>
      </c>
      <c r="C70">
        <v>7</v>
      </c>
      <c r="D70">
        <v>6</v>
      </c>
      <c r="E70">
        <v>1</v>
      </c>
      <c r="F70">
        <v>7</v>
      </c>
      <c r="G70">
        <v>6</v>
      </c>
      <c r="H70">
        <v>2</v>
      </c>
      <c r="I70">
        <v>1.18E-2</v>
      </c>
      <c r="J70">
        <v>50</v>
      </c>
      <c r="K70">
        <f t="shared" si="1"/>
        <v>5.8999999999999999E-3</v>
      </c>
      <c r="L70" t="s">
        <v>17</v>
      </c>
      <c r="M70">
        <v>296</v>
      </c>
      <c r="N70" t="s">
        <v>201</v>
      </c>
      <c r="O70" t="s">
        <v>400</v>
      </c>
    </row>
    <row r="72" spans="1:15" x14ac:dyDescent="0.2">
      <c r="A72" t="s">
        <v>190</v>
      </c>
      <c r="B72" t="s">
        <v>239</v>
      </c>
      <c r="C72">
        <v>7</v>
      </c>
      <c r="D72">
        <v>1</v>
      </c>
      <c r="E72">
        <v>7</v>
      </c>
      <c r="F72">
        <v>8</v>
      </c>
      <c r="G72">
        <v>2</v>
      </c>
      <c r="H72">
        <v>6</v>
      </c>
      <c r="I72">
        <v>2.1700000000000001E-2</v>
      </c>
      <c r="J72">
        <v>50</v>
      </c>
      <c r="K72">
        <f t="shared" si="1"/>
        <v>1.085E-2</v>
      </c>
      <c r="L72" t="s">
        <v>17</v>
      </c>
      <c r="M72">
        <v>296</v>
      </c>
      <c r="N72" t="s">
        <v>201</v>
      </c>
      <c r="O72" t="s">
        <v>402</v>
      </c>
    </row>
    <row r="74" spans="1:15" x14ac:dyDescent="0.2">
      <c r="A74" t="s">
        <v>190</v>
      </c>
      <c r="B74" t="s">
        <v>403</v>
      </c>
      <c r="C74">
        <v>15</v>
      </c>
      <c r="D74">
        <v>0</v>
      </c>
      <c r="E74">
        <v>15</v>
      </c>
      <c r="F74">
        <v>14</v>
      </c>
      <c r="G74">
        <v>1</v>
      </c>
      <c r="H74">
        <v>14</v>
      </c>
      <c r="I74">
        <v>4.7000000000000002E-3</v>
      </c>
      <c r="J74">
        <v>50</v>
      </c>
      <c r="K74">
        <f t="shared" si="1"/>
        <v>2.3500000000000001E-3</v>
      </c>
      <c r="L74" t="s">
        <v>17</v>
      </c>
      <c r="M74">
        <v>296</v>
      </c>
      <c r="N74" t="s">
        <v>201</v>
      </c>
      <c r="O74" t="s">
        <v>404</v>
      </c>
    </row>
    <row r="75" spans="1:15" x14ac:dyDescent="0.2">
      <c r="A75" t="s">
        <v>190</v>
      </c>
      <c r="B75" t="s">
        <v>403</v>
      </c>
      <c r="C75">
        <v>15</v>
      </c>
      <c r="D75">
        <v>1</v>
      </c>
      <c r="E75">
        <v>15</v>
      </c>
      <c r="F75">
        <v>14</v>
      </c>
      <c r="G75">
        <v>0</v>
      </c>
      <c r="H75">
        <v>14</v>
      </c>
      <c r="I75">
        <v>4.7000000000000002E-3</v>
      </c>
      <c r="J75">
        <v>50</v>
      </c>
      <c r="K75">
        <f t="shared" si="1"/>
        <v>2.3500000000000001E-3</v>
      </c>
      <c r="L75" t="s">
        <v>17</v>
      </c>
      <c r="M75">
        <v>296</v>
      </c>
      <c r="N75" t="s">
        <v>201</v>
      </c>
      <c r="O75" t="s">
        <v>405</v>
      </c>
    </row>
    <row r="76" spans="1:15" x14ac:dyDescent="0.2">
      <c r="A76" t="s">
        <v>190</v>
      </c>
      <c r="B76" t="s">
        <v>403</v>
      </c>
      <c r="C76">
        <v>16</v>
      </c>
      <c r="D76">
        <v>0</v>
      </c>
      <c r="E76">
        <v>16</v>
      </c>
      <c r="F76">
        <v>15</v>
      </c>
      <c r="G76">
        <v>1</v>
      </c>
      <c r="H76">
        <v>15</v>
      </c>
      <c r="I76">
        <v>4.5999999999999999E-3</v>
      </c>
      <c r="J76">
        <v>50</v>
      </c>
      <c r="K76">
        <f t="shared" si="1"/>
        <v>2.3E-3</v>
      </c>
      <c r="L76" t="s">
        <v>17</v>
      </c>
      <c r="M76">
        <v>296</v>
      </c>
      <c r="N76" t="s">
        <v>201</v>
      </c>
      <c r="O76" t="s">
        <v>406</v>
      </c>
    </row>
    <row r="77" spans="1:15" x14ac:dyDescent="0.2">
      <c r="A77" t="s">
        <v>190</v>
      </c>
      <c r="B77" t="s">
        <v>403</v>
      </c>
      <c r="C77">
        <v>16</v>
      </c>
      <c r="D77">
        <v>1</v>
      </c>
      <c r="E77">
        <v>16</v>
      </c>
      <c r="F77">
        <v>15</v>
      </c>
      <c r="G77">
        <v>0</v>
      </c>
      <c r="H77">
        <v>15</v>
      </c>
      <c r="I77">
        <v>4.5999999999999999E-3</v>
      </c>
      <c r="J77">
        <v>50</v>
      </c>
      <c r="K77">
        <f t="shared" si="1"/>
        <v>2.3E-3</v>
      </c>
      <c r="L77" t="s">
        <v>17</v>
      </c>
      <c r="M77">
        <v>296</v>
      </c>
      <c r="N77" t="s">
        <v>201</v>
      </c>
      <c r="O77" t="s">
        <v>406</v>
      </c>
    </row>
    <row r="78" spans="1:15" x14ac:dyDescent="0.2">
      <c r="A78" t="s">
        <v>190</v>
      </c>
      <c r="B78" t="s">
        <v>403</v>
      </c>
      <c r="C78">
        <v>13</v>
      </c>
      <c r="D78">
        <v>2</v>
      </c>
      <c r="E78">
        <v>12</v>
      </c>
      <c r="F78">
        <v>12</v>
      </c>
      <c r="G78">
        <v>1</v>
      </c>
      <c r="H78">
        <v>11</v>
      </c>
      <c r="I78">
        <v>6.0000000000000001E-3</v>
      </c>
      <c r="J78">
        <v>50</v>
      </c>
      <c r="K78">
        <f t="shared" si="1"/>
        <v>3.0000000000000001E-3</v>
      </c>
      <c r="L78" t="s">
        <v>17</v>
      </c>
      <c r="M78">
        <v>296</v>
      </c>
      <c r="N78" t="s">
        <v>201</v>
      </c>
      <c r="O78" t="s">
        <v>406</v>
      </c>
    </row>
    <row r="79" spans="1:15" x14ac:dyDescent="0.2">
      <c r="A79" t="s">
        <v>190</v>
      </c>
      <c r="B79" t="s">
        <v>403</v>
      </c>
      <c r="C79">
        <v>12</v>
      </c>
      <c r="D79">
        <v>2</v>
      </c>
      <c r="E79">
        <v>10</v>
      </c>
      <c r="F79">
        <v>11</v>
      </c>
      <c r="G79">
        <v>3</v>
      </c>
      <c r="H79">
        <v>9</v>
      </c>
      <c r="I79">
        <v>9.4999999999999998E-3</v>
      </c>
      <c r="J79">
        <v>50</v>
      </c>
      <c r="K79">
        <f t="shared" si="1"/>
        <v>4.7499999999999999E-3</v>
      </c>
      <c r="L79" t="s">
        <v>17</v>
      </c>
      <c r="M79">
        <v>296</v>
      </c>
      <c r="N79" t="s">
        <v>201</v>
      </c>
      <c r="O79" t="s">
        <v>406</v>
      </c>
    </row>
    <row r="80" spans="1:15" x14ac:dyDescent="0.2">
      <c r="A80" t="s">
        <v>190</v>
      </c>
      <c r="B80" t="s">
        <v>403</v>
      </c>
      <c r="C80">
        <v>14</v>
      </c>
      <c r="D80">
        <v>2</v>
      </c>
      <c r="E80">
        <v>13</v>
      </c>
      <c r="F80">
        <v>13</v>
      </c>
      <c r="G80">
        <v>1</v>
      </c>
      <c r="H80">
        <v>12</v>
      </c>
      <c r="I80">
        <v>5.4000000000000003E-3</v>
      </c>
      <c r="J80">
        <v>50</v>
      </c>
      <c r="K80">
        <f t="shared" si="1"/>
        <v>2.7000000000000001E-3</v>
      </c>
      <c r="L80" t="s">
        <v>17</v>
      </c>
      <c r="M80">
        <v>296</v>
      </c>
      <c r="N80" t="s">
        <v>201</v>
      </c>
      <c r="O80" t="s">
        <v>406</v>
      </c>
    </row>
    <row r="81" spans="1:15" x14ac:dyDescent="0.2">
      <c r="A81" t="s">
        <v>190</v>
      </c>
      <c r="B81" t="s">
        <v>403</v>
      </c>
      <c r="C81">
        <v>13</v>
      </c>
      <c r="D81">
        <v>2</v>
      </c>
      <c r="E81">
        <v>11</v>
      </c>
      <c r="F81">
        <v>12</v>
      </c>
      <c r="G81">
        <v>3</v>
      </c>
      <c r="H81">
        <v>10</v>
      </c>
      <c r="I81">
        <v>7.7999999999999996E-3</v>
      </c>
      <c r="J81">
        <v>50</v>
      </c>
      <c r="K81">
        <f t="shared" si="1"/>
        <v>3.8999999999999994E-3</v>
      </c>
      <c r="L81" t="s">
        <v>17</v>
      </c>
      <c r="M81">
        <v>296</v>
      </c>
      <c r="N81" t="s">
        <v>201</v>
      </c>
      <c r="O81" t="s">
        <v>406</v>
      </c>
    </row>
    <row r="82" spans="1:15" x14ac:dyDescent="0.2">
      <c r="A82" t="s">
        <v>190</v>
      </c>
      <c r="B82" t="s">
        <v>403</v>
      </c>
      <c r="C82">
        <v>10</v>
      </c>
      <c r="D82">
        <v>5</v>
      </c>
      <c r="E82">
        <v>5</v>
      </c>
      <c r="F82">
        <v>9</v>
      </c>
      <c r="G82">
        <v>4</v>
      </c>
      <c r="H82">
        <v>6</v>
      </c>
      <c r="I82">
        <v>1.2500000000000001E-2</v>
      </c>
      <c r="J82">
        <v>50</v>
      </c>
      <c r="K82">
        <f t="shared" si="1"/>
        <v>6.2500000000000003E-3</v>
      </c>
      <c r="L82" t="s">
        <v>17</v>
      </c>
      <c r="M82">
        <v>296</v>
      </c>
      <c r="N82" t="s">
        <v>201</v>
      </c>
      <c r="O82" t="s">
        <v>406</v>
      </c>
    </row>
    <row r="83" spans="1:15" x14ac:dyDescent="0.2">
      <c r="A83" t="s">
        <v>190</v>
      </c>
      <c r="B83" t="s">
        <v>403</v>
      </c>
      <c r="C83">
        <v>9</v>
      </c>
      <c r="D83">
        <v>6</v>
      </c>
      <c r="E83">
        <v>4</v>
      </c>
      <c r="F83">
        <v>8</v>
      </c>
      <c r="G83">
        <v>5</v>
      </c>
      <c r="H83">
        <v>3</v>
      </c>
      <c r="I83">
        <v>1.12E-2</v>
      </c>
      <c r="J83">
        <v>50</v>
      </c>
      <c r="K83">
        <f t="shared" si="1"/>
        <v>5.5999999999999991E-3</v>
      </c>
      <c r="L83" t="s">
        <v>17</v>
      </c>
      <c r="M83">
        <v>296</v>
      </c>
      <c r="N83" t="s">
        <v>201</v>
      </c>
      <c r="O83" t="s">
        <v>406</v>
      </c>
    </row>
    <row r="84" spans="1:15" x14ac:dyDescent="0.2">
      <c r="A84" t="s">
        <v>190</v>
      </c>
      <c r="B84" t="s">
        <v>403</v>
      </c>
      <c r="C84">
        <v>11</v>
      </c>
      <c r="D84">
        <v>5</v>
      </c>
      <c r="E84">
        <v>6</v>
      </c>
      <c r="F84">
        <v>10</v>
      </c>
      <c r="G84">
        <v>4</v>
      </c>
      <c r="H84">
        <v>7</v>
      </c>
      <c r="I84">
        <v>1.2800000000000001E-2</v>
      </c>
      <c r="J84">
        <v>50</v>
      </c>
      <c r="K84">
        <f t="shared" si="1"/>
        <v>6.4000000000000003E-3</v>
      </c>
      <c r="L84" t="s">
        <v>17</v>
      </c>
      <c r="M84">
        <v>296</v>
      </c>
      <c r="N84" t="s">
        <v>201</v>
      </c>
      <c r="O84" t="s">
        <v>406</v>
      </c>
    </row>
    <row r="85" spans="1:15" x14ac:dyDescent="0.2">
      <c r="A85" t="s">
        <v>190</v>
      </c>
      <c r="B85" t="s">
        <v>403</v>
      </c>
      <c r="C85">
        <v>10</v>
      </c>
      <c r="D85">
        <v>6</v>
      </c>
      <c r="E85">
        <v>5</v>
      </c>
      <c r="F85">
        <v>9</v>
      </c>
      <c r="G85">
        <v>5</v>
      </c>
      <c r="H85">
        <v>4</v>
      </c>
      <c r="I85">
        <v>1.18E-2</v>
      </c>
      <c r="J85">
        <v>50</v>
      </c>
      <c r="K85">
        <f t="shared" si="1"/>
        <v>5.8999999999999999E-3</v>
      </c>
      <c r="L85" t="s">
        <v>17</v>
      </c>
      <c r="M85">
        <v>296</v>
      </c>
      <c r="N85" t="s">
        <v>201</v>
      </c>
      <c r="O85" t="s">
        <v>406</v>
      </c>
    </row>
    <row r="86" spans="1:15" x14ac:dyDescent="0.2">
      <c r="A86" t="s">
        <v>190</v>
      </c>
      <c r="B86" t="s">
        <v>403</v>
      </c>
      <c r="C86">
        <v>9</v>
      </c>
      <c r="D86">
        <v>7</v>
      </c>
      <c r="E86">
        <v>3</v>
      </c>
      <c r="F86">
        <v>8</v>
      </c>
      <c r="G86">
        <v>6</v>
      </c>
      <c r="H86">
        <v>2</v>
      </c>
      <c r="I86">
        <v>9.7999999999999997E-3</v>
      </c>
      <c r="J86">
        <v>50</v>
      </c>
      <c r="K86">
        <f t="shared" si="1"/>
        <v>4.8999999999999998E-3</v>
      </c>
      <c r="L86" t="s">
        <v>17</v>
      </c>
      <c r="M86">
        <v>296</v>
      </c>
      <c r="N86" t="s">
        <v>201</v>
      </c>
      <c r="O86" t="s">
        <v>406</v>
      </c>
    </row>
    <row r="87" spans="1:15" x14ac:dyDescent="0.2">
      <c r="A87" t="s">
        <v>190</v>
      </c>
      <c r="B87" t="s">
        <v>403</v>
      </c>
      <c r="C87">
        <v>9</v>
      </c>
      <c r="D87">
        <v>7</v>
      </c>
      <c r="E87">
        <v>2</v>
      </c>
      <c r="F87">
        <v>8</v>
      </c>
      <c r="G87">
        <v>6</v>
      </c>
      <c r="H87">
        <v>3</v>
      </c>
      <c r="I87">
        <v>9.4000000000000004E-3</v>
      </c>
      <c r="J87">
        <v>50</v>
      </c>
      <c r="K87">
        <f t="shared" si="1"/>
        <v>4.7000000000000002E-3</v>
      </c>
      <c r="L87" t="s">
        <v>17</v>
      </c>
      <c r="M87">
        <v>296</v>
      </c>
      <c r="N87" t="s">
        <v>201</v>
      </c>
      <c r="O87" t="s">
        <v>406</v>
      </c>
    </row>
    <row r="89" spans="1:15" x14ac:dyDescent="0.2">
      <c r="A89" t="s">
        <v>190</v>
      </c>
      <c r="B89" t="s">
        <v>407</v>
      </c>
      <c r="C89">
        <v>7</v>
      </c>
      <c r="D89">
        <v>1</v>
      </c>
      <c r="E89">
        <v>7</v>
      </c>
      <c r="F89">
        <v>8</v>
      </c>
      <c r="G89">
        <v>2</v>
      </c>
      <c r="H89">
        <v>6</v>
      </c>
      <c r="I89">
        <v>5.5899999999999998E-2</v>
      </c>
      <c r="J89">
        <v>50</v>
      </c>
      <c r="K89">
        <f t="shared" si="1"/>
        <v>2.7949999999999999E-2</v>
      </c>
      <c r="L89" t="s">
        <v>17</v>
      </c>
      <c r="M89">
        <v>296</v>
      </c>
      <c r="N89" t="s">
        <v>201</v>
      </c>
      <c r="O89" t="s">
        <v>408</v>
      </c>
    </row>
    <row r="90" spans="1:15" x14ac:dyDescent="0.2">
      <c r="A90" t="s">
        <v>190</v>
      </c>
      <c r="B90" t="s">
        <v>407</v>
      </c>
      <c r="C90">
        <v>6</v>
      </c>
      <c r="D90">
        <v>0</v>
      </c>
      <c r="E90">
        <v>6</v>
      </c>
      <c r="F90">
        <v>7</v>
      </c>
      <c r="G90">
        <v>3</v>
      </c>
      <c r="H90">
        <v>5</v>
      </c>
      <c r="I90">
        <v>4.8300000000000003E-2</v>
      </c>
      <c r="J90">
        <v>50</v>
      </c>
      <c r="K90">
        <f t="shared" si="1"/>
        <v>2.4150000000000001E-2</v>
      </c>
      <c r="L90" t="s">
        <v>17</v>
      </c>
      <c r="M90">
        <v>296</v>
      </c>
      <c r="N90" t="s">
        <v>201</v>
      </c>
      <c r="O90" t="s">
        <v>409</v>
      </c>
    </row>
    <row r="91" spans="1:15" x14ac:dyDescent="0.2">
      <c r="A91" t="s">
        <v>190</v>
      </c>
      <c r="B91" t="s">
        <v>407</v>
      </c>
      <c r="C91">
        <v>9</v>
      </c>
      <c r="D91">
        <v>6</v>
      </c>
      <c r="E91">
        <v>3</v>
      </c>
      <c r="F91">
        <v>10</v>
      </c>
      <c r="G91">
        <v>7</v>
      </c>
      <c r="H91">
        <v>4</v>
      </c>
      <c r="I91">
        <v>2.1899999999999999E-2</v>
      </c>
      <c r="J91">
        <v>50</v>
      </c>
      <c r="K91">
        <f t="shared" si="1"/>
        <v>1.095E-2</v>
      </c>
      <c r="L91" t="s">
        <v>17</v>
      </c>
      <c r="M91">
        <v>296</v>
      </c>
      <c r="N91" t="s">
        <v>201</v>
      </c>
      <c r="O91" t="s">
        <v>409</v>
      </c>
    </row>
    <row r="92" spans="1:15" x14ac:dyDescent="0.2">
      <c r="A92" t="s">
        <v>190</v>
      </c>
      <c r="B92" t="s">
        <v>407</v>
      </c>
      <c r="C92">
        <v>9</v>
      </c>
      <c r="D92">
        <v>4</v>
      </c>
      <c r="E92">
        <v>5</v>
      </c>
      <c r="F92">
        <v>10</v>
      </c>
      <c r="G92">
        <v>5</v>
      </c>
      <c r="H92">
        <v>6</v>
      </c>
      <c r="I92">
        <v>3.0700000000000002E-2</v>
      </c>
      <c r="J92">
        <v>50</v>
      </c>
      <c r="K92">
        <f t="shared" si="1"/>
        <v>1.5350000000000001E-2</v>
      </c>
      <c r="L92" t="s">
        <v>17</v>
      </c>
      <c r="M92">
        <v>296</v>
      </c>
      <c r="N92" t="s">
        <v>201</v>
      </c>
      <c r="O92" t="s">
        <v>409</v>
      </c>
    </row>
    <row r="93" spans="1:15" x14ac:dyDescent="0.2">
      <c r="A93" t="s">
        <v>190</v>
      </c>
      <c r="B93" t="s">
        <v>407</v>
      </c>
      <c r="C93">
        <v>8</v>
      </c>
      <c r="D93">
        <v>5</v>
      </c>
      <c r="E93">
        <v>3</v>
      </c>
      <c r="F93">
        <v>9</v>
      </c>
      <c r="G93">
        <v>6</v>
      </c>
      <c r="H93">
        <v>4</v>
      </c>
      <c r="I93">
        <v>2.2700000000000001E-2</v>
      </c>
      <c r="J93">
        <v>50</v>
      </c>
      <c r="K93">
        <f t="shared" si="1"/>
        <v>1.1350000000000001E-2</v>
      </c>
      <c r="L93" t="s">
        <v>17</v>
      </c>
      <c r="M93">
        <v>296</v>
      </c>
      <c r="N93" t="s">
        <v>201</v>
      </c>
      <c r="O93" t="s">
        <v>409</v>
      </c>
    </row>
    <row r="94" spans="1:15" x14ac:dyDescent="0.2">
      <c r="A94" t="s">
        <v>190</v>
      </c>
      <c r="B94" t="s">
        <v>407</v>
      </c>
      <c r="C94">
        <v>13</v>
      </c>
      <c r="D94">
        <v>0</v>
      </c>
      <c r="E94">
        <v>13</v>
      </c>
      <c r="F94">
        <v>14</v>
      </c>
      <c r="G94">
        <v>1</v>
      </c>
      <c r="H94">
        <v>14</v>
      </c>
      <c r="I94">
        <v>6.7000000000000002E-3</v>
      </c>
      <c r="J94">
        <v>50</v>
      </c>
      <c r="K94">
        <f t="shared" si="1"/>
        <v>3.3500000000000001E-3</v>
      </c>
      <c r="L94" t="s">
        <v>17</v>
      </c>
      <c r="M94">
        <v>296</v>
      </c>
      <c r="N94" t="s">
        <v>201</v>
      </c>
      <c r="O94" t="s">
        <v>409</v>
      </c>
    </row>
    <row r="95" spans="1:15" x14ac:dyDescent="0.2">
      <c r="A95" t="s">
        <v>190</v>
      </c>
      <c r="B95" t="s">
        <v>407</v>
      </c>
      <c r="C95">
        <v>13</v>
      </c>
      <c r="D95">
        <v>1</v>
      </c>
      <c r="E95">
        <v>13</v>
      </c>
      <c r="F95">
        <v>14</v>
      </c>
      <c r="G95">
        <v>0</v>
      </c>
      <c r="H95">
        <v>14</v>
      </c>
      <c r="I95">
        <v>7.6E-3</v>
      </c>
      <c r="J95">
        <v>50</v>
      </c>
      <c r="K95">
        <f t="shared" si="1"/>
        <v>3.8E-3</v>
      </c>
      <c r="L95" t="s">
        <v>17</v>
      </c>
      <c r="M95">
        <v>296</v>
      </c>
      <c r="N95" t="s">
        <v>201</v>
      </c>
      <c r="O95" t="s">
        <v>409</v>
      </c>
    </row>
    <row r="96" spans="1:15" x14ac:dyDescent="0.2">
      <c r="A96" t="s">
        <v>190</v>
      </c>
      <c r="B96" t="s">
        <v>407</v>
      </c>
      <c r="C96">
        <v>7</v>
      </c>
      <c r="D96">
        <v>0</v>
      </c>
      <c r="E96">
        <v>7</v>
      </c>
      <c r="F96">
        <v>7</v>
      </c>
      <c r="G96">
        <v>3</v>
      </c>
      <c r="H96">
        <v>4</v>
      </c>
      <c r="I96">
        <v>6.3200000000000006E-2</v>
      </c>
      <c r="J96">
        <v>50</v>
      </c>
      <c r="K96">
        <f t="shared" si="1"/>
        <v>3.1600000000000003E-2</v>
      </c>
      <c r="L96" t="s">
        <v>17</v>
      </c>
      <c r="M96">
        <v>296</v>
      </c>
      <c r="N96" t="s">
        <v>201</v>
      </c>
      <c r="O96" t="s">
        <v>409</v>
      </c>
    </row>
    <row r="97" spans="1:15" x14ac:dyDescent="0.2">
      <c r="A97" t="s">
        <v>190</v>
      </c>
      <c r="B97" t="s">
        <v>407</v>
      </c>
      <c r="C97">
        <v>11</v>
      </c>
      <c r="D97">
        <v>2</v>
      </c>
      <c r="E97">
        <v>10</v>
      </c>
      <c r="F97">
        <v>12</v>
      </c>
      <c r="G97">
        <v>1</v>
      </c>
      <c r="H97">
        <v>11</v>
      </c>
      <c r="I97">
        <v>1.23E-2</v>
      </c>
      <c r="J97">
        <v>50</v>
      </c>
      <c r="K97">
        <f t="shared" si="1"/>
        <v>6.1500000000000001E-3</v>
      </c>
      <c r="L97" t="s">
        <v>17</v>
      </c>
      <c r="M97">
        <v>296</v>
      </c>
      <c r="N97" t="s">
        <v>201</v>
      </c>
      <c r="O97" t="s">
        <v>409</v>
      </c>
    </row>
    <row r="98" spans="1:15" x14ac:dyDescent="0.2">
      <c r="A98" t="s">
        <v>190</v>
      </c>
      <c r="B98" t="s">
        <v>407</v>
      </c>
      <c r="C98">
        <v>12</v>
      </c>
      <c r="D98">
        <v>1</v>
      </c>
      <c r="E98">
        <v>12</v>
      </c>
      <c r="F98">
        <v>12</v>
      </c>
      <c r="G98">
        <v>2</v>
      </c>
      <c r="H98">
        <v>11</v>
      </c>
      <c r="I98">
        <v>1.29E-2</v>
      </c>
      <c r="J98">
        <v>50</v>
      </c>
      <c r="K98">
        <f t="shared" si="1"/>
        <v>6.45E-3</v>
      </c>
      <c r="L98" t="s">
        <v>17</v>
      </c>
      <c r="M98">
        <v>296</v>
      </c>
      <c r="N98" t="s">
        <v>201</v>
      </c>
      <c r="O98" t="s">
        <v>409</v>
      </c>
    </row>
    <row r="99" spans="1:15" x14ac:dyDescent="0.2">
      <c r="A99" t="s">
        <v>190</v>
      </c>
      <c r="B99" t="s">
        <v>407</v>
      </c>
      <c r="C99">
        <v>12</v>
      </c>
      <c r="D99">
        <v>0</v>
      </c>
      <c r="E99">
        <v>12</v>
      </c>
      <c r="F99">
        <v>12</v>
      </c>
      <c r="G99">
        <v>1</v>
      </c>
      <c r="H99">
        <v>11</v>
      </c>
      <c r="I99">
        <v>1.52E-2</v>
      </c>
      <c r="J99">
        <v>50</v>
      </c>
      <c r="K99">
        <f t="shared" si="1"/>
        <v>7.6E-3</v>
      </c>
      <c r="L99" t="s">
        <v>17</v>
      </c>
      <c r="M99">
        <v>296</v>
      </c>
      <c r="N99" t="s">
        <v>201</v>
      </c>
      <c r="O99" t="s">
        <v>409</v>
      </c>
    </row>
    <row r="100" spans="1:15" x14ac:dyDescent="0.2">
      <c r="A100" t="s">
        <v>190</v>
      </c>
      <c r="B100" t="s">
        <v>407</v>
      </c>
      <c r="C100">
        <v>7</v>
      </c>
      <c r="D100">
        <v>1</v>
      </c>
      <c r="E100">
        <v>6</v>
      </c>
      <c r="F100">
        <v>7</v>
      </c>
      <c r="G100">
        <v>4</v>
      </c>
      <c r="H100">
        <v>3</v>
      </c>
      <c r="I100">
        <v>4.4900000000000002E-2</v>
      </c>
      <c r="J100">
        <v>50</v>
      </c>
      <c r="K100">
        <f t="shared" si="1"/>
        <v>2.2450000000000001E-2</v>
      </c>
      <c r="L100" t="s">
        <v>17</v>
      </c>
      <c r="M100">
        <v>296</v>
      </c>
      <c r="N100" t="s">
        <v>201</v>
      </c>
      <c r="O100" t="s">
        <v>409</v>
      </c>
    </row>
    <row r="101" spans="1:15" x14ac:dyDescent="0.2">
      <c r="A101" t="s">
        <v>190</v>
      </c>
      <c r="B101" t="s">
        <v>407</v>
      </c>
      <c r="C101">
        <v>2</v>
      </c>
      <c r="D101">
        <v>0</v>
      </c>
      <c r="E101">
        <v>2</v>
      </c>
      <c r="F101">
        <v>3</v>
      </c>
      <c r="G101">
        <v>3</v>
      </c>
      <c r="H101">
        <v>1</v>
      </c>
      <c r="I101">
        <v>7.3400000000000007E-2</v>
      </c>
      <c r="J101">
        <v>50</v>
      </c>
      <c r="K101">
        <f t="shared" si="1"/>
        <v>3.6700000000000003E-2</v>
      </c>
      <c r="L101" t="s">
        <v>17</v>
      </c>
      <c r="M101">
        <v>296</v>
      </c>
      <c r="N101" t="s">
        <v>201</v>
      </c>
      <c r="O101" t="s">
        <v>409</v>
      </c>
    </row>
    <row r="102" spans="1:15" x14ac:dyDescent="0.2">
      <c r="A102" t="s">
        <v>190</v>
      </c>
      <c r="B102" t="s">
        <v>407</v>
      </c>
      <c r="C102">
        <v>10</v>
      </c>
      <c r="D102">
        <v>3</v>
      </c>
      <c r="E102">
        <v>8</v>
      </c>
      <c r="F102">
        <v>11</v>
      </c>
      <c r="G102">
        <v>2</v>
      </c>
      <c r="H102">
        <v>9</v>
      </c>
      <c r="I102">
        <v>2.1399999999999999E-2</v>
      </c>
      <c r="J102">
        <v>50</v>
      </c>
      <c r="K102">
        <f t="shared" si="1"/>
        <v>1.0699999999999998E-2</v>
      </c>
      <c r="L102" t="s">
        <v>17</v>
      </c>
      <c r="M102">
        <v>296</v>
      </c>
      <c r="N102" t="s">
        <v>201</v>
      </c>
      <c r="O102" t="s">
        <v>409</v>
      </c>
    </row>
    <row r="103" spans="1:15" x14ac:dyDescent="0.2">
      <c r="A103" t="s">
        <v>190</v>
      </c>
      <c r="B103" t="s">
        <v>407</v>
      </c>
      <c r="C103">
        <v>5</v>
      </c>
      <c r="D103">
        <v>1</v>
      </c>
      <c r="E103">
        <v>4</v>
      </c>
      <c r="F103">
        <v>5</v>
      </c>
      <c r="G103">
        <v>4</v>
      </c>
      <c r="H103">
        <v>1</v>
      </c>
      <c r="I103">
        <v>5.3400000000000003E-2</v>
      </c>
      <c r="J103">
        <v>50</v>
      </c>
      <c r="K103">
        <f t="shared" si="1"/>
        <v>2.6699999999999998E-2</v>
      </c>
      <c r="L103" t="s">
        <v>17</v>
      </c>
      <c r="M103">
        <v>296</v>
      </c>
      <c r="N103" t="s">
        <v>201</v>
      </c>
      <c r="O103" t="s">
        <v>409</v>
      </c>
    </row>
    <row r="104" spans="1:15" x14ac:dyDescent="0.2">
      <c r="A104" t="s">
        <v>190</v>
      </c>
      <c r="B104" t="s">
        <v>407</v>
      </c>
      <c r="C104">
        <v>11</v>
      </c>
      <c r="D104">
        <v>1</v>
      </c>
      <c r="E104">
        <v>11</v>
      </c>
      <c r="F104">
        <v>11</v>
      </c>
      <c r="G104">
        <v>2</v>
      </c>
      <c r="H104">
        <v>10</v>
      </c>
      <c r="I104">
        <v>1.6799999999999999E-2</v>
      </c>
      <c r="J104">
        <v>50</v>
      </c>
      <c r="K104">
        <f t="shared" si="1"/>
        <v>8.3999999999999995E-3</v>
      </c>
      <c r="L104" t="s">
        <v>17</v>
      </c>
      <c r="M104">
        <v>296</v>
      </c>
      <c r="N104" t="s">
        <v>201</v>
      </c>
      <c r="O104" t="s">
        <v>409</v>
      </c>
    </row>
    <row r="105" spans="1:15" x14ac:dyDescent="0.2">
      <c r="A105" t="s">
        <v>190</v>
      </c>
      <c r="B105" t="s">
        <v>407</v>
      </c>
      <c r="C105">
        <v>9</v>
      </c>
      <c r="D105">
        <v>3</v>
      </c>
      <c r="E105">
        <v>7</v>
      </c>
      <c r="F105">
        <v>10</v>
      </c>
      <c r="G105">
        <v>2</v>
      </c>
      <c r="H105">
        <v>8</v>
      </c>
      <c r="I105">
        <v>2.7799999999999998E-2</v>
      </c>
      <c r="J105">
        <v>50</v>
      </c>
      <c r="K105">
        <f t="shared" si="1"/>
        <v>1.3899999999999999E-2</v>
      </c>
      <c r="L105" t="s">
        <v>17</v>
      </c>
      <c r="M105">
        <v>296</v>
      </c>
      <c r="N105" t="s">
        <v>201</v>
      </c>
      <c r="O105" t="s">
        <v>409</v>
      </c>
    </row>
    <row r="106" spans="1:15" x14ac:dyDescent="0.2">
      <c r="A106" t="s">
        <v>190</v>
      </c>
      <c r="B106" t="s">
        <v>407</v>
      </c>
      <c r="C106">
        <v>10</v>
      </c>
      <c r="D106">
        <v>4</v>
      </c>
      <c r="E106">
        <v>7</v>
      </c>
      <c r="F106">
        <v>11</v>
      </c>
      <c r="G106">
        <v>3</v>
      </c>
      <c r="H106">
        <v>8</v>
      </c>
      <c r="I106">
        <v>3.3399999999999999E-2</v>
      </c>
      <c r="J106">
        <v>50</v>
      </c>
      <c r="K106">
        <f t="shared" si="1"/>
        <v>1.67E-2</v>
      </c>
      <c r="L106" t="s">
        <v>17</v>
      </c>
      <c r="M106">
        <v>296</v>
      </c>
      <c r="N106" t="s">
        <v>201</v>
      </c>
      <c r="O106" t="s">
        <v>409</v>
      </c>
    </row>
    <row r="108" spans="1:15" x14ac:dyDescent="0.2">
      <c r="A108" t="s">
        <v>190</v>
      </c>
      <c r="B108" t="s">
        <v>407</v>
      </c>
      <c r="C108">
        <v>9</v>
      </c>
      <c r="D108">
        <v>0</v>
      </c>
      <c r="E108">
        <v>9</v>
      </c>
      <c r="F108">
        <v>8</v>
      </c>
      <c r="G108">
        <v>1</v>
      </c>
      <c r="H108">
        <v>8</v>
      </c>
      <c r="I108">
        <v>2.2200000000000001E-2</v>
      </c>
      <c r="J108">
        <v>50</v>
      </c>
      <c r="K108">
        <f t="shared" si="1"/>
        <v>1.11E-2</v>
      </c>
      <c r="L108" t="s">
        <v>17</v>
      </c>
      <c r="M108">
        <v>296</v>
      </c>
      <c r="N108" t="s">
        <v>201</v>
      </c>
      <c r="O108" t="s">
        <v>410</v>
      </c>
    </row>
    <row r="109" spans="1:15" x14ac:dyDescent="0.2">
      <c r="A109" t="s">
        <v>190</v>
      </c>
      <c r="B109" t="s">
        <v>407</v>
      </c>
      <c r="C109">
        <v>6</v>
      </c>
      <c r="D109">
        <v>2</v>
      </c>
      <c r="E109">
        <v>5</v>
      </c>
      <c r="F109">
        <v>5</v>
      </c>
      <c r="G109">
        <v>1</v>
      </c>
      <c r="H109">
        <v>4</v>
      </c>
      <c r="I109">
        <v>5.5E-2</v>
      </c>
      <c r="J109">
        <v>50</v>
      </c>
      <c r="K109">
        <f t="shared" si="1"/>
        <v>2.75E-2</v>
      </c>
      <c r="L109" t="s">
        <v>17</v>
      </c>
      <c r="M109">
        <v>296</v>
      </c>
      <c r="N109" t="s">
        <v>201</v>
      </c>
      <c r="O109" t="s">
        <v>411</v>
      </c>
    </row>
    <row r="110" spans="1:15" x14ac:dyDescent="0.2">
      <c r="A110" t="s">
        <v>190</v>
      </c>
      <c r="B110" t="s">
        <v>407</v>
      </c>
      <c r="C110">
        <v>3</v>
      </c>
      <c r="D110">
        <v>2</v>
      </c>
      <c r="E110">
        <v>2</v>
      </c>
      <c r="F110">
        <v>2</v>
      </c>
      <c r="G110">
        <v>1</v>
      </c>
      <c r="H110">
        <v>1</v>
      </c>
      <c r="I110">
        <v>5.7500000000000002E-2</v>
      </c>
      <c r="J110">
        <v>50</v>
      </c>
      <c r="K110">
        <f t="shared" si="1"/>
        <v>2.8750000000000001E-2</v>
      </c>
      <c r="L110" t="s">
        <v>17</v>
      </c>
      <c r="M110">
        <v>296</v>
      </c>
      <c r="N110" t="s">
        <v>201</v>
      </c>
      <c r="O110" t="s">
        <v>411</v>
      </c>
    </row>
    <row r="112" spans="1:15" x14ac:dyDescent="0.2">
      <c r="A112" t="s">
        <v>190</v>
      </c>
      <c r="B112" t="s">
        <v>407</v>
      </c>
      <c r="C112">
        <v>9</v>
      </c>
      <c r="D112">
        <v>2</v>
      </c>
      <c r="E112">
        <v>7</v>
      </c>
      <c r="F112">
        <v>8</v>
      </c>
      <c r="G112">
        <v>2</v>
      </c>
      <c r="H112">
        <v>6</v>
      </c>
      <c r="I112">
        <v>4.5999999999999999E-2</v>
      </c>
      <c r="J112">
        <v>50</v>
      </c>
      <c r="K112">
        <f t="shared" si="1"/>
        <v>2.3E-2</v>
      </c>
      <c r="L112" t="s">
        <v>17</v>
      </c>
      <c r="M112">
        <v>296</v>
      </c>
      <c r="N112" t="s">
        <v>201</v>
      </c>
      <c r="O112" t="s">
        <v>412</v>
      </c>
    </row>
    <row r="113" spans="1:15" x14ac:dyDescent="0.2">
      <c r="A113" t="s">
        <v>190</v>
      </c>
      <c r="B113" t="s">
        <v>407</v>
      </c>
      <c r="C113">
        <v>8</v>
      </c>
      <c r="D113">
        <v>5</v>
      </c>
      <c r="E113">
        <v>4</v>
      </c>
      <c r="F113">
        <v>7</v>
      </c>
      <c r="G113">
        <v>5</v>
      </c>
      <c r="H113">
        <v>3</v>
      </c>
      <c r="I113">
        <v>3.0499999999999999E-2</v>
      </c>
      <c r="J113">
        <v>50</v>
      </c>
      <c r="K113">
        <f t="shared" si="1"/>
        <v>1.525E-2</v>
      </c>
      <c r="L113" t="s">
        <v>17</v>
      </c>
      <c r="M113">
        <v>296</v>
      </c>
      <c r="N113" t="s">
        <v>201</v>
      </c>
      <c r="O113" t="s">
        <v>412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CAFEB-F025-1F43-A889-9DEE60C5F9B5}">
  <dimension ref="A1:O50"/>
  <sheetViews>
    <sheetView workbookViewId="0">
      <selection activeCell="O3" sqref="O3"/>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173</v>
      </c>
      <c r="B2" t="s">
        <v>32</v>
      </c>
      <c r="C2">
        <v>25</v>
      </c>
      <c r="D2" t="s">
        <v>17</v>
      </c>
      <c r="E2" t="s">
        <v>17</v>
      </c>
      <c r="F2">
        <v>26</v>
      </c>
      <c r="G2" t="s">
        <v>17</v>
      </c>
      <c r="H2" t="s">
        <v>17</v>
      </c>
      <c r="I2">
        <v>5.5599999999999997E-2</v>
      </c>
      <c r="J2">
        <v>2.16</v>
      </c>
      <c r="K2">
        <v>1.1999999999999999E-3</v>
      </c>
      <c r="L2" t="s">
        <v>17</v>
      </c>
      <c r="M2">
        <v>298.3</v>
      </c>
      <c r="N2" t="s">
        <v>413</v>
      </c>
      <c r="O2" t="s">
        <v>414</v>
      </c>
    </row>
    <row r="3" spans="1:15" x14ac:dyDescent="0.2">
      <c r="A3" t="s">
        <v>173</v>
      </c>
      <c r="B3" t="s">
        <v>32</v>
      </c>
      <c r="C3">
        <v>24</v>
      </c>
      <c r="D3" t="s">
        <v>17</v>
      </c>
      <c r="E3" t="s">
        <v>17</v>
      </c>
      <c r="F3">
        <v>25</v>
      </c>
      <c r="G3" t="s">
        <v>17</v>
      </c>
      <c r="H3" t="s">
        <v>17</v>
      </c>
      <c r="I3">
        <v>5.1999999999999998E-2</v>
      </c>
      <c r="J3">
        <v>1.54</v>
      </c>
      <c r="K3">
        <v>8.0000000000000004E-4</v>
      </c>
      <c r="L3" t="s">
        <v>17</v>
      </c>
      <c r="M3">
        <v>298.3</v>
      </c>
      <c r="N3" t="s">
        <v>413</v>
      </c>
      <c r="O3" t="s">
        <v>415</v>
      </c>
    </row>
    <row r="4" spans="1:15" x14ac:dyDescent="0.2">
      <c r="A4" t="s">
        <v>173</v>
      </c>
      <c r="B4" t="s">
        <v>32</v>
      </c>
      <c r="C4">
        <v>23</v>
      </c>
      <c r="D4" t="s">
        <v>17</v>
      </c>
      <c r="E4" t="s">
        <v>17</v>
      </c>
      <c r="F4">
        <v>24</v>
      </c>
      <c r="G4" t="s">
        <v>17</v>
      </c>
      <c r="H4" t="s">
        <v>17</v>
      </c>
      <c r="I4">
        <v>5.4600000000000003E-2</v>
      </c>
      <c r="J4">
        <v>2.0099999999999998</v>
      </c>
      <c r="K4">
        <v>1.1000000000000001E-3</v>
      </c>
      <c r="L4" t="s">
        <v>17</v>
      </c>
      <c r="M4">
        <v>298.3</v>
      </c>
      <c r="N4" t="s">
        <v>413</v>
      </c>
      <c r="O4" t="s">
        <v>416</v>
      </c>
    </row>
    <row r="5" spans="1:15" x14ac:dyDescent="0.2">
      <c r="A5" t="s">
        <v>173</v>
      </c>
      <c r="B5" t="s">
        <v>32</v>
      </c>
      <c r="C5">
        <v>22</v>
      </c>
      <c r="D5" t="s">
        <v>17</v>
      </c>
      <c r="E5" t="s">
        <v>17</v>
      </c>
      <c r="F5">
        <v>23</v>
      </c>
      <c r="G5" t="s">
        <v>17</v>
      </c>
      <c r="H5" t="s">
        <v>17</v>
      </c>
      <c r="I5">
        <v>5.6300000000000003E-2</v>
      </c>
      <c r="J5">
        <v>0.89</v>
      </c>
      <c r="K5">
        <v>5.0000000000000001E-4</v>
      </c>
      <c r="L5" t="s">
        <v>17</v>
      </c>
      <c r="M5">
        <v>298.3</v>
      </c>
      <c r="N5" t="s">
        <v>413</v>
      </c>
      <c r="O5" t="s">
        <v>417</v>
      </c>
    </row>
    <row r="6" spans="1:15" x14ac:dyDescent="0.2">
      <c r="A6" t="s">
        <v>173</v>
      </c>
      <c r="B6" t="s">
        <v>32</v>
      </c>
      <c r="C6">
        <v>21</v>
      </c>
      <c r="D6" t="s">
        <v>17</v>
      </c>
      <c r="E6" t="s">
        <v>17</v>
      </c>
      <c r="F6">
        <v>22</v>
      </c>
      <c r="G6" t="s">
        <v>17</v>
      </c>
      <c r="H6" t="s">
        <v>17</v>
      </c>
      <c r="I6">
        <v>5.5599999999999997E-2</v>
      </c>
      <c r="J6">
        <v>0.9</v>
      </c>
      <c r="K6">
        <v>5.0000000000000001E-4</v>
      </c>
      <c r="L6" t="s">
        <v>17</v>
      </c>
      <c r="M6">
        <v>298.3</v>
      </c>
      <c r="N6" t="s">
        <v>413</v>
      </c>
      <c r="O6" t="s">
        <v>418</v>
      </c>
    </row>
    <row r="7" spans="1:15" x14ac:dyDescent="0.2">
      <c r="A7" t="s">
        <v>173</v>
      </c>
      <c r="B7" t="s">
        <v>32</v>
      </c>
      <c r="C7">
        <v>20</v>
      </c>
      <c r="D7" t="s">
        <v>17</v>
      </c>
      <c r="E7" t="s">
        <v>17</v>
      </c>
      <c r="F7">
        <v>21</v>
      </c>
      <c r="G7" t="s">
        <v>17</v>
      </c>
      <c r="H7" t="s">
        <v>17</v>
      </c>
      <c r="I7">
        <v>5.7299999999999997E-2</v>
      </c>
      <c r="J7">
        <v>0.7</v>
      </c>
      <c r="K7">
        <v>4.0000000000000002E-4</v>
      </c>
      <c r="L7" t="s">
        <v>17</v>
      </c>
      <c r="M7">
        <v>298.3</v>
      </c>
      <c r="N7" t="s">
        <v>413</v>
      </c>
      <c r="O7" t="s">
        <v>419</v>
      </c>
    </row>
    <row r="8" spans="1:15" x14ac:dyDescent="0.2">
      <c r="A8" t="s">
        <v>173</v>
      </c>
      <c r="B8" t="s">
        <v>32</v>
      </c>
      <c r="C8">
        <v>19</v>
      </c>
      <c r="D8" t="s">
        <v>17</v>
      </c>
      <c r="E8" t="s">
        <v>17</v>
      </c>
      <c r="F8">
        <v>20</v>
      </c>
      <c r="G8" t="s">
        <v>17</v>
      </c>
      <c r="H8" t="s">
        <v>17</v>
      </c>
      <c r="I8">
        <v>5.7799999999999997E-2</v>
      </c>
      <c r="J8">
        <v>0.69</v>
      </c>
      <c r="K8">
        <v>4.0000000000000002E-4</v>
      </c>
      <c r="L8" t="s">
        <v>17</v>
      </c>
      <c r="M8">
        <v>298.3</v>
      </c>
      <c r="N8" t="s">
        <v>413</v>
      </c>
      <c r="O8" t="s">
        <v>420</v>
      </c>
    </row>
    <row r="9" spans="1:15" x14ac:dyDescent="0.2">
      <c r="A9" t="s">
        <v>173</v>
      </c>
      <c r="B9" t="s">
        <v>32</v>
      </c>
      <c r="C9">
        <v>18</v>
      </c>
      <c r="D9" t="s">
        <v>17</v>
      </c>
      <c r="E9" t="s">
        <v>17</v>
      </c>
      <c r="F9">
        <v>19</v>
      </c>
      <c r="G9" t="s">
        <v>17</v>
      </c>
      <c r="H9" t="s">
        <v>17</v>
      </c>
      <c r="I9">
        <v>6.1199999999999997E-2</v>
      </c>
      <c r="J9">
        <v>0.33</v>
      </c>
      <c r="K9">
        <v>2.0000000000000001E-4</v>
      </c>
      <c r="L9" t="s">
        <v>17</v>
      </c>
      <c r="M9">
        <v>298.3</v>
      </c>
      <c r="N9" t="s">
        <v>413</v>
      </c>
      <c r="O9" t="s">
        <v>421</v>
      </c>
    </row>
    <row r="10" spans="1:15" x14ac:dyDescent="0.2">
      <c r="A10" t="s">
        <v>173</v>
      </c>
      <c r="B10" t="s">
        <v>32</v>
      </c>
      <c r="C10">
        <v>17</v>
      </c>
      <c r="D10" t="s">
        <v>17</v>
      </c>
      <c r="E10" t="s">
        <v>17</v>
      </c>
      <c r="F10">
        <v>18</v>
      </c>
      <c r="G10" t="s">
        <v>17</v>
      </c>
      <c r="H10" t="s">
        <v>17</v>
      </c>
      <c r="I10">
        <v>0.06</v>
      </c>
      <c r="J10">
        <v>0.67</v>
      </c>
      <c r="K10">
        <v>4.0000000000000002E-4</v>
      </c>
      <c r="L10" t="s">
        <v>17</v>
      </c>
      <c r="M10">
        <v>298.3</v>
      </c>
      <c r="N10" t="s">
        <v>413</v>
      </c>
      <c r="O10" t="s">
        <v>422</v>
      </c>
    </row>
    <row r="11" spans="1:15" x14ac:dyDescent="0.2">
      <c r="A11" t="s">
        <v>173</v>
      </c>
      <c r="B11" t="s">
        <v>32</v>
      </c>
      <c r="C11">
        <v>16</v>
      </c>
      <c r="D11" t="s">
        <v>17</v>
      </c>
      <c r="E11" t="s">
        <v>17</v>
      </c>
      <c r="F11">
        <v>17</v>
      </c>
      <c r="G11" t="s">
        <v>17</v>
      </c>
      <c r="H11" t="s">
        <v>17</v>
      </c>
      <c r="I11">
        <v>6.1100000000000002E-2</v>
      </c>
      <c r="J11">
        <v>1.31</v>
      </c>
      <c r="K11">
        <v>8.0000000000000004E-4</v>
      </c>
      <c r="L11" t="s">
        <v>17</v>
      </c>
      <c r="M11">
        <v>298.3</v>
      </c>
      <c r="N11" t="s">
        <v>413</v>
      </c>
      <c r="O11" t="s">
        <v>423</v>
      </c>
    </row>
    <row r="12" spans="1:15" x14ac:dyDescent="0.2">
      <c r="A12" t="s">
        <v>173</v>
      </c>
      <c r="B12" t="s">
        <v>32</v>
      </c>
      <c r="C12">
        <v>15</v>
      </c>
      <c r="D12" t="s">
        <v>17</v>
      </c>
      <c r="E12" t="s">
        <v>17</v>
      </c>
      <c r="F12">
        <v>16</v>
      </c>
      <c r="G12" t="s">
        <v>17</v>
      </c>
      <c r="H12" t="s">
        <v>17</v>
      </c>
      <c r="I12">
        <v>6.4000000000000001E-2</v>
      </c>
      <c r="J12">
        <v>1.72</v>
      </c>
      <c r="K12">
        <v>1.1000000000000001E-3</v>
      </c>
      <c r="L12" t="s">
        <v>17</v>
      </c>
      <c r="M12">
        <v>298.3</v>
      </c>
      <c r="N12" t="s">
        <v>413</v>
      </c>
      <c r="O12" t="s">
        <v>424</v>
      </c>
    </row>
    <row r="13" spans="1:15" x14ac:dyDescent="0.2">
      <c r="A13" t="s">
        <v>173</v>
      </c>
      <c r="B13" t="s">
        <v>32</v>
      </c>
      <c r="C13">
        <v>14</v>
      </c>
      <c r="D13" t="s">
        <v>17</v>
      </c>
      <c r="E13" t="s">
        <v>17</v>
      </c>
      <c r="F13">
        <v>15</v>
      </c>
      <c r="G13" t="s">
        <v>17</v>
      </c>
      <c r="H13" t="s">
        <v>17</v>
      </c>
      <c r="I13">
        <v>6.3299999999999995E-2</v>
      </c>
      <c r="J13">
        <v>0.47</v>
      </c>
      <c r="K13">
        <v>2.9999999999999997E-4</v>
      </c>
      <c r="L13" t="s">
        <v>17</v>
      </c>
      <c r="M13">
        <v>298.3</v>
      </c>
      <c r="N13" t="s">
        <v>413</v>
      </c>
      <c r="O13" t="s">
        <v>425</v>
      </c>
    </row>
    <row r="14" spans="1:15" x14ac:dyDescent="0.2">
      <c r="A14" t="s">
        <v>173</v>
      </c>
      <c r="B14" t="s">
        <v>32</v>
      </c>
      <c r="C14">
        <v>13</v>
      </c>
      <c r="D14" t="s">
        <v>17</v>
      </c>
      <c r="E14" t="s">
        <v>17</v>
      </c>
      <c r="F14">
        <v>14</v>
      </c>
      <c r="G14" t="s">
        <v>17</v>
      </c>
      <c r="H14" t="s">
        <v>17</v>
      </c>
      <c r="I14">
        <v>6.4600000000000005E-2</v>
      </c>
      <c r="J14">
        <v>0.62</v>
      </c>
      <c r="K14">
        <v>4.0000000000000002E-4</v>
      </c>
      <c r="L14" t="s">
        <v>17</v>
      </c>
      <c r="M14">
        <v>298.3</v>
      </c>
      <c r="N14" t="s">
        <v>413</v>
      </c>
      <c r="O14" t="s">
        <v>426</v>
      </c>
    </row>
    <row r="15" spans="1:15" x14ac:dyDescent="0.2">
      <c r="A15" t="s">
        <v>173</v>
      </c>
      <c r="B15" t="s">
        <v>32</v>
      </c>
      <c r="C15">
        <v>12</v>
      </c>
      <c r="D15" t="s">
        <v>17</v>
      </c>
      <c r="E15" t="s">
        <v>17</v>
      </c>
      <c r="F15">
        <v>13</v>
      </c>
      <c r="G15" t="s">
        <v>17</v>
      </c>
      <c r="H15" t="s">
        <v>17</v>
      </c>
      <c r="I15">
        <v>6.59E-2</v>
      </c>
      <c r="J15">
        <v>0.61</v>
      </c>
      <c r="K15">
        <v>4.0000000000000002E-4</v>
      </c>
      <c r="L15" t="s">
        <v>17</v>
      </c>
      <c r="M15">
        <v>298.3</v>
      </c>
      <c r="N15" t="s">
        <v>413</v>
      </c>
      <c r="O15" t="s">
        <v>427</v>
      </c>
    </row>
    <row r="16" spans="1:15" x14ac:dyDescent="0.2">
      <c r="A16" t="s">
        <v>173</v>
      </c>
      <c r="B16" t="s">
        <v>32</v>
      </c>
      <c r="C16">
        <v>11</v>
      </c>
      <c r="D16" t="s">
        <v>17</v>
      </c>
      <c r="E16" t="s">
        <v>17</v>
      </c>
      <c r="F16">
        <v>12</v>
      </c>
      <c r="G16" t="s">
        <v>17</v>
      </c>
      <c r="H16" t="s">
        <v>17</v>
      </c>
      <c r="I16">
        <v>6.7500000000000004E-2</v>
      </c>
      <c r="J16">
        <v>0.44</v>
      </c>
      <c r="K16">
        <v>2.9999999999999997E-4</v>
      </c>
      <c r="L16" t="s">
        <v>17</v>
      </c>
      <c r="M16">
        <v>298.3</v>
      </c>
      <c r="N16" t="s">
        <v>413</v>
      </c>
      <c r="O16" t="s">
        <v>428</v>
      </c>
    </row>
    <row r="17" spans="1:15" x14ac:dyDescent="0.2">
      <c r="A17" t="s">
        <v>173</v>
      </c>
      <c r="B17" t="s">
        <v>32</v>
      </c>
      <c r="C17">
        <v>10</v>
      </c>
      <c r="D17" t="s">
        <v>17</v>
      </c>
      <c r="E17" t="s">
        <v>17</v>
      </c>
      <c r="F17">
        <v>11</v>
      </c>
      <c r="G17" t="s">
        <v>17</v>
      </c>
      <c r="H17" t="s">
        <v>17</v>
      </c>
      <c r="I17">
        <v>6.9599999999999995E-2</v>
      </c>
      <c r="J17">
        <v>0.43</v>
      </c>
      <c r="K17">
        <v>2.9999999999999997E-4</v>
      </c>
      <c r="L17" t="s">
        <v>17</v>
      </c>
      <c r="M17">
        <v>298.3</v>
      </c>
      <c r="N17" t="s">
        <v>413</v>
      </c>
      <c r="O17" t="s">
        <v>429</v>
      </c>
    </row>
    <row r="18" spans="1:15" x14ac:dyDescent="0.2">
      <c r="A18" t="s">
        <v>173</v>
      </c>
      <c r="B18" t="s">
        <v>32</v>
      </c>
      <c r="C18">
        <v>9</v>
      </c>
      <c r="D18" t="s">
        <v>17</v>
      </c>
      <c r="E18" t="s">
        <v>17</v>
      </c>
      <c r="F18">
        <v>10</v>
      </c>
      <c r="G18" t="s">
        <v>17</v>
      </c>
      <c r="H18" t="s">
        <v>17</v>
      </c>
      <c r="I18">
        <v>7.1999999999999995E-2</v>
      </c>
      <c r="J18">
        <v>0.56000000000000005</v>
      </c>
      <c r="K18">
        <v>4.0000000000000002E-4</v>
      </c>
      <c r="L18" t="s">
        <v>17</v>
      </c>
      <c r="M18">
        <v>298.3</v>
      </c>
      <c r="N18" t="s">
        <v>413</v>
      </c>
      <c r="O18" t="s">
        <v>430</v>
      </c>
    </row>
    <row r="19" spans="1:15" x14ac:dyDescent="0.2">
      <c r="A19" t="s">
        <v>173</v>
      </c>
      <c r="B19" t="s">
        <v>32</v>
      </c>
      <c r="C19">
        <v>8</v>
      </c>
      <c r="D19" t="s">
        <v>17</v>
      </c>
      <c r="E19" t="s">
        <v>17</v>
      </c>
      <c r="F19">
        <v>9</v>
      </c>
      <c r="G19" t="s">
        <v>17</v>
      </c>
      <c r="H19" t="s">
        <v>17</v>
      </c>
      <c r="I19">
        <v>7.4999999999999997E-2</v>
      </c>
      <c r="J19">
        <v>0.4</v>
      </c>
      <c r="K19">
        <v>2.9999999999999997E-4</v>
      </c>
      <c r="L19" t="s">
        <v>17</v>
      </c>
      <c r="M19">
        <v>298.3</v>
      </c>
      <c r="N19" t="s">
        <v>413</v>
      </c>
      <c r="O19" t="s">
        <v>431</v>
      </c>
    </row>
    <row r="20" spans="1:15" x14ac:dyDescent="0.2">
      <c r="A20" t="s">
        <v>173</v>
      </c>
      <c r="B20" t="s">
        <v>32</v>
      </c>
      <c r="C20">
        <v>7</v>
      </c>
      <c r="D20" t="s">
        <v>17</v>
      </c>
      <c r="E20" t="s">
        <v>17</v>
      </c>
      <c r="F20">
        <v>8</v>
      </c>
      <c r="G20" t="s">
        <v>17</v>
      </c>
      <c r="H20" t="s">
        <v>17</v>
      </c>
      <c r="I20">
        <v>7.7700000000000005E-2</v>
      </c>
      <c r="J20">
        <v>0.51</v>
      </c>
      <c r="K20">
        <v>4.0000000000000002E-4</v>
      </c>
      <c r="L20" t="s">
        <v>17</v>
      </c>
      <c r="M20">
        <v>298.3</v>
      </c>
      <c r="N20" t="s">
        <v>413</v>
      </c>
      <c r="O20" t="s">
        <v>432</v>
      </c>
    </row>
    <row r="21" spans="1:15" x14ac:dyDescent="0.2">
      <c r="A21" t="s">
        <v>173</v>
      </c>
      <c r="B21" t="s">
        <v>32</v>
      </c>
      <c r="C21">
        <v>6</v>
      </c>
      <c r="D21" t="s">
        <v>17</v>
      </c>
      <c r="E21" t="s">
        <v>17</v>
      </c>
      <c r="F21">
        <v>7</v>
      </c>
      <c r="G21" t="s">
        <v>17</v>
      </c>
      <c r="H21" t="s">
        <v>17</v>
      </c>
      <c r="I21">
        <v>8.1100000000000005E-2</v>
      </c>
      <c r="J21">
        <v>0.49</v>
      </c>
      <c r="K21">
        <v>4.0000000000000002E-4</v>
      </c>
      <c r="L21" t="s">
        <v>17</v>
      </c>
      <c r="M21">
        <v>298.3</v>
      </c>
      <c r="N21" t="s">
        <v>413</v>
      </c>
      <c r="O21" t="s">
        <v>433</v>
      </c>
    </row>
    <row r="22" spans="1:15" x14ac:dyDescent="0.2">
      <c r="A22" t="s">
        <v>173</v>
      </c>
      <c r="B22" t="s">
        <v>32</v>
      </c>
      <c r="C22">
        <v>5</v>
      </c>
      <c r="D22" t="s">
        <v>17</v>
      </c>
      <c r="E22" t="s">
        <v>17</v>
      </c>
      <c r="F22">
        <v>6</v>
      </c>
      <c r="G22" t="s">
        <v>17</v>
      </c>
      <c r="H22" t="s">
        <v>17</v>
      </c>
      <c r="I22">
        <v>8.43E-2</v>
      </c>
      <c r="J22">
        <v>0.71</v>
      </c>
      <c r="K22">
        <v>5.9999999999999995E-4</v>
      </c>
      <c r="L22" t="s">
        <v>17</v>
      </c>
      <c r="M22">
        <v>298.3</v>
      </c>
      <c r="N22" t="s">
        <v>413</v>
      </c>
      <c r="O22" t="s">
        <v>434</v>
      </c>
    </row>
    <row r="23" spans="1:15" x14ac:dyDescent="0.2">
      <c r="A23" t="s">
        <v>173</v>
      </c>
      <c r="B23" t="s">
        <v>32</v>
      </c>
      <c r="C23">
        <v>4</v>
      </c>
      <c r="D23" t="s">
        <v>17</v>
      </c>
      <c r="E23" t="s">
        <v>17</v>
      </c>
      <c r="F23">
        <v>5</v>
      </c>
      <c r="G23" t="s">
        <v>17</v>
      </c>
      <c r="H23" t="s">
        <v>17</v>
      </c>
      <c r="I23">
        <v>8.8800000000000004E-2</v>
      </c>
      <c r="J23">
        <v>0.45</v>
      </c>
      <c r="K23">
        <v>4.0000000000000002E-4</v>
      </c>
      <c r="L23" t="s">
        <v>17</v>
      </c>
      <c r="M23">
        <v>298.3</v>
      </c>
      <c r="N23" t="s">
        <v>413</v>
      </c>
      <c r="O23" t="s">
        <v>435</v>
      </c>
    </row>
    <row r="24" spans="1:15" x14ac:dyDescent="0.2">
      <c r="A24" t="s">
        <v>173</v>
      </c>
      <c r="B24" t="s">
        <v>32</v>
      </c>
      <c r="C24">
        <v>3</v>
      </c>
      <c r="D24" t="s">
        <v>17</v>
      </c>
      <c r="E24" t="s">
        <v>17</v>
      </c>
      <c r="F24">
        <v>4</v>
      </c>
      <c r="G24" t="s">
        <v>17</v>
      </c>
      <c r="H24" t="s">
        <v>17</v>
      </c>
      <c r="I24">
        <v>9.2799999999999994E-2</v>
      </c>
      <c r="J24">
        <v>0.54</v>
      </c>
      <c r="K24">
        <v>5.0000000000000001E-4</v>
      </c>
      <c r="L24" t="s">
        <v>17</v>
      </c>
      <c r="M24">
        <v>298.3</v>
      </c>
      <c r="N24" t="s">
        <v>413</v>
      </c>
      <c r="O24" t="s">
        <v>436</v>
      </c>
    </row>
    <row r="25" spans="1:15" x14ac:dyDescent="0.2">
      <c r="A25" t="s">
        <v>173</v>
      </c>
      <c r="B25" t="s">
        <v>32</v>
      </c>
      <c r="C25">
        <v>2</v>
      </c>
      <c r="D25" t="s">
        <v>17</v>
      </c>
      <c r="E25" t="s">
        <v>17</v>
      </c>
      <c r="F25">
        <v>3</v>
      </c>
      <c r="G25" t="s">
        <v>17</v>
      </c>
      <c r="H25" t="s">
        <v>17</v>
      </c>
      <c r="I25">
        <v>9.7000000000000003E-2</v>
      </c>
      <c r="J25">
        <v>0.52</v>
      </c>
      <c r="K25">
        <v>5.0000000000000001E-4</v>
      </c>
      <c r="L25" t="s">
        <v>17</v>
      </c>
      <c r="M25">
        <v>298.3</v>
      </c>
      <c r="N25" t="s">
        <v>413</v>
      </c>
      <c r="O25" t="s">
        <v>437</v>
      </c>
    </row>
    <row r="26" spans="1:15" x14ac:dyDescent="0.2">
      <c r="A26" t="s">
        <v>173</v>
      </c>
      <c r="B26" t="s">
        <v>32</v>
      </c>
      <c r="C26">
        <v>1</v>
      </c>
      <c r="D26" t="s">
        <v>17</v>
      </c>
      <c r="E26" t="s">
        <v>17</v>
      </c>
      <c r="F26">
        <v>2</v>
      </c>
      <c r="G26" t="s">
        <v>17</v>
      </c>
      <c r="H26" t="s">
        <v>17</v>
      </c>
      <c r="I26">
        <v>0.1018</v>
      </c>
      <c r="J26">
        <v>0.49</v>
      </c>
      <c r="K26">
        <v>5.0000000000000001E-4</v>
      </c>
      <c r="L26" t="s">
        <v>17</v>
      </c>
      <c r="M26">
        <v>298.3</v>
      </c>
      <c r="N26" t="s">
        <v>413</v>
      </c>
      <c r="O26" t="s">
        <v>438</v>
      </c>
    </row>
    <row r="27" spans="1:15" x14ac:dyDescent="0.2">
      <c r="A27" t="s">
        <v>173</v>
      </c>
      <c r="B27" t="s">
        <v>32</v>
      </c>
      <c r="C27">
        <v>0</v>
      </c>
      <c r="D27" t="s">
        <v>17</v>
      </c>
      <c r="E27" t="s">
        <v>17</v>
      </c>
      <c r="F27">
        <v>1</v>
      </c>
      <c r="G27" t="s">
        <v>17</v>
      </c>
      <c r="H27" t="s">
        <v>17</v>
      </c>
      <c r="I27">
        <v>0.1082</v>
      </c>
      <c r="J27">
        <v>0.46</v>
      </c>
      <c r="K27">
        <v>5.0000000000000001E-4</v>
      </c>
      <c r="L27" t="s">
        <v>17</v>
      </c>
      <c r="M27">
        <v>298.3</v>
      </c>
      <c r="N27" t="s">
        <v>413</v>
      </c>
      <c r="O27" t="s">
        <v>439</v>
      </c>
    </row>
    <row r="28" spans="1:15" x14ac:dyDescent="0.2">
      <c r="A28" t="s">
        <v>173</v>
      </c>
      <c r="B28" t="s">
        <v>32</v>
      </c>
      <c r="C28">
        <v>1</v>
      </c>
      <c r="D28" t="s">
        <v>17</v>
      </c>
      <c r="E28" t="s">
        <v>17</v>
      </c>
      <c r="F28">
        <v>0</v>
      </c>
      <c r="G28" t="s">
        <v>17</v>
      </c>
      <c r="H28" t="s">
        <v>17</v>
      </c>
      <c r="I28">
        <v>0.10780000000000001</v>
      </c>
      <c r="J28">
        <v>0.37</v>
      </c>
      <c r="K28">
        <v>4.0000000000000002E-4</v>
      </c>
      <c r="L28" t="s">
        <v>17</v>
      </c>
      <c r="M28">
        <v>298.3</v>
      </c>
      <c r="N28" t="s">
        <v>413</v>
      </c>
      <c r="O28" t="s">
        <v>440</v>
      </c>
    </row>
    <row r="29" spans="1:15" x14ac:dyDescent="0.2">
      <c r="A29" t="s">
        <v>173</v>
      </c>
      <c r="B29" t="s">
        <v>32</v>
      </c>
      <c r="C29">
        <v>2</v>
      </c>
      <c r="D29" t="s">
        <v>17</v>
      </c>
      <c r="E29" t="s">
        <v>17</v>
      </c>
      <c r="F29">
        <v>1</v>
      </c>
      <c r="G29" t="s">
        <v>17</v>
      </c>
      <c r="H29" t="s">
        <v>17</v>
      </c>
      <c r="I29">
        <v>0.1018</v>
      </c>
      <c r="J29">
        <v>0.49</v>
      </c>
      <c r="K29">
        <v>5.0000000000000001E-4</v>
      </c>
      <c r="L29" t="s">
        <v>17</v>
      </c>
      <c r="M29">
        <v>298.3</v>
      </c>
      <c r="N29" t="s">
        <v>413</v>
      </c>
      <c r="O29" t="s">
        <v>441</v>
      </c>
    </row>
    <row r="30" spans="1:15" x14ac:dyDescent="0.2">
      <c r="A30" t="s">
        <v>173</v>
      </c>
      <c r="B30" t="s">
        <v>32</v>
      </c>
      <c r="C30">
        <v>3</v>
      </c>
      <c r="D30" t="s">
        <v>17</v>
      </c>
      <c r="E30" t="s">
        <v>17</v>
      </c>
      <c r="F30">
        <v>2</v>
      </c>
      <c r="G30" t="s">
        <v>17</v>
      </c>
      <c r="H30" t="s">
        <v>17</v>
      </c>
      <c r="I30">
        <v>9.7199999999999995E-2</v>
      </c>
      <c r="J30">
        <v>0.41</v>
      </c>
      <c r="K30">
        <v>4.0000000000000002E-4</v>
      </c>
      <c r="L30" t="s">
        <v>17</v>
      </c>
      <c r="M30">
        <v>298.3</v>
      </c>
      <c r="N30" t="s">
        <v>413</v>
      </c>
      <c r="O30" t="s">
        <v>442</v>
      </c>
    </row>
    <row r="31" spans="1:15" x14ac:dyDescent="0.2">
      <c r="A31" t="s">
        <v>173</v>
      </c>
      <c r="B31" t="s">
        <v>32</v>
      </c>
      <c r="C31">
        <v>4</v>
      </c>
      <c r="D31" t="s">
        <v>17</v>
      </c>
      <c r="E31" t="s">
        <v>17</v>
      </c>
      <c r="F31">
        <v>3</v>
      </c>
      <c r="G31" t="s">
        <v>17</v>
      </c>
      <c r="H31" t="s">
        <v>17</v>
      </c>
      <c r="I31">
        <v>9.2700000000000005E-2</v>
      </c>
      <c r="J31">
        <v>0.54</v>
      </c>
      <c r="K31">
        <v>5.0000000000000001E-4</v>
      </c>
      <c r="L31" t="s">
        <v>17</v>
      </c>
      <c r="M31">
        <v>298.3</v>
      </c>
      <c r="N31" t="s">
        <v>413</v>
      </c>
      <c r="O31" t="s">
        <v>443</v>
      </c>
    </row>
    <row r="32" spans="1:15" x14ac:dyDescent="0.2">
      <c r="A32" t="s">
        <v>173</v>
      </c>
      <c r="B32" t="s">
        <v>32</v>
      </c>
      <c r="C32">
        <v>5</v>
      </c>
      <c r="D32" t="s">
        <v>17</v>
      </c>
      <c r="E32" t="s">
        <v>17</v>
      </c>
      <c r="F32">
        <v>4</v>
      </c>
      <c r="G32" t="s">
        <v>17</v>
      </c>
      <c r="H32" t="s">
        <v>17</v>
      </c>
      <c r="I32">
        <v>8.8599999999999998E-2</v>
      </c>
      <c r="J32">
        <v>0.45</v>
      </c>
      <c r="K32">
        <v>4.0000000000000002E-4</v>
      </c>
      <c r="L32" t="s">
        <v>17</v>
      </c>
      <c r="M32">
        <v>298.3</v>
      </c>
      <c r="N32" t="s">
        <v>413</v>
      </c>
      <c r="O32" t="s">
        <v>444</v>
      </c>
    </row>
    <row r="33" spans="1:15" x14ac:dyDescent="0.2">
      <c r="A33" t="s">
        <v>173</v>
      </c>
      <c r="B33" t="s">
        <v>32</v>
      </c>
      <c r="C33">
        <v>6</v>
      </c>
      <c r="D33" t="s">
        <v>17</v>
      </c>
      <c r="E33" t="s">
        <v>17</v>
      </c>
      <c r="F33">
        <v>5</v>
      </c>
      <c r="G33" t="s">
        <v>17</v>
      </c>
      <c r="H33" t="s">
        <v>17</v>
      </c>
      <c r="I33">
        <v>8.48E-2</v>
      </c>
      <c r="J33">
        <v>0.47</v>
      </c>
      <c r="K33">
        <v>4.0000000000000002E-4</v>
      </c>
      <c r="L33" t="s">
        <v>17</v>
      </c>
      <c r="M33">
        <v>298.3</v>
      </c>
      <c r="N33" t="s">
        <v>413</v>
      </c>
      <c r="O33" t="s">
        <v>445</v>
      </c>
    </row>
    <row r="34" spans="1:15" x14ac:dyDescent="0.2">
      <c r="A34" t="s">
        <v>173</v>
      </c>
      <c r="B34" t="s">
        <v>32</v>
      </c>
      <c r="C34">
        <v>7</v>
      </c>
      <c r="D34" t="s">
        <v>17</v>
      </c>
      <c r="E34" t="s">
        <v>17</v>
      </c>
      <c r="F34">
        <v>6</v>
      </c>
      <c r="G34" t="s">
        <v>17</v>
      </c>
      <c r="H34" t="s">
        <v>17</v>
      </c>
      <c r="I34">
        <v>8.1000000000000003E-2</v>
      </c>
      <c r="J34">
        <v>0.49</v>
      </c>
      <c r="K34">
        <v>4.0000000000000002E-4</v>
      </c>
      <c r="L34" t="s">
        <v>17</v>
      </c>
      <c r="M34">
        <v>298.3</v>
      </c>
      <c r="N34" t="s">
        <v>413</v>
      </c>
      <c r="O34" t="s">
        <v>446</v>
      </c>
    </row>
    <row r="35" spans="1:15" x14ac:dyDescent="0.2">
      <c r="A35" t="s">
        <v>173</v>
      </c>
      <c r="B35" t="s">
        <v>32</v>
      </c>
      <c r="C35">
        <v>8</v>
      </c>
      <c r="D35" t="s">
        <v>17</v>
      </c>
      <c r="E35" t="s">
        <v>17</v>
      </c>
      <c r="F35">
        <v>7</v>
      </c>
      <c r="G35" t="s">
        <v>17</v>
      </c>
      <c r="H35" t="s">
        <v>17</v>
      </c>
      <c r="I35">
        <v>7.7499999999999999E-2</v>
      </c>
      <c r="J35">
        <v>0.52</v>
      </c>
      <c r="K35">
        <v>4.0000000000000002E-4</v>
      </c>
      <c r="L35" t="s">
        <v>17</v>
      </c>
      <c r="M35">
        <v>298.3</v>
      </c>
      <c r="N35" t="s">
        <v>413</v>
      </c>
      <c r="O35" t="s">
        <v>447</v>
      </c>
    </row>
    <row r="36" spans="1:15" x14ac:dyDescent="0.2">
      <c r="A36" t="s">
        <v>173</v>
      </c>
      <c r="B36" t="s">
        <v>32</v>
      </c>
      <c r="C36">
        <v>9</v>
      </c>
      <c r="D36" t="s">
        <v>17</v>
      </c>
      <c r="E36" t="s">
        <v>17</v>
      </c>
      <c r="F36">
        <v>8</v>
      </c>
      <c r="G36" t="s">
        <v>17</v>
      </c>
      <c r="H36" t="s">
        <v>17</v>
      </c>
      <c r="I36">
        <v>7.4200000000000002E-2</v>
      </c>
      <c r="J36">
        <v>0.4</v>
      </c>
      <c r="K36">
        <v>2.9999999999999997E-4</v>
      </c>
      <c r="L36" t="s">
        <v>17</v>
      </c>
      <c r="M36">
        <v>298.3</v>
      </c>
      <c r="N36" t="s">
        <v>413</v>
      </c>
      <c r="O36" t="s">
        <v>448</v>
      </c>
    </row>
    <row r="37" spans="1:15" x14ac:dyDescent="0.2">
      <c r="A37" t="s">
        <v>173</v>
      </c>
      <c r="B37" t="s">
        <v>32</v>
      </c>
      <c r="C37">
        <v>10</v>
      </c>
      <c r="D37" t="s">
        <v>17</v>
      </c>
      <c r="E37" t="s">
        <v>17</v>
      </c>
      <c r="F37">
        <v>9</v>
      </c>
      <c r="G37" t="s">
        <v>17</v>
      </c>
      <c r="H37" t="s">
        <v>17</v>
      </c>
      <c r="I37">
        <v>7.1499999999999994E-2</v>
      </c>
      <c r="J37">
        <v>0.56000000000000005</v>
      </c>
      <c r="K37">
        <v>4.0000000000000002E-4</v>
      </c>
      <c r="L37" t="s">
        <v>17</v>
      </c>
      <c r="M37">
        <v>298.3</v>
      </c>
      <c r="N37" t="s">
        <v>413</v>
      </c>
      <c r="O37" t="s">
        <v>449</v>
      </c>
    </row>
    <row r="38" spans="1:15" x14ac:dyDescent="0.2">
      <c r="A38" t="s">
        <v>173</v>
      </c>
      <c r="B38" t="s">
        <v>32</v>
      </c>
      <c r="C38">
        <v>11</v>
      </c>
      <c r="D38" t="s">
        <v>17</v>
      </c>
      <c r="E38" t="s">
        <v>17</v>
      </c>
      <c r="F38">
        <v>10</v>
      </c>
      <c r="G38" t="s">
        <v>17</v>
      </c>
      <c r="H38" t="s">
        <v>17</v>
      </c>
      <c r="I38">
        <v>6.9199999999999998E-2</v>
      </c>
      <c r="J38">
        <v>0.57999999999999996</v>
      </c>
      <c r="K38">
        <v>4.0000000000000002E-4</v>
      </c>
      <c r="L38" t="s">
        <v>17</v>
      </c>
      <c r="M38">
        <v>298.3</v>
      </c>
      <c r="N38" t="s">
        <v>413</v>
      </c>
      <c r="O38" t="s">
        <v>450</v>
      </c>
    </row>
    <row r="39" spans="1:15" x14ac:dyDescent="0.2">
      <c r="A39" t="s">
        <v>173</v>
      </c>
      <c r="B39" t="s">
        <v>32</v>
      </c>
      <c r="C39">
        <v>12</v>
      </c>
      <c r="D39" t="s">
        <v>17</v>
      </c>
      <c r="E39" t="s">
        <v>17</v>
      </c>
      <c r="F39">
        <v>11</v>
      </c>
      <c r="G39" t="s">
        <v>17</v>
      </c>
      <c r="H39" t="s">
        <v>17</v>
      </c>
      <c r="I39">
        <v>6.7299999999999999E-2</v>
      </c>
      <c r="J39">
        <v>0.59</v>
      </c>
      <c r="K39">
        <v>4.0000000000000002E-4</v>
      </c>
      <c r="L39" t="s">
        <v>17</v>
      </c>
      <c r="M39">
        <v>298.3</v>
      </c>
      <c r="N39" t="s">
        <v>413</v>
      </c>
      <c r="O39" t="s">
        <v>451</v>
      </c>
    </row>
    <row r="40" spans="1:15" x14ac:dyDescent="0.2">
      <c r="A40" t="s">
        <v>173</v>
      </c>
      <c r="B40" t="s">
        <v>32</v>
      </c>
      <c r="C40">
        <v>13</v>
      </c>
      <c r="D40" t="s">
        <v>17</v>
      </c>
      <c r="E40" t="s">
        <v>17</v>
      </c>
      <c r="F40">
        <v>12</v>
      </c>
      <c r="G40" t="s">
        <v>17</v>
      </c>
      <c r="H40" t="s">
        <v>17</v>
      </c>
      <c r="I40">
        <v>6.5600000000000006E-2</v>
      </c>
      <c r="J40">
        <v>0.61</v>
      </c>
      <c r="K40">
        <v>4.0000000000000002E-4</v>
      </c>
      <c r="L40" t="s">
        <v>17</v>
      </c>
      <c r="M40">
        <v>298.3</v>
      </c>
      <c r="N40" t="s">
        <v>413</v>
      </c>
      <c r="O40" t="s">
        <v>452</v>
      </c>
    </row>
    <row r="41" spans="1:15" x14ac:dyDescent="0.2">
      <c r="A41" t="s">
        <v>173</v>
      </c>
      <c r="B41" t="s">
        <v>32</v>
      </c>
      <c r="C41">
        <v>14</v>
      </c>
      <c r="D41" t="s">
        <v>17</v>
      </c>
      <c r="E41" t="s">
        <v>17</v>
      </c>
      <c r="F41">
        <v>13</v>
      </c>
      <c r="G41" t="s">
        <v>17</v>
      </c>
      <c r="H41" t="s">
        <v>17</v>
      </c>
      <c r="I41">
        <v>6.4199999999999993E-2</v>
      </c>
      <c r="J41">
        <v>0.47</v>
      </c>
      <c r="K41">
        <v>2.9999999999999997E-4</v>
      </c>
      <c r="L41" t="s">
        <v>17</v>
      </c>
      <c r="M41">
        <v>298.3</v>
      </c>
      <c r="N41" t="s">
        <v>413</v>
      </c>
      <c r="O41" t="s">
        <v>453</v>
      </c>
    </row>
    <row r="42" spans="1:15" x14ac:dyDescent="0.2">
      <c r="A42" t="s">
        <v>173</v>
      </c>
      <c r="B42" t="s">
        <v>32</v>
      </c>
      <c r="C42">
        <v>15</v>
      </c>
      <c r="D42" t="s">
        <v>17</v>
      </c>
      <c r="E42" t="s">
        <v>17</v>
      </c>
      <c r="F42">
        <v>14</v>
      </c>
      <c r="G42" t="s">
        <v>17</v>
      </c>
      <c r="H42" t="s">
        <v>17</v>
      </c>
      <c r="I42">
        <v>6.2899999999999998E-2</v>
      </c>
      <c r="J42">
        <v>0.64</v>
      </c>
      <c r="K42">
        <v>4.0000000000000002E-4</v>
      </c>
      <c r="L42" t="s">
        <v>17</v>
      </c>
      <c r="M42">
        <v>298.3</v>
      </c>
      <c r="N42" t="s">
        <v>413</v>
      </c>
      <c r="O42" t="s">
        <v>454</v>
      </c>
    </row>
    <row r="43" spans="1:15" x14ac:dyDescent="0.2">
      <c r="A43" t="s">
        <v>173</v>
      </c>
      <c r="B43" t="s">
        <v>32</v>
      </c>
      <c r="C43">
        <v>16</v>
      </c>
      <c r="D43" t="s">
        <v>17</v>
      </c>
      <c r="E43" t="s">
        <v>17</v>
      </c>
      <c r="F43">
        <v>15</v>
      </c>
      <c r="G43" t="s">
        <v>17</v>
      </c>
      <c r="H43" t="s">
        <v>17</v>
      </c>
      <c r="I43">
        <v>6.1800000000000001E-2</v>
      </c>
      <c r="J43">
        <v>0.49</v>
      </c>
      <c r="K43">
        <v>2.9999999999999997E-4</v>
      </c>
      <c r="L43" t="s">
        <v>17</v>
      </c>
      <c r="M43">
        <v>298.3</v>
      </c>
      <c r="N43" t="s">
        <v>413</v>
      </c>
      <c r="O43" t="s">
        <v>455</v>
      </c>
    </row>
    <row r="44" spans="1:15" x14ac:dyDescent="0.2">
      <c r="A44" t="s">
        <v>173</v>
      </c>
      <c r="B44" t="s">
        <v>32</v>
      </c>
      <c r="C44">
        <v>17</v>
      </c>
      <c r="D44" t="s">
        <v>17</v>
      </c>
      <c r="E44" t="s">
        <v>17</v>
      </c>
      <c r="F44">
        <v>16</v>
      </c>
      <c r="G44" t="s">
        <v>17</v>
      </c>
      <c r="H44" t="s">
        <v>17</v>
      </c>
      <c r="I44">
        <v>6.08E-2</v>
      </c>
      <c r="J44">
        <v>0.66</v>
      </c>
      <c r="K44">
        <v>4.0000000000000002E-4</v>
      </c>
      <c r="L44" t="s">
        <v>17</v>
      </c>
      <c r="M44">
        <v>298.3</v>
      </c>
      <c r="N44" t="s">
        <v>413</v>
      </c>
      <c r="O44" t="s">
        <v>456</v>
      </c>
    </row>
    <row r="45" spans="1:15" x14ac:dyDescent="0.2">
      <c r="A45" t="s">
        <v>173</v>
      </c>
      <c r="B45" t="s">
        <v>32</v>
      </c>
      <c r="C45">
        <v>18</v>
      </c>
      <c r="D45" t="s">
        <v>17</v>
      </c>
      <c r="E45" t="s">
        <v>17</v>
      </c>
      <c r="F45">
        <v>17</v>
      </c>
      <c r="G45" t="s">
        <v>17</v>
      </c>
      <c r="H45" t="s">
        <v>17</v>
      </c>
      <c r="I45">
        <v>5.96E-2</v>
      </c>
      <c r="J45">
        <v>0.5</v>
      </c>
      <c r="K45">
        <v>2.9999999999999997E-4</v>
      </c>
      <c r="L45" t="s">
        <v>17</v>
      </c>
      <c r="M45">
        <v>298.3</v>
      </c>
      <c r="N45" t="s">
        <v>413</v>
      </c>
      <c r="O45" t="s">
        <v>457</v>
      </c>
    </row>
    <row r="46" spans="1:15" x14ac:dyDescent="0.2">
      <c r="A46" t="s">
        <v>173</v>
      </c>
      <c r="B46" t="s">
        <v>32</v>
      </c>
      <c r="C46">
        <v>19</v>
      </c>
      <c r="D46" t="s">
        <v>17</v>
      </c>
      <c r="E46" t="s">
        <v>17</v>
      </c>
      <c r="F46">
        <v>18</v>
      </c>
      <c r="G46" t="s">
        <v>17</v>
      </c>
      <c r="H46" t="s">
        <v>17</v>
      </c>
      <c r="I46">
        <v>5.8900000000000001E-2</v>
      </c>
      <c r="J46">
        <v>0.68</v>
      </c>
      <c r="K46">
        <v>4.0000000000000002E-4</v>
      </c>
      <c r="L46" t="s">
        <v>17</v>
      </c>
      <c r="M46">
        <v>298.3</v>
      </c>
      <c r="N46" t="s">
        <v>413</v>
      </c>
      <c r="O46" t="s">
        <v>458</v>
      </c>
    </row>
    <row r="47" spans="1:15" x14ac:dyDescent="0.2">
      <c r="A47" t="s">
        <v>173</v>
      </c>
      <c r="B47" t="s">
        <v>32</v>
      </c>
      <c r="C47">
        <v>20</v>
      </c>
      <c r="D47" t="s">
        <v>17</v>
      </c>
      <c r="E47" t="s">
        <v>17</v>
      </c>
      <c r="F47">
        <v>19</v>
      </c>
      <c r="G47" t="s">
        <v>17</v>
      </c>
      <c r="H47" t="s">
        <v>17</v>
      </c>
      <c r="I47">
        <v>5.8000000000000003E-2</v>
      </c>
      <c r="J47">
        <v>0.52</v>
      </c>
      <c r="K47">
        <v>2.9999999999999997E-4</v>
      </c>
      <c r="L47" t="s">
        <v>17</v>
      </c>
      <c r="M47">
        <v>298.3</v>
      </c>
      <c r="N47" t="s">
        <v>413</v>
      </c>
      <c r="O47" t="s">
        <v>459</v>
      </c>
    </row>
    <row r="48" spans="1:15" x14ac:dyDescent="0.2">
      <c r="A48" t="s">
        <v>173</v>
      </c>
      <c r="B48" t="s">
        <v>32</v>
      </c>
      <c r="C48">
        <v>21</v>
      </c>
      <c r="D48" t="s">
        <v>17</v>
      </c>
      <c r="E48" t="s">
        <v>17</v>
      </c>
      <c r="F48">
        <v>20</v>
      </c>
      <c r="G48" t="s">
        <v>17</v>
      </c>
      <c r="H48" t="s">
        <v>17</v>
      </c>
      <c r="I48">
        <v>5.6800000000000003E-2</v>
      </c>
      <c r="J48">
        <v>0.7</v>
      </c>
      <c r="K48">
        <v>4.0000000000000002E-4</v>
      </c>
      <c r="L48" t="s">
        <v>17</v>
      </c>
      <c r="M48">
        <v>298.3</v>
      </c>
      <c r="N48" t="s">
        <v>413</v>
      </c>
      <c r="O48" t="s">
        <v>460</v>
      </c>
    </row>
    <row r="49" spans="1:15" x14ac:dyDescent="0.2">
      <c r="A49" t="s">
        <v>173</v>
      </c>
      <c r="B49" t="s">
        <v>32</v>
      </c>
      <c r="C49">
        <v>22</v>
      </c>
      <c r="D49" t="s">
        <v>17</v>
      </c>
      <c r="E49" t="s">
        <v>17</v>
      </c>
      <c r="F49">
        <v>21</v>
      </c>
      <c r="G49" t="s">
        <v>17</v>
      </c>
      <c r="H49" t="s">
        <v>17</v>
      </c>
      <c r="I49">
        <v>5.57E-2</v>
      </c>
      <c r="J49">
        <v>0.72</v>
      </c>
      <c r="K49">
        <v>4.0000000000000002E-4</v>
      </c>
      <c r="L49" t="s">
        <v>17</v>
      </c>
      <c r="M49">
        <v>298.3</v>
      </c>
      <c r="N49" t="s">
        <v>413</v>
      </c>
      <c r="O49" t="s">
        <v>461</v>
      </c>
    </row>
    <row r="50" spans="1:15" x14ac:dyDescent="0.2">
      <c r="A50" t="s">
        <v>173</v>
      </c>
      <c r="B50" t="s">
        <v>32</v>
      </c>
      <c r="C50">
        <v>23</v>
      </c>
      <c r="D50" t="s">
        <v>17</v>
      </c>
      <c r="E50" t="s">
        <v>17</v>
      </c>
      <c r="F50">
        <v>22</v>
      </c>
      <c r="G50" t="s">
        <v>17</v>
      </c>
      <c r="H50" t="s">
        <v>17</v>
      </c>
      <c r="I50">
        <v>5.7299999999999997E-2</v>
      </c>
      <c r="J50">
        <v>0.87</v>
      </c>
      <c r="K50">
        <v>5.0000000000000001E-4</v>
      </c>
      <c r="L50" t="s">
        <v>17</v>
      </c>
      <c r="M50">
        <v>298.3</v>
      </c>
      <c r="N50" t="s">
        <v>413</v>
      </c>
      <c r="O50" t="s">
        <v>462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95E93-7656-B346-BF31-A298EF380E43}">
  <dimension ref="A1:O50"/>
  <sheetViews>
    <sheetView workbookViewId="0">
      <selection activeCell="K8" sqref="K8"/>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238</v>
      </c>
      <c r="B2" t="s">
        <v>32</v>
      </c>
      <c r="C2">
        <v>30</v>
      </c>
      <c r="D2" t="s">
        <v>17</v>
      </c>
      <c r="E2" t="s">
        <v>17</v>
      </c>
      <c r="F2">
        <v>31</v>
      </c>
      <c r="G2" t="s">
        <v>17</v>
      </c>
      <c r="H2" t="s">
        <v>17</v>
      </c>
      <c r="I2">
        <v>5.9700000000000003E-2</v>
      </c>
      <c r="J2">
        <v>0.1676</v>
      </c>
      <c r="K2">
        <f t="shared" ref="K2:K3" si="0">J2*I2/100</f>
        <v>1.0005720000000001E-4</v>
      </c>
      <c r="L2" t="s">
        <v>17</v>
      </c>
      <c r="M2">
        <v>298</v>
      </c>
      <c r="N2" t="s">
        <v>201</v>
      </c>
      <c r="O2" t="s">
        <v>463</v>
      </c>
    </row>
    <row r="3" spans="1:15" x14ac:dyDescent="0.2">
      <c r="A3" t="s">
        <v>238</v>
      </c>
      <c r="B3" t="s">
        <v>32</v>
      </c>
      <c r="C3">
        <v>29</v>
      </c>
      <c r="D3" t="s">
        <v>17</v>
      </c>
      <c r="E3" t="s">
        <v>17</v>
      </c>
      <c r="F3">
        <v>30</v>
      </c>
      <c r="G3" t="s">
        <v>17</v>
      </c>
      <c r="H3" t="s">
        <v>17</v>
      </c>
      <c r="I3">
        <v>6.1800000000000001E-2</v>
      </c>
      <c r="J3">
        <v>0.32369999999999999</v>
      </c>
      <c r="K3">
        <f t="shared" si="0"/>
        <v>2.0004660000000002E-4</v>
      </c>
      <c r="L3" t="s">
        <v>17</v>
      </c>
      <c r="M3">
        <v>298</v>
      </c>
      <c r="N3" t="s">
        <v>201</v>
      </c>
      <c r="O3" t="s">
        <v>464</v>
      </c>
    </row>
    <row r="4" spans="1:15" x14ac:dyDescent="0.2">
      <c r="A4" t="s">
        <v>238</v>
      </c>
      <c r="B4" t="s">
        <v>32</v>
      </c>
      <c r="C4">
        <v>28</v>
      </c>
      <c r="D4" t="s">
        <v>17</v>
      </c>
      <c r="E4" t="s">
        <v>17</v>
      </c>
      <c r="F4">
        <v>29</v>
      </c>
      <c r="G4" t="s">
        <v>17</v>
      </c>
      <c r="H4" t="s">
        <v>17</v>
      </c>
      <c r="I4">
        <v>6.2700000000000006E-2</v>
      </c>
      <c r="J4">
        <v>20</v>
      </c>
      <c r="K4">
        <f>J4*I4/100</f>
        <v>1.2540000000000001E-2</v>
      </c>
      <c r="L4" t="s">
        <v>17</v>
      </c>
      <c r="M4">
        <v>298</v>
      </c>
      <c r="N4" t="s">
        <v>201</v>
      </c>
      <c r="O4" t="s">
        <v>465</v>
      </c>
    </row>
    <row r="5" spans="1:15" x14ac:dyDescent="0.2">
      <c r="A5" t="s">
        <v>238</v>
      </c>
      <c r="B5" t="s">
        <v>32</v>
      </c>
      <c r="C5">
        <v>27</v>
      </c>
      <c r="D5" t="s">
        <v>17</v>
      </c>
      <c r="E5" t="s">
        <v>17</v>
      </c>
      <c r="F5">
        <v>28</v>
      </c>
      <c r="G5" t="s">
        <v>17</v>
      </c>
      <c r="H5" t="s">
        <v>17</v>
      </c>
      <c r="I5">
        <v>6.3399999999999998E-2</v>
      </c>
      <c r="J5">
        <v>0.31540000000000001</v>
      </c>
      <c r="K5">
        <f t="shared" ref="K5:K11" si="1">J5*I5/100</f>
        <v>1.9996360000000001E-4</v>
      </c>
      <c r="L5" t="s">
        <v>17</v>
      </c>
      <c r="M5">
        <v>298</v>
      </c>
      <c r="N5" t="s">
        <v>201</v>
      </c>
      <c r="O5" t="s">
        <v>466</v>
      </c>
    </row>
    <row r="6" spans="1:15" x14ac:dyDescent="0.2">
      <c r="A6" t="s">
        <v>238</v>
      </c>
      <c r="B6" t="s">
        <v>32</v>
      </c>
      <c r="C6">
        <v>26</v>
      </c>
      <c r="D6" t="s">
        <v>17</v>
      </c>
      <c r="E6" t="s">
        <v>17</v>
      </c>
      <c r="F6">
        <v>27</v>
      </c>
      <c r="G6" t="s">
        <v>17</v>
      </c>
      <c r="H6" t="s">
        <v>17</v>
      </c>
      <c r="I6">
        <v>6.59E-2</v>
      </c>
      <c r="J6">
        <v>20</v>
      </c>
      <c r="K6">
        <f t="shared" si="1"/>
        <v>1.3180000000000001E-2</v>
      </c>
      <c r="L6" t="s">
        <v>17</v>
      </c>
      <c r="M6">
        <v>298</v>
      </c>
      <c r="N6" t="s">
        <v>201</v>
      </c>
      <c r="O6" t="s">
        <v>467</v>
      </c>
    </row>
    <row r="7" spans="1:15" x14ac:dyDescent="0.2">
      <c r="A7" t="s">
        <v>238</v>
      </c>
      <c r="B7" t="s">
        <v>32</v>
      </c>
      <c r="C7">
        <v>25</v>
      </c>
      <c r="D7" t="s">
        <v>17</v>
      </c>
      <c r="E7" t="s">
        <v>17</v>
      </c>
      <c r="F7">
        <v>26</v>
      </c>
      <c r="G7" t="s">
        <v>17</v>
      </c>
      <c r="H7" t="s">
        <v>17</v>
      </c>
      <c r="I7">
        <v>6.7699999999999996E-2</v>
      </c>
      <c r="J7">
        <v>0.2954</v>
      </c>
      <c r="K7">
        <f t="shared" si="1"/>
        <v>1.9998579999999999E-4</v>
      </c>
      <c r="L7" t="s">
        <v>17</v>
      </c>
      <c r="M7">
        <v>298</v>
      </c>
      <c r="N7" t="s">
        <v>201</v>
      </c>
      <c r="O7" t="s">
        <v>468</v>
      </c>
    </row>
    <row r="8" spans="1:15" x14ac:dyDescent="0.2">
      <c r="A8" t="s">
        <v>238</v>
      </c>
      <c r="B8" t="s">
        <v>32</v>
      </c>
      <c r="C8">
        <v>24</v>
      </c>
      <c r="D8" t="s">
        <v>17</v>
      </c>
      <c r="E8" t="s">
        <v>17</v>
      </c>
      <c r="F8">
        <v>25</v>
      </c>
      <c r="G8" t="s">
        <v>17</v>
      </c>
      <c r="H8" t="s">
        <v>17</v>
      </c>
      <c r="I8">
        <v>6.9000000000000006E-2</v>
      </c>
      <c r="J8">
        <v>0.1449</v>
      </c>
      <c r="K8">
        <f t="shared" si="1"/>
        <v>9.9981000000000017E-5</v>
      </c>
      <c r="L8" t="s">
        <v>17</v>
      </c>
      <c r="M8">
        <v>298</v>
      </c>
      <c r="N8" t="s">
        <v>201</v>
      </c>
      <c r="O8" t="s">
        <v>469</v>
      </c>
    </row>
    <row r="9" spans="1:15" x14ac:dyDescent="0.2">
      <c r="A9" t="s">
        <v>238</v>
      </c>
      <c r="B9" t="s">
        <v>32</v>
      </c>
      <c r="C9">
        <v>23</v>
      </c>
      <c r="D9" t="s">
        <v>17</v>
      </c>
      <c r="E9" t="s">
        <v>17</v>
      </c>
      <c r="F9">
        <v>24</v>
      </c>
      <c r="G9" t="s">
        <v>17</v>
      </c>
      <c r="H9" t="s">
        <v>17</v>
      </c>
      <c r="I9">
        <v>7.1499999999999994E-2</v>
      </c>
      <c r="J9">
        <v>0.2797</v>
      </c>
      <c r="K9">
        <f t="shared" si="1"/>
        <v>1.999855E-4</v>
      </c>
      <c r="L9" t="s">
        <v>17</v>
      </c>
      <c r="M9">
        <v>298</v>
      </c>
      <c r="N9" t="s">
        <v>201</v>
      </c>
      <c r="O9" t="s">
        <v>470</v>
      </c>
    </row>
    <row r="10" spans="1:15" x14ac:dyDescent="0.2">
      <c r="A10" t="s">
        <v>238</v>
      </c>
      <c r="B10" t="s">
        <v>32</v>
      </c>
      <c r="C10">
        <v>22</v>
      </c>
      <c r="D10" t="s">
        <v>17</v>
      </c>
      <c r="E10" t="s">
        <v>17</v>
      </c>
      <c r="F10">
        <v>23</v>
      </c>
      <c r="G10" t="s">
        <v>17</v>
      </c>
      <c r="H10" t="s">
        <v>17</v>
      </c>
      <c r="I10">
        <v>7.2800000000000004E-2</v>
      </c>
      <c r="J10">
        <v>20</v>
      </c>
      <c r="K10">
        <f t="shared" si="1"/>
        <v>1.456E-2</v>
      </c>
      <c r="L10" t="s">
        <v>17</v>
      </c>
      <c r="M10">
        <v>298</v>
      </c>
      <c r="N10" t="s">
        <v>201</v>
      </c>
      <c r="O10" t="s">
        <v>471</v>
      </c>
    </row>
    <row r="11" spans="1:15" x14ac:dyDescent="0.2">
      <c r="A11" t="s">
        <v>238</v>
      </c>
      <c r="B11" t="s">
        <v>32</v>
      </c>
      <c r="C11">
        <v>21</v>
      </c>
      <c r="D11" t="s">
        <v>17</v>
      </c>
      <c r="E11" t="s">
        <v>17</v>
      </c>
      <c r="F11">
        <v>22</v>
      </c>
      <c r="G11" t="s">
        <v>17</v>
      </c>
      <c r="H11" t="s">
        <v>17</v>
      </c>
      <c r="I11">
        <v>7.5200000000000003E-2</v>
      </c>
      <c r="J11">
        <v>0.13289999999999999</v>
      </c>
      <c r="K11">
        <f t="shared" si="1"/>
        <v>9.9940799999999983E-5</v>
      </c>
      <c r="L11" t="s">
        <v>17</v>
      </c>
      <c r="M11">
        <v>298</v>
      </c>
      <c r="N11" t="s">
        <v>201</v>
      </c>
      <c r="O11" t="s">
        <v>472</v>
      </c>
    </row>
    <row r="12" spans="1:15" x14ac:dyDescent="0.2">
      <c r="A12" t="s">
        <v>238</v>
      </c>
      <c r="B12" t="s">
        <v>32</v>
      </c>
      <c r="C12">
        <v>20</v>
      </c>
      <c r="D12" t="s">
        <v>17</v>
      </c>
      <c r="E12" t="s">
        <v>17</v>
      </c>
      <c r="F12">
        <v>21</v>
      </c>
      <c r="G12" t="s">
        <v>17</v>
      </c>
      <c r="H12" t="s">
        <v>17</v>
      </c>
      <c r="I12">
        <v>7.7399999999999997E-2</v>
      </c>
      <c r="J12">
        <v>20</v>
      </c>
      <c r="K12">
        <f t="shared" ref="K12:K13" si="2">J12*I12/100</f>
        <v>1.5480000000000001E-2</v>
      </c>
      <c r="L12" t="s">
        <v>17</v>
      </c>
      <c r="M12">
        <v>298</v>
      </c>
      <c r="N12" t="s">
        <v>201</v>
      </c>
      <c r="O12" t="s">
        <v>473</v>
      </c>
    </row>
    <row r="13" spans="1:15" x14ac:dyDescent="0.2">
      <c r="A13" t="s">
        <v>238</v>
      </c>
      <c r="B13" t="s">
        <v>32</v>
      </c>
      <c r="C13">
        <v>19</v>
      </c>
      <c r="D13" t="s">
        <v>17</v>
      </c>
      <c r="E13" t="s">
        <v>17</v>
      </c>
      <c r="F13">
        <v>20</v>
      </c>
      <c r="G13" t="s">
        <v>17</v>
      </c>
      <c r="H13" t="s">
        <v>17</v>
      </c>
      <c r="I13">
        <v>7.9299999999999995E-2</v>
      </c>
      <c r="J13">
        <v>20</v>
      </c>
      <c r="K13">
        <f t="shared" si="2"/>
        <v>1.5859999999999999E-2</v>
      </c>
      <c r="L13" t="s">
        <v>17</v>
      </c>
      <c r="M13">
        <v>298</v>
      </c>
      <c r="N13" t="s">
        <v>201</v>
      </c>
      <c r="O13" t="s">
        <v>474</v>
      </c>
    </row>
    <row r="14" spans="1:15" x14ac:dyDescent="0.2">
      <c r="A14" t="s">
        <v>238</v>
      </c>
      <c r="B14" t="s">
        <v>32</v>
      </c>
      <c r="C14">
        <v>18</v>
      </c>
      <c r="D14" t="s">
        <v>17</v>
      </c>
      <c r="E14" t="s">
        <v>17</v>
      </c>
      <c r="F14">
        <v>19</v>
      </c>
      <c r="G14" t="s">
        <v>17</v>
      </c>
      <c r="H14" t="s">
        <v>17</v>
      </c>
      <c r="I14">
        <v>8.2600000000000007E-2</v>
      </c>
      <c r="J14">
        <v>20</v>
      </c>
      <c r="K14">
        <f t="shared" ref="K14:K21" si="3">J14*I14/100</f>
        <v>1.652E-2</v>
      </c>
      <c r="L14" t="s">
        <v>17</v>
      </c>
      <c r="M14">
        <v>298</v>
      </c>
      <c r="N14" t="s">
        <v>201</v>
      </c>
      <c r="O14" t="s">
        <v>475</v>
      </c>
    </row>
    <row r="15" spans="1:15" x14ac:dyDescent="0.2">
      <c r="A15" t="s">
        <v>238</v>
      </c>
      <c r="B15" t="s">
        <v>32</v>
      </c>
      <c r="C15">
        <v>17</v>
      </c>
      <c r="D15" t="s">
        <v>17</v>
      </c>
      <c r="E15" t="s">
        <v>17</v>
      </c>
      <c r="F15">
        <v>18</v>
      </c>
      <c r="G15" t="s">
        <v>17</v>
      </c>
      <c r="H15" t="s">
        <v>17</v>
      </c>
      <c r="I15">
        <v>8.4900000000000003E-2</v>
      </c>
      <c r="J15">
        <v>20</v>
      </c>
      <c r="K15">
        <f t="shared" si="3"/>
        <v>1.6979999999999999E-2</v>
      </c>
      <c r="L15" t="s">
        <v>17</v>
      </c>
      <c r="M15">
        <v>298</v>
      </c>
      <c r="N15" t="s">
        <v>201</v>
      </c>
      <c r="O15" t="s">
        <v>476</v>
      </c>
    </row>
    <row r="16" spans="1:15" x14ac:dyDescent="0.2">
      <c r="A16" t="s">
        <v>238</v>
      </c>
      <c r="B16" t="s">
        <v>32</v>
      </c>
      <c r="C16">
        <v>16</v>
      </c>
      <c r="D16" t="s">
        <v>17</v>
      </c>
      <c r="E16" t="s">
        <v>17</v>
      </c>
      <c r="F16">
        <v>17</v>
      </c>
      <c r="G16" t="s">
        <v>17</v>
      </c>
      <c r="H16" t="s">
        <v>17</v>
      </c>
      <c r="I16">
        <v>8.9200000000000002E-2</v>
      </c>
      <c r="J16">
        <v>20</v>
      </c>
      <c r="K16">
        <f t="shared" si="3"/>
        <v>1.7840000000000002E-2</v>
      </c>
      <c r="L16" t="s">
        <v>17</v>
      </c>
      <c r="M16">
        <v>298</v>
      </c>
      <c r="N16" t="s">
        <v>201</v>
      </c>
      <c r="O16" t="s">
        <v>477</v>
      </c>
    </row>
    <row r="17" spans="1:15" x14ac:dyDescent="0.2">
      <c r="A17" t="s">
        <v>238</v>
      </c>
      <c r="B17" t="s">
        <v>32</v>
      </c>
      <c r="C17">
        <v>15</v>
      </c>
      <c r="D17" t="s">
        <v>17</v>
      </c>
      <c r="E17" t="s">
        <v>17</v>
      </c>
      <c r="F17">
        <v>16</v>
      </c>
      <c r="G17" t="s">
        <v>17</v>
      </c>
      <c r="H17" t="s">
        <v>17</v>
      </c>
      <c r="I17">
        <v>9.6500000000000002E-2</v>
      </c>
      <c r="J17">
        <v>20</v>
      </c>
      <c r="K17">
        <f t="shared" si="3"/>
        <v>1.9300000000000001E-2</v>
      </c>
      <c r="L17" t="s">
        <v>17</v>
      </c>
      <c r="M17">
        <v>298</v>
      </c>
      <c r="N17" t="s">
        <v>201</v>
      </c>
      <c r="O17" t="s">
        <v>478</v>
      </c>
    </row>
    <row r="18" spans="1:15" x14ac:dyDescent="0.2">
      <c r="A18" t="s">
        <v>238</v>
      </c>
      <c r="B18" t="s">
        <v>32</v>
      </c>
      <c r="C18">
        <v>14</v>
      </c>
      <c r="D18" t="s">
        <v>17</v>
      </c>
      <c r="E18" t="s">
        <v>17</v>
      </c>
      <c r="F18">
        <v>15</v>
      </c>
      <c r="G18" t="s">
        <v>17</v>
      </c>
      <c r="H18" t="s">
        <v>17</v>
      </c>
      <c r="I18">
        <v>9.9199999999999997E-2</v>
      </c>
      <c r="J18">
        <v>20</v>
      </c>
      <c r="K18">
        <f t="shared" si="3"/>
        <v>1.984E-2</v>
      </c>
      <c r="L18" t="s">
        <v>17</v>
      </c>
      <c r="M18">
        <v>298</v>
      </c>
      <c r="N18" t="s">
        <v>201</v>
      </c>
      <c r="O18" t="s">
        <v>479</v>
      </c>
    </row>
    <row r="19" spans="1:15" x14ac:dyDescent="0.2">
      <c r="A19" t="s">
        <v>238</v>
      </c>
      <c r="B19" t="s">
        <v>32</v>
      </c>
      <c r="C19">
        <v>13</v>
      </c>
      <c r="D19" t="s">
        <v>17</v>
      </c>
      <c r="E19" t="s">
        <v>17</v>
      </c>
      <c r="F19">
        <v>14</v>
      </c>
      <c r="G19" t="s">
        <v>17</v>
      </c>
      <c r="H19" t="s">
        <v>17</v>
      </c>
      <c r="I19">
        <v>0.1053</v>
      </c>
      <c r="J19">
        <v>20</v>
      </c>
      <c r="K19">
        <f t="shared" si="3"/>
        <v>2.1059999999999999E-2</v>
      </c>
      <c r="L19" t="s">
        <v>17</v>
      </c>
      <c r="M19">
        <v>298</v>
      </c>
      <c r="N19" t="s">
        <v>201</v>
      </c>
      <c r="O19" t="s">
        <v>480</v>
      </c>
    </row>
    <row r="20" spans="1:15" x14ac:dyDescent="0.2">
      <c r="A20" t="s">
        <v>238</v>
      </c>
      <c r="B20" t="s">
        <v>32</v>
      </c>
      <c r="C20">
        <v>12</v>
      </c>
      <c r="D20" t="s">
        <v>17</v>
      </c>
      <c r="E20" t="s">
        <v>17</v>
      </c>
      <c r="F20">
        <v>13</v>
      </c>
      <c r="G20" t="s">
        <v>17</v>
      </c>
      <c r="H20" t="s">
        <v>17</v>
      </c>
      <c r="I20">
        <v>0.10829999999999999</v>
      </c>
      <c r="J20">
        <v>20</v>
      </c>
      <c r="K20">
        <f t="shared" si="3"/>
        <v>2.1659999999999999E-2</v>
      </c>
      <c r="L20" t="s">
        <v>17</v>
      </c>
      <c r="M20">
        <v>298</v>
      </c>
      <c r="N20" t="s">
        <v>201</v>
      </c>
      <c r="O20" t="s">
        <v>481</v>
      </c>
    </row>
    <row r="21" spans="1:15" x14ac:dyDescent="0.2">
      <c r="A21" t="s">
        <v>238</v>
      </c>
      <c r="B21" t="s">
        <v>32</v>
      </c>
      <c r="C21">
        <v>11</v>
      </c>
      <c r="D21" t="s">
        <v>17</v>
      </c>
      <c r="E21" t="s">
        <v>17</v>
      </c>
      <c r="F21">
        <v>12</v>
      </c>
      <c r="G21" t="s">
        <v>17</v>
      </c>
      <c r="H21" t="s">
        <v>17</v>
      </c>
      <c r="I21">
        <v>0.1147</v>
      </c>
      <c r="J21">
        <v>20</v>
      </c>
      <c r="K21">
        <f t="shared" si="3"/>
        <v>2.2940000000000002E-2</v>
      </c>
      <c r="L21" t="s">
        <v>17</v>
      </c>
      <c r="M21">
        <v>298</v>
      </c>
      <c r="N21" t="s">
        <v>201</v>
      </c>
      <c r="O21" t="s">
        <v>482</v>
      </c>
    </row>
    <row r="22" spans="1:15" x14ac:dyDescent="0.2">
      <c r="A22" t="s">
        <v>238</v>
      </c>
      <c r="B22" t="s">
        <v>32</v>
      </c>
      <c r="C22">
        <v>9</v>
      </c>
      <c r="D22" t="s">
        <v>17</v>
      </c>
      <c r="E22" t="s">
        <v>17</v>
      </c>
      <c r="F22">
        <v>10</v>
      </c>
      <c r="G22" t="s">
        <v>17</v>
      </c>
      <c r="H22" t="s">
        <v>17</v>
      </c>
      <c r="I22">
        <v>0.1217</v>
      </c>
      <c r="J22">
        <v>8.2199999999999995E-2</v>
      </c>
      <c r="K22">
        <v>1E-4</v>
      </c>
      <c r="L22" t="s">
        <v>17</v>
      </c>
      <c r="M22">
        <v>298</v>
      </c>
      <c r="N22" t="s">
        <v>201</v>
      </c>
      <c r="O22" t="s">
        <v>483</v>
      </c>
    </row>
    <row r="23" spans="1:15" x14ac:dyDescent="0.2">
      <c r="A23" t="s">
        <v>238</v>
      </c>
      <c r="B23" t="s">
        <v>32</v>
      </c>
      <c r="C23">
        <v>7</v>
      </c>
      <c r="D23" t="s">
        <v>17</v>
      </c>
      <c r="E23" t="s">
        <v>17</v>
      </c>
      <c r="F23">
        <v>8</v>
      </c>
      <c r="G23" t="s">
        <v>17</v>
      </c>
      <c r="H23" t="s">
        <v>17</v>
      </c>
      <c r="I23">
        <v>0.13120000000000001</v>
      </c>
      <c r="J23">
        <v>0.15240000000000001</v>
      </c>
      <c r="K23">
        <v>2.0000000000000001E-4</v>
      </c>
      <c r="L23" t="s">
        <v>17</v>
      </c>
      <c r="M23">
        <v>298</v>
      </c>
      <c r="N23" t="s">
        <v>201</v>
      </c>
      <c r="O23" t="s">
        <v>484</v>
      </c>
    </row>
    <row r="24" spans="1:15" x14ac:dyDescent="0.2">
      <c r="A24" t="s">
        <v>238</v>
      </c>
      <c r="B24" t="s">
        <v>32</v>
      </c>
      <c r="C24">
        <v>6</v>
      </c>
      <c r="D24" t="s">
        <v>17</v>
      </c>
      <c r="E24" t="s">
        <v>17</v>
      </c>
      <c r="F24">
        <v>7</v>
      </c>
      <c r="G24" t="s">
        <v>17</v>
      </c>
      <c r="H24" t="s">
        <v>17</v>
      </c>
      <c r="I24">
        <v>0.13639999999999999</v>
      </c>
      <c r="J24">
        <v>7.3300000000000004E-2</v>
      </c>
      <c r="K24">
        <v>1E-4</v>
      </c>
      <c r="L24" t="s">
        <v>17</v>
      </c>
      <c r="M24">
        <v>298</v>
      </c>
      <c r="N24" t="s">
        <v>201</v>
      </c>
      <c r="O24" t="s">
        <v>485</v>
      </c>
    </row>
    <row r="25" spans="1:15" x14ac:dyDescent="0.2">
      <c r="A25" t="s">
        <v>238</v>
      </c>
      <c r="B25" t="s">
        <v>32</v>
      </c>
      <c r="C25">
        <v>5</v>
      </c>
      <c r="D25" t="s">
        <v>17</v>
      </c>
      <c r="E25" t="s">
        <v>17</v>
      </c>
      <c r="F25">
        <v>6</v>
      </c>
      <c r="G25" t="s">
        <v>17</v>
      </c>
      <c r="H25" t="s">
        <v>17</v>
      </c>
      <c r="I25">
        <v>0.13980000000000001</v>
      </c>
      <c r="J25">
        <v>7.1499999999999994E-2</v>
      </c>
      <c r="K25">
        <v>1E-4</v>
      </c>
      <c r="L25" t="s">
        <v>17</v>
      </c>
      <c r="M25">
        <v>298</v>
      </c>
      <c r="N25" t="s">
        <v>201</v>
      </c>
      <c r="O25" t="s">
        <v>486</v>
      </c>
    </row>
    <row r="26" spans="1:15" x14ac:dyDescent="0.2">
      <c r="A26" t="s">
        <v>238</v>
      </c>
      <c r="B26" t="s">
        <v>32</v>
      </c>
      <c r="C26">
        <v>2</v>
      </c>
      <c r="D26" t="s">
        <v>17</v>
      </c>
      <c r="E26" t="s">
        <v>17</v>
      </c>
      <c r="F26">
        <v>3</v>
      </c>
      <c r="G26" t="s">
        <v>17</v>
      </c>
      <c r="H26" t="s">
        <v>17</v>
      </c>
      <c r="I26">
        <v>0.1535</v>
      </c>
      <c r="J26">
        <v>6.5100000000000005E-2</v>
      </c>
      <c r="K26">
        <v>1E-4</v>
      </c>
      <c r="L26" t="s">
        <v>17</v>
      </c>
      <c r="M26">
        <v>298</v>
      </c>
      <c r="N26" t="s">
        <v>201</v>
      </c>
      <c r="O26" t="s">
        <v>487</v>
      </c>
    </row>
    <row r="27" spans="1:15" x14ac:dyDescent="0.2">
      <c r="A27" t="s">
        <v>238</v>
      </c>
      <c r="B27" t="s">
        <v>32</v>
      </c>
      <c r="C27">
        <v>1</v>
      </c>
      <c r="D27" t="s">
        <v>17</v>
      </c>
      <c r="E27" t="s">
        <v>17</v>
      </c>
      <c r="F27">
        <v>2</v>
      </c>
      <c r="G27" t="s">
        <v>17</v>
      </c>
      <c r="H27" t="s">
        <v>17</v>
      </c>
      <c r="I27">
        <v>0.16270000000000001</v>
      </c>
      <c r="J27">
        <v>0.1229</v>
      </c>
      <c r="K27">
        <v>2.0000000000000001E-4</v>
      </c>
      <c r="L27" t="s">
        <v>17</v>
      </c>
      <c r="M27">
        <v>298</v>
      </c>
      <c r="N27" t="s">
        <v>201</v>
      </c>
      <c r="O27" t="s">
        <v>488</v>
      </c>
    </row>
    <row r="28" spans="1:15" x14ac:dyDescent="0.2">
      <c r="A28" t="s">
        <v>238</v>
      </c>
      <c r="B28" t="s">
        <v>32</v>
      </c>
      <c r="C28">
        <v>2</v>
      </c>
      <c r="D28" t="s">
        <v>17</v>
      </c>
      <c r="E28" t="s">
        <v>17</v>
      </c>
      <c r="F28">
        <v>1</v>
      </c>
      <c r="G28" t="s">
        <v>17</v>
      </c>
      <c r="H28" t="s">
        <v>17</v>
      </c>
      <c r="I28">
        <v>0.15</v>
      </c>
      <c r="J28">
        <v>6.6699999999999995E-2</v>
      </c>
      <c r="K28">
        <v>1E-4</v>
      </c>
      <c r="L28" t="s">
        <v>17</v>
      </c>
      <c r="M28">
        <v>298</v>
      </c>
      <c r="N28" t="s">
        <v>201</v>
      </c>
      <c r="O28" t="s">
        <v>489</v>
      </c>
    </row>
    <row r="29" spans="1:15" x14ac:dyDescent="0.2">
      <c r="A29" t="s">
        <v>238</v>
      </c>
      <c r="B29" t="s">
        <v>32</v>
      </c>
      <c r="C29">
        <v>3</v>
      </c>
      <c r="D29" t="s">
        <v>17</v>
      </c>
      <c r="E29" t="s">
        <v>17</v>
      </c>
      <c r="F29">
        <v>2</v>
      </c>
      <c r="G29" t="s">
        <v>17</v>
      </c>
      <c r="H29" t="s">
        <v>17</v>
      </c>
      <c r="I29">
        <v>0.14680000000000001</v>
      </c>
      <c r="J29">
        <v>6.8099999999999994E-2</v>
      </c>
      <c r="K29">
        <v>1E-4</v>
      </c>
      <c r="L29" t="s">
        <v>17</v>
      </c>
      <c r="M29">
        <v>298</v>
      </c>
      <c r="N29" t="s">
        <v>201</v>
      </c>
      <c r="O29" t="s">
        <v>490</v>
      </c>
    </row>
    <row r="30" spans="1:15" x14ac:dyDescent="0.2">
      <c r="A30" t="s">
        <v>238</v>
      </c>
      <c r="B30" t="s">
        <v>32</v>
      </c>
      <c r="C30">
        <v>4</v>
      </c>
      <c r="D30" t="s">
        <v>17</v>
      </c>
      <c r="E30" t="s">
        <v>17</v>
      </c>
      <c r="F30">
        <v>3</v>
      </c>
      <c r="G30" t="s">
        <v>17</v>
      </c>
      <c r="H30" t="s">
        <v>17</v>
      </c>
      <c r="I30">
        <v>0.1439</v>
      </c>
      <c r="J30">
        <v>6.9500000000000006E-2</v>
      </c>
      <c r="K30">
        <v>1E-4</v>
      </c>
      <c r="L30" t="s">
        <v>17</v>
      </c>
      <c r="M30">
        <v>298</v>
      </c>
      <c r="N30" t="s">
        <v>201</v>
      </c>
      <c r="O30" t="s">
        <v>491</v>
      </c>
    </row>
    <row r="31" spans="1:15" x14ac:dyDescent="0.2">
      <c r="A31" t="s">
        <v>238</v>
      </c>
      <c r="B31" t="s">
        <v>32</v>
      </c>
      <c r="C31">
        <v>5</v>
      </c>
      <c r="D31" t="s">
        <v>17</v>
      </c>
      <c r="E31" t="s">
        <v>17</v>
      </c>
      <c r="F31">
        <v>4</v>
      </c>
      <c r="G31" t="s">
        <v>17</v>
      </c>
      <c r="H31" t="s">
        <v>17</v>
      </c>
      <c r="I31">
        <v>0.1381</v>
      </c>
      <c r="J31">
        <v>20</v>
      </c>
      <c r="K31">
        <f t="shared" ref="K31" si="4">J31*I31/100</f>
        <v>2.7619999999999999E-2</v>
      </c>
      <c r="L31" t="s">
        <v>17</v>
      </c>
      <c r="M31">
        <v>298</v>
      </c>
      <c r="N31" t="s">
        <v>201</v>
      </c>
      <c r="O31" t="s">
        <v>492</v>
      </c>
    </row>
    <row r="32" spans="1:15" x14ac:dyDescent="0.2">
      <c r="A32" t="s">
        <v>238</v>
      </c>
      <c r="B32" t="s">
        <v>32</v>
      </c>
      <c r="C32">
        <v>7</v>
      </c>
      <c r="D32" t="s">
        <v>17</v>
      </c>
      <c r="E32" t="s">
        <v>17</v>
      </c>
      <c r="F32">
        <v>6</v>
      </c>
      <c r="G32" t="s">
        <v>17</v>
      </c>
      <c r="H32" t="s">
        <v>17</v>
      </c>
      <c r="I32">
        <v>0.13059999999999999</v>
      </c>
      <c r="J32">
        <v>7.6600000000000001E-2</v>
      </c>
      <c r="K32">
        <v>1E-4</v>
      </c>
      <c r="L32" t="s">
        <v>17</v>
      </c>
      <c r="M32">
        <v>298</v>
      </c>
      <c r="N32" t="s">
        <v>201</v>
      </c>
      <c r="O32" t="s">
        <v>493</v>
      </c>
    </row>
    <row r="33" spans="1:15" x14ac:dyDescent="0.2">
      <c r="A33" t="s">
        <v>238</v>
      </c>
      <c r="B33" t="s">
        <v>32</v>
      </c>
      <c r="C33">
        <v>9</v>
      </c>
      <c r="D33" t="s">
        <v>17</v>
      </c>
      <c r="E33" t="s">
        <v>17</v>
      </c>
      <c r="F33">
        <v>8</v>
      </c>
      <c r="G33" t="s">
        <v>17</v>
      </c>
      <c r="H33" t="s">
        <v>17</v>
      </c>
      <c r="I33">
        <v>0.1221</v>
      </c>
      <c r="J33">
        <v>8.1900000000000001E-2</v>
      </c>
      <c r="K33">
        <v>1E-4</v>
      </c>
      <c r="L33" t="s">
        <v>17</v>
      </c>
      <c r="M33">
        <v>298</v>
      </c>
      <c r="N33" t="s">
        <v>201</v>
      </c>
      <c r="O33" t="s">
        <v>494</v>
      </c>
    </row>
    <row r="34" spans="1:15" x14ac:dyDescent="0.2">
      <c r="A34" t="s">
        <v>238</v>
      </c>
      <c r="B34" t="s">
        <v>32</v>
      </c>
      <c r="C34">
        <v>10</v>
      </c>
      <c r="D34" t="s">
        <v>17</v>
      </c>
      <c r="E34" t="s">
        <v>17</v>
      </c>
      <c r="F34">
        <v>9</v>
      </c>
      <c r="G34" t="s">
        <v>17</v>
      </c>
      <c r="H34" t="s">
        <v>17</v>
      </c>
      <c r="I34">
        <v>0.1192</v>
      </c>
      <c r="J34">
        <v>20</v>
      </c>
      <c r="K34">
        <f t="shared" ref="K34:K40" si="5">J34*I34/100</f>
        <v>2.384E-2</v>
      </c>
      <c r="L34" t="s">
        <v>17</v>
      </c>
      <c r="M34">
        <v>298</v>
      </c>
      <c r="N34" t="s">
        <v>201</v>
      </c>
      <c r="O34" t="s">
        <v>495</v>
      </c>
    </row>
    <row r="35" spans="1:15" x14ac:dyDescent="0.2">
      <c r="A35" t="s">
        <v>238</v>
      </c>
      <c r="B35" t="s">
        <v>32</v>
      </c>
      <c r="C35">
        <v>11</v>
      </c>
      <c r="D35" t="s">
        <v>17</v>
      </c>
      <c r="E35" t="s">
        <v>17</v>
      </c>
      <c r="F35">
        <v>10</v>
      </c>
      <c r="G35" t="s">
        <v>17</v>
      </c>
      <c r="H35" t="s">
        <v>17</v>
      </c>
      <c r="I35">
        <v>0.1132</v>
      </c>
      <c r="J35">
        <v>20</v>
      </c>
      <c r="K35">
        <f t="shared" si="5"/>
        <v>2.2639999999999997E-2</v>
      </c>
      <c r="L35" t="s">
        <v>17</v>
      </c>
      <c r="M35">
        <v>298</v>
      </c>
      <c r="N35" t="s">
        <v>201</v>
      </c>
      <c r="O35" t="s">
        <v>496</v>
      </c>
    </row>
    <row r="36" spans="1:15" x14ac:dyDescent="0.2">
      <c r="A36" t="s">
        <v>238</v>
      </c>
      <c r="B36" t="s">
        <v>32</v>
      </c>
      <c r="C36">
        <v>12</v>
      </c>
      <c r="D36" t="s">
        <v>17</v>
      </c>
      <c r="E36" t="s">
        <v>17</v>
      </c>
      <c r="F36">
        <v>11</v>
      </c>
      <c r="G36" t="s">
        <v>17</v>
      </c>
      <c r="H36" t="s">
        <v>17</v>
      </c>
      <c r="I36">
        <v>0.1096</v>
      </c>
      <c r="J36">
        <v>20</v>
      </c>
      <c r="K36">
        <f t="shared" si="5"/>
        <v>2.1920000000000002E-2</v>
      </c>
      <c r="L36" t="s">
        <v>17</v>
      </c>
      <c r="M36">
        <v>298</v>
      </c>
      <c r="N36" t="s">
        <v>201</v>
      </c>
      <c r="O36" t="s">
        <v>497</v>
      </c>
    </row>
    <row r="37" spans="1:15" x14ac:dyDescent="0.2">
      <c r="A37" t="s">
        <v>238</v>
      </c>
      <c r="B37" t="s">
        <v>32</v>
      </c>
      <c r="C37">
        <v>14</v>
      </c>
      <c r="D37" t="s">
        <v>17</v>
      </c>
      <c r="E37" t="s">
        <v>17</v>
      </c>
      <c r="F37">
        <v>13</v>
      </c>
      <c r="G37" t="s">
        <v>17</v>
      </c>
      <c r="H37" t="s">
        <v>17</v>
      </c>
      <c r="I37">
        <v>0.10100000000000001</v>
      </c>
      <c r="J37">
        <v>20</v>
      </c>
      <c r="K37">
        <f t="shared" si="5"/>
        <v>2.0199999999999999E-2</v>
      </c>
      <c r="L37" t="s">
        <v>17</v>
      </c>
      <c r="M37">
        <v>298</v>
      </c>
      <c r="N37" t="s">
        <v>201</v>
      </c>
      <c r="O37" t="s">
        <v>498</v>
      </c>
    </row>
    <row r="38" spans="1:15" x14ac:dyDescent="0.2">
      <c r="A38" t="s">
        <v>238</v>
      </c>
      <c r="B38" t="s">
        <v>32</v>
      </c>
      <c r="C38">
        <v>15</v>
      </c>
      <c r="D38" t="s">
        <v>17</v>
      </c>
      <c r="E38" t="s">
        <v>17</v>
      </c>
      <c r="F38">
        <v>14</v>
      </c>
      <c r="G38" t="s">
        <v>17</v>
      </c>
      <c r="H38" t="s">
        <v>17</v>
      </c>
      <c r="I38">
        <v>9.5699999999999993E-2</v>
      </c>
      <c r="J38">
        <v>20</v>
      </c>
      <c r="K38">
        <f t="shared" si="5"/>
        <v>1.9140000000000001E-2</v>
      </c>
      <c r="L38" t="s">
        <v>17</v>
      </c>
      <c r="M38">
        <v>298</v>
      </c>
      <c r="N38" t="s">
        <v>201</v>
      </c>
      <c r="O38" t="s">
        <v>499</v>
      </c>
    </row>
    <row r="39" spans="1:15" x14ac:dyDescent="0.2">
      <c r="A39" t="s">
        <v>238</v>
      </c>
      <c r="B39" t="s">
        <v>32</v>
      </c>
      <c r="C39">
        <v>16</v>
      </c>
      <c r="D39" t="s">
        <v>17</v>
      </c>
      <c r="E39" t="s">
        <v>17</v>
      </c>
      <c r="F39">
        <v>15</v>
      </c>
      <c r="G39" t="s">
        <v>17</v>
      </c>
      <c r="H39" t="s">
        <v>17</v>
      </c>
      <c r="I39">
        <v>9.3100000000000002E-2</v>
      </c>
      <c r="J39">
        <v>20</v>
      </c>
      <c r="K39">
        <f t="shared" si="5"/>
        <v>1.8620000000000001E-2</v>
      </c>
      <c r="L39" t="s">
        <v>17</v>
      </c>
      <c r="M39">
        <v>298</v>
      </c>
      <c r="N39" t="s">
        <v>201</v>
      </c>
      <c r="O39" t="s">
        <v>500</v>
      </c>
    </row>
    <row r="40" spans="1:15" x14ac:dyDescent="0.2">
      <c r="A40" t="s">
        <v>238</v>
      </c>
      <c r="B40" t="s">
        <v>32</v>
      </c>
      <c r="C40">
        <v>17</v>
      </c>
      <c r="D40" t="s">
        <v>17</v>
      </c>
      <c r="E40" t="s">
        <v>17</v>
      </c>
      <c r="F40">
        <v>16</v>
      </c>
      <c r="G40" t="s">
        <v>17</v>
      </c>
      <c r="H40" t="s">
        <v>17</v>
      </c>
      <c r="I40">
        <v>8.8200000000000001E-2</v>
      </c>
      <c r="J40">
        <v>20</v>
      </c>
      <c r="K40">
        <f t="shared" si="5"/>
        <v>1.7639999999999999E-2</v>
      </c>
      <c r="L40" t="s">
        <v>17</v>
      </c>
      <c r="M40">
        <v>298</v>
      </c>
      <c r="N40" t="s">
        <v>201</v>
      </c>
      <c r="O40" t="s">
        <v>501</v>
      </c>
    </row>
    <row r="41" spans="1:15" x14ac:dyDescent="0.2">
      <c r="A41" t="s">
        <v>238</v>
      </c>
      <c r="B41" t="s">
        <v>32</v>
      </c>
      <c r="C41">
        <v>18</v>
      </c>
      <c r="D41" t="s">
        <v>17</v>
      </c>
      <c r="E41" t="s">
        <v>17</v>
      </c>
      <c r="F41">
        <v>17</v>
      </c>
      <c r="G41" t="s">
        <v>17</v>
      </c>
      <c r="H41" t="s">
        <v>17</v>
      </c>
      <c r="I41">
        <v>8.5999999999999993E-2</v>
      </c>
      <c r="J41">
        <v>0.1163</v>
      </c>
      <c r="K41">
        <v>1E-4</v>
      </c>
      <c r="L41" t="s">
        <v>17</v>
      </c>
      <c r="M41">
        <v>298</v>
      </c>
      <c r="N41" t="s">
        <v>201</v>
      </c>
      <c r="O41" t="s">
        <v>502</v>
      </c>
    </row>
    <row r="42" spans="1:15" x14ac:dyDescent="0.2">
      <c r="A42" t="s">
        <v>238</v>
      </c>
      <c r="B42" t="s">
        <v>32</v>
      </c>
      <c r="C42">
        <v>19</v>
      </c>
      <c r="D42" t="s">
        <v>17</v>
      </c>
      <c r="E42" t="s">
        <v>17</v>
      </c>
      <c r="F42">
        <v>18</v>
      </c>
      <c r="G42" t="s">
        <v>17</v>
      </c>
      <c r="H42" t="s">
        <v>17</v>
      </c>
      <c r="I42">
        <v>8.2500000000000004E-2</v>
      </c>
      <c r="J42">
        <v>20</v>
      </c>
      <c r="K42">
        <f t="shared" ref="K42:K47" si="6">J42*I42/100</f>
        <v>1.6500000000000001E-2</v>
      </c>
      <c r="L42" t="s">
        <v>17</v>
      </c>
      <c r="M42">
        <v>298</v>
      </c>
      <c r="N42" t="s">
        <v>201</v>
      </c>
      <c r="O42" t="s">
        <v>503</v>
      </c>
    </row>
    <row r="43" spans="1:15" x14ac:dyDescent="0.2">
      <c r="A43" t="s">
        <v>238</v>
      </c>
      <c r="B43" t="s">
        <v>32</v>
      </c>
      <c r="C43">
        <v>20</v>
      </c>
      <c r="D43" t="s">
        <v>17</v>
      </c>
      <c r="E43" t="s">
        <v>17</v>
      </c>
      <c r="F43">
        <v>19</v>
      </c>
      <c r="G43" t="s">
        <v>17</v>
      </c>
      <c r="H43" t="s">
        <v>17</v>
      </c>
      <c r="I43">
        <v>8.0399999999999999E-2</v>
      </c>
      <c r="J43">
        <v>20</v>
      </c>
      <c r="K43">
        <f t="shared" si="6"/>
        <v>1.6080000000000001E-2</v>
      </c>
      <c r="L43" t="s">
        <v>17</v>
      </c>
      <c r="M43">
        <v>298</v>
      </c>
      <c r="N43" t="s">
        <v>201</v>
      </c>
      <c r="O43" t="s">
        <v>504</v>
      </c>
    </row>
    <row r="44" spans="1:15" x14ac:dyDescent="0.2">
      <c r="A44" t="s">
        <v>238</v>
      </c>
      <c r="B44" t="s">
        <v>32</v>
      </c>
      <c r="C44">
        <v>21</v>
      </c>
      <c r="D44" t="s">
        <v>17</v>
      </c>
      <c r="E44" t="s">
        <v>17</v>
      </c>
      <c r="F44">
        <v>20</v>
      </c>
      <c r="G44" t="s">
        <v>17</v>
      </c>
      <c r="H44" t="s">
        <v>17</v>
      </c>
      <c r="I44">
        <v>7.7299999999999994E-2</v>
      </c>
      <c r="J44">
        <v>20</v>
      </c>
      <c r="K44">
        <f t="shared" si="6"/>
        <v>1.5459999999999998E-2</v>
      </c>
      <c r="L44" t="s">
        <v>17</v>
      </c>
      <c r="M44">
        <v>298</v>
      </c>
      <c r="N44" t="s">
        <v>201</v>
      </c>
      <c r="O44" t="s">
        <v>505</v>
      </c>
    </row>
    <row r="45" spans="1:15" x14ac:dyDescent="0.2">
      <c r="A45" t="s">
        <v>238</v>
      </c>
      <c r="B45" t="s">
        <v>32</v>
      </c>
      <c r="C45">
        <v>22</v>
      </c>
      <c r="D45" t="s">
        <v>17</v>
      </c>
      <c r="E45" t="s">
        <v>17</v>
      </c>
      <c r="F45">
        <v>21</v>
      </c>
      <c r="G45" t="s">
        <v>17</v>
      </c>
      <c r="H45" t="s">
        <v>17</v>
      </c>
      <c r="I45">
        <v>7.5800000000000006E-2</v>
      </c>
      <c r="J45">
        <v>20</v>
      </c>
      <c r="K45">
        <f t="shared" si="6"/>
        <v>1.516E-2</v>
      </c>
      <c r="L45" t="s">
        <v>17</v>
      </c>
      <c r="M45">
        <v>298</v>
      </c>
      <c r="N45" t="s">
        <v>201</v>
      </c>
      <c r="O45" t="s">
        <v>506</v>
      </c>
    </row>
    <row r="46" spans="1:15" x14ac:dyDescent="0.2">
      <c r="A46" t="s">
        <v>238</v>
      </c>
      <c r="B46" t="s">
        <v>32</v>
      </c>
      <c r="C46">
        <v>23</v>
      </c>
      <c r="D46" t="s">
        <v>17</v>
      </c>
      <c r="E46" t="s">
        <v>17</v>
      </c>
      <c r="F46">
        <v>22</v>
      </c>
      <c r="G46" t="s">
        <v>17</v>
      </c>
      <c r="H46" t="s">
        <v>17</v>
      </c>
      <c r="I46">
        <v>7.3400000000000007E-2</v>
      </c>
      <c r="J46">
        <v>20</v>
      </c>
      <c r="K46">
        <f t="shared" si="6"/>
        <v>1.4680000000000002E-2</v>
      </c>
      <c r="L46" t="s">
        <v>17</v>
      </c>
      <c r="M46">
        <v>298</v>
      </c>
      <c r="N46" t="s">
        <v>201</v>
      </c>
      <c r="O46" t="s">
        <v>507</v>
      </c>
    </row>
    <row r="47" spans="1:15" x14ac:dyDescent="0.2">
      <c r="A47" t="s">
        <v>238</v>
      </c>
      <c r="B47" t="s">
        <v>32</v>
      </c>
      <c r="C47">
        <v>24</v>
      </c>
      <c r="D47" t="s">
        <v>17</v>
      </c>
      <c r="E47" t="s">
        <v>17</v>
      </c>
      <c r="F47">
        <v>23</v>
      </c>
      <c r="G47" t="s">
        <v>17</v>
      </c>
      <c r="H47" t="s">
        <v>17</v>
      </c>
      <c r="I47">
        <v>7.1400000000000005E-2</v>
      </c>
      <c r="J47">
        <v>20</v>
      </c>
      <c r="K47">
        <f t="shared" si="6"/>
        <v>1.4280000000000001E-2</v>
      </c>
      <c r="L47" t="s">
        <v>17</v>
      </c>
      <c r="M47">
        <v>298</v>
      </c>
      <c r="N47" t="s">
        <v>201</v>
      </c>
      <c r="O47" t="s">
        <v>508</v>
      </c>
    </row>
    <row r="48" spans="1:15" x14ac:dyDescent="0.2">
      <c r="A48" t="s">
        <v>238</v>
      </c>
      <c r="B48" t="s">
        <v>32</v>
      </c>
      <c r="C48">
        <v>25</v>
      </c>
      <c r="D48" t="s">
        <v>17</v>
      </c>
      <c r="E48" t="s">
        <v>17</v>
      </c>
      <c r="F48">
        <v>24</v>
      </c>
      <c r="G48" t="s">
        <v>17</v>
      </c>
      <c r="H48" t="s">
        <v>17</v>
      </c>
      <c r="I48">
        <v>6.9500000000000006E-2</v>
      </c>
      <c r="J48">
        <v>0.1439</v>
      </c>
      <c r="K48">
        <v>1E-4</v>
      </c>
      <c r="L48" t="s">
        <v>17</v>
      </c>
      <c r="M48">
        <v>298</v>
      </c>
      <c r="N48" t="s">
        <v>201</v>
      </c>
      <c r="O48" t="s">
        <v>509</v>
      </c>
    </row>
    <row r="49" spans="1:15" x14ac:dyDescent="0.2">
      <c r="A49" t="s">
        <v>238</v>
      </c>
      <c r="B49" t="s">
        <v>32</v>
      </c>
      <c r="C49">
        <v>26</v>
      </c>
      <c r="D49" t="s">
        <v>17</v>
      </c>
      <c r="E49" t="s">
        <v>17</v>
      </c>
      <c r="F49">
        <v>25</v>
      </c>
      <c r="G49" t="s">
        <v>17</v>
      </c>
      <c r="H49" t="s">
        <v>17</v>
      </c>
      <c r="I49">
        <v>6.8000000000000005E-2</v>
      </c>
      <c r="J49">
        <v>20</v>
      </c>
      <c r="K49">
        <f t="shared" ref="K49:K50" si="7">J49*I49/100</f>
        <v>1.3600000000000001E-2</v>
      </c>
      <c r="L49" t="s">
        <v>17</v>
      </c>
      <c r="M49">
        <v>298</v>
      </c>
      <c r="N49" t="s">
        <v>201</v>
      </c>
      <c r="O49" t="s">
        <v>510</v>
      </c>
    </row>
    <row r="50" spans="1:15" x14ac:dyDescent="0.2">
      <c r="A50" t="s">
        <v>238</v>
      </c>
      <c r="B50" t="s">
        <v>32</v>
      </c>
      <c r="C50">
        <v>28</v>
      </c>
      <c r="D50" t="s">
        <v>17</v>
      </c>
      <c r="E50" t="s">
        <v>17</v>
      </c>
      <c r="F50">
        <v>27</v>
      </c>
      <c r="G50" t="s">
        <v>17</v>
      </c>
      <c r="H50" t="s">
        <v>17</v>
      </c>
      <c r="I50">
        <v>6.4399999999999999E-2</v>
      </c>
      <c r="J50">
        <v>20</v>
      </c>
      <c r="K50">
        <f t="shared" si="7"/>
        <v>1.2880000000000001E-2</v>
      </c>
      <c r="L50" t="s">
        <v>17</v>
      </c>
      <c r="M50">
        <v>298</v>
      </c>
      <c r="N50" t="s">
        <v>201</v>
      </c>
      <c r="O50" t="s">
        <v>511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DDAD-2DF5-FD41-BC6F-7B4BADF08ED4}">
  <dimension ref="A1:O45"/>
  <sheetViews>
    <sheetView topLeftCell="A15" workbookViewId="0">
      <selection activeCell="I37" sqref="I37"/>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203</v>
      </c>
      <c r="C2">
        <v>7</v>
      </c>
      <c r="D2">
        <v>0</v>
      </c>
      <c r="E2">
        <v>7</v>
      </c>
      <c r="F2">
        <v>8</v>
      </c>
      <c r="G2">
        <v>0</v>
      </c>
      <c r="H2">
        <v>8</v>
      </c>
      <c r="I2">
        <v>2.9700000000000001E-2</v>
      </c>
      <c r="J2">
        <f>K2/I2*100</f>
        <v>2.0202020202020199</v>
      </c>
      <c r="K2">
        <v>5.9999999999999995E-4</v>
      </c>
      <c r="L2" t="s">
        <v>17</v>
      </c>
      <c r="M2">
        <v>295</v>
      </c>
      <c r="N2" t="s">
        <v>201</v>
      </c>
      <c r="O2" t="s">
        <v>512</v>
      </c>
    </row>
    <row r="3" spans="1:15" x14ac:dyDescent="0.2">
      <c r="A3" t="s">
        <v>190</v>
      </c>
      <c r="B3" t="s">
        <v>203</v>
      </c>
      <c r="C3">
        <v>6</v>
      </c>
      <c r="D3">
        <v>1</v>
      </c>
      <c r="E3">
        <v>5</v>
      </c>
      <c r="F3">
        <v>7</v>
      </c>
      <c r="G3">
        <v>1</v>
      </c>
      <c r="H3">
        <v>6</v>
      </c>
      <c r="I3">
        <v>4.5900000000000003E-2</v>
      </c>
      <c r="J3">
        <f t="shared" ref="J3:J45" si="0">K3/I3*100</f>
        <v>1.7429193899782134</v>
      </c>
      <c r="K3">
        <v>8.0000000000000004E-4</v>
      </c>
      <c r="L3" t="s">
        <v>17</v>
      </c>
      <c r="M3">
        <v>295</v>
      </c>
      <c r="N3" t="s">
        <v>201</v>
      </c>
      <c r="O3" t="s">
        <v>513</v>
      </c>
    </row>
    <row r="4" spans="1:15" x14ac:dyDescent="0.2">
      <c r="A4" t="s">
        <v>190</v>
      </c>
      <c r="B4" t="s">
        <v>203</v>
      </c>
      <c r="C4">
        <v>6</v>
      </c>
      <c r="D4">
        <v>4</v>
      </c>
      <c r="E4">
        <v>2</v>
      </c>
      <c r="F4">
        <v>7</v>
      </c>
      <c r="G4">
        <v>4</v>
      </c>
      <c r="H4">
        <v>3</v>
      </c>
      <c r="I4">
        <v>3.8699999999999998E-2</v>
      </c>
      <c r="J4">
        <f t="shared" si="0"/>
        <v>0.77519379844961245</v>
      </c>
      <c r="K4">
        <v>2.9999999999999997E-4</v>
      </c>
      <c r="L4" t="s">
        <v>17</v>
      </c>
      <c r="M4">
        <v>295</v>
      </c>
      <c r="N4" t="s">
        <v>201</v>
      </c>
      <c r="O4" t="s">
        <v>514</v>
      </c>
    </row>
    <row r="5" spans="1:15" x14ac:dyDescent="0.2">
      <c r="A5" t="s">
        <v>190</v>
      </c>
      <c r="B5" t="s">
        <v>203</v>
      </c>
      <c r="C5">
        <v>5</v>
      </c>
      <c r="D5">
        <v>2</v>
      </c>
      <c r="E5">
        <v>3</v>
      </c>
      <c r="F5">
        <v>6</v>
      </c>
      <c r="G5">
        <v>2</v>
      </c>
      <c r="H5">
        <v>4</v>
      </c>
      <c r="I5">
        <v>4.8399999999999999E-2</v>
      </c>
      <c r="J5">
        <f t="shared" si="0"/>
        <v>0.61983471074380159</v>
      </c>
      <c r="K5">
        <v>2.9999999999999997E-4</v>
      </c>
      <c r="L5" t="s">
        <v>17</v>
      </c>
      <c r="M5">
        <v>295</v>
      </c>
      <c r="N5" t="s">
        <v>201</v>
      </c>
      <c r="O5" t="s">
        <v>515</v>
      </c>
    </row>
    <row r="6" spans="1:15" x14ac:dyDescent="0.2">
      <c r="A6" t="s">
        <v>190</v>
      </c>
      <c r="B6" t="s">
        <v>203</v>
      </c>
      <c r="C6">
        <v>6</v>
      </c>
      <c r="D6">
        <v>0</v>
      </c>
      <c r="E6">
        <v>6</v>
      </c>
      <c r="F6">
        <v>7</v>
      </c>
      <c r="G6">
        <v>0</v>
      </c>
      <c r="H6">
        <v>7</v>
      </c>
      <c r="I6">
        <v>3.6200000000000003E-2</v>
      </c>
      <c r="J6">
        <f t="shared" si="0"/>
        <v>0.82872928176795557</v>
      </c>
      <c r="K6">
        <v>2.9999999999999997E-4</v>
      </c>
      <c r="L6" t="s">
        <v>17</v>
      </c>
      <c r="M6">
        <v>295</v>
      </c>
      <c r="N6" t="s">
        <v>201</v>
      </c>
      <c r="O6" t="s">
        <v>516</v>
      </c>
    </row>
    <row r="7" spans="1:15" x14ac:dyDescent="0.2">
      <c r="A7" t="s">
        <v>190</v>
      </c>
      <c r="B7" t="s">
        <v>203</v>
      </c>
      <c r="C7">
        <v>6</v>
      </c>
      <c r="D7">
        <v>1</v>
      </c>
      <c r="E7">
        <v>6</v>
      </c>
      <c r="F7">
        <v>7</v>
      </c>
      <c r="G7">
        <v>1</v>
      </c>
      <c r="H7">
        <v>7</v>
      </c>
      <c r="I7">
        <v>3.5499999999999997E-2</v>
      </c>
      <c r="J7">
        <f t="shared" si="0"/>
        <v>1.6901408450704223</v>
      </c>
      <c r="K7">
        <v>5.9999999999999995E-4</v>
      </c>
      <c r="L7" t="s">
        <v>17</v>
      </c>
      <c r="M7">
        <v>295</v>
      </c>
      <c r="N7" t="s">
        <v>201</v>
      </c>
      <c r="O7" t="s">
        <v>517</v>
      </c>
    </row>
    <row r="8" spans="1:15" x14ac:dyDescent="0.2">
      <c r="A8" t="s">
        <v>190</v>
      </c>
      <c r="B8" t="s">
        <v>203</v>
      </c>
      <c r="C8">
        <v>5</v>
      </c>
      <c r="D8">
        <v>1</v>
      </c>
      <c r="E8">
        <v>4</v>
      </c>
      <c r="F8">
        <v>6</v>
      </c>
      <c r="G8">
        <v>1</v>
      </c>
      <c r="H8">
        <v>5</v>
      </c>
      <c r="I8">
        <v>0.05</v>
      </c>
      <c r="J8">
        <f t="shared" si="0"/>
        <v>0.4</v>
      </c>
      <c r="K8">
        <v>2.0000000000000001E-4</v>
      </c>
      <c r="L8" t="s">
        <v>17</v>
      </c>
      <c r="M8">
        <v>295</v>
      </c>
      <c r="N8" t="s">
        <v>201</v>
      </c>
      <c r="O8" t="s">
        <v>518</v>
      </c>
    </row>
    <row r="9" spans="1:15" x14ac:dyDescent="0.2">
      <c r="A9" t="s">
        <v>190</v>
      </c>
      <c r="B9" t="s">
        <v>203</v>
      </c>
      <c r="C9">
        <v>5</v>
      </c>
      <c r="D9">
        <v>3</v>
      </c>
      <c r="E9">
        <v>3</v>
      </c>
      <c r="F9">
        <v>6</v>
      </c>
      <c r="G9">
        <v>3</v>
      </c>
      <c r="H9">
        <v>4</v>
      </c>
      <c r="I9">
        <v>4.24E-2</v>
      </c>
      <c r="J9">
        <f t="shared" si="0"/>
        <v>0.70754716981132071</v>
      </c>
      <c r="K9">
        <v>2.9999999999999997E-4</v>
      </c>
      <c r="L9" t="s">
        <v>17</v>
      </c>
      <c r="M9">
        <v>295</v>
      </c>
      <c r="N9" t="s">
        <v>201</v>
      </c>
      <c r="O9" t="s">
        <v>516</v>
      </c>
    </row>
    <row r="10" spans="1:15" x14ac:dyDescent="0.2">
      <c r="A10" t="s">
        <v>190</v>
      </c>
      <c r="B10" t="s">
        <v>203</v>
      </c>
      <c r="C10">
        <v>5</v>
      </c>
      <c r="D10">
        <v>2</v>
      </c>
      <c r="E10">
        <v>4</v>
      </c>
      <c r="F10">
        <v>6</v>
      </c>
      <c r="G10">
        <v>2</v>
      </c>
      <c r="H10">
        <v>5</v>
      </c>
      <c r="I10">
        <v>4.3499999999999997E-2</v>
      </c>
      <c r="J10">
        <f t="shared" si="0"/>
        <v>0.68965517241379315</v>
      </c>
      <c r="K10">
        <v>2.9999999999999997E-4</v>
      </c>
      <c r="L10" t="s">
        <v>17</v>
      </c>
      <c r="M10">
        <v>295</v>
      </c>
      <c r="N10" t="s">
        <v>201</v>
      </c>
      <c r="O10" t="s">
        <v>519</v>
      </c>
    </row>
    <row r="11" spans="1:15" x14ac:dyDescent="0.2">
      <c r="A11" t="s">
        <v>190</v>
      </c>
      <c r="B11" t="s">
        <v>203</v>
      </c>
      <c r="C11">
        <v>5</v>
      </c>
      <c r="D11">
        <v>4</v>
      </c>
      <c r="E11">
        <v>2</v>
      </c>
      <c r="F11">
        <v>6</v>
      </c>
      <c r="G11">
        <v>4</v>
      </c>
      <c r="H11">
        <v>3</v>
      </c>
      <c r="I11">
        <v>3.4700000000000002E-2</v>
      </c>
      <c r="J11">
        <f t="shared" si="0"/>
        <v>2.0172910662824206</v>
      </c>
      <c r="K11">
        <v>6.9999999999999999E-4</v>
      </c>
      <c r="L11" t="s">
        <v>17</v>
      </c>
      <c r="M11">
        <v>295</v>
      </c>
      <c r="N11" t="s">
        <v>201</v>
      </c>
      <c r="O11" t="s">
        <v>520</v>
      </c>
    </row>
    <row r="12" spans="1:15" x14ac:dyDescent="0.2">
      <c r="A12" t="s">
        <v>190</v>
      </c>
      <c r="B12" t="s">
        <v>203</v>
      </c>
      <c r="C12">
        <v>5</v>
      </c>
      <c r="D12">
        <v>1</v>
      </c>
      <c r="E12">
        <v>5</v>
      </c>
      <c r="F12">
        <v>6</v>
      </c>
      <c r="G12">
        <v>1</v>
      </c>
      <c r="H12">
        <v>6</v>
      </c>
      <c r="I12">
        <v>4.2000000000000003E-2</v>
      </c>
      <c r="J12">
        <f t="shared" si="0"/>
        <v>0.95238095238095233</v>
      </c>
      <c r="K12">
        <v>4.0000000000000002E-4</v>
      </c>
      <c r="L12" t="s">
        <v>17</v>
      </c>
      <c r="M12">
        <v>295</v>
      </c>
      <c r="N12" t="s">
        <v>201</v>
      </c>
      <c r="O12" t="s">
        <v>521</v>
      </c>
    </row>
    <row r="13" spans="1:15" x14ac:dyDescent="0.2">
      <c r="A13" t="s">
        <v>190</v>
      </c>
      <c r="B13" t="s">
        <v>203</v>
      </c>
      <c r="C13">
        <v>4</v>
      </c>
      <c r="D13">
        <v>1</v>
      </c>
      <c r="E13">
        <v>3</v>
      </c>
      <c r="F13">
        <v>5</v>
      </c>
      <c r="G13">
        <v>1</v>
      </c>
      <c r="H13">
        <v>4</v>
      </c>
      <c r="I13">
        <v>5.21E-2</v>
      </c>
      <c r="J13">
        <f t="shared" si="0"/>
        <v>0.57581573896353155</v>
      </c>
      <c r="K13">
        <v>2.9999999999999997E-4</v>
      </c>
      <c r="L13" t="s">
        <v>17</v>
      </c>
      <c r="M13">
        <v>295</v>
      </c>
      <c r="N13" t="s">
        <v>201</v>
      </c>
      <c r="O13" t="s">
        <v>522</v>
      </c>
    </row>
    <row r="14" spans="1:15" x14ac:dyDescent="0.2">
      <c r="A14" t="s">
        <v>190</v>
      </c>
      <c r="B14" t="s">
        <v>203</v>
      </c>
      <c r="C14">
        <v>4</v>
      </c>
      <c r="D14">
        <v>4</v>
      </c>
      <c r="E14">
        <v>0</v>
      </c>
      <c r="F14">
        <v>5</v>
      </c>
      <c r="G14">
        <v>4</v>
      </c>
      <c r="H14">
        <v>1</v>
      </c>
      <c r="I14">
        <v>3.7600000000000001E-2</v>
      </c>
      <c r="J14">
        <f t="shared" si="0"/>
        <v>0.7978723404255319</v>
      </c>
      <c r="K14">
        <v>2.9999999999999997E-4</v>
      </c>
      <c r="L14" t="s">
        <v>17</v>
      </c>
      <c r="M14">
        <v>295</v>
      </c>
      <c r="N14" t="s">
        <v>201</v>
      </c>
      <c r="O14" t="s">
        <v>523</v>
      </c>
    </row>
    <row r="15" spans="1:15" x14ac:dyDescent="0.2">
      <c r="A15" t="s">
        <v>190</v>
      </c>
      <c r="B15" t="s">
        <v>203</v>
      </c>
      <c r="C15">
        <v>4</v>
      </c>
      <c r="D15">
        <v>4</v>
      </c>
      <c r="E15">
        <v>1</v>
      </c>
      <c r="F15">
        <v>5</v>
      </c>
      <c r="G15">
        <v>4</v>
      </c>
      <c r="H15">
        <v>2</v>
      </c>
      <c r="I15">
        <v>3.8199999999999998E-2</v>
      </c>
      <c r="J15">
        <f t="shared" si="0"/>
        <v>2.0942408376963351</v>
      </c>
      <c r="K15">
        <v>8.0000000000000004E-4</v>
      </c>
      <c r="L15" t="s">
        <v>17</v>
      </c>
      <c r="M15">
        <v>295</v>
      </c>
      <c r="N15" t="s">
        <v>201</v>
      </c>
      <c r="O15" t="s">
        <v>524</v>
      </c>
    </row>
    <row r="16" spans="1:15" x14ac:dyDescent="0.2">
      <c r="A16" t="s">
        <v>190</v>
      </c>
      <c r="B16" t="s">
        <v>203</v>
      </c>
      <c r="C16">
        <v>4</v>
      </c>
      <c r="D16">
        <v>0</v>
      </c>
      <c r="E16">
        <v>4</v>
      </c>
      <c r="F16">
        <v>5</v>
      </c>
      <c r="G16">
        <v>0</v>
      </c>
      <c r="H16">
        <v>5</v>
      </c>
      <c r="I16">
        <v>0.05</v>
      </c>
      <c r="J16">
        <f t="shared" si="0"/>
        <v>0.6</v>
      </c>
      <c r="K16">
        <v>2.9999999999999997E-4</v>
      </c>
      <c r="L16" t="s">
        <v>17</v>
      </c>
      <c r="M16">
        <v>295</v>
      </c>
      <c r="N16" t="s">
        <v>201</v>
      </c>
      <c r="O16" t="s">
        <v>525</v>
      </c>
    </row>
    <row r="17" spans="1:15" x14ac:dyDescent="0.2">
      <c r="A17" t="s">
        <v>190</v>
      </c>
      <c r="B17" t="s">
        <v>203</v>
      </c>
      <c r="C17">
        <v>4</v>
      </c>
      <c r="D17">
        <v>1</v>
      </c>
      <c r="E17">
        <v>4</v>
      </c>
      <c r="F17">
        <v>5</v>
      </c>
      <c r="G17">
        <v>1</v>
      </c>
      <c r="H17">
        <v>5</v>
      </c>
      <c r="I17">
        <v>4.7399999999999998E-2</v>
      </c>
      <c r="J17">
        <f t="shared" si="0"/>
        <v>0.42194092827004226</v>
      </c>
      <c r="K17">
        <v>2.0000000000000001E-4</v>
      </c>
      <c r="L17" t="s">
        <v>17</v>
      </c>
      <c r="M17">
        <v>295</v>
      </c>
      <c r="N17" t="s">
        <v>201</v>
      </c>
      <c r="O17" t="s">
        <v>526</v>
      </c>
    </row>
    <row r="18" spans="1:15" x14ac:dyDescent="0.2">
      <c r="A18" t="s">
        <v>190</v>
      </c>
      <c r="B18" t="s">
        <v>203</v>
      </c>
      <c r="C18">
        <v>3</v>
      </c>
      <c r="D18">
        <v>2</v>
      </c>
      <c r="E18">
        <v>2</v>
      </c>
      <c r="F18">
        <v>4</v>
      </c>
      <c r="G18">
        <v>2</v>
      </c>
      <c r="H18">
        <v>3</v>
      </c>
      <c r="I18">
        <v>5.11E-2</v>
      </c>
      <c r="J18">
        <f t="shared" si="0"/>
        <v>0.58708414872798431</v>
      </c>
      <c r="K18">
        <v>2.9999999999999997E-4</v>
      </c>
      <c r="L18" t="s">
        <v>17</v>
      </c>
      <c r="M18">
        <v>295</v>
      </c>
      <c r="N18" t="s">
        <v>201</v>
      </c>
      <c r="O18" t="s">
        <v>527</v>
      </c>
    </row>
    <row r="19" spans="1:15" x14ac:dyDescent="0.2">
      <c r="A19" t="s">
        <v>190</v>
      </c>
      <c r="B19" t="s">
        <v>203</v>
      </c>
      <c r="C19">
        <v>3</v>
      </c>
      <c r="D19">
        <v>3</v>
      </c>
      <c r="E19">
        <v>0</v>
      </c>
      <c r="F19">
        <v>4</v>
      </c>
      <c r="G19">
        <v>3</v>
      </c>
      <c r="H19">
        <v>1</v>
      </c>
      <c r="I19">
        <v>4.5100000000000001E-2</v>
      </c>
      <c r="J19">
        <f t="shared" si="0"/>
        <v>0.44345898004434592</v>
      </c>
      <c r="K19">
        <v>2.0000000000000001E-4</v>
      </c>
      <c r="L19" t="s">
        <v>17</v>
      </c>
      <c r="M19">
        <v>295</v>
      </c>
      <c r="N19" t="s">
        <v>201</v>
      </c>
      <c r="O19" t="s">
        <v>528</v>
      </c>
    </row>
    <row r="20" spans="1:15" x14ac:dyDescent="0.2">
      <c r="A20" t="s">
        <v>190</v>
      </c>
      <c r="B20" t="s">
        <v>203</v>
      </c>
      <c r="C20">
        <v>3</v>
      </c>
      <c r="D20">
        <v>3</v>
      </c>
      <c r="E20">
        <v>1</v>
      </c>
      <c r="F20">
        <v>4</v>
      </c>
      <c r="G20">
        <v>3</v>
      </c>
      <c r="H20">
        <v>2</v>
      </c>
      <c r="I20">
        <v>4.53E-2</v>
      </c>
      <c r="J20">
        <f t="shared" si="0"/>
        <v>0.66225165562913901</v>
      </c>
      <c r="K20">
        <v>2.9999999999999997E-4</v>
      </c>
      <c r="L20" t="s">
        <v>17</v>
      </c>
      <c r="M20">
        <v>295</v>
      </c>
      <c r="N20" t="s">
        <v>201</v>
      </c>
      <c r="O20" t="s">
        <v>529</v>
      </c>
    </row>
    <row r="21" spans="1:15" x14ac:dyDescent="0.2">
      <c r="A21" t="s">
        <v>190</v>
      </c>
      <c r="B21" t="s">
        <v>203</v>
      </c>
      <c r="C21">
        <v>3</v>
      </c>
      <c r="D21">
        <v>0</v>
      </c>
      <c r="E21">
        <v>3</v>
      </c>
      <c r="F21">
        <v>4</v>
      </c>
      <c r="G21">
        <v>0</v>
      </c>
      <c r="H21">
        <v>4</v>
      </c>
      <c r="I21">
        <v>5.45E-2</v>
      </c>
      <c r="J21">
        <f t="shared" si="0"/>
        <v>0.73394495412844041</v>
      </c>
      <c r="K21">
        <v>4.0000000000000002E-4</v>
      </c>
      <c r="L21" t="s">
        <v>17</v>
      </c>
      <c r="M21">
        <v>295</v>
      </c>
      <c r="N21" t="s">
        <v>201</v>
      </c>
      <c r="O21" t="s">
        <v>530</v>
      </c>
    </row>
    <row r="22" spans="1:15" x14ac:dyDescent="0.2">
      <c r="A22" t="s">
        <v>190</v>
      </c>
      <c r="B22" t="s">
        <v>203</v>
      </c>
      <c r="C22">
        <v>2</v>
      </c>
      <c r="D22">
        <v>2</v>
      </c>
      <c r="E22">
        <v>1</v>
      </c>
      <c r="F22">
        <v>3</v>
      </c>
      <c r="G22">
        <v>1</v>
      </c>
      <c r="H22">
        <v>2</v>
      </c>
      <c r="I22">
        <v>5.7700000000000001E-2</v>
      </c>
      <c r="J22">
        <f t="shared" si="0"/>
        <v>0.69324090121317161</v>
      </c>
      <c r="K22">
        <v>4.0000000000000002E-4</v>
      </c>
      <c r="L22" t="s">
        <v>17</v>
      </c>
      <c r="M22">
        <v>295</v>
      </c>
      <c r="N22" t="s">
        <v>201</v>
      </c>
      <c r="O22" t="s">
        <v>531</v>
      </c>
    </row>
    <row r="23" spans="1:15" x14ac:dyDescent="0.2">
      <c r="A23" t="s">
        <v>190</v>
      </c>
      <c r="B23" t="s">
        <v>203</v>
      </c>
      <c r="C23">
        <v>2</v>
      </c>
      <c r="D23">
        <v>1</v>
      </c>
      <c r="E23">
        <v>1</v>
      </c>
      <c r="F23">
        <v>3</v>
      </c>
      <c r="G23">
        <v>1</v>
      </c>
      <c r="H23">
        <v>2</v>
      </c>
      <c r="I23">
        <v>5.6000000000000001E-2</v>
      </c>
      <c r="J23">
        <f t="shared" si="0"/>
        <v>0.7142857142857143</v>
      </c>
      <c r="K23">
        <v>4.0000000000000002E-4</v>
      </c>
      <c r="L23" t="s">
        <v>17</v>
      </c>
      <c r="M23">
        <v>295</v>
      </c>
      <c r="N23" t="s">
        <v>201</v>
      </c>
      <c r="O23" t="s">
        <v>532</v>
      </c>
    </row>
    <row r="24" spans="1:15" x14ac:dyDescent="0.2">
      <c r="A24" t="s">
        <v>190</v>
      </c>
      <c r="B24" t="s">
        <v>203</v>
      </c>
      <c r="C24">
        <v>2</v>
      </c>
      <c r="D24">
        <v>2</v>
      </c>
      <c r="E24">
        <v>0</v>
      </c>
      <c r="F24">
        <v>3</v>
      </c>
      <c r="G24">
        <v>2</v>
      </c>
      <c r="H24">
        <v>1</v>
      </c>
      <c r="I24">
        <v>5.4199999999999998E-2</v>
      </c>
      <c r="J24">
        <f t="shared" si="0"/>
        <v>0.55350553505535049</v>
      </c>
      <c r="K24">
        <v>2.9999999999999997E-4</v>
      </c>
      <c r="L24" t="s">
        <v>17</v>
      </c>
      <c r="M24">
        <v>295</v>
      </c>
      <c r="N24" t="s">
        <v>201</v>
      </c>
      <c r="O24" t="s">
        <v>533</v>
      </c>
    </row>
    <row r="25" spans="1:15" x14ac:dyDescent="0.2">
      <c r="A25" t="s">
        <v>190</v>
      </c>
      <c r="B25" t="s">
        <v>203</v>
      </c>
      <c r="C25">
        <v>2</v>
      </c>
      <c r="D25">
        <v>2</v>
      </c>
      <c r="E25">
        <v>1</v>
      </c>
      <c r="F25">
        <v>3</v>
      </c>
      <c r="G25">
        <v>2</v>
      </c>
      <c r="H25">
        <v>2</v>
      </c>
      <c r="I25">
        <v>5.7700000000000001E-2</v>
      </c>
      <c r="J25">
        <f t="shared" si="0"/>
        <v>1.2131715771230502</v>
      </c>
      <c r="K25">
        <v>6.9999999999999999E-4</v>
      </c>
      <c r="L25" t="s">
        <v>17</v>
      </c>
      <c r="M25">
        <v>295</v>
      </c>
      <c r="N25" t="s">
        <v>201</v>
      </c>
      <c r="O25" t="s">
        <v>534</v>
      </c>
    </row>
    <row r="26" spans="1:15" x14ac:dyDescent="0.2">
      <c r="A26" t="s">
        <v>190</v>
      </c>
      <c r="B26" t="s">
        <v>203</v>
      </c>
      <c r="C26">
        <v>2</v>
      </c>
      <c r="D26">
        <v>0</v>
      </c>
      <c r="E26">
        <v>2</v>
      </c>
      <c r="F26">
        <v>3</v>
      </c>
      <c r="G26">
        <v>0</v>
      </c>
      <c r="H26">
        <v>3</v>
      </c>
      <c r="I26">
        <v>5.7200000000000001E-2</v>
      </c>
      <c r="J26">
        <f t="shared" si="0"/>
        <v>0.69930069930069927</v>
      </c>
      <c r="K26">
        <v>4.0000000000000002E-4</v>
      </c>
      <c r="L26" t="s">
        <v>17</v>
      </c>
      <c r="M26">
        <v>295</v>
      </c>
      <c r="N26" t="s">
        <v>201</v>
      </c>
      <c r="O26" t="s">
        <v>535</v>
      </c>
    </row>
    <row r="27" spans="1:15" x14ac:dyDescent="0.2">
      <c r="A27" t="s">
        <v>190</v>
      </c>
      <c r="B27" t="s">
        <v>203</v>
      </c>
      <c r="C27">
        <v>2</v>
      </c>
      <c r="D27">
        <v>1</v>
      </c>
      <c r="E27">
        <v>2</v>
      </c>
      <c r="F27">
        <v>3</v>
      </c>
      <c r="G27">
        <v>1</v>
      </c>
      <c r="H27">
        <v>3</v>
      </c>
      <c r="I27">
        <v>5.7000000000000002E-2</v>
      </c>
      <c r="J27">
        <f t="shared" si="0"/>
        <v>0.52631578947368407</v>
      </c>
      <c r="K27">
        <v>2.9999999999999997E-4</v>
      </c>
      <c r="L27" t="s">
        <v>17</v>
      </c>
      <c r="M27">
        <v>295</v>
      </c>
      <c r="N27" t="s">
        <v>201</v>
      </c>
      <c r="O27" t="s">
        <v>527</v>
      </c>
    </row>
    <row r="28" spans="1:15" x14ac:dyDescent="0.2">
      <c r="A28" t="s">
        <v>190</v>
      </c>
      <c r="B28" t="s">
        <v>203</v>
      </c>
      <c r="C28">
        <v>1</v>
      </c>
      <c r="D28">
        <v>1</v>
      </c>
      <c r="E28">
        <v>0</v>
      </c>
      <c r="F28">
        <v>2</v>
      </c>
      <c r="G28">
        <v>1</v>
      </c>
      <c r="H28">
        <v>1</v>
      </c>
      <c r="I28">
        <v>0.06</v>
      </c>
      <c r="J28">
        <f t="shared" si="0"/>
        <v>0.5</v>
      </c>
      <c r="K28">
        <v>2.9999999999999997E-4</v>
      </c>
      <c r="L28" t="s">
        <v>17</v>
      </c>
      <c r="M28">
        <v>295</v>
      </c>
      <c r="N28" t="s">
        <v>201</v>
      </c>
      <c r="O28" t="s">
        <v>523</v>
      </c>
    </row>
    <row r="29" spans="1:15" x14ac:dyDescent="0.2">
      <c r="A29" t="s">
        <v>190</v>
      </c>
      <c r="B29" t="s">
        <v>203</v>
      </c>
      <c r="C29">
        <v>1</v>
      </c>
      <c r="D29">
        <v>0</v>
      </c>
      <c r="E29">
        <v>1</v>
      </c>
      <c r="F29">
        <v>2</v>
      </c>
      <c r="G29">
        <v>0</v>
      </c>
      <c r="H29">
        <v>2</v>
      </c>
      <c r="I29">
        <v>6.2899999999999998E-2</v>
      </c>
      <c r="J29">
        <f t="shared" si="0"/>
        <v>0.47694753577106513</v>
      </c>
      <c r="K29">
        <v>2.9999999999999997E-4</v>
      </c>
      <c r="L29" t="s">
        <v>17</v>
      </c>
      <c r="M29">
        <v>295</v>
      </c>
      <c r="N29" t="s">
        <v>201</v>
      </c>
      <c r="O29" t="s">
        <v>536</v>
      </c>
    </row>
    <row r="30" spans="1:15" x14ac:dyDescent="0.2">
      <c r="A30" t="s">
        <v>190</v>
      </c>
      <c r="B30" t="s">
        <v>203</v>
      </c>
      <c r="C30">
        <v>1</v>
      </c>
      <c r="D30">
        <v>1</v>
      </c>
      <c r="E30">
        <v>1</v>
      </c>
      <c r="F30">
        <v>2</v>
      </c>
      <c r="G30">
        <v>1</v>
      </c>
      <c r="H30">
        <v>2</v>
      </c>
      <c r="I30">
        <v>6.2799999999999995E-2</v>
      </c>
      <c r="J30">
        <f t="shared" si="0"/>
        <v>0.63694267515923575</v>
      </c>
      <c r="K30">
        <v>4.0000000000000002E-4</v>
      </c>
      <c r="L30" t="s">
        <v>17</v>
      </c>
      <c r="M30">
        <v>295</v>
      </c>
      <c r="N30" t="s">
        <v>201</v>
      </c>
      <c r="O30" t="s">
        <v>537</v>
      </c>
    </row>
    <row r="31" spans="1:15" x14ac:dyDescent="0.2">
      <c r="A31" t="s">
        <v>190</v>
      </c>
      <c r="B31" t="s">
        <v>203</v>
      </c>
      <c r="C31">
        <v>5</v>
      </c>
      <c r="D31">
        <v>2</v>
      </c>
      <c r="E31">
        <v>4</v>
      </c>
      <c r="F31">
        <v>5</v>
      </c>
      <c r="G31">
        <v>2</v>
      </c>
      <c r="H31">
        <v>3</v>
      </c>
      <c r="I31">
        <v>5.0099999999999999E-2</v>
      </c>
      <c r="J31">
        <f t="shared" si="0"/>
        <v>0.99800399201596801</v>
      </c>
      <c r="K31">
        <v>5.0000000000000001E-4</v>
      </c>
      <c r="L31" t="s">
        <v>17</v>
      </c>
      <c r="M31">
        <v>295</v>
      </c>
      <c r="N31" t="s">
        <v>201</v>
      </c>
      <c r="O31" t="s">
        <v>538</v>
      </c>
    </row>
    <row r="32" spans="1:15" x14ac:dyDescent="0.2">
      <c r="A32" t="s">
        <v>190</v>
      </c>
      <c r="B32" t="s">
        <v>203</v>
      </c>
      <c r="C32">
        <v>3</v>
      </c>
      <c r="D32">
        <v>1</v>
      </c>
      <c r="E32">
        <v>3</v>
      </c>
      <c r="F32">
        <v>3</v>
      </c>
      <c r="G32">
        <v>1</v>
      </c>
      <c r="H32">
        <v>2</v>
      </c>
      <c r="I32">
        <v>5.9700000000000003E-2</v>
      </c>
      <c r="J32">
        <f t="shared" si="0"/>
        <v>0.50251256281407031</v>
      </c>
      <c r="K32">
        <v>2.9999999999999997E-4</v>
      </c>
      <c r="L32" t="s">
        <v>17</v>
      </c>
      <c r="M32">
        <v>295</v>
      </c>
      <c r="N32" t="s">
        <v>201</v>
      </c>
      <c r="O32" t="s">
        <v>536</v>
      </c>
    </row>
    <row r="33" spans="1:15" x14ac:dyDescent="0.2">
      <c r="A33" t="s">
        <v>190</v>
      </c>
      <c r="B33" t="s">
        <v>203</v>
      </c>
      <c r="C33">
        <v>0</v>
      </c>
      <c r="D33">
        <v>0</v>
      </c>
      <c r="E33">
        <v>0</v>
      </c>
      <c r="F33">
        <v>1</v>
      </c>
      <c r="G33">
        <v>0</v>
      </c>
      <c r="H33">
        <v>1</v>
      </c>
      <c r="I33">
        <v>6.3299999999999995E-2</v>
      </c>
      <c r="J33">
        <f t="shared" si="0"/>
        <v>0.94786729857819907</v>
      </c>
      <c r="K33">
        <v>5.9999999999999995E-4</v>
      </c>
      <c r="L33" t="s">
        <v>17</v>
      </c>
      <c r="M33">
        <v>295</v>
      </c>
      <c r="N33" t="s">
        <v>201</v>
      </c>
      <c r="O33" t="s">
        <v>539</v>
      </c>
    </row>
    <row r="34" spans="1:15" x14ac:dyDescent="0.2">
      <c r="A34" t="s">
        <v>190</v>
      </c>
      <c r="B34" t="s">
        <v>203</v>
      </c>
      <c r="C34">
        <v>4</v>
      </c>
      <c r="D34">
        <v>2</v>
      </c>
      <c r="E34">
        <v>3</v>
      </c>
      <c r="F34">
        <v>4</v>
      </c>
      <c r="G34">
        <v>2</v>
      </c>
      <c r="H34">
        <v>2</v>
      </c>
      <c r="I34">
        <v>5.2900000000000003E-2</v>
      </c>
      <c r="J34">
        <f t="shared" si="0"/>
        <v>0.56710775047258977</v>
      </c>
      <c r="K34">
        <v>2.9999999999999997E-4</v>
      </c>
      <c r="L34" t="s">
        <v>17</v>
      </c>
      <c r="M34">
        <v>295</v>
      </c>
      <c r="N34" t="s">
        <v>201</v>
      </c>
      <c r="O34" t="s">
        <v>523</v>
      </c>
    </row>
    <row r="35" spans="1:15" x14ac:dyDescent="0.2">
      <c r="A35" t="s">
        <v>190</v>
      </c>
      <c r="B35" t="s">
        <v>203</v>
      </c>
      <c r="C35">
        <v>2</v>
      </c>
      <c r="D35">
        <v>1</v>
      </c>
      <c r="E35">
        <v>2</v>
      </c>
      <c r="F35">
        <v>2</v>
      </c>
      <c r="G35">
        <v>1</v>
      </c>
      <c r="H35">
        <v>1</v>
      </c>
      <c r="I35">
        <v>6.4500000000000002E-2</v>
      </c>
      <c r="J35">
        <f t="shared" si="0"/>
        <v>0.77519379844961245</v>
      </c>
      <c r="K35">
        <v>5.0000000000000001E-4</v>
      </c>
      <c r="L35" t="s">
        <v>17</v>
      </c>
      <c r="M35">
        <v>295</v>
      </c>
      <c r="N35" t="s">
        <v>201</v>
      </c>
      <c r="O35" t="s">
        <v>540</v>
      </c>
    </row>
    <row r="36" spans="1:15" x14ac:dyDescent="0.2">
      <c r="A36" t="s">
        <v>190</v>
      </c>
      <c r="B36" t="s">
        <v>203</v>
      </c>
      <c r="C36">
        <v>3</v>
      </c>
      <c r="D36">
        <v>2</v>
      </c>
      <c r="E36">
        <v>2</v>
      </c>
      <c r="F36">
        <v>3</v>
      </c>
      <c r="G36">
        <v>2</v>
      </c>
      <c r="H36">
        <v>1</v>
      </c>
      <c r="I36">
        <v>5.3600000000000002E-2</v>
      </c>
      <c r="J36">
        <f t="shared" si="0"/>
        <v>1.3059701492537312</v>
      </c>
      <c r="K36">
        <v>6.9999999999999999E-4</v>
      </c>
      <c r="L36" t="s">
        <v>17</v>
      </c>
      <c r="M36">
        <v>295</v>
      </c>
      <c r="N36" t="s">
        <v>201</v>
      </c>
      <c r="O36" t="s">
        <v>541</v>
      </c>
    </row>
    <row r="37" spans="1:15" x14ac:dyDescent="0.2">
      <c r="A37" t="s">
        <v>190</v>
      </c>
      <c r="B37" t="s">
        <v>203</v>
      </c>
      <c r="C37">
        <v>2</v>
      </c>
      <c r="D37">
        <v>2</v>
      </c>
      <c r="E37">
        <v>1</v>
      </c>
      <c r="F37">
        <v>2</v>
      </c>
      <c r="G37">
        <v>2</v>
      </c>
      <c r="H37">
        <v>0</v>
      </c>
      <c r="I37">
        <v>5.3600000000000002E-2</v>
      </c>
      <c r="J37">
        <f t="shared" si="0"/>
        <v>1.4925373134328357</v>
      </c>
      <c r="K37">
        <v>8.0000000000000004E-4</v>
      </c>
      <c r="L37" t="s">
        <v>17</v>
      </c>
      <c r="M37">
        <v>295</v>
      </c>
      <c r="N37" t="s">
        <v>201</v>
      </c>
      <c r="O37" t="s">
        <v>542</v>
      </c>
    </row>
    <row r="38" spans="1:15" x14ac:dyDescent="0.2">
      <c r="A38" t="s">
        <v>190</v>
      </c>
      <c r="B38" t="s">
        <v>203</v>
      </c>
      <c r="C38">
        <v>2</v>
      </c>
      <c r="D38">
        <v>2</v>
      </c>
      <c r="E38">
        <v>0</v>
      </c>
      <c r="F38">
        <v>2</v>
      </c>
      <c r="G38">
        <v>2</v>
      </c>
      <c r="H38">
        <v>1</v>
      </c>
      <c r="I38">
        <v>5.3600000000000002E-2</v>
      </c>
      <c r="J38">
        <f t="shared" si="0"/>
        <v>1.1194029850746268</v>
      </c>
      <c r="K38">
        <v>5.9999999999999995E-4</v>
      </c>
      <c r="L38" t="s">
        <v>17</v>
      </c>
      <c r="M38">
        <v>295</v>
      </c>
      <c r="N38" t="s">
        <v>201</v>
      </c>
      <c r="O38" t="s">
        <v>543</v>
      </c>
    </row>
    <row r="39" spans="1:15" x14ac:dyDescent="0.2">
      <c r="A39" t="s">
        <v>190</v>
      </c>
      <c r="B39" t="s">
        <v>203</v>
      </c>
      <c r="C39">
        <v>4</v>
      </c>
      <c r="D39">
        <v>3</v>
      </c>
      <c r="E39">
        <v>1</v>
      </c>
      <c r="F39">
        <v>4</v>
      </c>
      <c r="G39">
        <v>3</v>
      </c>
      <c r="H39">
        <v>2</v>
      </c>
      <c r="I39">
        <v>4.3200000000000002E-2</v>
      </c>
      <c r="J39">
        <f t="shared" si="0"/>
        <v>1.1574074074074074</v>
      </c>
      <c r="K39">
        <v>5.0000000000000001E-4</v>
      </c>
      <c r="L39" t="s">
        <v>17</v>
      </c>
      <c r="M39">
        <v>295</v>
      </c>
      <c r="N39" t="s">
        <v>201</v>
      </c>
      <c r="O39" t="s">
        <v>544</v>
      </c>
    </row>
    <row r="40" spans="1:15" x14ac:dyDescent="0.2">
      <c r="A40" t="s">
        <v>190</v>
      </c>
      <c r="B40" t="s">
        <v>203</v>
      </c>
      <c r="C40">
        <v>3</v>
      </c>
      <c r="D40">
        <v>2</v>
      </c>
      <c r="E40">
        <v>1</v>
      </c>
      <c r="F40">
        <v>3</v>
      </c>
      <c r="G40">
        <v>2</v>
      </c>
      <c r="H40">
        <v>2</v>
      </c>
      <c r="I40">
        <v>5.1400000000000001E-2</v>
      </c>
      <c r="J40">
        <f t="shared" si="0"/>
        <v>0.58365758754863806</v>
      </c>
      <c r="K40">
        <v>2.9999999999999997E-4</v>
      </c>
      <c r="L40" t="s">
        <v>17</v>
      </c>
      <c r="M40">
        <v>295</v>
      </c>
      <c r="N40" t="s">
        <v>201</v>
      </c>
      <c r="O40" t="s">
        <v>545</v>
      </c>
    </row>
    <row r="41" spans="1:15" x14ac:dyDescent="0.2">
      <c r="A41" t="s">
        <v>190</v>
      </c>
      <c r="B41" t="s">
        <v>203</v>
      </c>
      <c r="C41">
        <v>5</v>
      </c>
      <c r="D41">
        <v>4</v>
      </c>
      <c r="E41">
        <v>2</v>
      </c>
      <c r="F41">
        <v>5</v>
      </c>
      <c r="G41">
        <v>4</v>
      </c>
      <c r="H41">
        <v>1</v>
      </c>
      <c r="I41">
        <v>3.56E-2</v>
      </c>
      <c r="J41">
        <f t="shared" si="0"/>
        <v>1.1235955056179776</v>
      </c>
      <c r="K41">
        <v>4.0000000000000002E-4</v>
      </c>
      <c r="L41" t="s">
        <v>17</v>
      </c>
      <c r="M41">
        <v>295</v>
      </c>
      <c r="N41" t="s">
        <v>201</v>
      </c>
      <c r="O41" t="s">
        <v>535</v>
      </c>
    </row>
    <row r="42" spans="1:15" x14ac:dyDescent="0.2">
      <c r="A42" t="s">
        <v>190</v>
      </c>
      <c r="B42" t="s">
        <v>203</v>
      </c>
      <c r="C42">
        <v>5</v>
      </c>
      <c r="D42">
        <v>4</v>
      </c>
      <c r="E42">
        <v>1</v>
      </c>
      <c r="F42">
        <v>5</v>
      </c>
      <c r="G42">
        <v>4</v>
      </c>
      <c r="H42">
        <v>2</v>
      </c>
      <c r="I42">
        <v>3.5200000000000002E-2</v>
      </c>
      <c r="J42">
        <f t="shared" si="0"/>
        <v>1.4204545454545454</v>
      </c>
      <c r="K42">
        <v>5.0000000000000001E-4</v>
      </c>
      <c r="L42" t="s">
        <v>17</v>
      </c>
      <c r="M42">
        <v>295</v>
      </c>
      <c r="N42" t="s">
        <v>201</v>
      </c>
      <c r="O42" t="s">
        <v>546</v>
      </c>
    </row>
    <row r="43" spans="1:15" x14ac:dyDescent="0.2">
      <c r="A43" t="s">
        <v>190</v>
      </c>
      <c r="B43" t="s">
        <v>203</v>
      </c>
      <c r="C43">
        <v>2</v>
      </c>
      <c r="D43">
        <v>2</v>
      </c>
      <c r="E43">
        <v>1</v>
      </c>
      <c r="F43">
        <v>2</v>
      </c>
      <c r="G43">
        <v>1</v>
      </c>
      <c r="H43">
        <v>2</v>
      </c>
      <c r="I43">
        <v>6.1400000000000003E-2</v>
      </c>
      <c r="J43">
        <f t="shared" si="0"/>
        <v>0.48859934853420189</v>
      </c>
      <c r="K43">
        <v>2.9999999999999997E-4</v>
      </c>
      <c r="L43" t="s">
        <v>17</v>
      </c>
      <c r="M43">
        <v>295</v>
      </c>
      <c r="N43" t="s">
        <v>201</v>
      </c>
      <c r="O43" t="s">
        <v>547</v>
      </c>
    </row>
    <row r="44" spans="1:15" x14ac:dyDescent="0.2">
      <c r="A44" t="s">
        <v>190</v>
      </c>
      <c r="B44" t="s">
        <v>203</v>
      </c>
      <c r="C44">
        <v>4</v>
      </c>
      <c r="D44">
        <v>2</v>
      </c>
      <c r="E44">
        <v>2</v>
      </c>
      <c r="F44">
        <v>4</v>
      </c>
      <c r="G44">
        <v>2</v>
      </c>
      <c r="H44">
        <v>3</v>
      </c>
      <c r="I44">
        <v>5.11E-2</v>
      </c>
      <c r="J44">
        <f t="shared" si="0"/>
        <v>0.58708414872798431</v>
      </c>
      <c r="K44">
        <v>2.9999999999999997E-4</v>
      </c>
      <c r="L44" t="s">
        <v>17</v>
      </c>
      <c r="M44">
        <v>295</v>
      </c>
      <c r="N44" t="s">
        <v>201</v>
      </c>
      <c r="O44" t="s">
        <v>516</v>
      </c>
    </row>
    <row r="45" spans="1:15" x14ac:dyDescent="0.2">
      <c r="A45" t="s">
        <v>190</v>
      </c>
      <c r="B45" t="s">
        <v>203</v>
      </c>
      <c r="C45">
        <v>5</v>
      </c>
      <c r="D45">
        <v>5</v>
      </c>
      <c r="E45">
        <v>1</v>
      </c>
      <c r="F45">
        <v>5</v>
      </c>
      <c r="G45">
        <v>5</v>
      </c>
      <c r="H45">
        <v>0</v>
      </c>
      <c r="I45">
        <v>2.9100000000000001E-2</v>
      </c>
      <c r="J45">
        <f t="shared" si="0"/>
        <v>1.7182130584192441</v>
      </c>
      <c r="K45">
        <v>5.0000000000000001E-4</v>
      </c>
      <c r="L45" t="s">
        <v>17</v>
      </c>
      <c r="M45">
        <v>295</v>
      </c>
      <c r="N45" t="s">
        <v>201</v>
      </c>
      <c r="O45" t="s">
        <v>548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5123-EBD9-5C49-855B-C315DBFE7FF3}">
  <dimension ref="A1:O5"/>
  <sheetViews>
    <sheetView workbookViewId="0">
      <selection activeCell="L36" sqref="L3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3</v>
      </c>
      <c r="D2">
        <v>1</v>
      </c>
      <c r="E2">
        <v>2</v>
      </c>
      <c r="F2">
        <v>4</v>
      </c>
      <c r="G2">
        <v>1</v>
      </c>
      <c r="H2">
        <v>3</v>
      </c>
      <c r="I2">
        <v>1.9279999999999999E-2</v>
      </c>
      <c r="J2">
        <v>2.2799999999999998</v>
      </c>
      <c r="K2">
        <v>4.4000000000000002E-4</v>
      </c>
      <c r="L2" t="s">
        <v>17</v>
      </c>
      <c r="M2">
        <v>295</v>
      </c>
      <c r="N2" t="s">
        <v>201</v>
      </c>
      <c r="O2" t="s">
        <v>549</v>
      </c>
    </row>
    <row r="3" spans="1:15" x14ac:dyDescent="0.2">
      <c r="A3" t="s">
        <v>190</v>
      </c>
      <c r="B3" t="s">
        <v>191</v>
      </c>
      <c r="C3">
        <v>3</v>
      </c>
      <c r="D3">
        <v>2</v>
      </c>
      <c r="E3">
        <v>1</v>
      </c>
      <c r="F3">
        <v>4</v>
      </c>
      <c r="G3">
        <v>2</v>
      </c>
      <c r="H3">
        <v>2</v>
      </c>
      <c r="I3">
        <v>1.8489999999999999E-2</v>
      </c>
      <c r="J3">
        <v>1.62</v>
      </c>
      <c r="K3">
        <v>2.9999999999999997E-4</v>
      </c>
      <c r="L3" t="s">
        <v>17</v>
      </c>
      <c r="M3">
        <v>295</v>
      </c>
      <c r="N3" t="s">
        <v>201</v>
      </c>
      <c r="O3" t="s">
        <v>550</v>
      </c>
    </row>
    <row r="4" spans="1:15" x14ac:dyDescent="0.2">
      <c r="A4" t="s">
        <v>190</v>
      </c>
      <c r="B4" t="s">
        <v>191</v>
      </c>
      <c r="C4">
        <v>4</v>
      </c>
      <c r="D4">
        <v>3</v>
      </c>
      <c r="E4">
        <v>1</v>
      </c>
      <c r="F4">
        <v>3</v>
      </c>
      <c r="G4">
        <v>3</v>
      </c>
      <c r="H4">
        <v>0</v>
      </c>
      <c r="I4">
        <v>1.72E-2</v>
      </c>
      <c r="J4">
        <v>2.91</v>
      </c>
      <c r="K4">
        <v>5.0000000000000001E-4</v>
      </c>
      <c r="L4" t="s">
        <v>17</v>
      </c>
      <c r="M4">
        <v>295</v>
      </c>
      <c r="N4" t="s">
        <v>201</v>
      </c>
      <c r="O4" t="s">
        <v>551</v>
      </c>
    </row>
    <row r="5" spans="1:15" x14ac:dyDescent="0.2">
      <c r="A5" t="s">
        <v>190</v>
      </c>
      <c r="B5" t="s">
        <v>191</v>
      </c>
      <c r="C5">
        <v>4</v>
      </c>
      <c r="D5">
        <v>2</v>
      </c>
      <c r="E5">
        <v>2</v>
      </c>
      <c r="F5">
        <v>3</v>
      </c>
      <c r="G5">
        <v>2</v>
      </c>
      <c r="H5">
        <v>1</v>
      </c>
      <c r="I5">
        <v>1.848E-2</v>
      </c>
      <c r="J5">
        <v>2.38</v>
      </c>
      <c r="K5">
        <v>4.4000000000000002E-4</v>
      </c>
      <c r="L5" t="s">
        <v>17</v>
      </c>
      <c r="M5">
        <v>295</v>
      </c>
      <c r="N5" t="s">
        <v>201</v>
      </c>
      <c r="O5" t="s">
        <v>552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A4C3A-31E9-F540-A4FE-2EC923566F6C}">
  <dimension ref="A1:O216"/>
  <sheetViews>
    <sheetView workbookViewId="0">
      <selection activeCell="I141" sqref="I14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32</v>
      </c>
      <c r="C2">
        <v>6</v>
      </c>
      <c r="D2">
        <v>0</v>
      </c>
      <c r="E2">
        <v>6</v>
      </c>
      <c r="F2">
        <v>7</v>
      </c>
      <c r="G2">
        <v>0</v>
      </c>
      <c r="H2">
        <v>7</v>
      </c>
      <c r="I2">
        <v>8.8999999999999996E-2</v>
      </c>
      <c r="J2">
        <f>K2/I2*100</f>
        <v>3.3707865168539324</v>
      </c>
      <c r="K2">
        <v>3.0000000000000001E-3</v>
      </c>
      <c r="L2" t="s">
        <v>17</v>
      </c>
      <c r="M2" t="s">
        <v>192</v>
      </c>
      <c r="N2" t="s">
        <v>553</v>
      </c>
      <c r="O2" t="s">
        <v>554</v>
      </c>
    </row>
    <row r="3" spans="1:15" x14ac:dyDescent="0.2">
      <c r="A3" t="s">
        <v>190</v>
      </c>
      <c r="B3" t="s">
        <v>32</v>
      </c>
      <c r="C3">
        <v>5</v>
      </c>
      <c r="D3">
        <v>1</v>
      </c>
      <c r="E3">
        <v>5</v>
      </c>
      <c r="F3">
        <v>6</v>
      </c>
      <c r="G3">
        <v>1</v>
      </c>
      <c r="H3">
        <v>6</v>
      </c>
      <c r="I3">
        <v>0.1</v>
      </c>
      <c r="J3">
        <f t="shared" ref="J3:J66" si="0">K3/I3*100</f>
        <v>3</v>
      </c>
      <c r="K3">
        <v>3.0000000000000001E-3</v>
      </c>
      <c r="L3" t="s">
        <v>17</v>
      </c>
      <c r="M3" t="s">
        <v>192</v>
      </c>
      <c r="N3" t="s">
        <v>553</v>
      </c>
      <c r="O3" t="s">
        <v>555</v>
      </c>
    </row>
    <row r="4" spans="1:15" x14ac:dyDescent="0.2">
      <c r="A4" t="s">
        <v>190</v>
      </c>
      <c r="B4" t="s">
        <v>32</v>
      </c>
      <c r="C4">
        <v>5</v>
      </c>
      <c r="D4">
        <v>2</v>
      </c>
      <c r="E4">
        <v>4</v>
      </c>
      <c r="F4">
        <v>6</v>
      </c>
      <c r="G4">
        <v>2</v>
      </c>
      <c r="H4">
        <v>5</v>
      </c>
      <c r="I4">
        <v>0.104</v>
      </c>
      <c r="J4">
        <f t="shared" si="0"/>
        <v>2.8846153846153846</v>
      </c>
      <c r="K4">
        <v>3.0000000000000001E-3</v>
      </c>
      <c r="L4" t="s">
        <v>17</v>
      </c>
      <c r="M4" t="s">
        <v>192</v>
      </c>
      <c r="N4" t="s">
        <v>553</v>
      </c>
      <c r="O4" t="s">
        <v>556</v>
      </c>
    </row>
    <row r="5" spans="1:15" x14ac:dyDescent="0.2">
      <c r="A5" t="s">
        <v>190</v>
      </c>
      <c r="B5" t="s">
        <v>32</v>
      </c>
      <c r="C5">
        <v>4</v>
      </c>
      <c r="D5">
        <v>1</v>
      </c>
      <c r="E5">
        <v>3</v>
      </c>
      <c r="F5">
        <v>5</v>
      </c>
      <c r="G5">
        <v>1</v>
      </c>
      <c r="H5">
        <v>4</v>
      </c>
      <c r="I5">
        <v>0.14699999999999999</v>
      </c>
      <c r="J5">
        <f t="shared" si="0"/>
        <v>2.0408163265306123</v>
      </c>
      <c r="K5">
        <v>3.0000000000000001E-3</v>
      </c>
      <c r="L5" t="s">
        <v>17</v>
      </c>
      <c r="M5" t="s">
        <v>192</v>
      </c>
      <c r="N5" t="s">
        <v>553</v>
      </c>
      <c r="O5" t="s">
        <v>557</v>
      </c>
    </row>
    <row r="6" spans="1:15" x14ac:dyDescent="0.2">
      <c r="A6" t="s">
        <v>190</v>
      </c>
      <c r="B6" t="s">
        <v>32</v>
      </c>
      <c r="C6">
        <v>4</v>
      </c>
      <c r="D6">
        <v>0</v>
      </c>
      <c r="E6">
        <v>4</v>
      </c>
      <c r="F6">
        <v>5</v>
      </c>
      <c r="G6">
        <v>0</v>
      </c>
      <c r="H6">
        <v>5</v>
      </c>
      <c r="I6">
        <v>0.11600000000000001</v>
      </c>
      <c r="J6">
        <f t="shared" si="0"/>
        <v>2.5862068965517242</v>
      </c>
      <c r="K6">
        <v>3.0000000000000001E-3</v>
      </c>
      <c r="L6" t="s">
        <v>17</v>
      </c>
      <c r="M6" t="s">
        <v>192</v>
      </c>
      <c r="N6" t="s">
        <v>553</v>
      </c>
      <c r="O6" t="s">
        <v>558</v>
      </c>
    </row>
    <row r="7" spans="1:15" x14ac:dyDescent="0.2">
      <c r="A7" t="s">
        <v>190</v>
      </c>
      <c r="B7" t="s">
        <v>32</v>
      </c>
      <c r="C7">
        <v>4</v>
      </c>
      <c r="D7">
        <v>1</v>
      </c>
      <c r="E7">
        <v>4</v>
      </c>
      <c r="F7">
        <v>5</v>
      </c>
      <c r="G7">
        <v>1</v>
      </c>
      <c r="H7">
        <v>5</v>
      </c>
      <c r="I7">
        <v>0.115</v>
      </c>
      <c r="J7">
        <f t="shared" si="0"/>
        <v>2.6086956521739131</v>
      </c>
      <c r="K7">
        <v>3.0000000000000001E-3</v>
      </c>
      <c r="L7" t="s">
        <v>17</v>
      </c>
      <c r="M7" t="s">
        <v>192</v>
      </c>
      <c r="N7" t="s">
        <v>553</v>
      </c>
      <c r="O7" t="s">
        <v>559</v>
      </c>
    </row>
    <row r="8" spans="1:15" x14ac:dyDescent="0.2">
      <c r="A8" t="s">
        <v>190</v>
      </c>
      <c r="B8" t="s">
        <v>32</v>
      </c>
      <c r="C8">
        <v>4</v>
      </c>
      <c r="D8">
        <v>3</v>
      </c>
      <c r="E8">
        <v>1</v>
      </c>
      <c r="F8">
        <v>5</v>
      </c>
      <c r="G8">
        <v>3</v>
      </c>
      <c r="H8">
        <v>2</v>
      </c>
      <c r="I8">
        <v>0.13200000000000001</v>
      </c>
      <c r="J8">
        <f t="shared" si="0"/>
        <v>2.2727272727272729</v>
      </c>
      <c r="K8">
        <v>3.0000000000000001E-3</v>
      </c>
      <c r="L8" t="s">
        <v>17</v>
      </c>
      <c r="M8" t="s">
        <v>192</v>
      </c>
      <c r="N8" t="s">
        <v>553</v>
      </c>
      <c r="O8" t="s">
        <v>560</v>
      </c>
    </row>
    <row r="9" spans="1:15" x14ac:dyDescent="0.2">
      <c r="A9" t="s">
        <v>190</v>
      </c>
      <c r="B9" t="s">
        <v>32</v>
      </c>
      <c r="C9">
        <v>3</v>
      </c>
      <c r="D9">
        <v>0</v>
      </c>
      <c r="E9">
        <v>3</v>
      </c>
      <c r="F9">
        <v>4</v>
      </c>
      <c r="G9">
        <v>0</v>
      </c>
      <c r="H9">
        <v>4</v>
      </c>
      <c r="I9">
        <v>0.152</v>
      </c>
      <c r="J9">
        <f t="shared" si="0"/>
        <v>1.9736842105263159</v>
      </c>
      <c r="K9">
        <v>3.0000000000000001E-3</v>
      </c>
      <c r="L9" t="s">
        <v>17</v>
      </c>
      <c r="M9" t="s">
        <v>192</v>
      </c>
      <c r="N9" t="s">
        <v>553</v>
      </c>
      <c r="O9" t="s">
        <v>561</v>
      </c>
    </row>
    <row r="10" spans="1:15" x14ac:dyDescent="0.2">
      <c r="A10" t="s">
        <v>190</v>
      </c>
      <c r="B10" t="s">
        <v>32</v>
      </c>
      <c r="C10">
        <v>3</v>
      </c>
      <c r="D10">
        <v>1</v>
      </c>
      <c r="E10">
        <v>3</v>
      </c>
      <c r="F10">
        <v>4</v>
      </c>
      <c r="G10">
        <v>1</v>
      </c>
      <c r="H10">
        <v>4</v>
      </c>
      <c r="I10">
        <v>0.126</v>
      </c>
      <c r="J10">
        <f t="shared" si="0"/>
        <v>2.3809523809523809</v>
      </c>
      <c r="K10">
        <v>3.0000000000000001E-3</v>
      </c>
      <c r="L10" t="s">
        <v>17</v>
      </c>
      <c r="M10" t="s">
        <v>192</v>
      </c>
      <c r="N10" t="s">
        <v>553</v>
      </c>
      <c r="O10" t="s">
        <v>562</v>
      </c>
    </row>
    <row r="11" spans="1:15" x14ac:dyDescent="0.2">
      <c r="A11" t="s">
        <v>190</v>
      </c>
      <c r="B11" t="s">
        <v>32</v>
      </c>
      <c r="C11">
        <v>3</v>
      </c>
      <c r="D11">
        <v>2</v>
      </c>
      <c r="E11">
        <v>2</v>
      </c>
      <c r="F11">
        <v>4</v>
      </c>
      <c r="G11">
        <v>2</v>
      </c>
      <c r="H11">
        <v>3</v>
      </c>
      <c r="I11">
        <v>0.11600000000000001</v>
      </c>
      <c r="J11">
        <f t="shared" si="0"/>
        <v>2.5862068965517242</v>
      </c>
      <c r="K11">
        <v>3.0000000000000001E-3</v>
      </c>
      <c r="L11" t="s">
        <v>17</v>
      </c>
      <c r="M11" t="s">
        <v>192</v>
      </c>
      <c r="N11" t="s">
        <v>553</v>
      </c>
      <c r="O11" t="s">
        <v>558</v>
      </c>
    </row>
    <row r="12" spans="1:15" x14ac:dyDescent="0.2">
      <c r="A12" t="s">
        <v>190</v>
      </c>
      <c r="B12" t="s">
        <v>32</v>
      </c>
      <c r="C12">
        <v>2</v>
      </c>
      <c r="D12">
        <v>1</v>
      </c>
      <c r="E12">
        <v>1</v>
      </c>
      <c r="F12">
        <v>3</v>
      </c>
      <c r="G12">
        <v>1</v>
      </c>
      <c r="H12">
        <v>2</v>
      </c>
      <c r="I12">
        <v>0.189</v>
      </c>
      <c r="J12">
        <f t="shared" si="0"/>
        <v>1.5873015873015872</v>
      </c>
      <c r="K12">
        <v>3.0000000000000001E-3</v>
      </c>
      <c r="L12" t="s">
        <v>17</v>
      </c>
      <c r="M12" t="s">
        <v>192</v>
      </c>
      <c r="N12" t="s">
        <v>553</v>
      </c>
      <c r="O12" t="s">
        <v>563</v>
      </c>
    </row>
    <row r="13" spans="1:15" x14ac:dyDescent="0.2">
      <c r="A13" t="s">
        <v>190</v>
      </c>
      <c r="B13" t="s">
        <v>32</v>
      </c>
      <c r="C13">
        <v>2</v>
      </c>
      <c r="D13">
        <v>0</v>
      </c>
      <c r="E13">
        <v>2</v>
      </c>
      <c r="F13">
        <v>3</v>
      </c>
      <c r="G13">
        <v>0</v>
      </c>
      <c r="H13">
        <v>3</v>
      </c>
      <c r="I13">
        <v>0.184</v>
      </c>
      <c r="J13">
        <f t="shared" si="0"/>
        <v>1.6304347826086956</v>
      </c>
      <c r="K13">
        <v>3.0000000000000001E-3</v>
      </c>
      <c r="L13" t="s">
        <v>17</v>
      </c>
      <c r="M13" t="s">
        <v>192</v>
      </c>
      <c r="N13" t="s">
        <v>553</v>
      </c>
      <c r="O13" t="s">
        <v>564</v>
      </c>
    </row>
    <row r="14" spans="1:15" x14ac:dyDescent="0.2">
      <c r="A14" t="s">
        <v>190</v>
      </c>
      <c r="B14" t="s">
        <v>32</v>
      </c>
      <c r="C14">
        <v>3</v>
      </c>
      <c r="D14">
        <v>3</v>
      </c>
      <c r="E14">
        <v>1</v>
      </c>
      <c r="F14">
        <v>4</v>
      </c>
      <c r="G14">
        <v>3</v>
      </c>
      <c r="H14">
        <v>2</v>
      </c>
      <c r="I14">
        <v>0.11799999999999999</v>
      </c>
      <c r="J14">
        <f t="shared" si="0"/>
        <v>2.5423728813559325</v>
      </c>
      <c r="K14">
        <v>3.0000000000000001E-3</v>
      </c>
      <c r="L14" t="s">
        <v>17</v>
      </c>
      <c r="M14" t="s">
        <v>192</v>
      </c>
      <c r="N14" t="s">
        <v>553</v>
      </c>
      <c r="O14" t="s">
        <v>565</v>
      </c>
    </row>
    <row r="15" spans="1:15" x14ac:dyDescent="0.2">
      <c r="A15" t="s">
        <v>190</v>
      </c>
      <c r="B15" t="s">
        <v>32</v>
      </c>
      <c r="C15">
        <v>2</v>
      </c>
      <c r="D15">
        <v>1</v>
      </c>
      <c r="E15">
        <v>2</v>
      </c>
      <c r="F15">
        <v>3</v>
      </c>
      <c r="G15">
        <v>1</v>
      </c>
      <c r="H15">
        <v>3</v>
      </c>
      <c r="I15">
        <v>0.155</v>
      </c>
      <c r="J15">
        <f t="shared" si="0"/>
        <v>1.935483870967742</v>
      </c>
      <c r="K15">
        <v>3.0000000000000001E-3</v>
      </c>
      <c r="L15" t="s">
        <v>17</v>
      </c>
      <c r="M15" t="s">
        <v>192</v>
      </c>
      <c r="N15" t="s">
        <v>553</v>
      </c>
      <c r="O15" t="s">
        <v>566</v>
      </c>
    </row>
    <row r="16" spans="1:15" x14ac:dyDescent="0.2">
      <c r="A16" t="s">
        <v>190</v>
      </c>
      <c r="B16" t="s">
        <v>32</v>
      </c>
      <c r="C16">
        <v>2</v>
      </c>
      <c r="D16">
        <v>2</v>
      </c>
      <c r="E16">
        <v>0</v>
      </c>
      <c r="F16">
        <v>3</v>
      </c>
      <c r="G16">
        <v>2</v>
      </c>
      <c r="H16">
        <v>1</v>
      </c>
      <c r="I16">
        <v>0.16400000000000001</v>
      </c>
      <c r="J16">
        <f t="shared" si="0"/>
        <v>1.8292682926829267</v>
      </c>
      <c r="K16">
        <v>3.0000000000000001E-3</v>
      </c>
      <c r="L16" t="s">
        <v>17</v>
      </c>
      <c r="M16" t="s">
        <v>192</v>
      </c>
      <c r="N16" t="s">
        <v>553</v>
      </c>
      <c r="O16" t="s">
        <v>567</v>
      </c>
    </row>
    <row r="17" spans="1:15" x14ac:dyDescent="0.2">
      <c r="A17" t="s">
        <v>190</v>
      </c>
      <c r="B17" t="s">
        <v>32</v>
      </c>
      <c r="C17">
        <v>1</v>
      </c>
      <c r="D17">
        <v>1</v>
      </c>
      <c r="E17">
        <v>1</v>
      </c>
      <c r="F17">
        <v>2</v>
      </c>
      <c r="G17">
        <v>1</v>
      </c>
      <c r="H17">
        <v>2</v>
      </c>
      <c r="I17">
        <v>0.18</v>
      </c>
      <c r="J17">
        <f t="shared" si="0"/>
        <v>1.6666666666666667</v>
      </c>
      <c r="K17">
        <v>3.0000000000000001E-3</v>
      </c>
      <c r="L17" t="s">
        <v>17</v>
      </c>
      <c r="M17" t="s">
        <v>192</v>
      </c>
      <c r="N17" t="s">
        <v>553</v>
      </c>
      <c r="O17" t="s">
        <v>568</v>
      </c>
    </row>
    <row r="18" spans="1:15" x14ac:dyDescent="0.2">
      <c r="A18" t="s">
        <v>190</v>
      </c>
      <c r="B18" t="s">
        <v>32</v>
      </c>
      <c r="C18">
        <v>0</v>
      </c>
      <c r="D18">
        <v>0</v>
      </c>
      <c r="E18">
        <v>0</v>
      </c>
      <c r="F18">
        <v>1</v>
      </c>
      <c r="G18">
        <v>0</v>
      </c>
      <c r="H18">
        <v>1</v>
      </c>
      <c r="I18">
        <v>0.21299999999999999</v>
      </c>
      <c r="J18">
        <f t="shared" si="0"/>
        <v>1.4084507042253522</v>
      </c>
      <c r="K18">
        <v>3.0000000000000001E-3</v>
      </c>
      <c r="L18" t="s">
        <v>17</v>
      </c>
      <c r="M18" t="s">
        <v>192</v>
      </c>
      <c r="N18" t="s">
        <v>553</v>
      </c>
      <c r="O18" t="s">
        <v>569</v>
      </c>
    </row>
    <row r="19" spans="1:15" x14ac:dyDescent="0.2">
      <c r="A19" t="s">
        <v>190</v>
      </c>
      <c r="B19" t="s">
        <v>32</v>
      </c>
      <c r="C19">
        <v>1</v>
      </c>
      <c r="D19">
        <v>1</v>
      </c>
      <c r="E19">
        <v>1</v>
      </c>
      <c r="F19">
        <v>1</v>
      </c>
      <c r="G19">
        <v>1</v>
      </c>
      <c r="H19">
        <v>0</v>
      </c>
      <c r="I19">
        <v>0.20699999999999999</v>
      </c>
      <c r="J19">
        <f t="shared" si="0"/>
        <v>1.4492753623188406</v>
      </c>
      <c r="K19">
        <v>3.0000000000000001E-3</v>
      </c>
      <c r="L19" t="s">
        <v>17</v>
      </c>
      <c r="M19" t="s">
        <v>192</v>
      </c>
      <c r="N19" t="s">
        <v>553</v>
      </c>
      <c r="O19" t="s">
        <v>570</v>
      </c>
    </row>
    <row r="20" spans="1:15" x14ac:dyDescent="0.2">
      <c r="A20" t="s">
        <v>190</v>
      </c>
      <c r="B20" t="s">
        <v>32</v>
      </c>
      <c r="C20">
        <v>3</v>
      </c>
      <c r="D20">
        <v>2</v>
      </c>
      <c r="E20">
        <v>2</v>
      </c>
      <c r="F20">
        <v>3</v>
      </c>
      <c r="G20">
        <v>2</v>
      </c>
      <c r="H20">
        <v>1</v>
      </c>
      <c r="I20">
        <v>0.16400000000000001</v>
      </c>
      <c r="J20">
        <f t="shared" si="0"/>
        <v>1.8292682926829267</v>
      </c>
      <c r="K20">
        <v>3.0000000000000001E-3</v>
      </c>
      <c r="L20" t="s">
        <v>17</v>
      </c>
      <c r="M20" t="s">
        <v>192</v>
      </c>
      <c r="N20" t="s">
        <v>553</v>
      </c>
      <c r="O20" t="s">
        <v>567</v>
      </c>
    </row>
    <row r="21" spans="1:15" x14ac:dyDescent="0.2">
      <c r="A21" t="s">
        <v>190</v>
      </c>
      <c r="B21" t="s">
        <v>32</v>
      </c>
      <c r="C21">
        <v>2</v>
      </c>
      <c r="D21">
        <v>2</v>
      </c>
      <c r="E21">
        <v>1</v>
      </c>
      <c r="F21">
        <v>2</v>
      </c>
      <c r="G21">
        <v>2</v>
      </c>
      <c r="H21">
        <v>0</v>
      </c>
      <c r="I21">
        <v>0.155</v>
      </c>
      <c r="J21">
        <f t="shared" si="0"/>
        <v>1.935483870967742</v>
      </c>
      <c r="K21">
        <v>3.0000000000000001E-3</v>
      </c>
      <c r="L21" t="s">
        <v>17</v>
      </c>
      <c r="M21" t="s">
        <v>192</v>
      </c>
      <c r="N21" t="s">
        <v>553</v>
      </c>
      <c r="O21" t="s">
        <v>566</v>
      </c>
    </row>
    <row r="22" spans="1:15" x14ac:dyDescent="0.2">
      <c r="A22" t="s">
        <v>190</v>
      </c>
      <c r="B22" t="s">
        <v>32</v>
      </c>
      <c r="C22">
        <v>2</v>
      </c>
      <c r="D22">
        <v>2</v>
      </c>
      <c r="E22">
        <v>0</v>
      </c>
      <c r="F22">
        <v>2</v>
      </c>
      <c r="G22">
        <v>2</v>
      </c>
      <c r="H22">
        <v>1</v>
      </c>
      <c r="I22">
        <v>0.14099999999999999</v>
      </c>
      <c r="J22">
        <f t="shared" si="0"/>
        <v>2.1276595744680855</v>
      </c>
      <c r="K22">
        <v>3.0000000000000001E-3</v>
      </c>
      <c r="L22" t="s">
        <v>17</v>
      </c>
      <c r="M22" t="s">
        <v>192</v>
      </c>
      <c r="N22" t="s">
        <v>553</v>
      </c>
      <c r="O22" t="s">
        <v>571</v>
      </c>
    </row>
    <row r="23" spans="1:15" x14ac:dyDescent="0.2">
      <c r="A23" t="s">
        <v>190</v>
      </c>
      <c r="B23" t="s">
        <v>32</v>
      </c>
      <c r="C23">
        <v>2</v>
      </c>
      <c r="D23">
        <v>1</v>
      </c>
      <c r="E23">
        <v>1</v>
      </c>
      <c r="F23">
        <v>2</v>
      </c>
      <c r="G23">
        <v>1</v>
      </c>
      <c r="H23">
        <v>2</v>
      </c>
      <c r="I23">
        <v>0.192</v>
      </c>
      <c r="J23">
        <f t="shared" si="0"/>
        <v>1.5625</v>
      </c>
      <c r="K23">
        <v>3.0000000000000001E-3</v>
      </c>
      <c r="L23" t="s">
        <v>17</v>
      </c>
      <c r="M23" t="s">
        <v>192</v>
      </c>
      <c r="N23" t="s">
        <v>553</v>
      </c>
      <c r="O23" t="s">
        <v>572</v>
      </c>
    </row>
    <row r="24" spans="1:15" x14ac:dyDescent="0.2">
      <c r="A24" t="s">
        <v>190</v>
      </c>
      <c r="B24" t="s">
        <v>32</v>
      </c>
      <c r="C24">
        <v>3</v>
      </c>
      <c r="D24">
        <v>2</v>
      </c>
      <c r="E24">
        <v>1</v>
      </c>
      <c r="F24">
        <v>3</v>
      </c>
      <c r="G24">
        <v>2</v>
      </c>
      <c r="H24">
        <v>2</v>
      </c>
      <c r="I24">
        <v>0.14699999999999999</v>
      </c>
      <c r="J24">
        <f t="shared" si="0"/>
        <v>2.0408163265306123</v>
      </c>
      <c r="K24">
        <v>3.0000000000000001E-3</v>
      </c>
      <c r="L24" t="s">
        <v>17</v>
      </c>
      <c r="M24" t="s">
        <v>192</v>
      </c>
      <c r="N24" t="s">
        <v>553</v>
      </c>
      <c r="O24" t="s">
        <v>557</v>
      </c>
    </row>
    <row r="25" spans="1:15" x14ac:dyDescent="0.2">
      <c r="A25" t="s">
        <v>190</v>
      </c>
      <c r="B25" t="s">
        <v>32</v>
      </c>
      <c r="C25">
        <v>5</v>
      </c>
      <c r="D25">
        <v>3</v>
      </c>
      <c r="E25">
        <v>3</v>
      </c>
      <c r="F25">
        <v>5</v>
      </c>
      <c r="G25">
        <v>3</v>
      </c>
      <c r="H25">
        <v>2</v>
      </c>
      <c r="I25">
        <v>0.13200000000000001</v>
      </c>
      <c r="J25">
        <f t="shared" si="0"/>
        <v>2.2727272727272729</v>
      </c>
      <c r="K25">
        <v>3.0000000000000001E-3</v>
      </c>
      <c r="L25" t="s">
        <v>17</v>
      </c>
      <c r="M25" t="s">
        <v>192</v>
      </c>
      <c r="N25" t="s">
        <v>553</v>
      </c>
      <c r="O25" t="s">
        <v>560</v>
      </c>
    </row>
    <row r="26" spans="1:15" x14ac:dyDescent="0.2">
      <c r="A26" t="s">
        <v>190</v>
      </c>
      <c r="B26" t="s">
        <v>32</v>
      </c>
      <c r="C26">
        <v>4</v>
      </c>
      <c r="D26">
        <v>2</v>
      </c>
      <c r="E26">
        <v>2</v>
      </c>
      <c r="F26">
        <v>4</v>
      </c>
      <c r="G26">
        <v>2</v>
      </c>
      <c r="H26">
        <v>3</v>
      </c>
      <c r="I26">
        <v>0.152</v>
      </c>
      <c r="J26">
        <f t="shared" si="0"/>
        <v>1.9736842105263159</v>
      </c>
      <c r="K26">
        <v>3.0000000000000001E-3</v>
      </c>
      <c r="L26" t="s">
        <v>17</v>
      </c>
      <c r="M26" t="s">
        <v>192</v>
      </c>
      <c r="N26" t="s">
        <v>553</v>
      </c>
      <c r="O26" t="s">
        <v>561</v>
      </c>
    </row>
    <row r="27" spans="1:15" x14ac:dyDescent="0.2">
      <c r="A27" t="s">
        <v>190</v>
      </c>
      <c r="B27" t="s">
        <v>32</v>
      </c>
      <c r="C27">
        <v>4</v>
      </c>
      <c r="D27">
        <v>3</v>
      </c>
      <c r="E27">
        <v>1</v>
      </c>
      <c r="F27">
        <v>4</v>
      </c>
      <c r="G27">
        <v>3</v>
      </c>
      <c r="H27">
        <v>2</v>
      </c>
      <c r="I27">
        <v>0.108</v>
      </c>
      <c r="J27">
        <f t="shared" si="0"/>
        <v>2.7777777777777781</v>
      </c>
      <c r="K27">
        <v>3.0000000000000001E-3</v>
      </c>
      <c r="L27" t="s">
        <v>17</v>
      </c>
      <c r="M27" t="s">
        <v>192</v>
      </c>
      <c r="N27" t="s">
        <v>553</v>
      </c>
      <c r="O27" t="s">
        <v>573</v>
      </c>
    </row>
    <row r="28" spans="1:15" x14ac:dyDescent="0.2">
      <c r="A28" t="s">
        <v>190</v>
      </c>
      <c r="B28" t="s">
        <v>32</v>
      </c>
      <c r="C28">
        <v>3</v>
      </c>
      <c r="D28">
        <v>3</v>
      </c>
      <c r="E28">
        <v>1</v>
      </c>
      <c r="F28">
        <v>3</v>
      </c>
      <c r="G28">
        <v>3</v>
      </c>
      <c r="H28">
        <v>0</v>
      </c>
      <c r="I28">
        <v>0.11799999999999999</v>
      </c>
      <c r="J28">
        <f t="shared" si="0"/>
        <v>2.5423728813559325</v>
      </c>
      <c r="K28">
        <v>3.0000000000000001E-3</v>
      </c>
      <c r="L28" t="s">
        <v>17</v>
      </c>
      <c r="M28" t="s">
        <v>192</v>
      </c>
      <c r="N28" t="s">
        <v>553</v>
      </c>
      <c r="O28" t="s">
        <v>565</v>
      </c>
    </row>
    <row r="29" spans="1:15" x14ac:dyDescent="0.2">
      <c r="A29" t="s">
        <v>190</v>
      </c>
      <c r="B29" t="s">
        <v>32</v>
      </c>
      <c r="C29">
        <v>3</v>
      </c>
      <c r="D29">
        <v>3</v>
      </c>
      <c r="E29">
        <v>0</v>
      </c>
      <c r="F29">
        <v>3</v>
      </c>
      <c r="G29">
        <v>3</v>
      </c>
      <c r="H29">
        <v>1</v>
      </c>
      <c r="I29">
        <v>0.114</v>
      </c>
      <c r="J29">
        <f t="shared" si="0"/>
        <v>2.6315789473684208</v>
      </c>
      <c r="K29">
        <v>3.0000000000000001E-3</v>
      </c>
      <c r="L29" t="s">
        <v>17</v>
      </c>
      <c r="M29" t="s">
        <v>192</v>
      </c>
      <c r="N29" t="s">
        <v>553</v>
      </c>
      <c r="O29" t="s">
        <v>574</v>
      </c>
    </row>
    <row r="30" spans="1:15" x14ac:dyDescent="0.2">
      <c r="A30" t="s">
        <v>190</v>
      </c>
      <c r="B30" t="s">
        <v>32</v>
      </c>
      <c r="C30">
        <v>2</v>
      </c>
      <c r="D30">
        <v>1</v>
      </c>
      <c r="E30">
        <v>2</v>
      </c>
      <c r="F30">
        <v>1</v>
      </c>
      <c r="G30">
        <v>1</v>
      </c>
      <c r="H30">
        <v>1</v>
      </c>
      <c r="I30">
        <v>0.17899999999999999</v>
      </c>
      <c r="J30">
        <f t="shared" si="0"/>
        <v>1.6759776536312849</v>
      </c>
      <c r="K30">
        <v>3.0000000000000001E-3</v>
      </c>
      <c r="L30" t="s">
        <v>17</v>
      </c>
      <c r="M30" t="s">
        <v>192</v>
      </c>
      <c r="N30" t="s">
        <v>553</v>
      </c>
      <c r="O30" t="s">
        <v>575</v>
      </c>
    </row>
    <row r="31" spans="1:15" x14ac:dyDescent="0.2">
      <c r="A31" t="s">
        <v>190</v>
      </c>
      <c r="B31" t="s">
        <v>32</v>
      </c>
      <c r="C31">
        <v>2</v>
      </c>
      <c r="D31">
        <v>0</v>
      </c>
      <c r="E31">
        <v>2</v>
      </c>
      <c r="F31">
        <v>1</v>
      </c>
      <c r="G31">
        <v>0</v>
      </c>
      <c r="H31">
        <v>1</v>
      </c>
      <c r="I31">
        <v>0.21099999999999999</v>
      </c>
      <c r="J31">
        <f t="shared" si="0"/>
        <v>1.4218009478672986</v>
      </c>
      <c r="K31">
        <v>3.0000000000000001E-3</v>
      </c>
      <c r="L31" t="s">
        <v>17</v>
      </c>
      <c r="M31" t="s">
        <v>192</v>
      </c>
      <c r="N31" t="s">
        <v>553</v>
      </c>
      <c r="O31" t="s">
        <v>576</v>
      </c>
    </row>
    <row r="32" spans="1:15" x14ac:dyDescent="0.2">
      <c r="A32" t="s">
        <v>190</v>
      </c>
      <c r="B32" t="s">
        <v>32</v>
      </c>
      <c r="C32">
        <v>2</v>
      </c>
      <c r="D32">
        <v>1</v>
      </c>
      <c r="E32">
        <v>1</v>
      </c>
      <c r="F32">
        <v>1</v>
      </c>
      <c r="G32">
        <v>1</v>
      </c>
      <c r="H32">
        <v>0</v>
      </c>
      <c r="I32">
        <v>0.19600000000000001</v>
      </c>
      <c r="J32">
        <f t="shared" si="0"/>
        <v>1.5306122448979591</v>
      </c>
      <c r="K32">
        <v>3.0000000000000001E-3</v>
      </c>
      <c r="L32" t="s">
        <v>17</v>
      </c>
      <c r="M32" t="s">
        <v>192</v>
      </c>
      <c r="N32" t="s">
        <v>553</v>
      </c>
      <c r="O32" t="s">
        <v>577</v>
      </c>
    </row>
    <row r="33" spans="1:15" x14ac:dyDescent="0.2">
      <c r="A33" t="s">
        <v>190</v>
      </c>
      <c r="B33" t="s">
        <v>32</v>
      </c>
      <c r="C33">
        <v>5</v>
      </c>
      <c r="D33">
        <v>4</v>
      </c>
      <c r="E33">
        <v>2</v>
      </c>
      <c r="F33">
        <v>5</v>
      </c>
      <c r="G33">
        <v>4</v>
      </c>
      <c r="H33">
        <v>1</v>
      </c>
      <c r="I33">
        <v>0.105</v>
      </c>
      <c r="J33">
        <f t="shared" si="0"/>
        <v>2.8571428571428572</v>
      </c>
      <c r="K33">
        <v>3.0000000000000001E-3</v>
      </c>
      <c r="L33" t="s">
        <v>17</v>
      </c>
      <c r="M33" t="s">
        <v>192</v>
      </c>
      <c r="N33" t="s">
        <v>553</v>
      </c>
      <c r="O33" t="s">
        <v>578</v>
      </c>
    </row>
    <row r="34" spans="1:15" x14ac:dyDescent="0.2">
      <c r="A34" t="s">
        <v>190</v>
      </c>
      <c r="B34" t="s">
        <v>32</v>
      </c>
      <c r="C34">
        <v>4</v>
      </c>
      <c r="D34">
        <v>1</v>
      </c>
      <c r="E34">
        <v>4</v>
      </c>
      <c r="F34">
        <v>3</v>
      </c>
      <c r="G34">
        <v>1</v>
      </c>
      <c r="H34">
        <v>3</v>
      </c>
      <c r="I34">
        <v>0.13100000000000001</v>
      </c>
      <c r="J34">
        <f t="shared" si="0"/>
        <v>2.2900763358778624</v>
      </c>
      <c r="K34">
        <v>3.0000000000000001E-3</v>
      </c>
      <c r="L34" t="s">
        <v>17</v>
      </c>
      <c r="M34" t="s">
        <v>192</v>
      </c>
      <c r="N34" t="s">
        <v>553</v>
      </c>
      <c r="O34" t="s">
        <v>579</v>
      </c>
    </row>
    <row r="35" spans="1:15" x14ac:dyDescent="0.2">
      <c r="A35" t="s">
        <v>190</v>
      </c>
      <c r="B35" t="s">
        <v>32</v>
      </c>
      <c r="C35">
        <v>4</v>
      </c>
      <c r="D35">
        <v>0</v>
      </c>
      <c r="E35">
        <v>4</v>
      </c>
      <c r="F35">
        <v>3</v>
      </c>
      <c r="G35">
        <v>0</v>
      </c>
      <c r="H35">
        <v>3</v>
      </c>
      <c r="I35">
        <v>0.157</v>
      </c>
      <c r="J35">
        <f t="shared" si="0"/>
        <v>1.910828025477707</v>
      </c>
      <c r="K35">
        <v>3.0000000000000001E-3</v>
      </c>
      <c r="L35" t="s">
        <v>17</v>
      </c>
      <c r="M35" t="s">
        <v>192</v>
      </c>
      <c r="N35" t="s">
        <v>553</v>
      </c>
      <c r="O35" t="s">
        <v>580</v>
      </c>
    </row>
    <row r="36" spans="1:15" x14ac:dyDescent="0.2">
      <c r="A36" t="s">
        <v>190</v>
      </c>
      <c r="B36" t="s">
        <v>32</v>
      </c>
      <c r="C36">
        <v>3</v>
      </c>
      <c r="D36">
        <v>2</v>
      </c>
      <c r="E36">
        <v>2</v>
      </c>
      <c r="F36">
        <v>2</v>
      </c>
      <c r="G36">
        <v>2</v>
      </c>
      <c r="H36">
        <v>1</v>
      </c>
      <c r="I36">
        <v>0.13200000000000001</v>
      </c>
      <c r="J36">
        <f t="shared" si="0"/>
        <v>2.2727272727272729</v>
      </c>
      <c r="K36">
        <v>3.0000000000000001E-3</v>
      </c>
      <c r="L36" t="s">
        <v>17</v>
      </c>
      <c r="M36" t="s">
        <v>192</v>
      </c>
      <c r="N36" t="s">
        <v>553</v>
      </c>
      <c r="O36" t="s">
        <v>581</v>
      </c>
    </row>
    <row r="37" spans="1:15" x14ac:dyDescent="0.2">
      <c r="A37" t="s">
        <v>190</v>
      </c>
      <c r="B37" t="s">
        <v>32</v>
      </c>
      <c r="C37">
        <v>5</v>
      </c>
      <c r="D37">
        <v>1</v>
      </c>
      <c r="E37">
        <v>5</v>
      </c>
      <c r="F37">
        <v>4</v>
      </c>
      <c r="G37">
        <v>1</v>
      </c>
      <c r="H37">
        <v>4</v>
      </c>
      <c r="I37">
        <v>0.114</v>
      </c>
      <c r="J37">
        <f t="shared" si="0"/>
        <v>2.6315789473684208</v>
      </c>
      <c r="K37">
        <v>3.0000000000000001E-3</v>
      </c>
      <c r="L37" t="s">
        <v>17</v>
      </c>
      <c r="M37" t="s">
        <v>192</v>
      </c>
      <c r="N37" t="s">
        <v>553</v>
      </c>
      <c r="O37" t="s">
        <v>574</v>
      </c>
    </row>
    <row r="38" spans="1:15" x14ac:dyDescent="0.2">
      <c r="A38" t="s">
        <v>190</v>
      </c>
      <c r="B38" t="s">
        <v>32</v>
      </c>
      <c r="C38">
        <v>7</v>
      </c>
      <c r="D38">
        <v>3</v>
      </c>
      <c r="E38">
        <v>5</v>
      </c>
      <c r="F38">
        <v>8</v>
      </c>
      <c r="G38">
        <v>1</v>
      </c>
      <c r="H38">
        <v>8</v>
      </c>
      <c r="I38">
        <v>0.10100000000000001</v>
      </c>
      <c r="J38">
        <f t="shared" si="0"/>
        <v>2.9702970297029703</v>
      </c>
      <c r="K38">
        <v>3.0000000000000001E-3</v>
      </c>
      <c r="L38" t="s">
        <v>17</v>
      </c>
      <c r="M38" t="s">
        <v>192</v>
      </c>
      <c r="N38" t="s">
        <v>553</v>
      </c>
      <c r="O38" t="s">
        <v>582</v>
      </c>
    </row>
    <row r="39" spans="1:15" x14ac:dyDescent="0.2">
      <c r="A39" t="s">
        <v>190</v>
      </c>
      <c r="B39" t="s">
        <v>32</v>
      </c>
      <c r="C39">
        <v>6</v>
      </c>
      <c r="D39">
        <v>0</v>
      </c>
      <c r="E39">
        <v>6</v>
      </c>
      <c r="F39">
        <v>5</v>
      </c>
      <c r="G39">
        <v>0</v>
      </c>
      <c r="H39">
        <v>5</v>
      </c>
      <c r="I39">
        <v>0.1</v>
      </c>
      <c r="J39">
        <f t="shared" si="0"/>
        <v>3</v>
      </c>
      <c r="K39">
        <v>3.0000000000000001E-3</v>
      </c>
      <c r="L39" t="s">
        <v>17</v>
      </c>
      <c r="M39" t="s">
        <v>192</v>
      </c>
      <c r="N39" t="s">
        <v>553</v>
      </c>
      <c r="O39" t="s">
        <v>555</v>
      </c>
    </row>
    <row r="40" spans="1:15" x14ac:dyDescent="0.2">
      <c r="A40" t="s">
        <v>190</v>
      </c>
      <c r="B40" t="s">
        <v>32</v>
      </c>
      <c r="C40">
        <v>4</v>
      </c>
      <c r="D40">
        <v>2</v>
      </c>
      <c r="E40">
        <v>2</v>
      </c>
      <c r="F40">
        <v>3</v>
      </c>
      <c r="G40">
        <v>2</v>
      </c>
      <c r="H40">
        <v>1</v>
      </c>
      <c r="I40">
        <v>0.16200000000000001</v>
      </c>
      <c r="J40">
        <f t="shared" si="0"/>
        <v>1.8518518518518516</v>
      </c>
      <c r="K40">
        <v>3.0000000000000001E-3</v>
      </c>
      <c r="L40" t="s">
        <v>17</v>
      </c>
      <c r="M40" t="s">
        <v>192</v>
      </c>
      <c r="N40" t="s">
        <v>553</v>
      </c>
      <c r="O40" t="s">
        <v>583</v>
      </c>
    </row>
    <row r="41" spans="1:15" x14ac:dyDescent="0.2">
      <c r="A41" t="s">
        <v>190</v>
      </c>
      <c r="B41" t="s">
        <v>32</v>
      </c>
      <c r="C41">
        <v>7</v>
      </c>
      <c r="D41">
        <v>1</v>
      </c>
      <c r="E41">
        <v>7</v>
      </c>
      <c r="F41">
        <v>6</v>
      </c>
      <c r="G41">
        <v>1</v>
      </c>
      <c r="H41">
        <v>6</v>
      </c>
      <c r="I41">
        <v>9.0999999999999998E-2</v>
      </c>
      <c r="J41">
        <f t="shared" si="0"/>
        <v>3.296703296703297</v>
      </c>
      <c r="K41">
        <v>3.0000000000000001E-3</v>
      </c>
      <c r="L41" t="s">
        <v>17</v>
      </c>
      <c r="M41" t="s">
        <v>192</v>
      </c>
      <c r="N41" t="s">
        <v>553</v>
      </c>
      <c r="O41" t="s">
        <v>584</v>
      </c>
    </row>
    <row r="42" spans="1:15" x14ac:dyDescent="0.2">
      <c r="A42" t="s">
        <v>190</v>
      </c>
      <c r="B42" t="s">
        <v>32</v>
      </c>
      <c r="C42">
        <v>5</v>
      </c>
      <c r="D42">
        <v>2</v>
      </c>
      <c r="E42">
        <v>4</v>
      </c>
      <c r="F42">
        <v>4</v>
      </c>
      <c r="G42">
        <v>2</v>
      </c>
      <c r="H42">
        <v>3</v>
      </c>
      <c r="I42">
        <v>0.112</v>
      </c>
      <c r="J42">
        <f t="shared" si="0"/>
        <v>2.6785714285714284</v>
      </c>
      <c r="K42">
        <v>3.0000000000000001E-3</v>
      </c>
      <c r="L42" t="s">
        <v>17</v>
      </c>
      <c r="M42" t="s">
        <v>192</v>
      </c>
      <c r="N42" t="s">
        <v>553</v>
      </c>
      <c r="O42" t="s">
        <v>585</v>
      </c>
    </row>
    <row r="43" spans="1:15" x14ac:dyDescent="0.2">
      <c r="A43" t="s">
        <v>190</v>
      </c>
      <c r="B43" t="s">
        <v>32</v>
      </c>
      <c r="C43">
        <v>8</v>
      </c>
      <c r="D43">
        <v>0</v>
      </c>
      <c r="E43">
        <v>8</v>
      </c>
      <c r="F43">
        <v>7</v>
      </c>
      <c r="G43">
        <v>0</v>
      </c>
      <c r="H43">
        <v>7</v>
      </c>
      <c r="I43">
        <v>8.5000000000000006E-2</v>
      </c>
      <c r="J43">
        <f t="shared" si="0"/>
        <v>3.5294117647058822</v>
      </c>
      <c r="K43">
        <v>3.0000000000000001E-3</v>
      </c>
      <c r="L43" t="s">
        <v>17</v>
      </c>
      <c r="M43" t="s">
        <v>192</v>
      </c>
      <c r="N43" t="s">
        <v>553</v>
      </c>
      <c r="O43" t="s">
        <v>586</v>
      </c>
    </row>
    <row r="44" spans="1:15" x14ac:dyDescent="0.2">
      <c r="A44" t="s">
        <v>190</v>
      </c>
      <c r="B44" t="s">
        <v>32</v>
      </c>
      <c r="C44">
        <v>4</v>
      </c>
      <c r="D44">
        <v>3</v>
      </c>
      <c r="E44">
        <v>1</v>
      </c>
      <c r="F44">
        <v>3</v>
      </c>
      <c r="G44">
        <v>3</v>
      </c>
      <c r="H44">
        <v>0</v>
      </c>
      <c r="I44">
        <v>0.11700000000000001</v>
      </c>
      <c r="J44">
        <f t="shared" si="0"/>
        <v>2.5641025641025639</v>
      </c>
      <c r="K44">
        <v>3.0000000000000001E-3</v>
      </c>
      <c r="L44" t="s">
        <v>17</v>
      </c>
      <c r="M44" t="s">
        <v>192</v>
      </c>
      <c r="N44" t="s">
        <v>553</v>
      </c>
      <c r="O44" t="s">
        <v>587</v>
      </c>
    </row>
    <row r="45" spans="1:15" x14ac:dyDescent="0.2">
      <c r="A45" t="s">
        <v>190</v>
      </c>
      <c r="B45" t="s">
        <v>32</v>
      </c>
      <c r="C45">
        <v>5</v>
      </c>
      <c r="D45">
        <v>3</v>
      </c>
      <c r="E45">
        <v>3</v>
      </c>
      <c r="F45">
        <v>4</v>
      </c>
      <c r="G45">
        <v>3</v>
      </c>
      <c r="H45">
        <v>2</v>
      </c>
      <c r="I45">
        <v>0.106</v>
      </c>
      <c r="J45">
        <f t="shared" si="0"/>
        <v>2.8301886792452833</v>
      </c>
      <c r="K45">
        <v>3.0000000000000001E-3</v>
      </c>
      <c r="L45" t="s">
        <v>17</v>
      </c>
      <c r="M45" t="s">
        <v>192</v>
      </c>
      <c r="N45" t="s">
        <v>553</v>
      </c>
      <c r="O45" t="s">
        <v>588</v>
      </c>
    </row>
    <row r="46" spans="1:15" x14ac:dyDescent="0.2">
      <c r="A46" t="s">
        <v>190</v>
      </c>
      <c r="B46" t="s">
        <v>32</v>
      </c>
      <c r="C46">
        <v>7</v>
      </c>
      <c r="D46">
        <v>2</v>
      </c>
      <c r="E46">
        <v>6</v>
      </c>
      <c r="F46">
        <v>6</v>
      </c>
      <c r="G46">
        <v>2</v>
      </c>
      <c r="H46">
        <v>5</v>
      </c>
      <c r="I46">
        <v>0.10199999999999999</v>
      </c>
      <c r="J46">
        <f t="shared" si="0"/>
        <v>2.9411764705882355</v>
      </c>
      <c r="K46">
        <v>3.0000000000000001E-3</v>
      </c>
      <c r="L46" t="s">
        <v>17</v>
      </c>
      <c r="M46" t="s">
        <v>192</v>
      </c>
      <c r="N46" t="s">
        <v>553</v>
      </c>
      <c r="O46" t="s">
        <v>589</v>
      </c>
    </row>
    <row r="47" spans="1:15" x14ac:dyDescent="0.2">
      <c r="A47" t="s">
        <v>190</v>
      </c>
      <c r="B47" t="s">
        <v>32</v>
      </c>
      <c r="C47">
        <v>6</v>
      </c>
      <c r="D47">
        <v>2</v>
      </c>
      <c r="E47">
        <v>4</v>
      </c>
      <c r="F47">
        <v>5</v>
      </c>
      <c r="G47">
        <v>2</v>
      </c>
      <c r="H47">
        <v>3</v>
      </c>
      <c r="I47">
        <v>0.155</v>
      </c>
      <c r="J47">
        <f t="shared" si="0"/>
        <v>1.935483870967742</v>
      </c>
      <c r="K47">
        <v>3.0000000000000001E-3</v>
      </c>
      <c r="L47" t="s">
        <v>17</v>
      </c>
      <c r="M47" t="s">
        <v>192</v>
      </c>
      <c r="N47" t="s">
        <v>553</v>
      </c>
      <c r="O47" t="s">
        <v>566</v>
      </c>
    </row>
    <row r="48" spans="1:15" x14ac:dyDescent="0.2">
      <c r="A48" t="s">
        <v>190</v>
      </c>
      <c r="B48" t="s">
        <v>32</v>
      </c>
      <c r="C48">
        <v>6</v>
      </c>
      <c r="D48">
        <v>3</v>
      </c>
      <c r="E48">
        <v>3</v>
      </c>
      <c r="F48">
        <v>5</v>
      </c>
      <c r="G48">
        <v>3</v>
      </c>
      <c r="H48">
        <v>2</v>
      </c>
      <c r="I48">
        <v>0.128</v>
      </c>
      <c r="J48">
        <f t="shared" si="0"/>
        <v>2.34375</v>
      </c>
      <c r="K48">
        <v>3.0000000000000001E-3</v>
      </c>
      <c r="L48" t="s">
        <v>17</v>
      </c>
      <c r="M48" t="s">
        <v>192</v>
      </c>
      <c r="N48" t="s">
        <v>553</v>
      </c>
      <c r="O48" t="s">
        <v>590</v>
      </c>
    </row>
    <row r="49" spans="1:15" x14ac:dyDescent="0.2">
      <c r="A49" t="s">
        <v>190</v>
      </c>
      <c r="B49" t="s">
        <v>32</v>
      </c>
      <c r="C49">
        <v>7</v>
      </c>
      <c r="D49">
        <v>3</v>
      </c>
      <c r="E49">
        <v>5</v>
      </c>
      <c r="F49">
        <v>6</v>
      </c>
      <c r="G49">
        <v>1</v>
      </c>
      <c r="H49">
        <v>6</v>
      </c>
      <c r="I49">
        <v>0.10199999999999999</v>
      </c>
      <c r="J49">
        <f t="shared" si="0"/>
        <v>2.9411764705882355</v>
      </c>
      <c r="K49">
        <v>3.0000000000000001E-3</v>
      </c>
      <c r="L49" t="s">
        <v>17</v>
      </c>
      <c r="M49" t="s">
        <v>192</v>
      </c>
      <c r="N49" t="s">
        <v>553</v>
      </c>
      <c r="O49" t="s">
        <v>589</v>
      </c>
    </row>
    <row r="50" spans="1:15" x14ac:dyDescent="0.2">
      <c r="A50" t="s">
        <v>190</v>
      </c>
      <c r="B50" t="s">
        <v>32</v>
      </c>
      <c r="C50">
        <v>8</v>
      </c>
      <c r="D50">
        <v>2</v>
      </c>
      <c r="E50">
        <v>6</v>
      </c>
      <c r="F50">
        <v>7</v>
      </c>
      <c r="G50">
        <v>0</v>
      </c>
      <c r="H50">
        <v>7</v>
      </c>
      <c r="I50">
        <v>0.106</v>
      </c>
      <c r="J50">
        <f t="shared" si="0"/>
        <v>2.8301886792452833</v>
      </c>
      <c r="K50">
        <v>3.0000000000000001E-3</v>
      </c>
      <c r="L50" t="s">
        <v>17</v>
      </c>
      <c r="M50" t="s">
        <v>192</v>
      </c>
      <c r="N50" t="s">
        <v>553</v>
      </c>
      <c r="O50" t="s">
        <v>588</v>
      </c>
    </row>
    <row r="51" spans="1:15" x14ac:dyDescent="0.2">
      <c r="A51" t="s">
        <v>190</v>
      </c>
      <c r="B51" t="s">
        <v>32</v>
      </c>
      <c r="C51">
        <v>3</v>
      </c>
      <c r="D51">
        <v>2</v>
      </c>
      <c r="E51">
        <v>1</v>
      </c>
      <c r="F51">
        <v>4</v>
      </c>
      <c r="G51">
        <v>3</v>
      </c>
      <c r="H51">
        <v>2</v>
      </c>
      <c r="I51">
        <v>0.16</v>
      </c>
      <c r="J51">
        <f t="shared" si="0"/>
        <v>1.875</v>
      </c>
      <c r="K51">
        <v>3.0000000000000001E-3</v>
      </c>
      <c r="L51" t="s">
        <v>17</v>
      </c>
      <c r="M51" t="s">
        <v>192</v>
      </c>
      <c r="N51" t="s">
        <v>553</v>
      </c>
      <c r="O51" t="s">
        <v>591</v>
      </c>
    </row>
    <row r="52" spans="1:15" x14ac:dyDescent="0.2">
      <c r="A52" t="s">
        <v>190</v>
      </c>
      <c r="B52" t="s">
        <v>32</v>
      </c>
      <c r="C52">
        <v>6</v>
      </c>
      <c r="D52">
        <v>3</v>
      </c>
      <c r="E52">
        <v>4</v>
      </c>
      <c r="F52">
        <v>7</v>
      </c>
      <c r="G52">
        <v>2</v>
      </c>
      <c r="H52">
        <v>5</v>
      </c>
      <c r="I52">
        <v>0.125</v>
      </c>
      <c r="J52">
        <f t="shared" si="0"/>
        <v>2.4</v>
      </c>
      <c r="K52">
        <v>3.0000000000000001E-3</v>
      </c>
      <c r="L52" t="s">
        <v>17</v>
      </c>
      <c r="M52" t="s">
        <v>192</v>
      </c>
      <c r="N52" t="s">
        <v>553</v>
      </c>
      <c r="O52" t="s">
        <v>592</v>
      </c>
    </row>
    <row r="53" spans="1:15" x14ac:dyDescent="0.2">
      <c r="A53" t="s">
        <v>190</v>
      </c>
      <c r="B53" t="s">
        <v>32</v>
      </c>
      <c r="C53">
        <v>2</v>
      </c>
      <c r="D53">
        <v>2</v>
      </c>
      <c r="E53">
        <v>1</v>
      </c>
      <c r="F53">
        <v>3</v>
      </c>
      <c r="G53">
        <v>3</v>
      </c>
      <c r="H53">
        <v>0</v>
      </c>
      <c r="I53">
        <v>0.13400000000000001</v>
      </c>
      <c r="J53">
        <f t="shared" si="0"/>
        <v>2.2388059701492535</v>
      </c>
      <c r="K53">
        <v>3.0000000000000001E-3</v>
      </c>
      <c r="L53" t="s">
        <v>17</v>
      </c>
      <c r="M53" t="s">
        <v>192</v>
      </c>
      <c r="N53" t="s">
        <v>553</v>
      </c>
      <c r="O53" t="s">
        <v>593</v>
      </c>
    </row>
    <row r="54" spans="1:15" x14ac:dyDescent="0.2">
      <c r="A54" t="s">
        <v>190</v>
      </c>
      <c r="B54" t="s">
        <v>32</v>
      </c>
      <c r="C54">
        <v>5</v>
      </c>
      <c r="D54">
        <v>0</v>
      </c>
      <c r="E54">
        <v>5</v>
      </c>
      <c r="F54">
        <v>6</v>
      </c>
      <c r="G54">
        <v>1</v>
      </c>
      <c r="H54">
        <v>6</v>
      </c>
      <c r="I54">
        <v>0.11</v>
      </c>
      <c r="J54">
        <f t="shared" si="0"/>
        <v>2.7272727272727275</v>
      </c>
      <c r="K54">
        <v>3.0000000000000001E-3</v>
      </c>
      <c r="L54" t="s">
        <v>17</v>
      </c>
      <c r="M54" t="s">
        <v>192</v>
      </c>
      <c r="N54" t="s">
        <v>553</v>
      </c>
      <c r="O54" t="s">
        <v>594</v>
      </c>
    </row>
    <row r="55" spans="1:15" x14ac:dyDescent="0.2">
      <c r="A55" t="s">
        <v>190</v>
      </c>
      <c r="B55" t="s">
        <v>32</v>
      </c>
      <c r="C55">
        <v>3</v>
      </c>
      <c r="D55">
        <v>1</v>
      </c>
      <c r="E55">
        <v>2</v>
      </c>
      <c r="F55">
        <v>4</v>
      </c>
      <c r="G55">
        <v>2</v>
      </c>
      <c r="H55">
        <v>3</v>
      </c>
      <c r="I55">
        <v>0.182</v>
      </c>
      <c r="J55">
        <f t="shared" si="0"/>
        <v>1.6483516483516485</v>
      </c>
      <c r="K55">
        <v>3.0000000000000001E-3</v>
      </c>
      <c r="L55" t="s">
        <v>17</v>
      </c>
      <c r="M55" t="s">
        <v>192</v>
      </c>
      <c r="N55" t="s">
        <v>553</v>
      </c>
      <c r="O55" t="s">
        <v>595</v>
      </c>
    </row>
    <row r="56" spans="1:15" x14ac:dyDescent="0.2">
      <c r="A56" t="s">
        <v>190</v>
      </c>
      <c r="B56" t="s">
        <v>32</v>
      </c>
      <c r="C56">
        <v>4</v>
      </c>
      <c r="D56">
        <v>1</v>
      </c>
      <c r="E56">
        <v>4</v>
      </c>
      <c r="F56">
        <v>5</v>
      </c>
      <c r="G56">
        <v>0</v>
      </c>
      <c r="H56">
        <v>5</v>
      </c>
      <c r="I56">
        <v>0.11700000000000001</v>
      </c>
      <c r="J56">
        <f t="shared" si="0"/>
        <v>2.5641025641025639</v>
      </c>
      <c r="K56">
        <v>3.0000000000000001E-3</v>
      </c>
      <c r="L56" t="s">
        <v>17</v>
      </c>
      <c r="M56" t="s">
        <v>192</v>
      </c>
      <c r="N56" t="s">
        <v>553</v>
      </c>
      <c r="O56" t="s">
        <v>596</v>
      </c>
    </row>
    <row r="57" spans="1:15" x14ac:dyDescent="0.2">
      <c r="A57" t="s">
        <v>190</v>
      </c>
      <c r="B57" t="s">
        <v>32</v>
      </c>
      <c r="C57">
        <v>3</v>
      </c>
      <c r="D57">
        <v>2</v>
      </c>
      <c r="E57">
        <v>2</v>
      </c>
      <c r="F57">
        <v>4</v>
      </c>
      <c r="G57">
        <v>1</v>
      </c>
      <c r="H57">
        <v>3</v>
      </c>
      <c r="I57">
        <v>0.155</v>
      </c>
      <c r="J57">
        <f t="shared" si="0"/>
        <v>1.935483870967742</v>
      </c>
      <c r="K57">
        <v>3.0000000000000001E-3</v>
      </c>
      <c r="L57" t="s">
        <v>17</v>
      </c>
      <c r="M57" t="s">
        <v>192</v>
      </c>
      <c r="N57" t="s">
        <v>553</v>
      </c>
      <c r="O57" t="s">
        <v>597</v>
      </c>
    </row>
    <row r="58" spans="1:15" x14ac:dyDescent="0.2">
      <c r="A58" t="s">
        <v>190</v>
      </c>
      <c r="B58" t="s">
        <v>32</v>
      </c>
      <c r="C58">
        <v>1</v>
      </c>
      <c r="D58">
        <v>0</v>
      </c>
      <c r="E58">
        <v>1</v>
      </c>
      <c r="F58">
        <v>1</v>
      </c>
      <c r="G58">
        <v>1</v>
      </c>
      <c r="H58">
        <v>0</v>
      </c>
      <c r="I58">
        <v>0.22600000000000001</v>
      </c>
      <c r="J58">
        <f t="shared" si="0"/>
        <v>1.3274336283185841</v>
      </c>
      <c r="K58">
        <v>3.0000000000000001E-3</v>
      </c>
      <c r="L58" t="s">
        <v>17</v>
      </c>
      <c r="M58" t="s">
        <v>192</v>
      </c>
      <c r="N58" t="s">
        <v>553</v>
      </c>
      <c r="O58" t="s">
        <v>598</v>
      </c>
    </row>
    <row r="59" spans="1:15" x14ac:dyDescent="0.2">
      <c r="A59" t="s">
        <v>190</v>
      </c>
      <c r="B59" t="s">
        <v>32</v>
      </c>
      <c r="C59">
        <v>3</v>
      </c>
      <c r="D59">
        <v>1</v>
      </c>
      <c r="E59">
        <v>2</v>
      </c>
      <c r="F59">
        <v>3</v>
      </c>
      <c r="G59">
        <v>0</v>
      </c>
      <c r="H59">
        <v>3</v>
      </c>
      <c r="I59">
        <v>0.186</v>
      </c>
      <c r="J59">
        <f t="shared" si="0"/>
        <v>1.6129032258064515</v>
      </c>
      <c r="K59">
        <v>3.0000000000000001E-3</v>
      </c>
      <c r="L59" t="s">
        <v>17</v>
      </c>
      <c r="M59" t="s">
        <v>192</v>
      </c>
      <c r="N59" t="s">
        <v>553</v>
      </c>
      <c r="O59" t="s">
        <v>599</v>
      </c>
    </row>
    <row r="60" spans="1:15" x14ac:dyDescent="0.2">
      <c r="A60" t="s">
        <v>190</v>
      </c>
      <c r="B60" t="s">
        <v>32</v>
      </c>
      <c r="C60">
        <v>5</v>
      </c>
      <c r="D60">
        <v>3</v>
      </c>
      <c r="E60">
        <v>2</v>
      </c>
      <c r="F60">
        <v>5</v>
      </c>
      <c r="G60">
        <v>2</v>
      </c>
      <c r="H60">
        <v>3</v>
      </c>
      <c r="I60">
        <v>0.152</v>
      </c>
      <c r="J60">
        <f t="shared" si="0"/>
        <v>1.9736842105263159</v>
      </c>
      <c r="K60">
        <v>3.0000000000000001E-3</v>
      </c>
      <c r="L60" t="s">
        <v>17</v>
      </c>
      <c r="M60" t="s">
        <v>192</v>
      </c>
      <c r="N60" t="s">
        <v>553</v>
      </c>
      <c r="O60" t="s">
        <v>600</v>
      </c>
    </row>
    <row r="61" spans="1:15" x14ac:dyDescent="0.2">
      <c r="A61" t="s">
        <v>190</v>
      </c>
      <c r="B61" t="s">
        <v>32</v>
      </c>
      <c r="C61">
        <v>1</v>
      </c>
      <c r="D61">
        <v>1</v>
      </c>
      <c r="E61">
        <v>1</v>
      </c>
      <c r="F61">
        <v>0</v>
      </c>
      <c r="G61">
        <v>0</v>
      </c>
      <c r="H61">
        <v>0</v>
      </c>
      <c r="I61">
        <v>0.217</v>
      </c>
      <c r="J61">
        <f t="shared" si="0"/>
        <v>1.3824884792626728</v>
      </c>
      <c r="K61">
        <v>3.0000000000000001E-3</v>
      </c>
      <c r="L61" t="s">
        <v>17</v>
      </c>
      <c r="M61" t="s">
        <v>192</v>
      </c>
      <c r="N61" t="s">
        <v>553</v>
      </c>
      <c r="O61" t="s">
        <v>601</v>
      </c>
    </row>
    <row r="62" spans="1:15" x14ac:dyDescent="0.2">
      <c r="A62" t="s">
        <v>190</v>
      </c>
      <c r="B62" t="s">
        <v>32</v>
      </c>
      <c r="C62">
        <v>2</v>
      </c>
      <c r="D62">
        <v>2</v>
      </c>
      <c r="E62">
        <v>1</v>
      </c>
      <c r="F62">
        <v>2</v>
      </c>
      <c r="G62">
        <v>1</v>
      </c>
      <c r="H62">
        <v>2</v>
      </c>
      <c r="I62">
        <v>0.16800000000000001</v>
      </c>
      <c r="J62">
        <f>K62/I62*100</f>
        <v>1.7857142857142856</v>
      </c>
      <c r="K62">
        <v>3.0000000000000001E-3</v>
      </c>
      <c r="L62" t="s">
        <v>17</v>
      </c>
      <c r="M62" t="s">
        <v>192</v>
      </c>
      <c r="N62" t="s">
        <v>553</v>
      </c>
      <c r="O62" t="s">
        <v>602</v>
      </c>
    </row>
    <row r="63" spans="1:15" x14ac:dyDescent="0.2">
      <c r="A63" t="s">
        <v>190</v>
      </c>
      <c r="B63" t="s">
        <v>32</v>
      </c>
      <c r="C63">
        <v>3</v>
      </c>
      <c r="D63">
        <v>3</v>
      </c>
      <c r="E63">
        <v>0</v>
      </c>
      <c r="F63">
        <v>3</v>
      </c>
      <c r="G63">
        <v>2</v>
      </c>
      <c r="H63">
        <v>1</v>
      </c>
      <c r="I63">
        <v>0.156</v>
      </c>
      <c r="J63">
        <f t="shared" si="0"/>
        <v>1.9230769230769231</v>
      </c>
      <c r="K63">
        <v>3.0000000000000001E-3</v>
      </c>
      <c r="L63" t="s">
        <v>17</v>
      </c>
      <c r="M63" t="s">
        <v>192</v>
      </c>
      <c r="N63" t="s">
        <v>553</v>
      </c>
      <c r="O63" t="s">
        <v>603</v>
      </c>
    </row>
    <row r="64" spans="1:15" x14ac:dyDescent="0.2">
      <c r="A64" t="s">
        <v>190</v>
      </c>
      <c r="B64" t="s">
        <v>32</v>
      </c>
      <c r="C64">
        <v>4</v>
      </c>
      <c r="D64">
        <v>3</v>
      </c>
      <c r="E64">
        <v>2</v>
      </c>
      <c r="F64">
        <v>4</v>
      </c>
      <c r="G64">
        <v>2</v>
      </c>
      <c r="H64">
        <v>3</v>
      </c>
      <c r="I64">
        <v>0.121</v>
      </c>
      <c r="J64">
        <f t="shared" si="0"/>
        <v>2.4793388429752068</v>
      </c>
      <c r="K64">
        <v>3.0000000000000001E-3</v>
      </c>
      <c r="L64" t="s">
        <v>17</v>
      </c>
      <c r="M64" t="s">
        <v>192</v>
      </c>
      <c r="N64" t="s">
        <v>553</v>
      </c>
      <c r="O64" t="s">
        <v>604</v>
      </c>
    </row>
    <row r="65" spans="1:15" x14ac:dyDescent="0.2">
      <c r="A65" t="s">
        <v>190</v>
      </c>
      <c r="B65" t="s">
        <v>32</v>
      </c>
      <c r="C65">
        <v>5</v>
      </c>
      <c r="D65">
        <v>0</v>
      </c>
      <c r="E65">
        <v>5</v>
      </c>
      <c r="F65">
        <v>4</v>
      </c>
      <c r="G65">
        <v>1</v>
      </c>
      <c r="H65">
        <v>4</v>
      </c>
      <c r="I65">
        <v>0.11799999999999999</v>
      </c>
      <c r="J65">
        <f t="shared" si="0"/>
        <v>2.5423728813559325</v>
      </c>
      <c r="K65">
        <v>3.0000000000000001E-3</v>
      </c>
      <c r="L65" t="s">
        <v>17</v>
      </c>
      <c r="M65" t="s">
        <v>192</v>
      </c>
      <c r="N65" t="s">
        <v>553</v>
      </c>
      <c r="O65" t="s">
        <v>605</v>
      </c>
    </row>
    <row r="66" spans="1:15" x14ac:dyDescent="0.2">
      <c r="A66" t="s">
        <v>190</v>
      </c>
      <c r="B66" t="s">
        <v>32</v>
      </c>
      <c r="C66">
        <v>4</v>
      </c>
      <c r="D66">
        <v>2</v>
      </c>
      <c r="E66">
        <v>3</v>
      </c>
      <c r="F66">
        <v>3</v>
      </c>
      <c r="G66">
        <v>1</v>
      </c>
      <c r="H66">
        <v>2</v>
      </c>
      <c r="I66">
        <v>0.17799999999999999</v>
      </c>
      <c r="J66">
        <f t="shared" si="0"/>
        <v>1.6853932584269662</v>
      </c>
      <c r="K66">
        <v>3.0000000000000001E-3</v>
      </c>
      <c r="L66" t="s">
        <v>17</v>
      </c>
      <c r="M66" t="s">
        <v>192</v>
      </c>
      <c r="N66" t="s">
        <v>553</v>
      </c>
      <c r="O66" t="s">
        <v>606</v>
      </c>
    </row>
    <row r="67" spans="1:15" x14ac:dyDescent="0.2">
      <c r="A67" t="s">
        <v>190</v>
      </c>
      <c r="B67" t="s">
        <v>32</v>
      </c>
      <c r="C67">
        <v>5</v>
      </c>
      <c r="D67">
        <v>2</v>
      </c>
      <c r="E67">
        <v>4</v>
      </c>
      <c r="F67">
        <v>4</v>
      </c>
      <c r="G67">
        <v>1</v>
      </c>
      <c r="H67">
        <v>3</v>
      </c>
      <c r="I67">
        <v>0.155</v>
      </c>
      <c r="J67">
        <f t="shared" ref="J67:J68" si="1">K67/I67*100</f>
        <v>1.935483870967742</v>
      </c>
      <c r="K67">
        <v>3.0000000000000001E-3</v>
      </c>
      <c r="L67" t="s">
        <v>17</v>
      </c>
      <c r="M67" t="s">
        <v>192</v>
      </c>
      <c r="N67" t="s">
        <v>553</v>
      </c>
      <c r="O67" t="s">
        <v>597</v>
      </c>
    </row>
    <row r="68" spans="1:15" x14ac:dyDescent="0.2">
      <c r="A68" t="s">
        <v>190</v>
      </c>
      <c r="B68" t="s">
        <v>32</v>
      </c>
      <c r="C68">
        <v>6</v>
      </c>
      <c r="D68">
        <v>2</v>
      </c>
      <c r="E68">
        <v>5</v>
      </c>
      <c r="F68">
        <v>5</v>
      </c>
      <c r="G68">
        <v>1</v>
      </c>
      <c r="H68">
        <v>4</v>
      </c>
      <c r="I68">
        <v>0.13600000000000001</v>
      </c>
      <c r="J68">
        <f t="shared" si="1"/>
        <v>2.2058823529411762</v>
      </c>
      <c r="K68">
        <v>3.0000000000000001E-3</v>
      </c>
      <c r="L68" t="s">
        <v>17</v>
      </c>
      <c r="M68" t="s">
        <v>192</v>
      </c>
      <c r="N68" t="s">
        <v>553</v>
      </c>
      <c r="O68" t="s">
        <v>607</v>
      </c>
    </row>
    <row r="69" spans="1:15" x14ac:dyDescent="0.2">
      <c r="A69" t="s">
        <v>190</v>
      </c>
      <c r="B69" t="s">
        <v>32</v>
      </c>
      <c r="C69">
        <v>6</v>
      </c>
      <c r="D69">
        <v>0</v>
      </c>
      <c r="E69">
        <v>6</v>
      </c>
      <c r="F69">
        <v>7</v>
      </c>
      <c r="G69">
        <v>0</v>
      </c>
      <c r="H69">
        <v>7</v>
      </c>
      <c r="I69">
        <v>8.5999999999999993E-2</v>
      </c>
      <c r="J69">
        <f t="shared" ref="J69:J100" si="2">K69/I69*100</f>
        <v>3.4883720930232567</v>
      </c>
      <c r="K69">
        <v>3.0000000000000001E-3</v>
      </c>
      <c r="L69" t="s">
        <v>17</v>
      </c>
      <c r="M69" t="s">
        <v>192</v>
      </c>
      <c r="N69" t="s">
        <v>201</v>
      </c>
    </row>
    <row r="70" spans="1:15" x14ac:dyDescent="0.2">
      <c r="A70" t="s">
        <v>190</v>
      </c>
      <c r="B70" t="s">
        <v>32</v>
      </c>
      <c r="C70">
        <v>5</v>
      </c>
      <c r="D70">
        <v>1</v>
      </c>
      <c r="E70">
        <v>5</v>
      </c>
      <c r="F70">
        <v>6</v>
      </c>
      <c r="G70">
        <v>1</v>
      </c>
      <c r="H70">
        <v>6</v>
      </c>
      <c r="I70">
        <v>9.6000000000000002E-2</v>
      </c>
      <c r="J70">
        <f t="shared" si="2"/>
        <v>3.125</v>
      </c>
      <c r="K70">
        <v>3.0000000000000001E-3</v>
      </c>
      <c r="L70" t="s">
        <v>17</v>
      </c>
      <c r="M70" t="s">
        <v>192</v>
      </c>
      <c r="N70" t="s">
        <v>201</v>
      </c>
    </row>
    <row r="71" spans="1:15" x14ac:dyDescent="0.2">
      <c r="A71" t="s">
        <v>190</v>
      </c>
      <c r="B71" t="s">
        <v>32</v>
      </c>
      <c r="C71">
        <v>5</v>
      </c>
      <c r="D71">
        <v>2</v>
      </c>
      <c r="E71">
        <v>4</v>
      </c>
      <c r="F71">
        <v>6</v>
      </c>
      <c r="G71">
        <v>2</v>
      </c>
      <c r="H71">
        <v>5</v>
      </c>
      <c r="I71">
        <v>0.1</v>
      </c>
      <c r="J71">
        <f t="shared" si="2"/>
        <v>3</v>
      </c>
      <c r="K71">
        <v>3.0000000000000001E-3</v>
      </c>
      <c r="L71" t="s">
        <v>17</v>
      </c>
      <c r="M71" t="s">
        <v>192</v>
      </c>
      <c r="N71" t="s">
        <v>201</v>
      </c>
    </row>
    <row r="72" spans="1:15" x14ac:dyDescent="0.2">
      <c r="A72" t="s">
        <v>190</v>
      </c>
      <c r="B72" t="s">
        <v>32</v>
      </c>
      <c r="C72">
        <v>4</v>
      </c>
      <c r="D72">
        <v>1</v>
      </c>
      <c r="E72">
        <v>3</v>
      </c>
      <c r="F72">
        <v>5</v>
      </c>
      <c r="G72">
        <v>1</v>
      </c>
      <c r="H72">
        <v>4</v>
      </c>
      <c r="I72">
        <v>0.13700000000000001</v>
      </c>
      <c r="J72">
        <f t="shared" si="2"/>
        <v>2.1897810218978098</v>
      </c>
      <c r="K72">
        <v>3.0000000000000001E-3</v>
      </c>
      <c r="L72" t="s">
        <v>17</v>
      </c>
      <c r="M72" t="s">
        <v>192</v>
      </c>
      <c r="N72" t="s">
        <v>201</v>
      </c>
    </row>
    <row r="73" spans="1:15" x14ac:dyDescent="0.2">
      <c r="A73" t="s">
        <v>190</v>
      </c>
      <c r="B73" t="s">
        <v>32</v>
      </c>
      <c r="C73">
        <v>4</v>
      </c>
      <c r="D73">
        <v>0</v>
      </c>
      <c r="E73">
        <v>4</v>
      </c>
      <c r="F73">
        <v>5</v>
      </c>
      <c r="G73">
        <v>0</v>
      </c>
      <c r="H73">
        <v>5</v>
      </c>
      <c r="I73">
        <v>0.111</v>
      </c>
      <c r="J73">
        <f t="shared" si="2"/>
        <v>2.7027027027027026</v>
      </c>
      <c r="K73">
        <v>3.0000000000000001E-3</v>
      </c>
      <c r="L73" t="s">
        <v>17</v>
      </c>
      <c r="M73" t="s">
        <v>192</v>
      </c>
      <c r="N73" t="s">
        <v>201</v>
      </c>
    </row>
    <row r="74" spans="1:15" x14ac:dyDescent="0.2">
      <c r="A74" t="s">
        <v>190</v>
      </c>
      <c r="B74" t="s">
        <v>32</v>
      </c>
      <c r="C74">
        <v>4</v>
      </c>
      <c r="D74">
        <v>1</v>
      </c>
      <c r="E74">
        <v>4</v>
      </c>
      <c r="F74">
        <v>5</v>
      </c>
      <c r="G74">
        <v>1</v>
      </c>
      <c r="H74">
        <v>5</v>
      </c>
      <c r="I74">
        <v>0.106</v>
      </c>
      <c r="J74">
        <f t="shared" si="2"/>
        <v>2.8301886792452833</v>
      </c>
      <c r="K74">
        <v>3.0000000000000001E-3</v>
      </c>
      <c r="L74" t="s">
        <v>17</v>
      </c>
      <c r="M74" t="s">
        <v>192</v>
      </c>
      <c r="N74" t="s">
        <v>201</v>
      </c>
    </row>
    <row r="75" spans="1:15" x14ac:dyDescent="0.2">
      <c r="A75" t="s">
        <v>190</v>
      </c>
      <c r="B75" t="s">
        <v>32</v>
      </c>
      <c r="C75">
        <v>4</v>
      </c>
      <c r="D75">
        <v>3</v>
      </c>
      <c r="E75">
        <v>1</v>
      </c>
      <c r="F75">
        <v>5</v>
      </c>
      <c r="G75">
        <v>3</v>
      </c>
      <c r="H75">
        <v>2</v>
      </c>
      <c r="I75">
        <v>0.126</v>
      </c>
      <c r="J75">
        <f t="shared" si="2"/>
        <v>2.3809523809523809</v>
      </c>
      <c r="K75">
        <v>3.0000000000000001E-3</v>
      </c>
      <c r="L75" t="s">
        <v>17</v>
      </c>
      <c r="M75" t="s">
        <v>192</v>
      </c>
      <c r="N75" t="s">
        <v>201</v>
      </c>
    </row>
    <row r="76" spans="1:15" x14ac:dyDescent="0.2">
      <c r="A76" t="s">
        <v>190</v>
      </c>
      <c r="B76" t="s">
        <v>32</v>
      </c>
      <c r="C76">
        <v>3</v>
      </c>
      <c r="D76">
        <v>0</v>
      </c>
      <c r="E76">
        <v>3</v>
      </c>
      <c r="F76">
        <v>4</v>
      </c>
      <c r="G76">
        <v>0</v>
      </c>
      <c r="H76">
        <v>4</v>
      </c>
      <c r="I76">
        <v>0.14499999999999999</v>
      </c>
      <c r="J76">
        <f t="shared" si="2"/>
        <v>2.0689655172413794</v>
      </c>
      <c r="K76">
        <v>3.0000000000000001E-3</v>
      </c>
      <c r="L76" t="s">
        <v>17</v>
      </c>
      <c r="M76" t="s">
        <v>192</v>
      </c>
      <c r="N76" t="s">
        <v>201</v>
      </c>
    </row>
    <row r="77" spans="1:15" x14ac:dyDescent="0.2">
      <c r="A77" t="s">
        <v>190</v>
      </c>
      <c r="B77" t="s">
        <v>32</v>
      </c>
      <c r="C77">
        <v>3</v>
      </c>
      <c r="D77">
        <v>1</v>
      </c>
      <c r="E77">
        <v>3</v>
      </c>
      <c r="F77">
        <v>4</v>
      </c>
      <c r="G77">
        <v>1</v>
      </c>
      <c r="H77">
        <v>4</v>
      </c>
      <c r="I77">
        <v>0.12</v>
      </c>
      <c r="J77">
        <f t="shared" si="2"/>
        <v>2.5</v>
      </c>
      <c r="K77">
        <v>3.0000000000000001E-3</v>
      </c>
      <c r="L77" t="s">
        <v>17</v>
      </c>
      <c r="M77" t="s">
        <v>192</v>
      </c>
      <c r="N77" t="s">
        <v>201</v>
      </c>
    </row>
    <row r="78" spans="1:15" x14ac:dyDescent="0.2">
      <c r="A78" t="s">
        <v>190</v>
      </c>
      <c r="B78" t="s">
        <v>32</v>
      </c>
      <c r="C78">
        <v>3</v>
      </c>
      <c r="D78">
        <v>2</v>
      </c>
      <c r="E78">
        <v>2</v>
      </c>
      <c r="F78">
        <v>4</v>
      </c>
      <c r="G78">
        <v>2</v>
      </c>
      <c r="H78">
        <v>3</v>
      </c>
      <c r="I78">
        <v>0.11</v>
      </c>
      <c r="J78">
        <f t="shared" si="2"/>
        <v>2.7272727272727275</v>
      </c>
      <c r="K78">
        <v>3.0000000000000001E-3</v>
      </c>
      <c r="L78" t="s">
        <v>17</v>
      </c>
      <c r="M78" t="s">
        <v>192</v>
      </c>
      <c r="N78" t="s">
        <v>201</v>
      </c>
    </row>
    <row r="79" spans="1:15" x14ac:dyDescent="0.2">
      <c r="A79" t="s">
        <v>190</v>
      </c>
      <c r="B79" t="s">
        <v>32</v>
      </c>
      <c r="C79">
        <v>2</v>
      </c>
      <c r="D79">
        <v>1</v>
      </c>
      <c r="E79">
        <v>1</v>
      </c>
      <c r="F79">
        <v>3</v>
      </c>
      <c r="G79">
        <v>1</v>
      </c>
      <c r="H79">
        <v>2</v>
      </c>
      <c r="I79">
        <v>0.18</v>
      </c>
      <c r="J79">
        <f t="shared" si="2"/>
        <v>1.6666666666666667</v>
      </c>
      <c r="K79">
        <v>3.0000000000000001E-3</v>
      </c>
      <c r="L79" t="s">
        <v>17</v>
      </c>
      <c r="M79" t="s">
        <v>192</v>
      </c>
      <c r="N79" t="s">
        <v>201</v>
      </c>
    </row>
    <row r="80" spans="1:15" x14ac:dyDescent="0.2">
      <c r="A80" t="s">
        <v>190</v>
      </c>
      <c r="B80" t="s">
        <v>32</v>
      </c>
      <c r="C80">
        <v>2</v>
      </c>
      <c r="D80">
        <v>0</v>
      </c>
      <c r="E80">
        <v>2</v>
      </c>
      <c r="F80">
        <v>3</v>
      </c>
      <c r="G80">
        <v>0</v>
      </c>
      <c r="H80">
        <v>3</v>
      </c>
      <c r="I80">
        <v>0.17499999999999999</v>
      </c>
      <c r="J80">
        <f t="shared" si="2"/>
        <v>1.7142857142857144</v>
      </c>
      <c r="K80">
        <v>3.0000000000000001E-3</v>
      </c>
      <c r="L80" t="s">
        <v>17</v>
      </c>
      <c r="M80" t="s">
        <v>192</v>
      </c>
      <c r="N80" t="s">
        <v>201</v>
      </c>
    </row>
    <row r="81" spans="1:14" x14ac:dyDescent="0.2">
      <c r="A81" t="s">
        <v>190</v>
      </c>
      <c r="B81" t="s">
        <v>32</v>
      </c>
      <c r="C81">
        <v>3</v>
      </c>
      <c r="D81">
        <v>3</v>
      </c>
      <c r="E81">
        <v>1</v>
      </c>
      <c r="F81">
        <v>4</v>
      </c>
      <c r="G81">
        <v>3</v>
      </c>
      <c r="H81">
        <v>2</v>
      </c>
      <c r="I81">
        <v>0.11</v>
      </c>
      <c r="J81">
        <f t="shared" si="2"/>
        <v>2.7272727272727275</v>
      </c>
      <c r="K81">
        <v>3.0000000000000001E-3</v>
      </c>
      <c r="L81" t="s">
        <v>17</v>
      </c>
      <c r="M81" t="s">
        <v>192</v>
      </c>
      <c r="N81" t="s">
        <v>201</v>
      </c>
    </row>
    <row r="82" spans="1:14" x14ac:dyDescent="0.2">
      <c r="A82" t="s">
        <v>190</v>
      </c>
      <c r="B82" t="s">
        <v>32</v>
      </c>
      <c r="C82">
        <v>2</v>
      </c>
      <c r="D82">
        <v>1</v>
      </c>
      <c r="E82">
        <v>2</v>
      </c>
      <c r="F82">
        <v>3</v>
      </c>
      <c r="G82">
        <v>1</v>
      </c>
      <c r="H82">
        <v>3</v>
      </c>
      <c r="I82">
        <v>0.14299999999999999</v>
      </c>
      <c r="J82">
        <f t="shared" si="2"/>
        <v>2.0979020979020979</v>
      </c>
      <c r="K82">
        <v>3.0000000000000001E-3</v>
      </c>
      <c r="L82" t="s">
        <v>17</v>
      </c>
      <c r="M82" t="s">
        <v>192</v>
      </c>
      <c r="N82" t="s">
        <v>201</v>
      </c>
    </row>
    <row r="83" spans="1:14" x14ac:dyDescent="0.2">
      <c r="A83" t="s">
        <v>190</v>
      </c>
      <c r="B83" t="s">
        <v>32</v>
      </c>
      <c r="C83">
        <v>2</v>
      </c>
      <c r="D83">
        <v>2</v>
      </c>
      <c r="E83">
        <v>0</v>
      </c>
      <c r="F83">
        <v>3</v>
      </c>
      <c r="G83">
        <v>2</v>
      </c>
      <c r="H83">
        <v>1</v>
      </c>
      <c r="I83">
        <v>0.157</v>
      </c>
      <c r="J83">
        <f t="shared" si="2"/>
        <v>1.910828025477707</v>
      </c>
      <c r="K83">
        <v>3.0000000000000001E-3</v>
      </c>
      <c r="L83" t="s">
        <v>17</v>
      </c>
      <c r="M83" t="s">
        <v>192</v>
      </c>
      <c r="N83" t="s">
        <v>201</v>
      </c>
    </row>
    <row r="84" spans="1:14" x14ac:dyDescent="0.2">
      <c r="A84" t="s">
        <v>190</v>
      </c>
      <c r="B84" t="s">
        <v>32</v>
      </c>
      <c r="C84">
        <v>1</v>
      </c>
      <c r="D84">
        <v>1</v>
      </c>
      <c r="E84">
        <v>1</v>
      </c>
      <c r="F84">
        <v>2</v>
      </c>
      <c r="G84">
        <v>1</v>
      </c>
      <c r="H84">
        <v>2</v>
      </c>
      <c r="I84">
        <v>0.17299999999999999</v>
      </c>
      <c r="J84">
        <f t="shared" si="2"/>
        <v>1.7341040462427748</v>
      </c>
      <c r="K84">
        <v>3.0000000000000001E-3</v>
      </c>
      <c r="L84" t="s">
        <v>17</v>
      </c>
      <c r="M84" t="s">
        <v>192</v>
      </c>
      <c r="N84" t="s">
        <v>201</v>
      </c>
    </row>
    <row r="85" spans="1:14" x14ac:dyDescent="0.2">
      <c r="A85" t="s">
        <v>190</v>
      </c>
      <c r="B85" t="s">
        <v>32</v>
      </c>
      <c r="C85">
        <v>0</v>
      </c>
      <c r="D85">
        <v>0</v>
      </c>
      <c r="E85">
        <v>0</v>
      </c>
      <c r="F85">
        <v>1</v>
      </c>
      <c r="G85">
        <v>0</v>
      </c>
      <c r="H85">
        <v>1</v>
      </c>
      <c r="I85">
        <v>0.20499999999999999</v>
      </c>
      <c r="J85">
        <f t="shared" si="2"/>
        <v>1.4634146341463417</v>
      </c>
      <c r="K85">
        <v>3.0000000000000001E-3</v>
      </c>
      <c r="L85" t="s">
        <v>17</v>
      </c>
      <c r="M85" t="s">
        <v>192</v>
      </c>
      <c r="N85" t="s">
        <v>201</v>
      </c>
    </row>
    <row r="86" spans="1:14" x14ac:dyDescent="0.2">
      <c r="A86" t="s">
        <v>190</v>
      </c>
      <c r="B86" t="s">
        <v>32</v>
      </c>
      <c r="C86">
        <v>1</v>
      </c>
      <c r="D86">
        <v>1</v>
      </c>
      <c r="E86">
        <v>1</v>
      </c>
      <c r="F86">
        <v>1</v>
      </c>
      <c r="G86">
        <v>1</v>
      </c>
      <c r="H86">
        <v>0</v>
      </c>
      <c r="I86">
        <v>0.19700000000000001</v>
      </c>
      <c r="J86">
        <f t="shared" si="2"/>
        <v>1.5228426395939085</v>
      </c>
      <c r="K86">
        <v>3.0000000000000001E-3</v>
      </c>
      <c r="L86" t="s">
        <v>17</v>
      </c>
      <c r="M86" t="s">
        <v>192</v>
      </c>
      <c r="N86" t="s">
        <v>201</v>
      </c>
    </row>
    <row r="87" spans="1:14" x14ac:dyDescent="0.2">
      <c r="A87" t="s">
        <v>190</v>
      </c>
      <c r="B87" t="s">
        <v>32</v>
      </c>
      <c r="C87">
        <v>3</v>
      </c>
      <c r="D87">
        <v>2</v>
      </c>
      <c r="E87">
        <v>2</v>
      </c>
      <c r="F87">
        <v>3</v>
      </c>
      <c r="G87">
        <v>2</v>
      </c>
      <c r="H87">
        <v>1</v>
      </c>
      <c r="I87">
        <v>0.155</v>
      </c>
      <c r="J87">
        <f t="shared" si="2"/>
        <v>1.935483870967742</v>
      </c>
      <c r="K87">
        <v>3.0000000000000001E-3</v>
      </c>
      <c r="L87" t="s">
        <v>17</v>
      </c>
      <c r="M87" t="s">
        <v>192</v>
      </c>
      <c r="N87" t="s">
        <v>201</v>
      </c>
    </row>
    <row r="88" spans="1:14" x14ac:dyDescent="0.2">
      <c r="A88" t="s">
        <v>190</v>
      </c>
      <c r="B88" t="s">
        <v>32</v>
      </c>
      <c r="C88">
        <v>2</v>
      </c>
      <c r="D88">
        <v>2</v>
      </c>
      <c r="E88">
        <v>1</v>
      </c>
      <c r="F88">
        <v>2</v>
      </c>
      <c r="G88">
        <v>2</v>
      </c>
      <c r="H88">
        <v>0</v>
      </c>
      <c r="I88">
        <v>0.14899999999999999</v>
      </c>
      <c r="J88">
        <f t="shared" si="2"/>
        <v>2.0134228187919465</v>
      </c>
      <c r="K88">
        <v>3.0000000000000001E-3</v>
      </c>
      <c r="L88" t="s">
        <v>17</v>
      </c>
      <c r="M88" t="s">
        <v>192</v>
      </c>
      <c r="N88" t="s">
        <v>201</v>
      </c>
    </row>
    <row r="89" spans="1:14" x14ac:dyDescent="0.2">
      <c r="A89" t="s">
        <v>190</v>
      </c>
      <c r="B89" t="s">
        <v>32</v>
      </c>
      <c r="C89">
        <v>2</v>
      </c>
      <c r="D89">
        <v>2</v>
      </c>
      <c r="E89">
        <v>0</v>
      </c>
      <c r="F89">
        <v>2</v>
      </c>
      <c r="G89">
        <v>2</v>
      </c>
      <c r="H89">
        <v>1</v>
      </c>
      <c r="I89">
        <v>0.13500000000000001</v>
      </c>
      <c r="J89">
        <f t="shared" si="2"/>
        <v>2.2222222222222219</v>
      </c>
      <c r="K89">
        <v>3.0000000000000001E-3</v>
      </c>
      <c r="L89" t="s">
        <v>17</v>
      </c>
      <c r="M89" t="s">
        <v>192</v>
      </c>
      <c r="N89" t="s">
        <v>201</v>
      </c>
    </row>
    <row r="90" spans="1:14" x14ac:dyDescent="0.2">
      <c r="A90" t="s">
        <v>190</v>
      </c>
      <c r="B90" t="s">
        <v>32</v>
      </c>
      <c r="C90">
        <v>2</v>
      </c>
      <c r="D90">
        <v>1</v>
      </c>
      <c r="E90">
        <v>1</v>
      </c>
      <c r="F90">
        <v>2</v>
      </c>
      <c r="G90">
        <v>1</v>
      </c>
      <c r="H90">
        <v>2</v>
      </c>
      <c r="I90">
        <v>0.17899999999999999</v>
      </c>
      <c r="J90">
        <f t="shared" si="2"/>
        <v>1.6759776536312849</v>
      </c>
      <c r="K90">
        <v>3.0000000000000001E-3</v>
      </c>
      <c r="L90" t="s">
        <v>17</v>
      </c>
      <c r="M90" t="s">
        <v>192</v>
      </c>
      <c r="N90" t="s">
        <v>201</v>
      </c>
    </row>
    <row r="91" spans="1:14" x14ac:dyDescent="0.2">
      <c r="A91" t="s">
        <v>190</v>
      </c>
      <c r="B91" t="s">
        <v>32</v>
      </c>
      <c r="C91">
        <v>3</v>
      </c>
      <c r="D91">
        <v>2</v>
      </c>
      <c r="E91">
        <v>1</v>
      </c>
      <c r="F91">
        <v>3</v>
      </c>
      <c r="G91">
        <v>2</v>
      </c>
      <c r="H91">
        <v>2</v>
      </c>
      <c r="I91">
        <v>0.13900000000000001</v>
      </c>
      <c r="J91">
        <f t="shared" si="2"/>
        <v>2.1582733812949639</v>
      </c>
      <c r="K91">
        <v>3.0000000000000001E-3</v>
      </c>
      <c r="L91" t="s">
        <v>17</v>
      </c>
      <c r="M91" t="s">
        <v>192</v>
      </c>
      <c r="N91" t="s">
        <v>201</v>
      </c>
    </row>
    <row r="92" spans="1:14" x14ac:dyDescent="0.2">
      <c r="A92" t="s">
        <v>190</v>
      </c>
      <c r="B92" t="s">
        <v>32</v>
      </c>
      <c r="C92">
        <v>5</v>
      </c>
      <c r="D92">
        <v>3</v>
      </c>
      <c r="E92">
        <v>3</v>
      </c>
      <c r="F92">
        <v>5</v>
      </c>
      <c r="G92">
        <v>3</v>
      </c>
      <c r="H92">
        <v>2</v>
      </c>
      <c r="I92">
        <v>0.125</v>
      </c>
      <c r="J92">
        <f t="shared" si="2"/>
        <v>2.4</v>
      </c>
      <c r="K92">
        <v>3.0000000000000001E-3</v>
      </c>
      <c r="L92" t="s">
        <v>17</v>
      </c>
      <c r="M92" t="s">
        <v>192</v>
      </c>
      <c r="N92" t="s">
        <v>201</v>
      </c>
    </row>
    <row r="93" spans="1:14" x14ac:dyDescent="0.2">
      <c r="A93" t="s">
        <v>190</v>
      </c>
      <c r="B93" t="s">
        <v>32</v>
      </c>
      <c r="C93">
        <v>4</v>
      </c>
      <c r="D93">
        <v>2</v>
      </c>
      <c r="E93">
        <v>2</v>
      </c>
      <c r="F93">
        <v>4</v>
      </c>
      <c r="G93">
        <v>2</v>
      </c>
      <c r="H93">
        <v>3</v>
      </c>
      <c r="I93">
        <v>0.14499999999999999</v>
      </c>
      <c r="J93">
        <f t="shared" si="2"/>
        <v>2.0689655172413794</v>
      </c>
      <c r="K93">
        <v>3.0000000000000001E-3</v>
      </c>
      <c r="L93" t="s">
        <v>17</v>
      </c>
      <c r="M93" t="s">
        <v>192</v>
      </c>
      <c r="N93" t="s">
        <v>201</v>
      </c>
    </row>
    <row r="94" spans="1:14" x14ac:dyDescent="0.2">
      <c r="A94" t="s">
        <v>190</v>
      </c>
      <c r="B94" t="s">
        <v>32</v>
      </c>
      <c r="C94">
        <v>4</v>
      </c>
      <c r="D94">
        <v>3</v>
      </c>
      <c r="E94">
        <v>1</v>
      </c>
      <c r="F94">
        <v>4</v>
      </c>
      <c r="G94">
        <v>3</v>
      </c>
      <c r="H94">
        <v>2</v>
      </c>
      <c r="I94">
        <v>0.10199999999999999</v>
      </c>
      <c r="J94">
        <f t="shared" si="2"/>
        <v>2.9411764705882355</v>
      </c>
      <c r="K94">
        <v>3.0000000000000001E-3</v>
      </c>
      <c r="L94" t="s">
        <v>17</v>
      </c>
      <c r="M94" t="s">
        <v>192</v>
      </c>
      <c r="N94" t="s">
        <v>201</v>
      </c>
    </row>
    <row r="95" spans="1:14" x14ac:dyDescent="0.2">
      <c r="A95" t="s">
        <v>190</v>
      </c>
      <c r="B95" t="s">
        <v>32</v>
      </c>
      <c r="C95">
        <v>3</v>
      </c>
      <c r="D95">
        <v>3</v>
      </c>
      <c r="E95">
        <v>1</v>
      </c>
      <c r="F95">
        <v>3</v>
      </c>
      <c r="G95">
        <v>3</v>
      </c>
      <c r="H95">
        <v>0</v>
      </c>
      <c r="I95">
        <v>0.112</v>
      </c>
      <c r="J95">
        <f t="shared" si="2"/>
        <v>2.6785714285714284</v>
      </c>
      <c r="K95">
        <v>3.0000000000000001E-3</v>
      </c>
      <c r="L95" t="s">
        <v>17</v>
      </c>
      <c r="M95" t="s">
        <v>192</v>
      </c>
      <c r="N95" t="s">
        <v>201</v>
      </c>
    </row>
    <row r="96" spans="1:14" x14ac:dyDescent="0.2">
      <c r="A96" t="s">
        <v>190</v>
      </c>
      <c r="B96" t="s">
        <v>32</v>
      </c>
      <c r="C96">
        <v>3</v>
      </c>
      <c r="D96">
        <v>3</v>
      </c>
      <c r="E96">
        <v>0</v>
      </c>
      <c r="F96">
        <v>3</v>
      </c>
      <c r="G96">
        <v>3</v>
      </c>
      <c r="H96">
        <v>1</v>
      </c>
      <c r="I96">
        <v>0.108</v>
      </c>
      <c r="J96">
        <f t="shared" si="2"/>
        <v>2.7777777777777781</v>
      </c>
      <c r="K96">
        <v>3.0000000000000001E-3</v>
      </c>
      <c r="L96" t="s">
        <v>17</v>
      </c>
      <c r="M96" t="s">
        <v>192</v>
      </c>
      <c r="N96" t="s">
        <v>201</v>
      </c>
    </row>
    <row r="97" spans="1:14" x14ac:dyDescent="0.2">
      <c r="A97" t="s">
        <v>190</v>
      </c>
      <c r="B97" t="s">
        <v>32</v>
      </c>
      <c r="C97">
        <v>2</v>
      </c>
      <c r="D97">
        <v>1</v>
      </c>
      <c r="E97">
        <v>2</v>
      </c>
      <c r="F97">
        <v>1</v>
      </c>
      <c r="G97">
        <v>1</v>
      </c>
      <c r="H97">
        <v>1</v>
      </c>
      <c r="I97">
        <v>0.17</v>
      </c>
      <c r="J97">
        <f t="shared" si="2"/>
        <v>1.7647058823529411</v>
      </c>
      <c r="K97">
        <v>3.0000000000000001E-3</v>
      </c>
      <c r="L97" t="s">
        <v>17</v>
      </c>
      <c r="M97" t="s">
        <v>192</v>
      </c>
      <c r="N97" t="s">
        <v>201</v>
      </c>
    </row>
    <row r="98" spans="1:14" x14ac:dyDescent="0.2">
      <c r="A98" t="s">
        <v>190</v>
      </c>
      <c r="B98" t="s">
        <v>32</v>
      </c>
      <c r="C98">
        <v>2</v>
      </c>
      <c r="D98">
        <v>0</v>
      </c>
      <c r="E98">
        <v>2</v>
      </c>
      <c r="F98">
        <v>1</v>
      </c>
      <c r="G98">
        <v>0</v>
      </c>
      <c r="H98">
        <v>1</v>
      </c>
      <c r="I98">
        <v>0.20300000000000001</v>
      </c>
      <c r="J98">
        <f t="shared" si="2"/>
        <v>1.4778325123152709</v>
      </c>
      <c r="K98">
        <v>3.0000000000000001E-3</v>
      </c>
      <c r="L98" t="s">
        <v>17</v>
      </c>
      <c r="M98" t="s">
        <v>192</v>
      </c>
      <c r="N98" t="s">
        <v>201</v>
      </c>
    </row>
    <row r="99" spans="1:14" x14ac:dyDescent="0.2">
      <c r="A99" t="s">
        <v>190</v>
      </c>
      <c r="B99" t="s">
        <v>32</v>
      </c>
      <c r="C99">
        <v>2</v>
      </c>
      <c r="D99">
        <v>1</v>
      </c>
      <c r="E99">
        <v>1</v>
      </c>
      <c r="F99">
        <v>1</v>
      </c>
      <c r="G99">
        <v>1</v>
      </c>
      <c r="H99">
        <v>0</v>
      </c>
      <c r="I99">
        <v>0.19</v>
      </c>
      <c r="J99">
        <f t="shared" si="2"/>
        <v>1.5789473684210527</v>
      </c>
      <c r="K99">
        <v>3.0000000000000001E-3</v>
      </c>
      <c r="L99" t="s">
        <v>17</v>
      </c>
      <c r="M99" t="s">
        <v>192</v>
      </c>
      <c r="N99" t="s">
        <v>201</v>
      </c>
    </row>
    <row r="100" spans="1:14" x14ac:dyDescent="0.2">
      <c r="A100" t="s">
        <v>190</v>
      </c>
      <c r="B100" t="s">
        <v>32</v>
      </c>
      <c r="C100">
        <v>5</v>
      </c>
      <c r="D100">
        <v>4</v>
      </c>
      <c r="E100">
        <v>2</v>
      </c>
      <c r="F100">
        <v>5</v>
      </c>
      <c r="G100">
        <v>4</v>
      </c>
      <c r="H100">
        <v>1</v>
      </c>
      <c r="I100">
        <v>0.1</v>
      </c>
      <c r="J100">
        <f t="shared" si="2"/>
        <v>3</v>
      </c>
      <c r="K100">
        <v>3.0000000000000001E-3</v>
      </c>
      <c r="L100" t="s">
        <v>17</v>
      </c>
      <c r="M100" t="s">
        <v>192</v>
      </c>
      <c r="N100" t="s">
        <v>201</v>
      </c>
    </row>
    <row r="101" spans="1:14" x14ac:dyDescent="0.2">
      <c r="A101" t="s">
        <v>190</v>
      </c>
      <c r="B101" t="s">
        <v>32</v>
      </c>
      <c r="C101">
        <v>4</v>
      </c>
      <c r="D101">
        <v>1</v>
      </c>
      <c r="E101">
        <v>4</v>
      </c>
      <c r="F101">
        <v>3</v>
      </c>
      <c r="G101">
        <v>1</v>
      </c>
      <c r="H101">
        <v>3</v>
      </c>
      <c r="I101">
        <v>0.122</v>
      </c>
      <c r="J101">
        <f t="shared" ref="J101:J132" si="3">K101/I101*100</f>
        <v>2.459016393442623</v>
      </c>
      <c r="K101">
        <v>3.0000000000000001E-3</v>
      </c>
      <c r="L101" t="s">
        <v>17</v>
      </c>
      <c r="M101" t="s">
        <v>192</v>
      </c>
      <c r="N101" t="s">
        <v>201</v>
      </c>
    </row>
    <row r="102" spans="1:14" x14ac:dyDescent="0.2">
      <c r="A102" t="s">
        <v>190</v>
      </c>
      <c r="B102" t="s">
        <v>32</v>
      </c>
      <c r="C102">
        <v>4</v>
      </c>
      <c r="D102">
        <v>0</v>
      </c>
      <c r="E102">
        <v>4</v>
      </c>
      <c r="F102">
        <v>3</v>
      </c>
      <c r="G102">
        <v>0</v>
      </c>
      <c r="H102">
        <v>3</v>
      </c>
      <c r="I102">
        <v>0.14899999999999999</v>
      </c>
      <c r="J102">
        <f t="shared" si="3"/>
        <v>2.0134228187919465</v>
      </c>
      <c r="K102">
        <v>3.0000000000000001E-3</v>
      </c>
      <c r="L102" t="s">
        <v>17</v>
      </c>
      <c r="M102" t="s">
        <v>192</v>
      </c>
      <c r="N102" t="s">
        <v>201</v>
      </c>
    </row>
    <row r="103" spans="1:14" x14ac:dyDescent="0.2">
      <c r="A103" t="s">
        <v>190</v>
      </c>
      <c r="B103" t="s">
        <v>32</v>
      </c>
      <c r="C103">
        <v>3</v>
      </c>
      <c r="D103">
        <v>2</v>
      </c>
      <c r="E103">
        <v>2</v>
      </c>
      <c r="F103">
        <v>2</v>
      </c>
      <c r="G103">
        <v>2</v>
      </c>
      <c r="H103">
        <v>1</v>
      </c>
      <c r="I103">
        <v>0.125</v>
      </c>
      <c r="J103">
        <f t="shared" si="3"/>
        <v>2.4</v>
      </c>
      <c r="K103">
        <v>3.0000000000000001E-3</v>
      </c>
      <c r="L103" t="s">
        <v>17</v>
      </c>
      <c r="M103" t="s">
        <v>192</v>
      </c>
      <c r="N103" t="s">
        <v>201</v>
      </c>
    </row>
    <row r="104" spans="1:14" x14ac:dyDescent="0.2">
      <c r="A104" t="s">
        <v>190</v>
      </c>
      <c r="B104" t="s">
        <v>32</v>
      </c>
      <c r="C104">
        <v>5</v>
      </c>
      <c r="D104">
        <v>1</v>
      </c>
      <c r="E104">
        <v>5</v>
      </c>
      <c r="F104">
        <v>4</v>
      </c>
      <c r="G104">
        <v>1</v>
      </c>
      <c r="H104">
        <v>4</v>
      </c>
      <c r="I104">
        <v>0.107</v>
      </c>
      <c r="J104">
        <f t="shared" si="3"/>
        <v>2.8037383177570092</v>
      </c>
      <c r="K104">
        <v>3.0000000000000001E-3</v>
      </c>
      <c r="L104" t="s">
        <v>17</v>
      </c>
      <c r="M104" t="s">
        <v>192</v>
      </c>
      <c r="N104" t="s">
        <v>201</v>
      </c>
    </row>
    <row r="105" spans="1:14" x14ac:dyDescent="0.2">
      <c r="A105" t="s">
        <v>190</v>
      </c>
      <c r="B105" t="s">
        <v>32</v>
      </c>
      <c r="C105">
        <v>7</v>
      </c>
      <c r="D105">
        <v>3</v>
      </c>
      <c r="E105">
        <v>5</v>
      </c>
      <c r="F105">
        <v>8</v>
      </c>
      <c r="G105">
        <v>1</v>
      </c>
      <c r="H105">
        <v>8</v>
      </c>
      <c r="I105">
        <v>9.8000000000000004E-2</v>
      </c>
      <c r="J105">
        <f t="shared" si="3"/>
        <v>3.0612244897959182</v>
      </c>
      <c r="K105">
        <v>3.0000000000000001E-3</v>
      </c>
      <c r="L105" t="s">
        <v>17</v>
      </c>
      <c r="M105" t="s">
        <v>192</v>
      </c>
      <c r="N105" t="s">
        <v>201</v>
      </c>
    </row>
    <row r="106" spans="1:14" x14ac:dyDescent="0.2">
      <c r="A106" t="s">
        <v>190</v>
      </c>
      <c r="B106" t="s">
        <v>32</v>
      </c>
      <c r="C106">
        <v>6</v>
      </c>
      <c r="D106">
        <v>0</v>
      </c>
      <c r="E106">
        <v>6</v>
      </c>
      <c r="F106">
        <v>5</v>
      </c>
      <c r="G106">
        <v>0</v>
      </c>
      <c r="H106">
        <v>5</v>
      </c>
      <c r="I106">
        <v>9.5000000000000001E-2</v>
      </c>
      <c r="J106">
        <f t="shared" si="3"/>
        <v>3.1578947368421053</v>
      </c>
      <c r="K106">
        <v>3.0000000000000001E-3</v>
      </c>
      <c r="L106" t="s">
        <v>17</v>
      </c>
      <c r="M106" t="s">
        <v>192</v>
      </c>
      <c r="N106" t="s">
        <v>201</v>
      </c>
    </row>
    <row r="107" spans="1:14" x14ac:dyDescent="0.2">
      <c r="A107" t="s">
        <v>190</v>
      </c>
      <c r="B107" t="s">
        <v>32</v>
      </c>
      <c r="C107">
        <v>4</v>
      </c>
      <c r="D107">
        <v>2</v>
      </c>
      <c r="E107">
        <v>2</v>
      </c>
      <c r="F107">
        <v>3</v>
      </c>
      <c r="G107">
        <v>2</v>
      </c>
      <c r="H107">
        <v>1</v>
      </c>
      <c r="I107">
        <v>0.155</v>
      </c>
      <c r="J107">
        <f t="shared" si="3"/>
        <v>1.935483870967742</v>
      </c>
      <c r="K107">
        <v>3.0000000000000001E-3</v>
      </c>
      <c r="L107" t="s">
        <v>17</v>
      </c>
      <c r="M107" t="s">
        <v>192</v>
      </c>
      <c r="N107" t="s">
        <v>201</v>
      </c>
    </row>
    <row r="108" spans="1:14" x14ac:dyDescent="0.2">
      <c r="A108" t="s">
        <v>190</v>
      </c>
      <c r="B108" t="s">
        <v>32</v>
      </c>
      <c r="C108">
        <v>7</v>
      </c>
      <c r="D108">
        <v>1</v>
      </c>
      <c r="E108">
        <v>7</v>
      </c>
      <c r="F108">
        <v>6</v>
      </c>
      <c r="G108">
        <v>1</v>
      </c>
      <c r="H108">
        <v>6</v>
      </c>
      <c r="I108">
        <v>8.7999999999999995E-2</v>
      </c>
      <c r="J108">
        <f t="shared" si="3"/>
        <v>3.4090909090909096</v>
      </c>
      <c r="K108">
        <v>3.0000000000000001E-3</v>
      </c>
      <c r="L108" t="s">
        <v>17</v>
      </c>
      <c r="M108" t="s">
        <v>192</v>
      </c>
      <c r="N108" t="s">
        <v>201</v>
      </c>
    </row>
    <row r="109" spans="1:14" x14ac:dyDescent="0.2">
      <c r="A109" t="s">
        <v>190</v>
      </c>
      <c r="B109" t="s">
        <v>32</v>
      </c>
      <c r="C109">
        <v>5</v>
      </c>
      <c r="D109">
        <v>2</v>
      </c>
      <c r="E109">
        <v>4</v>
      </c>
      <c r="F109">
        <v>4</v>
      </c>
      <c r="G109">
        <v>2</v>
      </c>
      <c r="H109">
        <v>3</v>
      </c>
      <c r="I109">
        <v>0.107</v>
      </c>
      <c r="J109">
        <f t="shared" si="3"/>
        <v>2.8037383177570092</v>
      </c>
      <c r="K109">
        <v>3.0000000000000001E-3</v>
      </c>
      <c r="L109" t="s">
        <v>17</v>
      </c>
      <c r="M109" t="s">
        <v>192</v>
      </c>
      <c r="N109" t="s">
        <v>201</v>
      </c>
    </row>
    <row r="110" spans="1:14" x14ac:dyDescent="0.2">
      <c r="A110" t="s">
        <v>190</v>
      </c>
      <c r="B110" t="s">
        <v>32</v>
      </c>
      <c r="C110">
        <v>8</v>
      </c>
      <c r="D110">
        <v>0</v>
      </c>
      <c r="E110">
        <v>8</v>
      </c>
      <c r="F110">
        <v>7</v>
      </c>
      <c r="G110">
        <v>0</v>
      </c>
      <c r="H110">
        <v>7</v>
      </c>
      <c r="I110">
        <v>8.2000000000000003E-2</v>
      </c>
      <c r="J110">
        <f t="shared" si="3"/>
        <v>3.6585365853658534</v>
      </c>
      <c r="K110">
        <v>3.0000000000000001E-3</v>
      </c>
      <c r="L110" t="s">
        <v>17</v>
      </c>
      <c r="M110" t="s">
        <v>192</v>
      </c>
      <c r="N110" t="s">
        <v>201</v>
      </c>
    </row>
    <row r="111" spans="1:14" x14ac:dyDescent="0.2">
      <c r="A111" t="s">
        <v>190</v>
      </c>
      <c r="B111" t="s">
        <v>32</v>
      </c>
      <c r="C111">
        <v>4</v>
      </c>
      <c r="D111">
        <v>3</v>
      </c>
      <c r="E111">
        <v>1</v>
      </c>
      <c r="F111">
        <v>3</v>
      </c>
      <c r="G111">
        <v>3</v>
      </c>
      <c r="H111">
        <v>0</v>
      </c>
      <c r="I111">
        <v>0.113</v>
      </c>
      <c r="J111">
        <f t="shared" si="3"/>
        <v>2.6548672566371683</v>
      </c>
      <c r="K111">
        <v>3.0000000000000001E-3</v>
      </c>
      <c r="L111" t="s">
        <v>17</v>
      </c>
      <c r="M111" t="s">
        <v>192</v>
      </c>
      <c r="N111" t="s">
        <v>201</v>
      </c>
    </row>
    <row r="112" spans="1:14" x14ac:dyDescent="0.2">
      <c r="A112" t="s">
        <v>190</v>
      </c>
      <c r="B112" t="s">
        <v>32</v>
      </c>
      <c r="C112">
        <v>5</v>
      </c>
      <c r="D112">
        <v>3</v>
      </c>
      <c r="E112">
        <v>3</v>
      </c>
      <c r="F112">
        <v>4</v>
      </c>
      <c r="G112">
        <v>3</v>
      </c>
      <c r="H112">
        <v>2</v>
      </c>
      <c r="I112">
        <v>0.10100000000000001</v>
      </c>
      <c r="J112">
        <f t="shared" si="3"/>
        <v>2.9702970297029703</v>
      </c>
      <c r="K112">
        <v>3.0000000000000001E-3</v>
      </c>
      <c r="L112" t="s">
        <v>17</v>
      </c>
      <c r="M112" t="s">
        <v>192</v>
      </c>
      <c r="N112" t="s">
        <v>201</v>
      </c>
    </row>
    <row r="113" spans="1:14" x14ac:dyDescent="0.2">
      <c r="A113" t="s">
        <v>190</v>
      </c>
      <c r="B113" t="s">
        <v>32</v>
      </c>
      <c r="C113">
        <v>7</v>
      </c>
      <c r="D113">
        <v>2</v>
      </c>
      <c r="E113">
        <v>6</v>
      </c>
      <c r="F113">
        <v>6</v>
      </c>
      <c r="G113">
        <v>2</v>
      </c>
      <c r="H113">
        <v>5</v>
      </c>
      <c r="I113">
        <v>9.7000000000000003E-2</v>
      </c>
      <c r="J113">
        <f t="shared" si="3"/>
        <v>3.0927835051546393</v>
      </c>
      <c r="K113">
        <v>3.0000000000000001E-3</v>
      </c>
      <c r="L113" t="s">
        <v>17</v>
      </c>
      <c r="M113" t="s">
        <v>192</v>
      </c>
      <c r="N113" t="s">
        <v>201</v>
      </c>
    </row>
    <row r="114" spans="1:14" x14ac:dyDescent="0.2">
      <c r="A114" t="s">
        <v>190</v>
      </c>
      <c r="B114" t="s">
        <v>32</v>
      </c>
      <c r="C114">
        <v>6</v>
      </c>
      <c r="D114">
        <v>2</v>
      </c>
      <c r="E114">
        <v>4</v>
      </c>
      <c r="F114">
        <v>5</v>
      </c>
      <c r="G114">
        <v>2</v>
      </c>
      <c r="H114">
        <v>3</v>
      </c>
      <c r="I114">
        <v>0.14199999999999999</v>
      </c>
      <c r="J114">
        <f t="shared" si="3"/>
        <v>2.1126760563380285</v>
      </c>
      <c r="K114">
        <v>3.0000000000000001E-3</v>
      </c>
      <c r="L114" t="s">
        <v>17</v>
      </c>
      <c r="M114" t="s">
        <v>192</v>
      </c>
      <c r="N114" t="s">
        <v>201</v>
      </c>
    </row>
    <row r="115" spans="1:14" x14ac:dyDescent="0.2">
      <c r="A115" t="s">
        <v>190</v>
      </c>
      <c r="B115" t="s">
        <v>32</v>
      </c>
      <c r="C115">
        <v>6</v>
      </c>
      <c r="D115">
        <v>3</v>
      </c>
      <c r="E115">
        <v>3</v>
      </c>
      <c r="F115">
        <v>5</v>
      </c>
      <c r="G115">
        <v>3</v>
      </c>
      <c r="H115">
        <v>2</v>
      </c>
      <c r="I115">
        <v>0.12</v>
      </c>
      <c r="J115">
        <f t="shared" si="3"/>
        <v>2.5</v>
      </c>
      <c r="K115">
        <v>3.0000000000000001E-3</v>
      </c>
      <c r="L115" t="s">
        <v>17</v>
      </c>
      <c r="M115" t="s">
        <v>192</v>
      </c>
      <c r="N115" t="s">
        <v>201</v>
      </c>
    </row>
    <row r="116" spans="1:14" x14ac:dyDescent="0.2">
      <c r="A116" t="s">
        <v>190</v>
      </c>
      <c r="B116" t="s">
        <v>32</v>
      </c>
      <c r="C116">
        <v>7</v>
      </c>
      <c r="D116">
        <v>3</v>
      </c>
      <c r="E116">
        <v>5</v>
      </c>
      <c r="F116">
        <v>6</v>
      </c>
      <c r="G116">
        <v>1</v>
      </c>
      <c r="H116">
        <v>6</v>
      </c>
      <c r="I116">
        <v>9.9000000000000005E-2</v>
      </c>
      <c r="J116">
        <f t="shared" si="3"/>
        <v>3.0303030303030303</v>
      </c>
      <c r="K116">
        <v>3.0000000000000001E-3</v>
      </c>
      <c r="L116" t="s">
        <v>17</v>
      </c>
      <c r="M116" t="s">
        <v>192</v>
      </c>
      <c r="N116" t="s">
        <v>201</v>
      </c>
    </row>
    <row r="117" spans="1:14" x14ac:dyDescent="0.2">
      <c r="A117" t="s">
        <v>190</v>
      </c>
      <c r="B117" t="s">
        <v>32</v>
      </c>
      <c r="C117">
        <v>8</v>
      </c>
      <c r="D117">
        <v>2</v>
      </c>
      <c r="E117">
        <v>6</v>
      </c>
      <c r="F117">
        <v>7</v>
      </c>
      <c r="G117">
        <v>0</v>
      </c>
      <c r="H117">
        <v>7</v>
      </c>
      <c r="I117">
        <v>0.10299999999999999</v>
      </c>
      <c r="J117">
        <f t="shared" si="3"/>
        <v>2.912621359223301</v>
      </c>
      <c r="K117">
        <v>3.0000000000000001E-3</v>
      </c>
      <c r="L117" t="s">
        <v>17</v>
      </c>
      <c r="M117" t="s">
        <v>192</v>
      </c>
      <c r="N117" t="s">
        <v>201</v>
      </c>
    </row>
    <row r="118" spans="1:14" x14ac:dyDescent="0.2">
      <c r="A118" t="s">
        <v>190</v>
      </c>
      <c r="B118" t="s">
        <v>32</v>
      </c>
      <c r="C118">
        <v>3</v>
      </c>
      <c r="D118">
        <v>2</v>
      </c>
      <c r="E118">
        <v>1</v>
      </c>
      <c r="F118">
        <v>4</v>
      </c>
      <c r="G118">
        <v>3</v>
      </c>
      <c r="H118">
        <v>2</v>
      </c>
      <c r="I118">
        <v>0.154</v>
      </c>
      <c r="J118">
        <f t="shared" si="3"/>
        <v>1.948051948051948</v>
      </c>
      <c r="K118">
        <v>3.0000000000000001E-3</v>
      </c>
      <c r="L118" t="s">
        <v>17</v>
      </c>
      <c r="M118" t="s">
        <v>192</v>
      </c>
      <c r="N118" t="s">
        <v>201</v>
      </c>
    </row>
    <row r="119" spans="1:14" x14ac:dyDescent="0.2">
      <c r="A119" t="s">
        <v>190</v>
      </c>
      <c r="B119" t="s">
        <v>32</v>
      </c>
      <c r="C119">
        <v>6</v>
      </c>
      <c r="D119">
        <v>3</v>
      </c>
      <c r="E119">
        <v>4</v>
      </c>
      <c r="F119">
        <v>7</v>
      </c>
      <c r="G119">
        <v>2</v>
      </c>
      <c r="H119">
        <v>5</v>
      </c>
      <c r="I119">
        <v>0.11700000000000001</v>
      </c>
      <c r="J119">
        <f t="shared" si="3"/>
        <v>2.5641025641025639</v>
      </c>
      <c r="K119">
        <v>3.0000000000000001E-3</v>
      </c>
      <c r="L119" t="s">
        <v>17</v>
      </c>
      <c r="M119" t="s">
        <v>192</v>
      </c>
      <c r="N119" t="s">
        <v>201</v>
      </c>
    </row>
    <row r="120" spans="1:14" x14ac:dyDescent="0.2">
      <c r="A120" t="s">
        <v>190</v>
      </c>
      <c r="B120" t="s">
        <v>32</v>
      </c>
      <c r="C120">
        <v>2</v>
      </c>
      <c r="D120">
        <v>2</v>
      </c>
      <c r="E120">
        <v>1</v>
      </c>
      <c r="F120">
        <v>3</v>
      </c>
      <c r="G120">
        <v>3</v>
      </c>
      <c r="H120">
        <v>0</v>
      </c>
      <c r="I120">
        <v>0.126</v>
      </c>
      <c r="J120">
        <f t="shared" si="3"/>
        <v>2.3809523809523809</v>
      </c>
      <c r="K120">
        <v>3.0000000000000001E-3</v>
      </c>
      <c r="L120" t="s">
        <v>17</v>
      </c>
      <c r="M120" t="s">
        <v>192</v>
      </c>
      <c r="N120" t="s">
        <v>201</v>
      </c>
    </row>
    <row r="121" spans="1:14" x14ac:dyDescent="0.2">
      <c r="A121" t="s">
        <v>190</v>
      </c>
      <c r="B121" t="s">
        <v>32</v>
      </c>
      <c r="C121">
        <v>5</v>
      </c>
      <c r="D121">
        <v>0</v>
      </c>
      <c r="E121">
        <v>5</v>
      </c>
      <c r="F121">
        <v>6</v>
      </c>
      <c r="G121">
        <v>1</v>
      </c>
      <c r="H121">
        <v>6</v>
      </c>
      <c r="I121">
        <v>0.104</v>
      </c>
      <c r="J121">
        <f t="shared" si="3"/>
        <v>2.8846153846153846</v>
      </c>
      <c r="K121">
        <v>3.0000000000000001E-3</v>
      </c>
      <c r="L121" t="s">
        <v>17</v>
      </c>
      <c r="M121" t="s">
        <v>192</v>
      </c>
      <c r="N121" t="s">
        <v>201</v>
      </c>
    </row>
    <row r="122" spans="1:14" x14ac:dyDescent="0.2">
      <c r="A122" t="s">
        <v>190</v>
      </c>
      <c r="B122" t="s">
        <v>32</v>
      </c>
      <c r="C122">
        <v>3</v>
      </c>
      <c r="D122">
        <v>1</v>
      </c>
      <c r="E122">
        <v>2</v>
      </c>
      <c r="F122">
        <v>4</v>
      </c>
      <c r="G122">
        <v>2</v>
      </c>
      <c r="H122">
        <v>3</v>
      </c>
      <c r="I122">
        <v>0.16600000000000001</v>
      </c>
      <c r="J122">
        <f t="shared" si="3"/>
        <v>1.8072289156626504</v>
      </c>
      <c r="K122">
        <v>3.0000000000000001E-3</v>
      </c>
      <c r="L122" t="s">
        <v>17</v>
      </c>
      <c r="M122" t="s">
        <v>192</v>
      </c>
      <c r="N122" t="s">
        <v>201</v>
      </c>
    </row>
    <row r="123" spans="1:14" x14ac:dyDescent="0.2">
      <c r="A123" t="s">
        <v>190</v>
      </c>
      <c r="B123" t="s">
        <v>32</v>
      </c>
      <c r="C123">
        <v>4</v>
      </c>
      <c r="D123">
        <v>1</v>
      </c>
      <c r="E123">
        <v>4</v>
      </c>
      <c r="F123">
        <v>5</v>
      </c>
      <c r="G123">
        <v>0</v>
      </c>
      <c r="H123">
        <v>5</v>
      </c>
      <c r="I123">
        <v>0.109</v>
      </c>
      <c r="J123">
        <f t="shared" si="3"/>
        <v>2.7522935779816518</v>
      </c>
      <c r="K123">
        <v>3.0000000000000001E-3</v>
      </c>
      <c r="L123" t="s">
        <v>17</v>
      </c>
      <c r="M123" t="s">
        <v>192</v>
      </c>
      <c r="N123" t="s">
        <v>201</v>
      </c>
    </row>
    <row r="124" spans="1:14" x14ac:dyDescent="0.2">
      <c r="A124" t="s">
        <v>190</v>
      </c>
      <c r="B124" t="s">
        <v>32</v>
      </c>
      <c r="C124">
        <v>3</v>
      </c>
      <c r="D124">
        <v>2</v>
      </c>
      <c r="E124">
        <v>2</v>
      </c>
      <c r="F124">
        <v>4</v>
      </c>
      <c r="G124">
        <v>1</v>
      </c>
      <c r="H124">
        <v>3</v>
      </c>
      <c r="I124">
        <v>0.152</v>
      </c>
      <c r="J124">
        <f t="shared" si="3"/>
        <v>1.9736842105263159</v>
      </c>
      <c r="K124">
        <v>3.0000000000000001E-3</v>
      </c>
      <c r="L124" t="s">
        <v>17</v>
      </c>
      <c r="M124" t="s">
        <v>192</v>
      </c>
      <c r="N124" t="s">
        <v>201</v>
      </c>
    </row>
    <row r="125" spans="1:14" x14ac:dyDescent="0.2">
      <c r="A125" t="s">
        <v>190</v>
      </c>
      <c r="B125" t="s">
        <v>32</v>
      </c>
      <c r="C125">
        <v>1</v>
      </c>
      <c r="D125">
        <v>0</v>
      </c>
      <c r="E125">
        <v>1</v>
      </c>
      <c r="F125">
        <v>1</v>
      </c>
      <c r="G125">
        <v>1</v>
      </c>
      <c r="H125">
        <v>0</v>
      </c>
      <c r="I125">
        <v>0.214</v>
      </c>
      <c r="J125">
        <f t="shared" si="3"/>
        <v>1.4018691588785046</v>
      </c>
      <c r="K125">
        <v>3.0000000000000001E-3</v>
      </c>
      <c r="L125" t="s">
        <v>17</v>
      </c>
      <c r="M125" t="s">
        <v>192</v>
      </c>
      <c r="N125" t="s">
        <v>201</v>
      </c>
    </row>
    <row r="126" spans="1:14" x14ac:dyDescent="0.2">
      <c r="A126" t="s">
        <v>190</v>
      </c>
      <c r="B126" t="s">
        <v>32</v>
      </c>
      <c r="C126">
        <v>3</v>
      </c>
      <c r="D126">
        <v>1</v>
      </c>
      <c r="E126">
        <v>2</v>
      </c>
      <c r="F126">
        <v>3</v>
      </c>
      <c r="G126">
        <v>0</v>
      </c>
      <c r="H126">
        <v>3</v>
      </c>
      <c r="I126">
        <v>0.17899999999999999</v>
      </c>
      <c r="J126">
        <f t="shared" si="3"/>
        <v>1.6759776536312849</v>
      </c>
      <c r="K126">
        <v>3.0000000000000001E-3</v>
      </c>
      <c r="L126" t="s">
        <v>17</v>
      </c>
      <c r="M126" t="s">
        <v>192</v>
      </c>
      <c r="N126" t="s">
        <v>201</v>
      </c>
    </row>
    <row r="127" spans="1:14" x14ac:dyDescent="0.2">
      <c r="A127" t="s">
        <v>190</v>
      </c>
      <c r="B127" t="s">
        <v>32</v>
      </c>
      <c r="C127">
        <v>5</v>
      </c>
      <c r="D127">
        <v>3</v>
      </c>
      <c r="E127">
        <v>2</v>
      </c>
      <c r="F127">
        <v>5</v>
      </c>
      <c r="G127">
        <v>2</v>
      </c>
      <c r="H127">
        <v>3</v>
      </c>
      <c r="I127">
        <v>0.14199999999999999</v>
      </c>
      <c r="J127">
        <f t="shared" si="3"/>
        <v>2.1126760563380285</v>
      </c>
      <c r="K127">
        <v>3.0000000000000001E-3</v>
      </c>
      <c r="L127" t="s">
        <v>17</v>
      </c>
      <c r="M127" t="s">
        <v>192</v>
      </c>
      <c r="N127" t="s">
        <v>201</v>
      </c>
    </row>
    <row r="128" spans="1:14" x14ac:dyDescent="0.2">
      <c r="A128" t="s">
        <v>190</v>
      </c>
      <c r="B128" t="s">
        <v>32</v>
      </c>
      <c r="C128">
        <v>1</v>
      </c>
      <c r="D128">
        <v>1</v>
      </c>
      <c r="E128">
        <v>1</v>
      </c>
      <c r="F128">
        <v>0</v>
      </c>
      <c r="G128">
        <v>0</v>
      </c>
      <c r="H128">
        <v>0</v>
      </c>
      <c r="I128">
        <v>0.20599999999999999</v>
      </c>
      <c r="J128">
        <f t="shared" si="3"/>
        <v>1.4563106796116505</v>
      </c>
      <c r="K128">
        <v>3.0000000000000001E-3</v>
      </c>
      <c r="L128" t="s">
        <v>17</v>
      </c>
      <c r="M128" t="s">
        <v>192</v>
      </c>
      <c r="N128" t="s">
        <v>201</v>
      </c>
    </row>
    <row r="129" spans="1:14" x14ac:dyDescent="0.2">
      <c r="A129" t="s">
        <v>190</v>
      </c>
      <c r="B129" t="s">
        <v>32</v>
      </c>
      <c r="C129">
        <v>2</v>
      </c>
      <c r="D129">
        <v>2</v>
      </c>
      <c r="E129">
        <v>1</v>
      </c>
      <c r="F129">
        <v>2</v>
      </c>
      <c r="G129">
        <v>1</v>
      </c>
      <c r="H129">
        <v>2</v>
      </c>
      <c r="I129">
        <v>0.158</v>
      </c>
      <c r="J129">
        <f t="shared" si="3"/>
        <v>1.89873417721519</v>
      </c>
      <c r="K129">
        <v>3.0000000000000001E-3</v>
      </c>
      <c r="L129" t="s">
        <v>17</v>
      </c>
      <c r="M129" t="s">
        <v>192</v>
      </c>
      <c r="N129" t="s">
        <v>201</v>
      </c>
    </row>
    <row r="130" spans="1:14" x14ac:dyDescent="0.2">
      <c r="A130" t="s">
        <v>190</v>
      </c>
      <c r="B130" t="s">
        <v>32</v>
      </c>
      <c r="C130">
        <v>3</v>
      </c>
      <c r="D130">
        <v>3</v>
      </c>
      <c r="E130">
        <v>0</v>
      </c>
      <c r="F130">
        <v>3</v>
      </c>
      <c r="G130">
        <v>2</v>
      </c>
      <c r="H130">
        <v>1</v>
      </c>
      <c r="I130">
        <v>0.152</v>
      </c>
      <c r="J130">
        <f t="shared" si="3"/>
        <v>1.9736842105263159</v>
      </c>
      <c r="K130">
        <v>3.0000000000000001E-3</v>
      </c>
      <c r="L130" t="s">
        <v>17</v>
      </c>
      <c r="M130" t="s">
        <v>192</v>
      </c>
      <c r="N130" t="s">
        <v>201</v>
      </c>
    </row>
    <row r="131" spans="1:14" x14ac:dyDescent="0.2">
      <c r="A131" t="s">
        <v>190</v>
      </c>
      <c r="B131" t="s">
        <v>32</v>
      </c>
      <c r="C131">
        <v>4</v>
      </c>
      <c r="D131">
        <v>3</v>
      </c>
      <c r="E131">
        <v>2</v>
      </c>
      <c r="F131">
        <v>4</v>
      </c>
      <c r="G131">
        <v>2</v>
      </c>
      <c r="H131">
        <v>3</v>
      </c>
      <c r="I131">
        <v>0.111</v>
      </c>
      <c r="J131">
        <f t="shared" si="3"/>
        <v>2.7027027027027026</v>
      </c>
      <c r="K131">
        <v>3.0000000000000001E-3</v>
      </c>
      <c r="L131" t="s">
        <v>17</v>
      </c>
      <c r="M131" t="s">
        <v>192</v>
      </c>
      <c r="N131" t="s">
        <v>201</v>
      </c>
    </row>
    <row r="132" spans="1:14" x14ac:dyDescent="0.2">
      <c r="A132" t="s">
        <v>190</v>
      </c>
      <c r="B132" t="s">
        <v>32</v>
      </c>
      <c r="C132">
        <v>5</v>
      </c>
      <c r="D132">
        <v>0</v>
      </c>
      <c r="E132">
        <v>5</v>
      </c>
      <c r="F132">
        <v>4</v>
      </c>
      <c r="G132">
        <v>1</v>
      </c>
      <c r="H132">
        <v>4</v>
      </c>
      <c r="I132">
        <v>0.11</v>
      </c>
      <c r="J132">
        <f t="shared" si="3"/>
        <v>2.7272727272727275</v>
      </c>
      <c r="K132">
        <v>3.0000000000000001E-3</v>
      </c>
      <c r="L132" t="s">
        <v>17</v>
      </c>
      <c r="M132" t="s">
        <v>192</v>
      </c>
      <c r="N132" t="s">
        <v>201</v>
      </c>
    </row>
    <row r="133" spans="1:14" x14ac:dyDescent="0.2">
      <c r="A133" t="s">
        <v>190</v>
      </c>
      <c r="B133" t="s">
        <v>32</v>
      </c>
      <c r="C133">
        <v>4</v>
      </c>
      <c r="D133">
        <v>2</v>
      </c>
      <c r="E133">
        <v>3</v>
      </c>
      <c r="F133">
        <v>3</v>
      </c>
      <c r="G133">
        <v>1</v>
      </c>
      <c r="H133">
        <v>2</v>
      </c>
      <c r="I133">
        <v>0.16500000000000001</v>
      </c>
      <c r="J133">
        <f t="shared" ref="J133:J135" si="4">K133/I133*100</f>
        <v>1.8181818181818181</v>
      </c>
      <c r="K133">
        <v>3.0000000000000001E-3</v>
      </c>
      <c r="L133" t="s">
        <v>17</v>
      </c>
      <c r="M133" t="s">
        <v>192</v>
      </c>
      <c r="N133" t="s">
        <v>201</v>
      </c>
    </row>
    <row r="134" spans="1:14" x14ac:dyDescent="0.2">
      <c r="A134" t="s">
        <v>190</v>
      </c>
      <c r="B134" t="s">
        <v>32</v>
      </c>
      <c r="C134">
        <v>5</v>
      </c>
      <c r="D134">
        <v>2</v>
      </c>
      <c r="E134">
        <v>4</v>
      </c>
      <c r="F134">
        <v>4</v>
      </c>
      <c r="G134">
        <v>1</v>
      </c>
      <c r="H134">
        <v>3</v>
      </c>
      <c r="I134">
        <v>0.14599999999999999</v>
      </c>
      <c r="J134">
        <f t="shared" si="4"/>
        <v>2.0547945205479454</v>
      </c>
      <c r="K134">
        <v>3.0000000000000001E-3</v>
      </c>
      <c r="L134" t="s">
        <v>17</v>
      </c>
      <c r="M134" t="s">
        <v>192</v>
      </c>
      <c r="N134" t="s">
        <v>201</v>
      </c>
    </row>
    <row r="135" spans="1:14" x14ac:dyDescent="0.2">
      <c r="A135" t="s">
        <v>190</v>
      </c>
      <c r="B135" t="s">
        <v>32</v>
      </c>
      <c r="C135">
        <v>6</v>
      </c>
      <c r="D135">
        <v>2</v>
      </c>
      <c r="E135">
        <v>5</v>
      </c>
      <c r="F135">
        <v>5</v>
      </c>
      <c r="G135">
        <v>1</v>
      </c>
      <c r="H135">
        <v>4</v>
      </c>
      <c r="I135">
        <v>0.13100000000000001</v>
      </c>
      <c r="J135">
        <f t="shared" si="4"/>
        <v>2.2900763358778624</v>
      </c>
      <c r="K135">
        <v>3.0000000000000001E-3</v>
      </c>
      <c r="L135" t="s">
        <v>17</v>
      </c>
      <c r="M135" t="s">
        <v>192</v>
      </c>
      <c r="N135" t="s">
        <v>201</v>
      </c>
    </row>
    <row r="146" spans="1:13" ht="18" x14ac:dyDescent="0.2">
      <c r="A146" s="4"/>
      <c r="B146" s="4"/>
      <c r="C146" s="4"/>
      <c r="D146" s="4"/>
      <c r="E146" s="4"/>
      <c r="F146" s="4"/>
      <c r="G146" s="4"/>
      <c r="H146" s="4"/>
      <c r="J146" s="4"/>
      <c r="K146" s="4"/>
      <c r="L146" s="4"/>
      <c r="M146" s="4"/>
    </row>
    <row r="147" spans="1:13" ht="18" x14ac:dyDescent="0.2">
      <c r="A147" s="4"/>
      <c r="B147" s="4"/>
      <c r="C147" s="4"/>
      <c r="D147" s="4"/>
      <c r="E147" s="4"/>
      <c r="F147" s="4"/>
      <c r="G147" s="4"/>
      <c r="H147" s="4"/>
      <c r="J147" s="4"/>
      <c r="K147" s="4"/>
      <c r="L147" s="4"/>
      <c r="M147" s="4"/>
    </row>
    <row r="148" spans="1:13" ht="18" x14ac:dyDescent="0.2">
      <c r="A148" s="4"/>
      <c r="B148" s="4"/>
      <c r="C148" s="4"/>
      <c r="D148" s="4"/>
      <c r="E148" s="4"/>
      <c r="F148" s="4"/>
      <c r="G148" s="4"/>
      <c r="H148" s="4"/>
      <c r="J148" s="4"/>
      <c r="K148" s="4"/>
      <c r="L148" s="4"/>
      <c r="M148" s="4"/>
    </row>
    <row r="149" spans="1:13" ht="18" x14ac:dyDescent="0.2">
      <c r="A149" s="4"/>
      <c r="B149" s="4"/>
      <c r="C149" s="4"/>
      <c r="D149" s="4"/>
      <c r="E149" s="4"/>
      <c r="F149" s="4"/>
      <c r="G149" s="4"/>
      <c r="H149" s="4"/>
      <c r="J149" s="4"/>
      <c r="K149" s="4"/>
      <c r="L149" s="4"/>
      <c r="M149" s="4"/>
    </row>
    <row r="150" spans="1:13" ht="18" x14ac:dyDescent="0.2">
      <c r="A150" s="4"/>
      <c r="B150" s="4"/>
      <c r="C150" s="4"/>
      <c r="D150" s="4"/>
      <c r="E150" s="4"/>
      <c r="F150" s="4"/>
      <c r="G150" s="4"/>
      <c r="H150" s="4"/>
      <c r="J150" s="4"/>
      <c r="K150" s="4"/>
      <c r="L150" s="4"/>
      <c r="M150" s="4"/>
    </row>
    <row r="151" spans="1:13" ht="18" x14ac:dyDescent="0.2">
      <c r="A151" s="4"/>
      <c r="B151" s="4"/>
      <c r="C151" s="4"/>
      <c r="D151" s="4"/>
      <c r="E151" s="4"/>
      <c r="F151" s="4"/>
      <c r="G151" s="4"/>
      <c r="H151" s="4"/>
      <c r="J151" s="4"/>
      <c r="K151" s="4"/>
      <c r="L151" s="4"/>
      <c r="M151" s="4"/>
    </row>
    <row r="152" spans="1:13" ht="18" x14ac:dyDescent="0.2">
      <c r="A152" s="4"/>
      <c r="B152" s="4"/>
      <c r="C152" s="4"/>
      <c r="D152" s="4"/>
      <c r="E152" s="4"/>
      <c r="F152" s="4"/>
      <c r="G152" s="4"/>
      <c r="H152" s="4"/>
      <c r="J152" s="4"/>
      <c r="K152" s="4"/>
      <c r="L152" s="4"/>
      <c r="M152" s="4"/>
    </row>
    <row r="153" spans="1:13" ht="18" x14ac:dyDescent="0.2">
      <c r="A153" s="4"/>
      <c r="B153" s="4"/>
      <c r="C153" s="4"/>
      <c r="D153" s="4"/>
      <c r="E153" s="4"/>
      <c r="F153" s="4"/>
      <c r="G153" s="4"/>
      <c r="H153" s="4"/>
      <c r="J153" s="4"/>
      <c r="K153" s="4"/>
      <c r="L153" s="4"/>
      <c r="M153" s="4"/>
    </row>
    <row r="154" spans="1:13" ht="18" x14ac:dyDescent="0.2">
      <c r="A154" s="4"/>
      <c r="B154" s="4"/>
      <c r="C154" s="4"/>
      <c r="D154" s="4"/>
      <c r="E154" s="4"/>
      <c r="F154" s="4"/>
      <c r="G154" s="4"/>
      <c r="H154" s="4"/>
      <c r="J154" s="4"/>
      <c r="K154" s="4"/>
      <c r="L154" s="4"/>
      <c r="M154" s="4"/>
    </row>
    <row r="155" spans="1:13" ht="18" x14ac:dyDescent="0.2">
      <c r="A155" s="4"/>
      <c r="B155" s="4"/>
      <c r="C155" s="4"/>
      <c r="D155" s="4"/>
      <c r="E155" s="4"/>
      <c r="F155" s="4"/>
      <c r="G155" s="4"/>
      <c r="H155" s="4"/>
      <c r="J155" s="4"/>
      <c r="K155" s="4"/>
      <c r="L155" s="4"/>
      <c r="M155" s="4"/>
    </row>
    <row r="156" spans="1:13" ht="18" x14ac:dyDescent="0.2">
      <c r="A156" s="4"/>
      <c r="B156" s="4"/>
      <c r="C156" s="4"/>
      <c r="D156" s="4"/>
      <c r="E156" s="4"/>
      <c r="F156" s="4"/>
      <c r="G156" s="4"/>
      <c r="H156" s="4"/>
      <c r="J156" s="4"/>
      <c r="K156" s="4"/>
      <c r="L156" s="4"/>
      <c r="M156" s="4"/>
    </row>
    <row r="157" spans="1:13" ht="18" x14ac:dyDescent="0.2">
      <c r="A157" s="4"/>
      <c r="B157" s="4"/>
      <c r="C157" s="4"/>
      <c r="D157" s="4"/>
      <c r="E157" s="4"/>
      <c r="F157" s="4"/>
      <c r="G157" s="4"/>
      <c r="H157" s="4"/>
      <c r="J157" s="4"/>
      <c r="K157" s="4"/>
      <c r="L157" s="4"/>
      <c r="M157" s="4"/>
    </row>
    <row r="158" spans="1:13" ht="18" x14ac:dyDescent="0.2">
      <c r="A158" s="4"/>
      <c r="B158" s="4"/>
      <c r="C158" s="4"/>
      <c r="D158" s="4"/>
      <c r="E158" s="4"/>
      <c r="F158" s="4"/>
      <c r="G158" s="4"/>
      <c r="H158" s="4"/>
      <c r="J158" s="4"/>
      <c r="K158" s="4"/>
      <c r="L158" s="4"/>
      <c r="M158" s="4"/>
    </row>
    <row r="159" spans="1:13" ht="18" x14ac:dyDescent="0.2">
      <c r="A159" s="4"/>
      <c r="B159" s="4"/>
      <c r="C159" s="4"/>
      <c r="D159" s="4"/>
      <c r="E159" s="4"/>
      <c r="F159" s="4"/>
      <c r="G159" s="4"/>
      <c r="H159" s="4"/>
      <c r="J159" s="4"/>
      <c r="K159" s="4"/>
      <c r="L159" s="4"/>
      <c r="M159" s="4"/>
    </row>
    <row r="160" spans="1:13" ht="18" x14ac:dyDescent="0.2">
      <c r="A160" s="4"/>
      <c r="B160" s="4"/>
      <c r="C160" s="4"/>
      <c r="D160" s="4"/>
      <c r="E160" s="4"/>
      <c r="F160" s="4"/>
      <c r="G160" s="4"/>
      <c r="H160" s="4"/>
      <c r="J160" s="4"/>
      <c r="K160" s="4"/>
      <c r="L160" s="4"/>
      <c r="M160" s="4"/>
    </row>
    <row r="161" spans="1:13" ht="18" x14ac:dyDescent="0.2">
      <c r="A161" s="4"/>
      <c r="B161" s="4"/>
      <c r="C161" s="4"/>
      <c r="D161" s="4"/>
      <c r="E161" s="4"/>
      <c r="F161" s="4"/>
      <c r="G161" s="4"/>
      <c r="H161" s="4"/>
      <c r="J161" s="4"/>
      <c r="K161" s="4"/>
      <c r="L161" s="4"/>
      <c r="M161" s="4"/>
    </row>
    <row r="162" spans="1:13" ht="18" x14ac:dyDescent="0.2">
      <c r="A162" s="4"/>
      <c r="B162" s="4"/>
      <c r="C162" s="4"/>
      <c r="D162" s="4"/>
      <c r="E162" s="4"/>
      <c r="F162" s="4"/>
      <c r="G162" s="4"/>
      <c r="H162" s="4"/>
      <c r="J162" s="4"/>
      <c r="K162" s="4"/>
      <c r="L162" s="4"/>
      <c r="M162" s="4"/>
    </row>
    <row r="163" spans="1:13" ht="18" x14ac:dyDescent="0.2">
      <c r="A163" s="4"/>
      <c r="B163" s="4"/>
      <c r="C163" s="4"/>
      <c r="D163" s="4"/>
      <c r="E163" s="4"/>
      <c r="F163" s="4"/>
      <c r="G163" s="4"/>
      <c r="H163" s="4"/>
      <c r="J163" s="4"/>
      <c r="K163" s="4"/>
      <c r="L163" s="4"/>
      <c r="M163" s="4"/>
    </row>
    <row r="164" spans="1:13" ht="18" x14ac:dyDescent="0.2">
      <c r="A164" s="4"/>
      <c r="B164" s="4"/>
      <c r="C164" s="4"/>
      <c r="D164" s="4"/>
      <c r="E164" s="4"/>
      <c r="F164" s="4"/>
      <c r="G164" s="4"/>
      <c r="H164" s="4"/>
      <c r="J164" s="4"/>
      <c r="K164" s="4"/>
      <c r="L164" s="4"/>
      <c r="M164" s="4"/>
    </row>
    <row r="165" spans="1:13" ht="18" x14ac:dyDescent="0.2">
      <c r="A165" s="4"/>
      <c r="B165" s="4"/>
      <c r="C165" s="4"/>
      <c r="D165" s="4"/>
      <c r="E165" s="4"/>
      <c r="F165" s="4"/>
      <c r="G165" s="4"/>
      <c r="H165" s="4"/>
      <c r="J165" s="4"/>
      <c r="K165" s="4"/>
      <c r="L165" s="4"/>
      <c r="M165" s="4"/>
    </row>
    <row r="166" spans="1:13" ht="18" x14ac:dyDescent="0.2">
      <c r="A166" s="4"/>
      <c r="B166" s="4"/>
      <c r="C166" s="4"/>
      <c r="D166" s="4"/>
      <c r="E166" s="4"/>
      <c r="F166" s="4"/>
      <c r="G166" s="4"/>
      <c r="H166" s="4"/>
      <c r="J166" s="4"/>
      <c r="K166" s="4"/>
      <c r="L166" s="4"/>
      <c r="M166" s="4"/>
    </row>
    <row r="167" spans="1:13" ht="18" x14ac:dyDescent="0.2">
      <c r="A167" s="4"/>
      <c r="B167" s="4"/>
      <c r="C167" s="4"/>
      <c r="D167" s="4"/>
      <c r="E167" s="4"/>
      <c r="F167" s="4"/>
      <c r="G167" s="4"/>
      <c r="H167" s="4"/>
      <c r="J167" s="4"/>
      <c r="K167" s="4"/>
      <c r="L167" s="4"/>
      <c r="M167" s="4"/>
    </row>
    <row r="168" spans="1:13" ht="18" x14ac:dyDescent="0.2">
      <c r="A168" s="4"/>
      <c r="B168" s="4"/>
      <c r="C168" s="4"/>
      <c r="D168" s="4"/>
      <c r="E168" s="4"/>
      <c r="F168" s="4"/>
      <c r="G168" s="4"/>
      <c r="H168" s="4"/>
      <c r="J168" s="4"/>
      <c r="K168" s="4"/>
      <c r="L168" s="4"/>
      <c r="M168" s="4"/>
    </row>
    <row r="169" spans="1:13" ht="18" x14ac:dyDescent="0.2">
      <c r="A169" s="4"/>
      <c r="B169" s="4"/>
      <c r="C169" s="4"/>
      <c r="D169" s="4"/>
      <c r="E169" s="4"/>
      <c r="F169" s="4"/>
      <c r="G169" s="4"/>
      <c r="H169" s="4"/>
      <c r="J169" s="4"/>
      <c r="K169" s="4"/>
      <c r="L169" s="4"/>
      <c r="M169" s="4"/>
    </row>
    <row r="170" spans="1:13" ht="18" x14ac:dyDescent="0.2">
      <c r="A170" s="4"/>
      <c r="B170" s="4"/>
      <c r="C170" s="4"/>
      <c r="D170" s="4"/>
      <c r="E170" s="4"/>
      <c r="F170" s="4"/>
      <c r="G170" s="4"/>
      <c r="H170" s="4"/>
      <c r="J170" s="4"/>
      <c r="K170" s="4"/>
      <c r="L170" s="4"/>
      <c r="M170" s="4"/>
    </row>
    <row r="171" spans="1:13" ht="18" x14ac:dyDescent="0.2">
      <c r="A171" s="4"/>
      <c r="B171" s="4"/>
      <c r="C171" s="4"/>
      <c r="D171" s="4"/>
      <c r="E171" s="4"/>
      <c r="F171" s="4"/>
      <c r="G171" s="4"/>
      <c r="H171" s="4"/>
      <c r="J171" s="4"/>
      <c r="K171" s="4"/>
      <c r="L171" s="4"/>
      <c r="M171" s="4"/>
    </row>
    <row r="172" spans="1:13" ht="18" x14ac:dyDescent="0.2">
      <c r="A172" s="4"/>
      <c r="B172" s="4"/>
      <c r="C172" s="4"/>
      <c r="D172" s="4"/>
      <c r="E172" s="4"/>
      <c r="F172" s="4"/>
      <c r="G172" s="4"/>
      <c r="H172" s="4"/>
      <c r="J172" s="4"/>
      <c r="K172" s="4"/>
      <c r="L172" s="4"/>
      <c r="M172" s="4"/>
    </row>
    <row r="173" spans="1:13" ht="18" x14ac:dyDescent="0.2">
      <c r="A173" s="4"/>
      <c r="B173" s="4"/>
      <c r="C173" s="4"/>
      <c r="D173" s="4"/>
      <c r="E173" s="4"/>
      <c r="F173" s="4"/>
      <c r="G173" s="4"/>
      <c r="H173" s="4"/>
      <c r="J173" s="4"/>
      <c r="K173" s="4"/>
      <c r="L173" s="4"/>
      <c r="M173" s="4"/>
    </row>
    <row r="174" spans="1:13" ht="18" x14ac:dyDescent="0.2">
      <c r="A174" s="4"/>
      <c r="B174" s="4"/>
      <c r="C174" s="4"/>
      <c r="D174" s="4"/>
      <c r="E174" s="4"/>
      <c r="F174" s="4"/>
      <c r="G174" s="4"/>
      <c r="H174" s="4"/>
      <c r="J174" s="4"/>
      <c r="K174" s="4"/>
      <c r="L174" s="4"/>
      <c r="M174" s="4"/>
    </row>
    <row r="175" spans="1:13" ht="18" x14ac:dyDescent="0.2">
      <c r="A175" s="4"/>
      <c r="B175" s="4"/>
      <c r="C175" s="4"/>
      <c r="D175" s="4"/>
      <c r="E175" s="4"/>
      <c r="F175" s="4"/>
      <c r="G175" s="4"/>
      <c r="H175" s="4"/>
      <c r="J175" s="4"/>
      <c r="K175" s="4"/>
      <c r="L175" s="4"/>
      <c r="M175" s="4"/>
    </row>
    <row r="176" spans="1:13" ht="18" x14ac:dyDescent="0.2">
      <c r="A176" s="4"/>
      <c r="B176" s="4"/>
      <c r="C176" s="4"/>
      <c r="D176" s="4"/>
      <c r="E176" s="4"/>
      <c r="F176" s="4"/>
      <c r="G176" s="4"/>
      <c r="H176" s="4"/>
      <c r="J176" s="4"/>
      <c r="K176" s="4"/>
      <c r="L176" s="4"/>
      <c r="M176" s="4"/>
    </row>
    <row r="177" spans="1:13" ht="18" x14ac:dyDescent="0.2">
      <c r="A177" s="4"/>
      <c r="B177" s="4"/>
      <c r="C177" s="4"/>
      <c r="D177" s="4"/>
      <c r="E177" s="4"/>
      <c r="F177" s="4"/>
      <c r="G177" s="4"/>
      <c r="H177" s="4"/>
      <c r="J177" s="4"/>
      <c r="K177" s="4"/>
      <c r="L177" s="4"/>
      <c r="M177" s="4"/>
    </row>
    <row r="178" spans="1:13" ht="18" x14ac:dyDescent="0.2">
      <c r="A178" s="4"/>
      <c r="B178" s="4"/>
      <c r="C178" s="4"/>
      <c r="D178" s="4"/>
      <c r="E178" s="4"/>
      <c r="F178" s="4"/>
      <c r="G178" s="4"/>
      <c r="H178" s="4"/>
      <c r="J178" s="4"/>
      <c r="K178" s="4"/>
      <c r="L178" s="4"/>
      <c r="M178" s="4"/>
    </row>
    <row r="179" spans="1:13" ht="18" x14ac:dyDescent="0.2">
      <c r="A179" s="4"/>
      <c r="B179" s="4"/>
      <c r="C179" s="4"/>
      <c r="D179" s="4"/>
      <c r="E179" s="4"/>
      <c r="F179" s="4"/>
      <c r="G179" s="4"/>
      <c r="H179" s="4"/>
      <c r="J179" s="4"/>
      <c r="K179" s="4"/>
      <c r="L179" s="4"/>
      <c r="M179" s="4"/>
    </row>
    <row r="180" spans="1:13" ht="18" x14ac:dyDescent="0.2">
      <c r="A180" s="4"/>
      <c r="B180" s="4"/>
      <c r="C180" s="4"/>
      <c r="D180" s="4"/>
      <c r="E180" s="4"/>
      <c r="F180" s="4"/>
      <c r="G180" s="4"/>
      <c r="H180" s="4"/>
      <c r="J180" s="4"/>
      <c r="K180" s="4"/>
      <c r="L180" s="4"/>
      <c r="M180" s="4"/>
    </row>
    <row r="181" spans="1:13" ht="18" x14ac:dyDescent="0.2">
      <c r="A181" s="4"/>
      <c r="B181" s="4"/>
      <c r="C181" s="4"/>
      <c r="D181" s="4"/>
      <c r="E181" s="4"/>
      <c r="F181" s="4"/>
      <c r="G181" s="4"/>
      <c r="H181" s="4"/>
      <c r="J181" s="4"/>
      <c r="K181" s="4"/>
      <c r="L181" s="4"/>
      <c r="M181" s="4"/>
    </row>
    <row r="182" spans="1:13" ht="18" x14ac:dyDescent="0.2">
      <c r="A182" s="4"/>
      <c r="B182" s="4"/>
      <c r="C182" s="4"/>
      <c r="D182" s="4"/>
      <c r="E182" s="4"/>
      <c r="F182" s="4"/>
      <c r="G182" s="4"/>
      <c r="H182" s="4"/>
      <c r="J182" s="4"/>
      <c r="K182" s="4"/>
      <c r="L182" s="4"/>
      <c r="M182" s="4"/>
    </row>
    <row r="183" spans="1:13" ht="18" x14ac:dyDescent="0.2">
      <c r="A183" s="4"/>
      <c r="B183" s="4"/>
      <c r="C183" s="4"/>
      <c r="D183" s="4"/>
      <c r="E183" s="4"/>
      <c r="F183" s="4"/>
      <c r="G183" s="4"/>
      <c r="H183" s="4"/>
      <c r="J183" s="4"/>
      <c r="K183" s="4"/>
      <c r="L183" s="4"/>
      <c r="M183" s="4"/>
    </row>
    <row r="184" spans="1:13" ht="18" x14ac:dyDescent="0.2">
      <c r="A184" s="4"/>
      <c r="B184" s="4"/>
      <c r="C184" s="4"/>
      <c r="D184" s="4"/>
      <c r="E184" s="4"/>
      <c r="F184" s="4"/>
      <c r="G184" s="4"/>
      <c r="H184" s="4"/>
      <c r="J184" s="4"/>
      <c r="K184" s="4"/>
      <c r="L184" s="4"/>
      <c r="M184" s="4"/>
    </row>
    <row r="185" spans="1:13" ht="18" x14ac:dyDescent="0.2">
      <c r="A185" s="4"/>
      <c r="B185" s="4"/>
      <c r="C185" s="4"/>
      <c r="D185" s="4"/>
      <c r="E185" s="4"/>
      <c r="F185" s="4"/>
      <c r="G185" s="4"/>
      <c r="H185" s="4"/>
      <c r="J185" s="4"/>
      <c r="K185" s="4"/>
      <c r="L185" s="4"/>
      <c r="M185" s="4"/>
    </row>
    <row r="186" spans="1:13" ht="18" x14ac:dyDescent="0.2">
      <c r="A186" s="4"/>
      <c r="B186" s="4"/>
      <c r="C186" s="4"/>
      <c r="D186" s="4"/>
      <c r="E186" s="4"/>
      <c r="F186" s="4"/>
      <c r="G186" s="4"/>
      <c r="H186" s="4"/>
      <c r="J186" s="4"/>
      <c r="K186" s="4"/>
      <c r="L186" s="4"/>
      <c r="M186" s="4"/>
    </row>
    <row r="187" spans="1:13" ht="18" x14ac:dyDescent="0.2">
      <c r="A187" s="4"/>
      <c r="B187" s="4"/>
      <c r="C187" s="4"/>
      <c r="D187" s="4"/>
      <c r="E187" s="4"/>
      <c r="F187" s="4"/>
      <c r="G187" s="4"/>
      <c r="H187" s="4"/>
      <c r="J187" s="4"/>
      <c r="K187" s="4"/>
      <c r="L187" s="4"/>
      <c r="M187" s="4"/>
    </row>
    <row r="188" spans="1:13" ht="18" x14ac:dyDescent="0.2">
      <c r="A188" s="4"/>
      <c r="B188" s="4"/>
      <c r="C188" s="4"/>
      <c r="D188" s="4"/>
      <c r="E188" s="4"/>
      <c r="F188" s="4"/>
      <c r="G188" s="4"/>
      <c r="H188" s="4"/>
      <c r="J188" s="4"/>
      <c r="K188" s="4"/>
      <c r="L188" s="4"/>
      <c r="M188" s="4"/>
    </row>
    <row r="189" spans="1:13" ht="18" x14ac:dyDescent="0.2">
      <c r="A189" s="4"/>
      <c r="B189" s="4"/>
      <c r="C189" s="4"/>
      <c r="D189" s="4"/>
      <c r="E189" s="4"/>
      <c r="F189" s="4"/>
      <c r="G189" s="4"/>
      <c r="H189" s="4"/>
      <c r="J189" s="4"/>
      <c r="K189" s="4"/>
      <c r="L189" s="4"/>
      <c r="M189" s="4"/>
    </row>
    <row r="190" spans="1:13" ht="18" x14ac:dyDescent="0.2">
      <c r="A190" s="4"/>
      <c r="B190" s="4"/>
      <c r="C190" s="4"/>
      <c r="D190" s="4"/>
      <c r="E190" s="4"/>
      <c r="F190" s="4"/>
      <c r="G190" s="4"/>
      <c r="H190" s="4"/>
      <c r="J190" s="4"/>
      <c r="K190" s="4"/>
      <c r="L190" s="4"/>
      <c r="M190" s="4"/>
    </row>
    <row r="191" spans="1:13" ht="18" x14ac:dyDescent="0.2">
      <c r="A191" s="4"/>
      <c r="B191" s="4"/>
      <c r="C191" s="4"/>
      <c r="D191" s="4"/>
      <c r="E191" s="4"/>
      <c r="F191" s="4"/>
      <c r="G191" s="4"/>
      <c r="H191" s="4"/>
      <c r="J191" s="4"/>
      <c r="K191" s="4"/>
      <c r="L191" s="4"/>
      <c r="M191" s="4"/>
    </row>
    <row r="192" spans="1:13" ht="18" x14ac:dyDescent="0.2">
      <c r="A192" s="4"/>
      <c r="B192" s="4"/>
      <c r="C192" s="4"/>
      <c r="D192" s="4"/>
      <c r="E192" s="4"/>
      <c r="F192" s="4"/>
      <c r="G192" s="4"/>
      <c r="H192" s="4"/>
      <c r="J192" s="4"/>
      <c r="K192" s="4"/>
      <c r="L192" s="4"/>
      <c r="M192" s="4"/>
    </row>
    <row r="193" spans="1:13" ht="18" x14ac:dyDescent="0.2">
      <c r="A193" s="4"/>
      <c r="B193" s="4"/>
      <c r="C193" s="4"/>
      <c r="D193" s="4"/>
      <c r="E193" s="4"/>
      <c r="F193" s="4"/>
      <c r="G193" s="4"/>
      <c r="H193" s="4"/>
      <c r="J193" s="4"/>
      <c r="K193" s="4"/>
      <c r="L193" s="4"/>
      <c r="M193" s="4"/>
    </row>
    <row r="194" spans="1:13" ht="18" x14ac:dyDescent="0.2">
      <c r="A194" s="4"/>
      <c r="B194" s="4"/>
      <c r="C194" s="4"/>
      <c r="D194" s="4"/>
      <c r="E194" s="4"/>
      <c r="F194" s="4"/>
      <c r="G194" s="4"/>
      <c r="H194" s="4"/>
      <c r="J194" s="4"/>
      <c r="K194" s="4"/>
      <c r="L194" s="4"/>
      <c r="M194" s="4"/>
    </row>
    <row r="199" spans="1:13" ht="18" x14ac:dyDescent="0.2">
      <c r="A199" s="5"/>
      <c r="B199" s="5"/>
      <c r="C199" s="5"/>
      <c r="D199" s="5"/>
      <c r="E199" s="5"/>
      <c r="F199" s="5"/>
      <c r="G199" s="5"/>
      <c r="H199" s="5"/>
      <c r="J199" s="5"/>
      <c r="K199" s="5"/>
      <c r="L199" s="5"/>
      <c r="M199" s="5"/>
    </row>
    <row r="200" spans="1:13" ht="18" x14ac:dyDescent="0.2">
      <c r="A200" s="5"/>
      <c r="B200" s="5"/>
      <c r="C200" s="5"/>
      <c r="D200" s="5"/>
      <c r="E200" s="5"/>
      <c r="F200" s="5"/>
      <c r="G200" s="5"/>
      <c r="H200" s="5"/>
      <c r="J200" s="5"/>
      <c r="K200" s="5"/>
      <c r="L200" s="5"/>
      <c r="M200" s="5"/>
    </row>
    <row r="201" spans="1:13" ht="18" x14ac:dyDescent="0.2">
      <c r="A201" s="5"/>
      <c r="B201" s="5"/>
      <c r="C201" s="5"/>
      <c r="D201" s="5"/>
      <c r="E201" s="5"/>
      <c r="F201" s="5"/>
      <c r="G201" s="5"/>
      <c r="H201" s="5"/>
      <c r="J201" s="5"/>
      <c r="K201" s="5"/>
      <c r="L201" s="5"/>
      <c r="M201" s="5"/>
    </row>
    <row r="202" spans="1:13" ht="18" x14ac:dyDescent="0.2">
      <c r="A202" s="5"/>
      <c r="B202" s="5"/>
      <c r="C202" s="5"/>
      <c r="D202" s="5"/>
      <c r="E202" s="5"/>
      <c r="F202" s="5"/>
      <c r="G202" s="5"/>
      <c r="H202" s="5"/>
      <c r="J202" s="5"/>
      <c r="K202" s="5"/>
      <c r="L202" s="5"/>
      <c r="M202" s="5"/>
    </row>
    <row r="203" spans="1:13" ht="18" x14ac:dyDescent="0.2">
      <c r="A203" s="5"/>
      <c r="B203" s="5"/>
      <c r="C203" s="5"/>
      <c r="D203" s="5"/>
      <c r="E203" s="5"/>
      <c r="F203" s="5"/>
      <c r="G203" s="5"/>
      <c r="H203" s="5"/>
      <c r="J203" s="5"/>
      <c r="K203" s="5"/>
      <c r="L203" s="5"/>
      <c r="M203" s="5"/>
    </row>
    <row r="204" spans="1:13" ht="18" x14ac:dyDescent="0.2">
      <c r="A204" s="5"/>
      <c r="B204" s="5"/>
      <c r="C204" s="5"/>
      <c r="D204" s="5"/>
      <c r="E204" s="5"/>
      <c r="F204" s="5"/>
      <c r="G204" s="5"/>
      <c r="H204" s="5"/>
      <c r="J204" s="5"/>
      <c r="K204" s="5"/>
      <c r="L204" s="5"/>
      <c r="M204" s="5"/>
    </row>
    <row r="205" spans="1:13" ht="18" x14ac:dyDescent="0.2">
      <c r="A205" s="5"/>
      <c r="B205" s="5"/>
      <c r="C205" s="5"/>
      <c r="D205" s="5"/>
      <c r="E205" s="5"/>
      <c r="F205" s="5"/>
      <c r="G205" s="5"/>
      <c r="H205" s="5"/>
      <c r="I205" s="5"/>
      <c r="J205" s="5"/>
      <c r="K205" s="5"/>
      <c r="L205" s="5"/>
      <c r="M205" s="5"/>
    </row>
    <row r="206" spans="1:13" ht="18" x14ac:dyDescent="0.2">
      <c r="A206" s="5"/>
      <c r="B206" s="5"/>
      <c r="C206" s="5"/>
      <c r="D206" s="5"/>
      <c r="E206" s="5"/>
      <c r="F206" s="5"/>
      <c r="G206" s="5"/>
      <c r="H206" s="5"/>
      <c r="I206" s="5"/>
      <c r="J206" s="5"/>
      <c r="K206" s="5"/>
      <c r="L206" s="5"/>
      <c r="M206" s="5"/>
    </row>
    <row r="207" spans="1:13" ht="18" x14ac:dyDescent="0.2">
      <c r="A207" s="5"/>
      <c r="B207" s="5"/>
      <c r="C207" s="5"/>
      <c r="D207" s="5"/>
      <c r="E207" s="5"/>
      <c r="F207" s="5"/>
      <c r="G207" s="5"/>
      <c r="H207" s="5"/>
      <c r="I207" s="5"/>
      <c r="J207" s="5"/>
      <c r="K207" s="5"/>
      <c r="L207" s="5"/>
      <c r="M207" s="5"/>
    </row>
    <row r="208" spans="1:13" ht="18" x14ac:dyDescent="0.2">
      <c r="A208" s="5"/>
      <c r="B208" s="5"/>
      <c r="C208" s="5"/>
      <c r="D208" s="5"/>
      <c r="E208" s="5"/>
      <c r="F208" s="5"/>
      <c r="G208" s="5"/>
      <c r="H208" s="5"/>
      <c r="I208" s="5"/>
      <c r="J208" s="5"/>
      <c r="K208" s="5"/>
      <c r="L208" s="5"/>
      <c r="M208" s="5"/>
    </row>
    <row r="209" spans="1:13" ht="18" x14ac:dyDescent="0.2">
      <c r="A209" s="5"/>
      <c r="B209" s="5"/>
      <c r="C209" s="5"/>
      <c r="D209" s="5"/>
      <c r="E209" s="5"/>
      <c r="F209" s="5"/>
      <c r="G209" s="5"/>
      <c r="H209" s="5"/>
      <c r="I209" s="5"/>
      <c r="J209" s="5"/>
      <c r="K209" s="5"/>
      <c r="L209" s="5"/>
      <c r="M209" s="5"/>
    </row>
    <row r="210" spans="1:13" ht="18" x14ac:dyDescent="0.2">
      <c r="A210" s="5"/>
      <c r="B210" s="5"/>
      <c r="C210" s="5"/>
      <c r="D210" s="5"/>
      <c r="E210" s="5"/>
      <c r="F210" s="5"/>
      <c r="G210" s="5"/>
      <c r="H210" s="5"/>
      <c r="I210" s="5"/>
      <c r="J210" s="5"/>
      <c r="K210" s="5"/>
      <c r="L210" s="5"/>
      <c r="M210" s="5"/>
    </row>
    <row r="211" spans="1:13" ht="18" x14ac:dyDescent="0.2">
      <c r="A211" s="5"/>
      <c r="B211" s="5"/>
      <c r="C211" s="5"/>
      <c r="D211" s="5"/>
      <c r="E211" s="5"/>
      <c r="F211" s="5"/>
      <c r="G211" s="5"/>
      <c r="H211" s="5"/>
      <c r="I211" s="5"/>
      <c r="J211" s="5"/>
      <c r="K211" s="5"/>
      <c r="L211" s="5"/>
      <c r="M211" s="5"/>
    </row>
    <row r="212" spans="1:13" ht="18" x14ac:dyDescent="0.2">
      <c r="A212" s="5"/>
      <c r="B212" s="5"/>
      <c r="C212" s="5"/>
      <c r="D212" s="5"/>
      <c r="E212" s="5"/>
      <c r="F212" s="5"/>
      <c r="G212" s="5"/>
      <c r="H212" s="5"/>
      <c r="I212" s="5"/>
      <c r="J212" s="5"/>
      <c r="K212" s="5"/>
      <c r="L212" s="5"/>
      <c r="M212" s="5"/>
    </row>
    <row r="213" spans="1:13" ht="18" x14ac:dyDescent="0.2">
      <c r="A213" s="5"/>
      <c r="B213" s="5"/>
      <c r="C213" s="5"/>
      <c r="D213" s="5"/>
      <c r="E213" s="5"/>
      <c r="F213" s="5"/>
      <c r="G213" s="5"/>
      <c r="H213" s="5"/>
      <c r="I213" s="5"/>
      <c r="J213" s="5"/>
      <c r="K213" s="5"/>
      <c r="L213" s="5"/>
      <c r="M213" s="5"/>
    </row>
    <row r="214" spans="1:13" ht="18" x14ac:dyDescent="0.2">
      <c r="A214" s="5"/>
      <c r="B214" s="5"/>
      <c r="C214" s="5"/>
      <c r="D214" s="5"/>
      <c r="E214" s="5"/>
      <c r="F214" s="5"/>
      <c r="G214" s="5"/>
      <c r="H214" s="5"/>
      <c r="I214" s="5"/>
      <c r="J214" s="5"/>
      <c r="K214" s="5"/>
      <c r="L214" s="5"/>
      <c r="M214" s="5"/>
    </row>
    <row r="215" spans="1:13" ht="18" x14ac:dyDescent="0.2">
      <c r="A215" s="5"/>
      <c r="B215" s="5"/>
      <c r="C215" s="5"/>
      <c r="D215" s="5"/>
      <c r="E215" s="5"/>
      <c r="F215" s="5"/>
      <c r="G215" s="5"/>
      <c r="H215" s="5"/>
      <c r="I215" s="5"/>
      <c r="J215" s="5"/>
      <c r="K215" s="5"/>
      <c r="L215" s="5"/>
      <c r="M215" s="5"/>
    </row>
    <row r="216" spans="1:13" ht="18" x14ac:dyDescent="0.2">
      <c r="A216" s="5"/>
      <c r="B216" s="5"/>
      <c r="C216" s="5"/>
      <c r="D216" s="5"/>
      <c r="E216" s="5"/>
      <c r="F216" s="5"/>
      <c r="G216" s="5"/>
      <c r="H216" s="5"/>
      <c r="I216" s="5"/>
      <c r="J216" s="5"/>
      <c r="K216" s="5"/>
      <c r="L216" s="5"/>
      <c r="M216" s="5"/>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FF111-BC4E-9848-992B-7286BD200F5E}">
  <dimension ref="A1:O8"/>
  <sheetViews>
    <sheetView workbookViewId="0">
      <selection activeCell="L13" sqref="L13"/>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239</v>
      </c>
      <c r="C2">
        <v>10</v>
      </c>
      <c r="D2">
        <v>3</v>
      </c>
      <c r="E2">
        <v>8</v>
      </c>
      <c r="F2">
        <v>9</v>
      </c>
      <c r="G2">
        <v>2</v>
      </c>
      <c r="H2">
        <v>7</v>
      </c>
      <c r="I2">
        <v>1.8499999999999999E-2</v>
      </c>
      <c r="J2">
        <v>50</v>
      </c>
      <c r="K2">
        <f>J2*I2/100</f>
        <v>9.2499999999999995E-3</v>
      </c>
      <c r="L2" t="s">
        <v>17</v>
      </c>
      <c r="M2">
        <v>298</v>
      </c>
      <c r="N2" t="s">
        <v>201</v>
      </c>
      <c r="O2" t="s">
        <v>608</v>
      </c>
    </row>
    <row r="3" spans="1:15" x14ac:dyDescent="0.2">
      <c r="A3" t="s">
        <v>190</v>
      </c>
      <c r="B3" t="s">
        <v>239</v>
      </c>
      <c r="C3">
        <v>10</v>
      </c>
      <c r="D3">
        <v>4</v>
      </c>
      <c r="E3">
        <v>8</v>
      </c>
      <c r="F3">
        <v>9</v>
      </c>
      <c r="G3">
        <v>3</v>
      </c>
      <c r="H3">
        <v>6</v>
      </c>
      <c r="I3">
        <v>2.4299999999999999E-2</v>
      </c>
      <c r="J3">
        <v>50</v>
      </c>
      <c r="K3">
        <f t="shared" ref="K3:K8" si="0">J3*I3/100</f>
        <v>1.2149999999999999E-2</v>
      </c>
      <c r="L3" t="s">
        <v>17</v>
      </c>
      <c r="M3">
        <v>298</v>
      </c>
      <c r="N3" t="s">
        <v>201</v>
      </c>
      <c r="O3" t="s">
        <v>609</v>
      </c>
    </row>
    <row r="4" spans="1:15" x14ac:dyDescent="0.2">
      <c r="A4" t="s">
        <v>190</v>
      </c>
      <c r="B4" t="s">
        <v>239</v>
      </c>
      <c r="C4">
        <v>10</v>
      </c>
      <c r="D4">
        <v>6</v>
      </c>
      <c r="E4">
        <v>4</v>
      </c>
      <c r="F4">
        <v>9</v>
      </c>
      <c r="G4">
        <v>5</v>
      </c>
      <c r="H4">
        <v>5</v>
      </c>
      <c r="I4">
        <v>1.44E-2</v>
      </c>
      <c r="J4">
        <v>50</v>
      </c>
      <c r="K4">
        <f t="shared" si="0"/>
        <v>7.1999999999999998E-3</v>
      </c>
      <c r="L4" t="s">
        <v>17</v>
      </c>
      <c r="M4">
        <v>298</v>
      </c>
      <c r="N4" t="s">
        <v>201</v>
      </c>
      <c r="O4" t="s">
        <v>610</v>
      </c>
    </row>
    <row r="5" spans="1:15" x14ac:dyDescent="0.2">
      <c r="A5" t="s">
        <v>190</v>
      </c>
      <c r="B5" t="s">
        <v>239</v>
      </c>
      <c r="C5">
        <v>12</v>
      </c>
      <c r="D5">
        <v>1</v>
      </c>
      <c r="E5">
        <v>11</v>
      </c>
      <c r="F5">
        <v>11</v>
      </c>
      <c r="G5">
        <v>2</v>
      </c>
      <c r="H5">
        <v>10</v>
      </c>
      <c r="I5">
        <v>7.7000000000000002E-3</v>
      </c>
      <c r="J5">
        <v>50</v>
      </c>
      <c r="K5">
        <f t="shared" si="0"/>
        <v>3.8500000000000001E-3</v>
      </c>
      <c r="L5" t="s">
        <v>17</v>
      </c>
      <c r="M5">
        <v>298</v>
      </c>
      <c r="N5" t="s">
        <v>201</v>
      </c>
      <c r="O5" t="s">
        <v>611</v>
      </c>
    </row>
    <row r="6" spans="1:15" x14ac:dyDescent="0.2">
      <c r="A6" t="s">
        <v>190</v>
      </c>
      <c r="B6" t="s">
        <v>239</v>
      </c>
      <c r="C6">
        <v>14</v>
      </c>
      <c r="D6">
        <v>2</v>
      </c>
      <c r="E6">
        <v>13</v>
      </c>
      <c r="F6">
        <v>13</v>
      </c>
      <c r="G6">
        <v>1</v>
      </c>
      <c r="H6">
        <v>12</v>
      </c>
      <c r="I6">
        <v>5.7000000000000002E-3</v>
      </c>
      <c r="J6">
        <v>50</v>
      </c>
      <c r="K6">
        <f t="shared" si="0"/>
        <v>2.8500000000000001E-3</v>
      </c>
      <c r="L6" t="s">
        <v>17</v>
      </c>
      <c r="M6">
        <v>298</v>
      </c>
      <c r="N6" t="s">
        <v>201</v>
      </c>
      <c r="O6" t="s">
        <v>612</v>
      </c>
    </row>
    <row r="7" spans="1:15" x14ac:dyDescent="0.2">
      <c r="A7" t="s">
        <v>190</v>
      </c>
      <c r="B7" t="s">
        <v>239</v>
      </c>
      <c r="C7">
        <v>14</v>
      </c>
      <c r="D7">
        <v>1</v>
      </c>
      <c r="E7">
        <v>13</v>
      </c>
      <c r="F7">
        <v>13</v>
      </c>
      <c r="G7">
        <v>2</v>
      </c>
      <c r="H7">
        <v>12</v>
      </c>
      <c r="I7">
        <v>5.8999999999999999E-3</v>
      </c>
      <c r="J7">
        <v>50</v>
      </c>
      <c r="K7">
        <f t="shared" si="0"/>
        <v>2.9499999999999999E-3</v>
      </c>
      <c r="L7" t="s">
        <v>17</v>
      </c>
      <c r="M7">
        <v>298</v>
      </c>
      <c r="N7" t="s">
        <v>201</v>
      </c>
      <c r="O7" t="s">
        <v>613</v>
      </c>
    </row>
    <row r="8" spans="1:15" x14ac:dyDescent="0.2">
      <c r="A8" t="s">
        <v>190</v>
      </c>
      <c r="B8" t="s">
        <v>239</v>
      </c>
      <c r="C8">
        <v>15</v>
      </c>
      <c r="D8">
        <v>0</v>
      </c>
      <c r="E8">
        <v>15</v>
      </c>
      <c r="F8">
        <v>14</v>
      </c>
      <c r="G8">
        <v>1</v>
      </c>
      <c r="H8">
        <v>14</v>
      </c>
      <c r="I8">
        <v>3.3999999999999998E-3</v>
      </c>
      <c r="J8">
        <v>50</v>
      </c>
      <c r="K8">
        <f t="shared" si="0"/>
        <v>1.6999999999999999E-3</v>
      </c>
      <c r="L8" t="s">
        <v>17</v>
      </c>
      <c r="M8">
        <v>298</v>
      </c>
      <c r="N8" t="s">
        <v>201</v>
      </c>
      <c r="O8" t="s">
        <v>614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98E34-69F0-994E-BDB4-832E8B556AD1}">
  <dimension ref="A1:O154"/>
  <sheetViews>
    <sheetView workbookViewId="0">
      <selection activeCell="J161" sqref="J16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239</v>
      </c>
      <c r="C2">
        <v>3</v>
      </c>
      <c r="D2">
        <v>1</v>
      </c>
      <c r="E2">
        <v>3</v>
      </c>
      <c r="F2">
        <v>2</v>
      </c>
      <c r="G2">
        <v>2</v>
      </c>
      <c r="H2">
        <v>0</v>
      </c>
      <c r="I2">
        <v>4.2599999999999999E-2</v>
      </c>
      <c r="J2">
        <v>50</v>
      </c>
      <c r="K2">
        <f>I2*J2/100</f>
        <v>2.1299999999999999E-2</v>
      </c>
      <c r="L2" t="s">
        <v>17</v>
      </c>
      <c r="M2">
        <v>296</v>
      </c>
      <c r="N2" t="s">
        <v>17</v>
      </c>
      <c r="O2" t="s">
        <v>615</v>
      </c>
    </row>
    <row r="3" spans="1:15" x14ac:dyDescent="0.2">
      <c r="A3" t="s">
        <v>190</v>
      </c>
      <c r="B3" t="s">
        <v>239</v>
      </c>
      <c r="C3">
        <v>4</v>
      </c>
      <c r="D3">
        <v>1</v>
      </c>
      <c r="E3">
        <v>4</v>
      </c>
      <c r="F3">
        <v>3</v>
      </c>
      <c r="G3">
        <v>2</v>
      </c>
      <c r="H3">
        <v>1</v>
      </c>
      <c r="I3">
        <v>4.0399999999999998E-2</v>
      </c>
      <c r="J3">
        <v>50</v>
      </c>
      <c r="K3">
        <f>I3*J3/100</f>
        <v>2.0199999999999999E-2</v>
      </c>
      <c r="L3" t="s">
        <v>17</v>
      </c>
      <c r="M3">
        <v>296</v>
      </c>
      <c r="N3" t="s">
        <v>17</v>
      </c>
      <c r="O3" t="s">
        <v>615</v>
      </c>
    </row>
    <row r="4" spans="1:15" x14ac:dyDescent="0.2">
      <c r="A4" t="s">
        <v>190</v>
      </c>
      <c r="B4" t="s">
        <v>239</v>
      </c>
      <c r="C4">
        <v>4</v>
      </c>
      <c r="D4">
        <v>4</v>
      </c>
      <c r="E4">
        <v>1</v>
      </c>
      <c r="F4">
        <v>3</v>
      </c>
      <c r="G4">
        <v>1</v>
      </c>
      <c r="H4">
        <v>2</v>
      </c>
      <c r="I4">
        <v>3.5999999999999997E-2</v>
      </c>
      <c r="J4">
        <v>50</v>
      </c>
      <c r="K4">
        <f t="shared" ref="K4:K67" si="0">I4*J4/100</f>
        <v>1.7999999999999999E-2</v>
      </c>
      <c r="L4" t="s">
        <v>17</v>
      </c>
      <c r="M4">
        <v>296</v>
      </c>
      <c r="N4" t="s">
        <v>17</v>
      </c>
      <c r="O4" t="s">
        <v>615</v>
      </c>
    </row>
    <row r="5" spans="1:15" x14ac:dyDescent="0.2">
      <c r="A5" t="s">
        <v>190</v>
      </c>
      <c r="B5" t="s">
        <v>239</v>
      </c>
      <c r="C5">
        <v>5</v>
      </c>
      <c r="D5">
        <v>4</v>
      </c>
      <c r="E5">
        <v>1</v>
      </c>
      <c r="F5">
        <v>4</v>
      </c>
      <c r="G5">
        <v>1</v>
      </c>
      <c r="H5">
        <v>4</v>
      </c>
      <c r="I5">
        <v>4.41E-2</v>
      </c>
      <c r="J5">
        <v>50</v>
      </c>
      <c r="K5">
        <f t="shared" si="0"/>
        <v>2.205E-2</v>
      </c>
      <c r="L5" t="s">
        <v>17</v>
      </c>
      <c r="M5">
        <v>296</v>
      </c>
      <c r="N5" t="s">
        <v>17</v>
      </c>
      <c r="O5" t="s">
        <v>615</v>
      </c>
    </row>
    <row r="6" spans="1:15" x14ac:dyDescent="0.2">
      <c r="A6" t="s">
        <v>190</v>
      </c>
      <c r="B6" t="s">
        <v>239</v>
      </c>
      <c r="C6">
        <v>5</v>
      </c>
      <c r="D6">
        <v>4</v>
      </c>
      <c r="E6">
        <v>1</v>
      </c>
      <c r="F6">
        <v>4</v>
      </c>
      <c r="G6">
        <v>3</v>
      </c>
      <c r="H6">
        <v>2</v>
      </c>
      <c r="I6">
        <v>2.7099999999999999E-2</v>
      </c>
      <c r="J6">
        <v>50</v>
      </c>
      <c r="K6">
        <f t="shared" si="0"/>
        <v>1.355E-2</v>
      </c>
      <c r="L6" t="s">
        <v>17</v>
      </c>
      <c r="M6">
        <v>296</v>
      </c>
      <c r="N6" t="s">
        <v>17</v>
      </c>
      <c r="O6" t="s">
        <v>615</v>
      </c>
    </row>
    <row r="7" spans="1:15" x14ac:dyDescent="0.2">
      <c r="A7" t="s">
        <v>190</v>
      </c>
      <c r="B7" t="s">
        <v>239</v>
      </c>
      <c r="C7">
        <v>5</v>
      </c>
      <c r="D7">
        <v>4</v>
      </c>
      <c r="E7">
        <v>2</v>
      </c>
      <c r="F7">
        <v>4</v>
      </c>
      <c r="G7">
        <v>1</v>
      </c>
      <c r="H7">
        <v>3</v>
      </c>
      <c r="I7">
        <v>3.4599999999999999E-2</v>
      </c>
      <c r="J7">
        <v>50</v>
      </c>
      <c r="K7">
        <f t="shared" si="0"/>
        <v>1.7299999999999999E-2</v>
      </c>
      <c r="L7" t="s">
        <v>17</v>
      </c>
      <c r="M7">
        <v>296</v>
      </c>
      <c r="N7" t="s">
        <v>17</v>
      </c>
      <c r="O7" t="s">
        <v>615</v>
      </c>
    </row>
    <row r="8" spans="1:15" x14ac:dyDescent="0.2">
      <c r="A8" t="s">
        <v>190</v>
      </c>
      <c r="B8" t="s">
        <v>239</v>
      </c>
      <c r="C8">
        <v>6</v>
      </c>
      <c r="D8">
        <v>1</v>
      </c>
      <c r="E8">
        <v>6</v>
      </c>
      <c r="F8">
        <v>5</v>
      </c>
      <c r="G8">
        <v>2</v>
      </c>
      <c r="H8">
        <v>3</v>
      </c>
      <c r="I8">
        <v>3.78E-2</v>
      </c>
      <c r="J8">
        <v>50</v>
      </c>
      <c r="K8">
        <f t="shared" si="0"/>
        <v>1.89E-2</v>
      </c>
      <c r="L8" t="s">
        <v>17</v>
      </c>
      <c r="M8">
        <v>296</v>
      </c>
      <c r="N8" t="s">
        <v>17</v>
      </c>
      <c r="O8" t="s">
        <v>615</v>
      </c>
    </row>
    <row r="9" spans="1:15" x14ac:dyDescent="0.2">
      <c r="A9" t="s">
        <v>190</v>
      </c>
      <c r="B9" t="s">
        <v>239</v>
      </c>
      <c r="C9">
        <v>6</v>
      </c>
      <c r="D9">
        <v>4</v>
      </c>
      <c r="E9">
        <v>2</v>
      </c>
      <c r="F9">
        <v>6</v>
      </c>
      <c r="G9">
        <v>1</v>
      </c>
      <c r="H9">
        <v>5</v>
      </c>
      <c r="I9">
        <v>2.8000000000000001E-2</v>
      </c>
      <c r="J9">
        <v>50</v>
      </c>
      <c r="K9">
        <f t="shared" si="0"/>
        <v>1.4000000000000002E-2</v>
      </c>
      <c r="L9" t="s">
        <v>17</v>
      </c>
      <c r="M9">
        <v>296</v>
      </c>
      <c r="N9" t="s">
        <v>17</v>
      </c>
      <c r="O9" t="s">
        <v>615</v>
      </c>
    </row>
    <row r="10" spans="1:15" x14ac:dyDescent="0.2">
      <c r="A10" t="s">
        <v>190</v>
      </c>
      <c r="B10" t="s">
        <v>239</v>
      </c>
      <c r="C10">
        <v>7</v>
      </c>
      <c r="D10">
        <v>3</v>
      </c>
      <c r="E10">
        <v>5</v>
      </c>
      <c r="F10">
        <v>6</v>
      </c>
      <c r="G10">
        <v>0</v>
      </c>
      <c r="H10">
        <v>6</v>
      </c>
      <c r="I10">
        <v>3.1899999999999998E-2</v>
      </c>
      <c r="J10">
        <v>50</v>
      </c>
      <c r="K10">
        <f t="shared" si="0"/>
        <v>1.5949999999999999E-2</v>
      </c>
      <c r="L10" t="s">
        <v>17</v>
      </c>
      <c r="M10">
        <v>296</v>
      </c>
      <c r="N10" t="s">
        <v>17</v>
      </c>
      <c r="O10" t="s">
        <v>615</v>
      </c>
    </row>
    <row r="11" spans="1:15" x14ac:dyDescent="0.2">
      <c r="A11" t="s">
        <v>190</v>
      </c>
      <c r="B11" t="s">
        <v>239</v>
      </c>
      <c r="C11">
        <v>7</v>
      </c>
      <c r="D11">
        <v>3</v>
      </c>
      <c r="E11">
        <v>4</v>
      </c>
      <c r="F11">
        <v>7</v>
      </c>
      <c r="G11">
        <v>0</v>
      </c>
      <c r="H11">
        <v>7</v>
      </c>
      <c r="I11">
        <v>3.6900000000000002E-2</v>
      </c>
      <c r="J11">
        <v>50</v>
      </c>
      <c r="K11">
        <f t="shared" si="0"/>
        <v>1.8450000000000001E-2</v>
      </c>
      <c r="L11" t="s">
        <v>17</v>
      </c>
      <c r="M11">
        <v>296</v>
      </c>
      <c r="N11" t="s">
        <v>17</v>
      </c>
      <c r="O11" t="s">
        <v>615</v>
      </c>
    </row>
    <row r="12" spans="1:15" x14ac:dyDescent="0.2">
      <c r="A12" t="s">
        <v>190</v>
      </c>
      <c r="B12" t="s">
        <v>239</v>
      </c>
      <c r="C12">
        <v>7</v>
      </c>
      <c r="D12">
        <v>4</v>
      </c>
      <c r="E12">
        <v>4</v>
      </c>
      <c r="F12">
        <v>6</v>
      </c>
      <c r="G12">
        <v>1</v>
      </c>
      <c r="H12">
        <v>5</v>
      </c>
      <c r="I12">
        <v>3.0499999999999999E-2</v>
      </c>
      <c r="J12">
        <v>50</v>
      </c>
      <c r="K12">
        <f t="shared" si="0"/>
        <v>1.525E-2</v>
      </c>
      <c r="L12" t="s">
        <v>17</v>
      </c>
      <c r="M12">
        <v>296</v>
      </c>
      <c r="N12" t="s">
        <v>17</v>
      </c>
      <c r="O12" t="s">
        <v>615</v>
      </c>
    </row>
    <row r="13" spans="1:15" x14ac:dyDescent="0.2">
      <c r="A13" t="s">
        <v>190</v>
      </c>
      <c r="B13" t="s">
        <v>239</v>
      </c>
      <c r="C13">
        <v>8</v>
      </c>
      <c r="D13">
        <v>2</v>
      </c>
      <c r="E13">
        <v>6</v>
      </c>
      <c r="F13">
        <v>7</v>
      </c>
      <c r="G13">
        <v>1</v>
      </c>
      <c r="H13">
        <v>7</v>
      </c>
      <c r="I13">
        <v>3.4799999999999998E-2</v>
      </c>
      <c r="J13">
        <v>50</v>
      </c>
      <c r="K13">
        <f t="shared" si="0"/>
        <v>1.7399999999999999E-2</v>
      </c>
      <c r="L13" t="s">
        <v>17</v>
      </c>
      <c r="M13">
        <v>296</v>
      </c>
      <c r="N13" t="s">
        <v>17</v>
      </c>
      <c r="O13" t="s">
        <v>615</v>
      </c>
    </row>
    <row r="14" spans="1:15" x14ac:dyDescent="0.2">
      <c r="A14" t="s">
        <v>190</v>
      </c>
      <c r="B14" t="s">
        <v>239</v>
      </c>
      <c r="C14">
        <v>8</v>
      </c>
      <c r="D14">
        <v>5</v>
      </c>
      <c r="E14">
        <v>4</v>
      </c>
      <c r="F14">
        <v>7</v>
      </c>
      <c r="G14">
        <v>2</v>
      </c>
      <c r="H14">
        <v>5</v>
      </c>
      <c r="I14">
        <v>2.1600000000000001E-2</v>
      </c>
      <c r="J14">
        <v>50</v>
      </c>
      <c r="K14">
        <f t="shared" si="0"/>
        <v>1.0800000000000001E-2</v>
      </c>
      <c r="L14" t="s">
        <v>17</v>
      </c>
      <c r="M14">
        <v>296</v>
      </c>
      <c r="N14" t="s">
        <v>17</v>
      </c>
      <c r="O14" t="s">
        <v>615</v>
      </c>
    </row>
    <row r="15" spans="1:15" x14ac:dyDescent="0.2">
      <c r="A15" t="s">
        <v>190</v>
      </c>
      <c r="B15" t="s">
        <v>239</v>
      </c>
      <c r="C15">
        <v>9</v>
      </c>
      <c r="D15">
        <v>2</v>
      </c>
      <c r="E15">
        <v>7</v>
      </c>
      <c r="F15">
        <v>8</v>
      </c>
      <c r="G15">
        <v>1</v>
      </c>
      <c r="H15">
        <v>8</v>
      </c>
      <c r="I15">
        <v>0.03</v>
      </c>
      <c r="J15">
        <v>50</v>
      </c>
      <c r="K15">
        <f t="shared" si="0"/>
        <v>1.4999999999999999E-2</v>
      </c>
      <c r="L15" t="s">
        <v>17</v>
      </c>
      <c r="M15">
        <v>296</v>
      </c>
      <c r="N15" t="s">
        <v>17</v>
      </c>
      <c r="O15" t="s">
        <v>615</v>
      </c>
    </row>
    <row r="16" spans="1:15" x14ac:dyDescent="0.2">
      <c r="A16" t="s">
        <v>190</v>
      </c>
      <c r="B16" t="s">
        <v>239</v>
      </c>
      <c r="C16">
        <v>9</v>
      </c>
      <c r="D16">
        <v>3</v>
      </c>
      <c r="E16">
        <v>7</v>
      </c>
      <c r="F16">
        <v>8</v>
      </c>
      <c r="G16">
        <v>0</v>
      </c>
      <c r="H16">
        <v>8</v>
      </c>
      <c r="I16">
        <v>2.3199999999999998E-2</v>
      </c>
      <c r="J16">
        <v>50</v>
      </c>
      <c r="K16">
        <f t="shared" si="0"/>
        <v>1.1599999999999999E-2</v>
      </c>
      <c r="L16" t="s">
        <v>17</v>
      </c>
      <c r="M16">
        <v>296</v>
      </c>
      <c r="N16" t="s">
        <v>17</v>
      </c>
      <c r="O16" t="s">
        <v>615</v>
      </c>
    </row>
    <row r="17" spans="1:15" x14ac:dyDescent="0.2">
      <c r="A17" t="s">
        <v>190</v>
      </c>
      <c r="B17" t="s">
        <v>239</v>
      </c>
      <c r="C17">
        <v>9</v>
      </c>
      <c r="D17">
        <v>6</v>
      </c>
      <c r="E17">
        <v>4</v>
      </c>
      <c r="F17">
        <v>8</v>
      </c>
      <c r="G17">
        <v>5</v>
      </c>
      <c r="H17">
        <v>3</v>
      </c>
      <c r="I17">
        <v>1.6899999999999998E-2</v>
      </c>
      <c r="J17">
        <v>50</v>
      </c>
      <c r="K17">
        <f t="shared" si="0"/>
        <v>8.4499999999999992E-3</v>
      </c>
      <c r="L17" t="s">
        <v>17</v>
      </c>
      <c r="M17">
        <v>296</v>
      </c>
      <c r="N17" t="s">
        <v>17</v>
      </c>
      <c r="O17" t="s">
        <v>615</v>
      </c>
    </row>
    <row r="18" spans="1:15" x14ac:dyDescent="0.2">
      <c r="A18" t="s">
        <v>190</v>
      </c>
      <c r="B18" t="s">
        <v>239</v>
      </c>
      <c r="C18">
        <v>9</v>
      </c>
      <c r="D18">
        <v>7</v>
      </c>
      <c r="E18">
        <v>3</v>
      </c>
      <c r="F18">
        <v>8</v>
      </c>
      <c r="G18">
        <v>6</v>
      </c>
      <c r="H18">
        <v>2</v>
      </c>
      <c r="I18">
        <v>1.34E-2</v>
      </c>
      <c r="J18">
        <v>50</v>
      </c>
      <c r="K18">
        <f t="shared" si="0"/>
        <v>6.7000000000000002E-3</v>
      </c>
      <c r="L18" t="s">
        <v>17</v>
      </c>
      <c r="M18">
        <v>296</v>
      </c>
      <c r="N18" t="s">
        <v>17</v>
      </c>
      <c r="O18" t="s">
        <v>615</v>
      </c>
    </row>
    <row r="19" spans="1:15" x14ac:dyDescent="0.2">
      <c r="A19" t="s">
        <v>190</v>
      </c>
      <c r="B19" t="s">
        <v>239</v>
      </c>
      <c r="C19">
        <v>9</v>
      </c>
      <c r="D19">
        <v>2</v>
      </c>
      <c r="E19">
        <v>7</v>
      </c>
      <c r="F19">
        <v>10</v>
      </c>
      <c r="G19">
        <v>3</v>
      </c>
      <c r="H19">
        <v>8</v>
      </c>
      <c r="I19">
        <v>1.8499999999999999E-2</v>
      </c>
      <c r="J19">
        <v>50</v>
      </c>
      <c r="K19">
        <f t="shared" si="0"/>
        <v>9.2499999999999995E-3</v>
      </c>
      <c r="L19" t="s">
        <v>17</v>
      </c>
      <c r="M19">
        <v>296</v>
      </c>
      <c r="N19" t="s">
        <v>17</v>
      </c>
      <c r="O19" t="s">
        <v>616</v>
      </c>
    </row>
    <row r="20" spans="1:15" x14ac:dyDescent="0.2">
      <c r="A20" t="s">
        <v>190</v>
      </c>
      <c r="B20" t="s">
        <v>239</v>
      </c>
      <c r="C20">
        <v>9</v>
      </c>
      <c r="D20">
        <v>3</v>
      </c>
      <c r="E20">
        <v>6</v>
      </c>
      <c r="F20">
        <v>10</v>
      </c>
      <c r="G20">
        <v>4</v>
      </c>
      <c r="H20">
        <v>7</v>
      </c>
      <c r="I20">
        <v>2.4299999999999999E-2</v>
      </c>
      <c r="J20">
        <v>50</v>
      </c>
      <c r="K20">
        <f t="shared" si="0"/>
        <v>1.2149999999999999E-2</v>
      </c>
      <c r="L20" t="s">
        <v>17</v>
      </c>
      <c r="M20">
        <v>296</v>
      </c>
      <c r="N20" t="s">
        <v>17</v>
      </c>
      <c r="O20" t="s">
        <v>616</v>
      </c>
    </row>
    <row r="21" spans="1:15" x14ac:dyDescent="0.2">
      <c r="A21" t="s">
        <v>190</v>
      </c>
      <c r="B21" t="s">
        <v>239</v>
      </c>
      <c r="C21">
        <v>9</v>
      </c>
      <c r="D21">
        <v>5</v>
      </c>
      <c r="E21">
        <v>5</v>
      </c>
      <c r="F21">
        <v>10</v>
      </c>
      <c r="G21">
        <v>6</v>
      </c>
      <c r="H21">
        <v>4</v>
      </c>
      <c r="I21">
        <v>1.44E-2</v>
      </c>
      <c r="J21">
        <v>50</v>
      </c>
      <c r="K21">
        <f t="shared" si="0"/>
        <v>7.1999999999999998E-3</v>
      </c>
      <c r="L21" t="s">
        <v>17</v>
      </c>
      <c r="M21">
        <v>296</v>
      </c>
      <c r="N21" t="s">
        <v>17</v>
      </c>
      <c r="O21" t="s">
        <v>616</v>
      </c>
    </row>
    <row r="22" spans="1:15" x14ac:dyDescent="0.2">
      <c r="A22" t="s">
        <v>190</v>
      </c>
      <c r="B22" t="s">
        <v>239</v>
      </c>
      <c r="C22">
        <v>10</v>
      </c>
      <c r="D22">
        <v>3</v>
      </c>
      <c r="E22">
        <v>7</v>
      </c>
      <c r="F22">
        <v>9</v>
      </c>
      <c r="G22">
        <v>2</v>
      </c>
      <c r="H22">
        <v>8</v>
      </c>
      <c r="I22">
        <v>2.8899999999999999E-2</v>
      </c>
      <c r="J22">
        <v>50</v>
      </c>
      <c r="K22">
        <f t="shared" si="0"/>
        <v>1.4449999999999998E-2</v>
      </c>
      <c r="L22" t="s">
        <v>17</v>
      </c>
      <c r="M22">
        <v>296</v>
      </c>
      <c r="N22" t="s">
        <v>17</v>
      </c>
      <c r="O22" t="s">
        <v>615</v>
      </c>
    </row>
    <row r="23" spans="1:15" x14ac:dyDescent="0.2">
      <c r="A23" t="s">
        <v>190</v>
      </c>
      <c r="B23" t="s">
        <v>239</v>
      </c>
      <c r="C23">
        <v>10</v>
      </c>
      <c r="D23">
        <v>4</v>
      </c>
      <c r="E23">
        <v>6</v>
      </c>
      <c r="F23">
        <v>9</v>
      </c>
      <c r="G23">
        <v>3</v>
      </c>
      <c r="H23">
        <v>7</v>
      </c>
      <c r="I23">
        <v>2.6499999999999999E-2</v>
      </c>
      <c r="J23">
        <v>50</v>
      </c>
      <c r="K23">
        <f t="shared" si="0"/>
        <v>1.325E-2</v>
      </c>
      <c r="L23" t="s">
        <v>17</v>
      </c>
      <c r="M23">
        <v>296</v>
      </c>
      <c r="N23" t="s">
        <v>17</v>
      </c>
      <c r="O23" t="s">
        <v>615</v>
      </c>
    </row>
    <row r="24" spans="1:15" x14ac:dyDescent="0.2">
      <c r="A24" t="s">
        <v>190</v>
      </c>
      <c r="B24" t="s">
        <v>239</v>
      </c>
      <c r="C24">
        <v>10</v>
      </c>
      <c r="D24">
        <v>5</v>
      </c>
      <c r="E24">
        <v>5</v>
      </c>
      <c r="F24">
        <v>9</v>
      </c>
      <c r="G24">
        <v>4</v>
      </c>
      <c r="H24">
        <v>6</v>
      </c>
      <c r="I24">
        <v>0.02</v>
      </c>
      <c r="J24">
        <v>50</v>
      </c>
      <c r="K24">
        <f t="shared" si="0"/>
        <v>0.01</v>
      </c>
      <c r="L24" t="s">
        <v>17</v>
      </c>
      <c r="M24">
        <v>296</v>
      </c>
      <c r="N24" t="s">
        <v>17</v>
      </c>
      <c r="O24" t="s">
        <v>615</v>
      </c>
    </row>
    <row r="25" spans="1:15" x14ac:dyDescent="0.2">
      <c r="A25" t="s">
        <v>190</v>
      </c>
      <c r="B25" t="s">
        <v>239</v>
      </c>
      <c r="C25">
        <v>10</v>
      </c>
      <c r="D25">
        <v>6</v>
      </c>
      <c r="E25">
        <v>5</v>
      </c>
      <c r="F25">
        <v>9</v>
      </c>
      <c r="G25">
        <v>5</v>
      </c>
      <c r="H25">
        <v>4</v>
      </c>
      <c r="I25">
        <v>1.8499999999999999E-2</v>
      </c>
      <c r="J25">
        <v>50</v>
      </c>
      <c r="K25">
        <f t="shared" si="0"/>
        <v>9.2499999999999995E-3</v>
      </c>
      <c r="L25" t="s">
        <v>17</v>
      </c>
      <c r="M25">
        <v>296</v>
      </c>
      <c r="N25" t="s">
        <v>17</v>
      </c>
      <c r="O25" t="s">
        <v>615</v>
      </c>
    </row>
    <row r="26" spans="1:15" x14ac:dyDescent="0.2">
      <c r="A26" t="s">
        <v>190</v>
      </c>
      <c r="B26" t="s">
        <v>239</v>
      </c>
      <c r="C26">
        <v>10</v>
      </c>
      <c r="D26">
        <v>7</v>
      </c>
      <c r="E26">
        <v>4</v>
      </c>
      <c r="F26">
        <v>9</v>
      </c>
      <c r="G26">
        <v>6</v>
      </c>
      <c r="H26">
        <v>3</v>
      </c>
      <c r="I26">
        <v>1.3299999999999999E-2</v>
      </c>
      <c r="J26">
        <v>50</v>
      </c>
      <c r="K26">
        <f t="shared" si="0"/>
        <v>6.6499999999999997E-3</v>
      </c>
      <c r="L26" t="s">
        <v>17</v>
      </c>
      <c r="M26">
        <v>296</v>
      </c>
      <c r="N26" t="s">
        <v>17</v>
      </c>
      <c r="O26" t="s">
        <v>615</v>
      </c>
    </row>
    <row r="27" spans="1:15" x14ac:dyDescent="0.2">
      <c r="A27" t="s">
        <v>190</v>
      </c>
      <c r="B27" t="s">
        <v>239</v>
      </c>
      <c r="C27">
        <v>11</v>
      </c>
      <c r="D27">
        <v>2</v>
      </c>
      <c r="E27">
        <v>10</v>
      </c>
      <c r="F27">
        <v>12</v>
      </c>
      <c r="G27">
        <v>1</v>
      </c>
      <c r="H27">
        <v>11</v>
      </c>
      <c r="I27">
        <v>1.34E-2</v>
      </c>
      <c r="J27">
        <v>50</v>
      </c>
      <c r="K27">
        <f t="shared" si="0"/>
        <v>6.7000000000000002E-3</v>
      </c>
      <c r="L27" t="s">
        <v>17</v>
      </c>
      <c r="M27">
        <v>296</v>
      </c>
      <c r="N27" t="s">
        <v>17</v>
      </c>
      <c r="O27" t="s">
        <v>616</v>
      </c>
    </row>
    <row r="28" spans="1:15" x14ac:dyDescent="0.2">
      <c r="A28" t="s">
        <v>190</v>
      </c>
      <c r="B28" t="s">
        <v>239</v>
      </c>
      <c r="C28">
        <v>11</v>
      </c>
      <c r="D28">
        <v>4</v>
      </c>
      <c r="E28">
        <v>8</v>
      </c>
      <c r="F28">
        <v>10</v>
      </c>
      <c r="G28">
        <v>3</v>
      </c>
      <c r="H28">
        <v>7</v>
      </c>
      <c r="I28">
        <v>2.52E-2</v>
      </c>
      <c r="J28">
        <v>50</v>
      </c>
      <c r="K28">
        <f t="shared" si="0"/>
        <v>1.26E-2</v>
      </c>
      <c r="L28" t="s">
        <v>17</v>
      </c>
      <c r="M28">
        <v>296</v>
      </c>
      <c r="N28" t="s">
        <v>17</v>
      </c>
      <c r="O28" t="s">
        <v>615</v>
      </c>
    </row>
    <row r="29" spans="1:15" x14ac:dyDescent="0.2">
      <c r="A29" t="s">
        <v>190</v>
      </c>
      <c r="B29" t="s">
        <v>239</v>
      </c>
      <c r="C29">
        <v>11</v>
      </c>
      <c r="D29">
        <v>5</v>
      </c>
      <c r="E29">
        <v>6</v>
      </c>
      <c r="F29">
        <v>10</v>
      </c>
      <c r="G29">
        <v>4</v>
      </c>
      <c r="H29">
        <v>7</v>
      </c>
      <c r="I29">
        <v>1.8599999999999998E-2</v>
      </c>
      <c r="J29">
        <v>50</v>
      </c>
      <c r="K29">
        <f t="shared" si="0"/>
        <v>9.2999999999999992E-3</v>
      </c>
      <c r="L29" t="s">
        <v>17</v>
      </c>
      <c r="M29">
        <v>296</v>
      </c>
      <c r="N29" t="s">
        <v>17</v>
      </c>
      <c r="O29" t="s">
        <v>615</v>
      </c>
    </row>
    <row r="30" spans="1:15" x14ac:dyDescent="0.2">
      <c r="A30" t="s">
        <v>190</v>
      </c>
      <c r="B30" t="s">
        <v>239</v>
      </c>
      <c r="C30">
        <v>12</v>
      </c>
      <c r="D30">
        <v>2</v>
      </c>
      <c r="E30">
        <v>10</v>
      </c>
      <c r="F30">
        <v>11</v>
      </c>
      <c r="G30">
        <v>3</v>
      </c>
      <c r="H30">
        <v>9</v>
      </c>
      <c r="I30">
        <v>1.35E-2</v>
      </c>
      <c r="J30">
        <v>50</v>
      </c>
      <c r="K30">
        <f t="shared" si="0"/>
        <v>6.7500000000000008E-3</v>
      </c>
      <c r="L30" t="s">
        <v>17</v>
      </c>
      <c r="M30">
        <v>296</v>
      </c>
      <c r="N30" t="s">
        <v>17</v>
      </c>
      <c r="O30" t="s">
        <v>615</v>
      </c>
    </row>
    <row r="31" spans="1:15" x14ac:dyDescent="0.2">
      <c r="A31" t="s">
        <v>190</v>
      </c>
      <c r="B31" t="s">
        <v>239</v>
      </c>
      <c r="C31">
        <v>12</v>
      </c>
      <c r="D31">
        <v>4</v>
      </c>
      <c r="E31">
        <v>9</v>
      </c>
      <c r="F31">
        <v>11</v>
      </c>
      <c r="G31">
        <v>3</v>
      </c>
      <c r="H31">
        <v>8</v>
      </c>
      <c r="I31">
        <v>2.1600000000000001E-2</v>
      </c>
      <c r="J31">
        <v>50</v>
      </c>
      <c r="K31">
        <f t="shared" si="0"/>
        <v>1.0800000000000001E-2</v>
      </c>
      <c r="L31" t="s">
        <v>17</v>
      </c>
      <c r="M31">
        <v>296</v>
      </c>
      <c r="N31" t="s">
        <v>17</v>
      </c>
      <c r="O31" t="s">
        <v>615</v>
      </c>
    </row>
    <row r="32" spans="1:15" x14ac:dyDescent="0.2">
      <c r="A32" t="s">
        <v>190</v>
      </c>
      <c r="B32" t="s">
        <v>239</v>
      </c>
      <c r="C32">
        <v>13</v>
      </c>
      <c r="D32">
        <v>2</v>
      </c>
      <c r="E32">
        <v>12</v>
      </c>
      <c r="F32">
        <v>12</v>
      </c>
      <c r="G32">
        <v>1</v>
      </c>
      <c r="H32">
        <v>11</v>
      </c>
      <c r="I32">
        <v>8.0000000000000002E-3</v>
      </c>
      <c r="J32">
        <v>50</v>
      </c>
      <c r="K32">
        <f t="shared" si="0"/>
        <v>4.0000000000000001E-3</v>
      </c>
      <c r="L32" t="s">
        <v>17</v>
      </c>
      <c r="M32">
        <v>296</v>
      </c>
      <c r="N32" t="s">
        <v>17</v>
      </c>
      <c r="O32" t="s">
        <v>615</v>
      </c>
    </row>
    <row r="33" spans="1:15" x14ac:dyDescent="0.2">
      <c r="A33" t="s">
        <v>190</v>
      </c>
      <c r="B33" t="s">
        <v>239</v>
      </c>
      <c r="C33">
        <v>13</v>
      </c>
      <c r="D33">
        <v>2</v>
      </c>
      <c r="E33">
        <v>11</v>
      </c>
      <c r="F33">
        <v>12</v>
      </c>
      <c r="G33">
        <v>3</v>
      </c>
      <c r="H33">
        <v>10</v>
      </c>
      <c r="I33">
        <v>1.0999999999999999E-2</v>
      </c>
      <c r="J33">
        <v>50</v>
      </c>
      <c r="K33">
        <f t="shared" si="0"/>
        <v>5.4999999999999997E-3</v>
      </c>
      <c r="L33" t="s">
        <v>17</v>
      </c>
      <c r="M33">
        <v>296</v>
      </c>
      <c r="N33" t="s">
        <v>17</v>
      </c>
      <c r="O33" t="s">
        <v>615</v>
      </c>
    </row>
    <row r="34" spans="1:15" x14ac:dyDescent="0.2">
      <c r="A34" t="s">
        <v>190</v>
      </c>
      <c r="B34" t="s">
        <v>239</v>
      </c>
      <c r="C34">
        <v>13</v>
      </c>
      <c r="D34">
        <v>1</v>
      </c>
      <c r="E34">
        <v>12</v>
      </c>
      <c r="F34">
        <v>14</v>
      </c>
      <c r="G34">
        <v>2</v>
      </c>
      <c r="H34">
        <v>13</v>
      </c>
      <c r="I34">
        <v>5.7000000000000002E-3</v>
      </c>
      <c r="J34">
        <v>50</v>
      </c>
      <c r="K34">
        <f t="shared" si="0"/>
        <v>2.8500000000000001E-3</v>
      </c>
      <c r="L34" t="s">
        <v>17</v>
      </c>
      <c r="M34">
        <v>296</v>
      </c>
      <c r="N34" t="s">
        <v>17</v>
      </c>
      <c r="O34" t="s">
        <v>616</v>
      </c>
    </row>
    <row r="35" spans="1:15" x14ac:dyDescent="0.2">
      <c r="A35" t="s">
        <v>190</v>
      </c>
      <c r="B35" t="s">
        <v>239</v>
      </c>
      <c r="C35">
        <v>13</v>
      </c>
      <c r="D35">
        <v>2</v>
      </c>
      <c r="E35">
        <v>12</v>
      </c>
      <c r="F35">
        <v>14</v>
      </c>
      <c r="G35">
        <v>1</v>
      </c>
      <c r="H35">
        <v>13</v>
      </c>
      <c r="I35">
        <v>5.8999999999999999E-3</v>
      </c>
      <c r="J35">
        <v>50</v>
      </c>
      <c r="K35">
        <f t="shared" si="0"/>
        <v>2.9499999999999999E-3</v>
      </c>
      <c r="L35" t="s">
        <v>17</v>
      </c>
      <c r="M35">
        <v>296</v>
      </c>
      <c r="N35" t="s">
        <v>17</v>
      </c>
      <c r="O35" t="s">
        <v>616</v>
      </c>
    </row>
    <row r="36" spans="1:15" x14ac:dyDescent="0.2">
      <c r="A36" t="s">
        <v>190</v>
      </c>
      <c r="B36" t="s">
        <v>239</v>
      </c>
      <c r="C36">
        <v>14</v>
      </c>
      <c r="D36">
        <v>1</v>
      </c>
      <c r="E36">
        <v>13</v>
      </c>
      <c r="F36">
        <v>13</v>
      </c>
      <c r="G36">
        <v>2</v>
      </c>
      <c r="H36">
        <v>12</v>
      </c>
      <c r="I36">
        <v>1.1900000000000001E-2</v>
      </c>
      <c r="J36">
        <v>50</v>
      </c>
      <c r="K36">
        <f t="shared" si="0"/>
        <v>5.9500000000000004E-3</v>
      </c>
      <c r="L36" t="s">
        <v>17</v>
      </c>
      <c r="M36">
        <v>296</v>
      </c>
      <c r="N36" t="s">
        <v>17</v>
      </c>
      <c r="O36" t="s">
        <v>615</v>
      </c>
    </row>
    <row r="37" spans="1:15" x14ac:dyDescent="0.2">
      <c r="A37" t="s">
        <v>190</v>
      </c>
      <c r="B37" t="s">
        <v>239</v>
      </c>
      <c r="C37">
        <v>14</v>
      </c>
      <c r="D37">
        <v>2</v>
      </c>
      <c r="E37">
        <v>13</v>
      </c>
      <c r="F37">
        <v>13</v>
      </c>
      <c r="G37">
        <v>1</v>
      </c>
      <c r="H37">
        <v>12</v>
      </c>
      <c r="I37">
        <v>7.0000000000000001E-3</v>
      </c>
      <c r="J37">
        <v>50</v>
      </c>
      <c r="K37">
        <f t="shared" si="0"/>
        <v>3.5000000000000005E-3</v>
      </c>
      <c r="L37" t="s">
        <v>17</v>
      </c>
      <c r="M37">
        <v>296</v>
      </c>
      <c r="N37" t="s">
        <v>17</v>
      </c>
      <c r="O37" t="s">
        <v>615</v>
      </c>
    </row>
    <row r="38" spans="1:15" x14ac:dyDescent="0.2">
      <c r="A38" t="s">
        <v>190</v>
      </c>
      <c r="B38" t="s">
        <v>239</v>
      </c>
      <c r="C38">
        <v>14</v>
      </c>
      <c r="D38">
        <v>0</v>
      </c>
      <c r="E38">
        <v>14</v>
      </c>
      <c r="F38">
        <v>15</v>
      </c>
      <c r="G38">
        <v>1</v>
      </c>
      <c r="H38">
        <v>15</v>
      </c>
      <c r="I38">
        <v>3.3999999999999998E-3</v>
      </c>
      <c r="J38">
        <v>50</v>
      </c>
      <c r="K38">
        <f t="shared" si="0"/>
        <v>1.6999999999999999E-3</v>
      </c>
      <c r="L38" t="s">
        <v>17</v>
      </c>
      <c r="M38">
        <v>296</v>
      </c>
      <c r="N38" t="s">
        <v>17</v>
      </c>
      <c r="O38" t="s">
        <v>616</v>
      </c>
    </row>
    <row r="39" spans="1:15" x14ac:dyDescent="0.2">
      <c r="A39" t="s">
        <v>190</v>
      </c>
      <c r="B39" t="s">
        <v>239</v>
      </c>
      <c r="C39">
        <v>15</v>
      </c>
      <c r="D39">
        <v>0</v>
      </c>
      <c r="E39">
        <v>15</v>
      </c>
      <c r="F39">
        <v>14</v>
      </c>
      <c r="G39">
        <v>1</v>
      </c>
      <c r="H39">
        <v>14</v>
      </c>
      <c r="I39">
        <v>6.6E-3</v>
      </c>
      <c r="J39">
        <v>50</v>
      </c>
      <c r="K39">
        <f t="shared" si="0"/>
        <v>3.3E-3</v>
      </c>
      <c r="L39" t="s">
        <v>17</v>
      </c>
      <c r="M39">
        <v>296</v>
      </c>
      <c r="N39" t="s">
        <v>17</v>
      </c>
      <c r="O39" t="s">
        <v>615</v>
      </c>
    </row>
    <row r="40" spans="1:15" x14ac:dyDescent="0.2">
      <c r="A40" t="s">
        <v>190</v>
      </c>
      <c r="B40" t="s">
        <v>239</v>
      </c>
      <c r="C40">
        <v>15</v>
      </c>
      <c r="D40">
        <v>1</v>
      </c>
      <c r="E40">
        <v>15</v>
      </c>
      <c r="F40">
        <v>14</v>
      </c>
      <c r="G40">
        <v>0</v>
      </c>
      <c r="H40">
        <v>14</v>
      </c>
      <c r="I40">
        <v>7.7000000000000002E-3</v>
      </c>
      <c r="J40">
        <v>50</v>
      </c>
      <c r="K40">
        <f t="shared" si="0"/>
        <v>3.8500000000000001E-3</v>
      </c>
      <c r="L40" t="s">
        <v>17</v>
      </c>
      <c r="M40">
        <v>296</v>
      </c>
      <c r="N40" t="s">
        <v>17</v>
      </c>
      <c r="O40" t="s">
        <v>616</v>
      </c>
    </row>
    <row r="41" spans="1:15" x14ac:dyDescent="0.2">
      <c r="A41" t="s">
        <v>190</v>
      </c>
      <c r="B41" t="s">
        <v>191</v>
      </c>
      <c r="C41">
        <v>3</v>
      </c>
      <c r="D41">
        <v>1</v>
      </c>
      <c r="E41">
        <v>3</v>
      </c>
      <c r="F41">
        <v>2</v>
      </c>
      <c r="G41">
        <v>2</v>
      </c>
      <c r="H41">
        <v>0</v>
      </c>
      <c r="I41">
        <v>2.2700000000000001E-2</v>
      </c>
      <c r="J41">
        <v>50</v>
      </c>
      <c r="K41">
        <f t="shared" si="0"/>
        <v>1.1350000000000001E-2</v>
      </c>
      <c r="L41" t="s">
        <v>17</v>
      </c>
      <c r="M41">
        <v>296</v>
      </c>
      <c r="N41" t="s">
        <v>17</v>
      </c>
      <c r="O41" t="s">
        <v>617</v>
      </c>
    </row>
    <row r="42" spans="1:15" x14ac:dyDescent="0.2">
      <c r="A42" t="s">
        <v>190</v>
      </c>
      <c r="B42" t="s">
        <v>191</v>
      </c>
      <c r="C42">
        <v>4</v>
      </c>
      <c r="D42">
        <v>1</v>
      </c>
      <c r="E42">
        <v>4</v>
      </c>
      <c r="F42">
        <v>3</v>
      </c>
      <c r="G42">
        <v>2</v>
      </c>
      <c r="H42">
        <v>1</v>
      </c>
      <c r="I42">
        <v>2.1399999999999999E-2</v>
      </c>
      <c r="J42">
        <v>50</v>
      </c>
      <c r="K42">
        <f t="shared" si="0"/>
        <v>1.0699999999999998E-2</v>
      </c>
      <c r="L42" t="s">
        <v>17</v>
      </c>
      <c r="M42">
        <v>296</v>
      </c>
      <c r="N42" t="s">
        <v>17</v>
      </c>
      <c r="O42" t="s">
        <v>618</v>
      </c>
    </row>
    <row r="43" spans="1:15" x14ac:dyDescent="0.2">
      <c r="A43" t="s">
        <v>190</v>
      </c>
      <c r="B43" t="s">
        <v>191</v>
      </c>
      <c r="C43">
        <v>4</v>
      </c>
      <c r="D43">
        <v>4</v>
      </c>
      <c r="E43">
        <v>1</v>
      </c>
      <c r="F43">
        <v>3</v>
      </c>
      <c r="G43">
        <v>1</v>
      </c>
      <c r="H43">
        <v>2</v>
      </c>
      <c r="I43">
        <v>1.7500000000000002E-2</v>
      </c>
      <c r="J43">
        <v>50</v>
      </c>
      <c r="K43">
        <f t="shared" si="0"/>
        <v>8.7500000000000008E-3</v>
      </c>
      <c r="L43" t="s">
        <v>17</v>
      </c>
      <c r="M43">
        <v>296</v>
      </c>
      <c r="N43" t="s">
        <v>17</v>
      </c>
      <c r="O43" t="s">
        <v>619</v>
      </c>
    </row>
    <row r="44" spans="1:15" x14ac:dyDescent="0.2">
      <c r="A44" t="s">
        <v>190</v>
      </c>
      <c r="B44" t="s">
        <v>191</v>
      </c>
      <c r="C44">
        <v>5</v>
      </c>
      <c r="D44">
        <v>4</v>
      </c>
      <c r="E44">
        <v>1</v>
      </c>
      <c r="F44">
        <v>4</v>
      </c>
      <c r="G44">
        <v>1</v>
      </c>
      <c r="H44">
        <v>4</v>
      </c>
      <c r="I44">
        <v>2.01E-2</v>
      </c>
      <c r="J44">
        <v>50</v>
      </c>
      <c r="K44">
        <f t="shared" si="0"/>
        <v>1.0049999999999998E-2</v>
      </c>
      <c r="L44" t="s">
        <v>17</v>
      </c>
      <c r="M44">
        <v>296</v>
      </c>
      <c r="N44" t="s">
        <v>17</v>
      </c>
      <c r="O44" t="s">
        <v>620</v>
      </c>
    </row>
    <row r="45" spans="1:15" x14ac:dyDescent="0.2">
      <c r="A45" t="s">
        <v>190</v>
      </c>
      <c r="B45" t="s">
        <v>191</v>
      </c>
      <c r="C45">
        <v>5</v>
      </c>
      <c r="D45">
        <v>4</v>
      </c>
      <c r="E45">
        <v>1</v>
      </c>
      <c r="F45">
        <v>4</v>
      </c>
      <c r="G45">
        <v>3</v>
      </c>
      <c r="H45">
        <v>2</v>
      </c>
      <c r="I45">
        <v>1.5800000000000002E-2</v>
      </c>
      <c r="J45">
        <v>50</v>
      </c>
      <c r="K45">
        <f t="shared" si="0"/>
        <v>7.9000000000000008E-3</v>
      </c>
      <c r="L45" t="s">
        <v>17</v>
      </c>
      <c r="M45">
        <v>296</v>
      </c>
      <c r="N45" t="s">
        <v>17</v>
      </c>
      <c r="O45" t="s">
        <v>620</v>
      </c>
    </row>
    <row r="46" spans="1:15" x14ac:dyDescent="0.2">
      <c r="A46" t="s">
        <v>190</v>
      </c>
      <c r="B46" t="s">
        <v>191</v>
      </c>
      <c r="C46">
        <v>5</v>
      </c>
      <c r="D46">
        <v>4</v>
      </c>
      <c r="E46">
        <v>2</v>
      </c>
      <c r="F46">
        <v>4</v>
      </c>
      <c r="G46">
        <v>1</v>
      </c>
      <c r="H46">
        <v>3</v>
      </c>
      <c r="I46">
        <v>1.8100000000000002E-2</v>
      </c>
      <c r="J46">
        <v>50</v>
      </c>
      <c r="K46">
        <f t="shared" si="0"/>
        <v>9.0500000000000008E-3</v>
      </c>
      <c r="L46" t="s">
        <v>17</v>
      </c>
      <c r="M46">
        <v>296</v>
      </c>
      <c r="N46" t="s">
        <v>17</v>
      </c>
      <c r="O46" t="s">
        <v>620</v>
      </c>
    </row>
    <row r="47" spans="1:15" x14ac:dyDescent="0.2">
      <c r="A47" t="s">
        <v>190</v>
      </c>
      <c r="B47" t="s">
        <v>191</v>
      </c>
      <c r="C47">
        <v>6</v>
      </c>
      <c r="D47">
        <v>1</v>
      </c>
      <c r="E47">
        <v>6</v>
      </c>
      <c r="F47">
        <v>5</v>
      </c>
      <c r="G47">
        <v>2</v>
      </c>
      <c r="H47">
        <v>3</v>
      </c>
      <c r="I47">
        <v>1.9699999999999999E-2</v>
      </c>
      <c r="J47">
        <v>50</v>
      </c>
      <c r="K47">
        <f t="shared" si="0"/>
        <v>9.8499999999999994E-3</v>
      </c>
      <c r="L47" t="s">
        <v>17</v>
      </c>
      <c r="M47">
        <v>296</v>
      </c>
      <c r="N47" t="s">
        <v>17</v>
      </c>
      <c r="O47" t="s">
        <v>620</v>
      </c>
    </row>
    <row r="48" spans="1:15" x14ac:dyDescent="0.2">
      <c r="A48" t="s">
        <v>190</v>
      </c>
      <c r="B48" t="s">
        <v>191</v>
      </c>
      <c r="C48">
        <v>6</v>
      </c>
      <c r="D48">
        <v>4</v>
      </c>
      <c r="E48">
        <v>2</v>
      </c>
      <c r="F48">
        <v>6</v>
      </c>
      <c r="G48">
        <v>1</v>
      </c>
      <c r="H48">
        <v>5</v>
      </c>
      <c r="I48">
        <v>1.6199999999999999E-2</v>
      </c>
      <c r="J48">
        <v>50</v>
      </c>
      <c r="K48">
        <f t="shared" si="0"/>
        <v>8.0999999999999996E-3</v>
      </c>
      <c r="L48" t="s">
        <v>17</v>
      </c>
      <c r="M48">
        <v>296</v>
      </c>
      <c r="N48" t="s">
        <v>17</v>
      </c>
      <c r="O48" t="s">
        <v>620</v>
      </c>
    </row>
    <row r="49" spans="1:15" x14ac:dyDescent="0.2">
      <c r="A49" t="s">
        <v>190</v>
      </c>
      <c r="B49" t="s">
        <v>191</v>
      </c>
      <c r="C49">
        <v>7</v>
      </c>
      <c r="D49">
        <v>3</v>
      </c>
      <c r="E49">
        <v>5</v>
      </c>
      <c r="F49">
        <v>6</v>
      </c>
      <c r="G49">
        <v>0</v>
      </c>
      <c r="H49">
        <v>6</v>
      </c>
      <c r="I49">
        <v>1.66E-2</v>
      </c>
      <c r="J49">
        <v>50</v>
      </c>
      <c r="K49">
        <f t="shared" si="0"/>
        <v>8.3000000000000001E-3</v>
      </c>
      <c r="L49" t="s">
        <v>17</v>
      </c>
      <c r="M49">
        <v>296</v>
      </c>
      <c r="N49" t="s">
        <v>17</v>
      </c>
      <c r="O49" t="s">
        <v>620</v>
      </c>
    </row>
    <row r="50" spans="1:15" x14ac:dyDescent="0.2">
      <c r="A50" t="s">
        <v>190</v>
      </c>
      <c r="B50" t="s">
        <v>191</v>
      </c>
      <c r="C50">
        <v>7</v>
      </c>
      <c r="D50">
        <v>3</v>
      </c>
      <c r="E50">
        <v>4</v>
      </c>
      <c r="F50">
        <v>7</v>
      </c>
      <c r="G50">
        <v>0</v>
      </c>
      <c r="H50">
        <v>7</v>
      </c>
      <c r="I50">
        <v>1.84E-2</v>
      </c>
      <c r="J50">
        <v>50</v>
      </c>
      <c r="K50">
        <f t="shared" si="0"/>
        <v>9.1999999999999998E-3</v>
      </c>
      <c r="L50" t="s">
        <v>17</v>
      </c>
      <c r="M50">
        <v>296</v>
      </c>
      <c r="N50" t="s">
        <v>17</v>
      </c>
      <c r="O50" t="s">
        <v>620</v>
      </c>
    </row>
    <row r="51" spans="1:15" x14ac:dyDescent="0.2">
      <c r="A51" t="s">
        <v>190</v>
      </c>
      <c r="B51" t="s">
        <v>191</v>
      </c>
      <c r="C51">
        <v>7</v>
      </c>
      <c r="D51">
        <v>4</v>
      </c>
      <c r="E51">
        <v>4</v>
      </c>
      <c r="F51">
        <v>6</v>
      </c>
      <c r="G51">
        <v>1</v>
      </c>
      <c r="H51">
        <v>5</v>
      </c>
      <c r="I51">
        <v>1.55E-2</v>
      </c>
      <c r="J51">
        <v>50</v>
      </c>
      <c r="K51">
        <f t="shared" si="0"/>
        <v>7.7499999999999999E-3</v>
      </c>
      <c r="L51" t="s">
        <v>17</v>
      </c>
      <c r="M51">
        <v>296</v>
      </c>
      <c r="N51" t="s">
        <v>17</v>
      </c>
      <c r="O51" t="s">
        <v>620</v>
      </c>
    </row>
    <row r="52" spans="1:15" x14ac:dyDescent="0.2">
      <c r="A52" t="s">
        <v>190</v>
      </c>
      <c r="B52" t="s">
        <v>191</v>
      </c>
      <c r="C52">
        <v>8</v>
      </c>
      <c r="D52">
        <v>2</v>
      </c>
      <c r="E52">
        <v>6</v>
      </c>
      <c r="F52">
        <v>7</v>
      </c>
      <c r="G52">
        <v>1</v>
      </c>
      <c r="H52">
        <v>7</v>
      </c>
      <c r="I52">
        <v>1.6899999999999998E-2</v>
      </c>
      <c r="J52">
        <v>50</v>
      </c>
      <c r="K52">
        <f t="shared" si="0"/>
        <v>8.4499999999999992E-3</v>
      </c>
      <c r="L52" t="s">
        <v>17</v>
      </c>
      <c r="M52">
        <v>296</v>
      </c>
      <c r="N52" t="s">
        <v>17</v>
      </c>
      <c r="O52" t="s">
        <v>620</v>
      </c>
    </row>
    <row r="53" spans="1:15" x14ac:dyDescent="0.2">
      <c r="A53" t="s">
        <v>190</v>
      </c>
      <c r="B53" t="s">
        <v>191</v>
      </c>
      <c r="C53">
        <v>8</v>
      </c>
      <c r="D53">
        <v>5</v>
      </c>
      <c r="E53">
        <v>4</v>
      </c>
      <c r="F53">
        <v>7</v>
      </c>
      <c r="G53">
        <v>2</v>
      </c>
      <c r="H53">
        <v>5</v>
      </c>
      <c r="I53">
        <v>1.3100000000000001E-2</v>
      </c>
      <c r="J53">
        <v>50</v>
      </c>
      <c r="K53">
        <f t="shared" si="0"/>
        <v>6.5500000000000003E-3</v>
      </c>
      <c r="L53" t="s">
        <v>17</v>
      </c>
      <c r="M53">
        <v>296</v>
      </c>
      <c r="N53" t="s">
        <v>17</v>
      </c>
      <c r="O53" t="s">
        <v>620</v>
      </c>
    </row>
    <row r="54" spans="1:15" x14ac:dyDescent="0.2">
      <c r="A54" t="s">
        <v>190</v>
      </c>
      <c r="B54" t="s">
        <v>191</v>
      </c>
      <c r="C54">
        <v>9</v>
      </c>
      <c r="D54">
        <v>2</v>
      </c>
      <c r="E54">
        <v>7</v>
      </c>
      <c r="F54">
        <v>8</v>
      </c>
      <c r="G54">
        <v>1</v>
      </c>
      <c r="H54">
        <v>8</v>
      </c>
      <c r="I54">
        <v>1.5699999999999999E-2</v>
      </c>
      <c r="J54">
        <v>50</v>
      </c>
      <c r="K54">
        <f t="shared" si="0"/>
        <v>7.8499999999999993E-3</v>
      </c>
      <c r="L54" t="s">
        <v>17</v>
      </c>
      <c r="M54">
        <v>296</v>
      </c>
      <c r="N54" t="s">
        <v>17</v>
      </c>
      <c r="O54" t="s">
        <v>620</v>
      </c>
    </row>
    <row r="55" spans="1:15" x14ac:dyDescent="0.2">
      <c r="A55" t="s">
        <v>190</v>
      </c>
      <c r="B55" t="s">
        <v>191</v>
      </c>
      <c r="C55">
        <v>9</v>
      </c>
      <c r="D55">
        <v>3</v>
      </c>
      <c r="E55">
        <v>7</v>
      </c>
      <c r="F55">
        <v>8</v>
      </c>
      <c r="G55">
        <v>0</v>
      </c>
      <c r="H55">
        <v>8</v>
      </c>
      <c r="I55">
        <v>1.4500000000000001E-2</v>
      </c>
      <c r="J55">
        <v>50</v>
      </c>
      <c r="K55">
        <f t="shared" si="0"/>
        <v>7.2500000000000012E-3</v>
      </c>
      <c r="L55" t="s">
        <v>17</v>
      </c>
      <c r="M55">
        <v>296</v>
      </c>
      <c r="N55" t="s">
        <v>17</v>
      </c>
      <c r="O55" t="s">
        <v>620</v>
      </c>
    </row>
    <row r="56" spans="1:15" x14ac:dyDescent="0.2">
      <c r="A56" t="s">
        <v>190</v>
      </c>
      <c r="B56" t="s">
        <v>191</v>
      </c>
      <c r="C56">
        <v>9</v>
      </c>
      <c r="D56">
        <v>6</v>
      </c>
      <c r="E56">
        <v>4</v>
      </c>
      <c r="F56">
        <v>8</v>
      </c>
      <c r="G56">
        <v>5</v>
      </c>
      <c r="H56">
        <v>3</v>
      </c>
      <c r="I56">
        <v>1.11E-2</v>
      </c>
      <c r="J56">
        <v>50</v>
      </c>
      <c r="K56">
        <f t="shared" si="0"/>
        <v>5.5500000000000002E-3</v>
      </c>
      <c r="L56" t="s">
        <v>17</v>
      </c>
      <c r="M56">
        <v>296</v>
      </c>
      <c r="N56" t="s">
        <v>17</v>
      </c>
      <c r="O56" t="s">
        <v>620</v>
      </c>
    </row>
    <row r="57" spans="1:15" x14ac:dyDescent="0.2">
      <c r="A57" t="s">
        <v>190</v>
      </c>
      <c r="B57" t="s">
        <v>191</v>
      </c>
      <c r="C57">
        <v>9</v>
      </c>
      <c r="D57">
        <v>7</v>
      </c>
      <c r="E57">
        <v>3</v>
      </c>
      <c r="F57">
        <v>8</v>
      </c>
      <c r="G57">
        <v>6</v>
      </c>
      <c r="H57">
        <v>2</v>
      </c>
      <c r="I57">
        <v>9.1999999999999998E-3</v>
      </c>
      <c r="J57">
        <v>50</v>
      </c>
      <c r="K57">
        <f t="shared" si="0"/>
        <v>4.5999999999999999E-3</v>
      </c>
      <c r="L57" t="s">
        <v>17</v>
      </c>
      <c r="M57">
        <v>296</v>
      </c>
      <c r="N57" t="s">
        <v>17</v>
      </c>
      <c r="O57" t="s">
        <v>620</v>
      </c>
    </row>
    <row r="58" spans="1:15" x14ac:dyDescent="0.2">
      <c r="A58" t="s">
        <v>190</v>
      </c>
      <c r="B58" t="s">
        <v>191</v>
      </c>
      <c r="C58">
        <v>9</v>
      </c>
      <c r="D58">
        <v>2</v>
      </c>
      <c r="E58">
        <v>7</v>
      </c>
      <c r="F58">
        <v>10</v>
      </c>
      <c r="G58">
        <v>3</v>
      </c>
      <c r="H58">
        <v>8</v>
      </c>
      <c r="I58">
        <v>1.0699999999999999E-2</v>
      </c>
      <c r="J58">
        <v>50</v>
      </c>
      <c r="K58">
        <f t="shared" si="0"/>
        <v>5.3499999999999989E-3</v>
      </c>
      <c r="L58" t="s">
        <v>17</v>
      </c>
      <c r="M58">
        <v>296</v>
      </c>
      <c r="N58" t="s">
        <v>17</v>
      </c>
      <c r="O58" t="s">
        <v>621</v>
      </c>
    </row>
    <row r="59" spans="1:15" x14ac:dyDescent="0.2">
      <c r="A59" t="s">
        <v>190</v>
      </c>
      <c r="B59" t="s">
        <v>191</v>
      </c>
      <c r="C59">
        <v>9</v>
      </c>
      <c r="D59">
        <v>3</v>
      </c>
      <c r="E59">
        <v>6</v>
      </c>
      <c r="F59">
        <v>10</v>
      </c>
      <c r="G59">
        <v>4</v>
      </c>
      <c r="H59">
        <v>7</v>
      </c>
      <c r="I59">
        <v>1.41E-2</v>
      </c>
      <c r="J59">
        <v>50</v>
      </c>
      <c r="K59">
        <f t="shared" si="0"/>
        <v>7.0499999999999998E-3</v>
      </c>
      <c r="L59" t="s">
        <v>17</v>
      </c>
      <c r="M59">
        <v>296</v>
      </c>
      <c r="N59" t="s">
        <v>17</v>
      </c>
      <c r="O59" t="s">
        <v>621</v>
      </c>
    </row>
    <row r="60" spans="1:15" x14ac:dyDescent="0.2">
      <c r="A60" t="s">
        <v>190</v>
      </c>
      <c r="B60" t="s">
        <v>191</v>
      </c>
      <c r="C60">
        <v>9</v>
      </c>
      <c r="D60">
        <v>5</v>
      </c>
      <c r="E60">
        <v>5</v>
      </c>
      <c r="F60">
        <v>10</v>
      </c>
      <c r="G60">
        <v>6</v>
      </c>
      <c r="H60">
        <v>4</v>
      </c>
      <c r="I60">
        <v>1.0699999999999999E-2</v>
      </c>
      <c r="J60">
        <v>50</v>
      </c>
      <c r="K60">
        <f t="shared" si="0"/>
        <v>5.3499999999999989E-3</v>
      </c>
      <c r="L60" t="s">
        <v>17</v>
      </c>
      <c r="M60">
        <v>296</v>
      </c>
      <c r="N60" t="s">
        <v>17</v>
      </c>
      <c r="O60" t="s">
        <v>621</v>
      </c>
    </row>
    <row r="61" spans="1:15" x14ac:dyDescent="0.2">
      <c r="A61" t="s">
        <v>190</v>
      </c>
      <c r="B61" t="s">
        <v>191</v>
      </c>
      <c r="C61">
        <v>10</v>
      </c>
      <c r="D61">
        <v>3</v>
      </c>
      <c r="E61">
        <v>7</v>
      </c>
      <c r="F61">
        <v>9</v>
      </c>
      <c r="G61">
        <v>2</v>
      </c>
      <c r="H61">
        <v>8</v>
      </c>
      <c r="I61">
        <v>1.21E-2</v>
      </c>
      <c r="J61">
        <v>50</v>
      </c>
      <c r="K61">
        <f t="shared" si="0"/>
        <v>6.0499999999999998E-3</v>
      </c>
      <c r="L61" t="s">
        <v>17</v>
      </c>
      <c r="M61">
        <v>296</v>
      </c>
      <c r="N61" t="s">
        <v>17</v>
      </c>
      <c r="O61" t="s">
        <v>620</v>
      </c>
    </row>
    <row r="62" spans="1:15" x14ac:dyDescent="0.2">
      <c r="A62" t="s">
        <v>190</v>
      </c>
      <c r="B62" t="s">
        <v>191</v>
      </c>
      <c r="C62">
        <v>10</v>
      </c>
      <c r="D62">
        <v>4</v>
      </c>
      <c r="E62">
        <v>6</v>
      </c>
      <c r="F62">
        <v>9</v>
      </c>
      <c r="G62">
        <v>3</v>
      </c>
      <c r="H62">
        <v>7</v>
      </c>
      <c r="I62">
        <v>1.1299999999999999E-2</v>
      </c>
      <c r="J62">
        <v>50</v>
      </c>
      <c r="K62">
        <f t="shared" si="0"/>
        <v>5.6499999999999996E-3</v>
      </c>
      <c r="L62" t="s">
        <v>17</v>
      </c>
      <c r="M62">
        <v>296</v>
      </c>
      <c r="N62" t="s">
        <v>17</v>
      </c>
      <c r="O62" t="s">
        <v>620</v>
      </c>
    </row>
    <row r="63" spans="1:15" x14ac:dyDescent="0.2">
      <c r="A63" t="s">
        <v>190</v>
      </c>
      <c r="B63" t="s">
        <v>191</v>
      </c>
      <c r="C63">
        <v>10</v>
      </c>
      <c r="D63">
        <v>5</v>
      </c>
      <c r="E63">
        <v>5</v>
      </c>
      <c r="F63">
        <v>9</v>
      </c>
      <c r="G63">
        <v>4</v>
      </c>
      <c r="H63">
        <v>6</v>
      </c>
      <c r="I63">
        <v>1.17E-2</v>
      </c>
      <c r="J63">
        <v>50</v>
      </c>
      <c r="K63">
        <f t="shared" si="0"/>
        <v>5.8499999999999993E-3</v>
      </c>
      <c r="L63" t="s">
        <v>17</v>
      </c>
      <c r="M63">
        <v>296</v>
      </c>
      <c r="N63" t="s">
        <v>17</v>
      </c>
      <c r="O63" t="s">
        <v>620</v>
      </c>
    </row>
    <row r="64" spans="1:15" x14ac:dyDescent="0.2">
      <c r="A64" t="s">
        <v>190</v>
      </c>
      <c r="B64" t="s">
        <v>191</v>
      </c>
      <c r="C64">
        <v>10</v>
      </c>
      <c r="D64">
        <v>6</v>
      </c>
      <c r="E64">
        <v>5</v>
      </c>
      <c r="F64">
        <v>9</v>
      </c>
      <c r="G64">
        <v>5</v>
      </c>
      <c r="H64">
        <v>4</v>
      </c>
      <c r="I64">
        <v>1.15E-2</v>
      </c>
      <c r="J64">
        <v>50</v>
      </c>
      <c r="K64">
        <f t="shared" si="0"/>
        <v>5.7499999999999999E-3</v>
      </c>
      <c r="L64" t="s">
        <v>17</v>
      </c>
      <c r="M64">
        <v>296</v>
      </c>
      <c r="N64" t="s">
        <v>17</v>
      </c>
      <c r="O64" t="s">
        <v>620</v>
      </c>
    </row>
    <row r="65" spans="1:15" x14ac:dyDescent="0.2">
      <c r="A65" t="s">
        <v>190</v>
      </c>
      <c r="B65" t="s">
        <v>191</v>
      </c>
      <c r="C65">
        <v>10</v>
      </c>
      <c r="D65">
        <v>7</v>
      </c>
      <c r="E65">
        <v>4</v>
      </c>
      <c r="F65">
        <v>9</v>
      </c>
      <c r="G65">
        <v>6</v>
      </c>
      <c r="H65">
        <v>3</v>
      </c>
      <c r="I65">
        <v>9.7999999999999997E-3</v>
      </c>
      <c r="J65">
        <v>50</v>
      </c>
      <c r="K65">
        <f t="shared" si="0"/>
        <v>4.8999999999999998E-3</v>
      </c>
      <c r="L65" t="s">
        <v>17</v>
      </c>
      <c r="M65">
        <v>296</v>
      </c>
      <c r="N65" t="s">
        <v>17</v>
      </c>
      <c r="O65" t="s">
        <v>620</v>
      </c>
    </row>
    <row r="66" spans="1:15" x14ac:dyDescent="0.2">
      <c r="A66" t="s">
        <v>190</v>
      </c>
      <c r="B66" t="s">
        <v>191</v>
      </c>
      <c r="C66">
        <v>11</v>
      </c>
      <c r="D66">
        <v>2</v>
      </c>
      <c r="E66">
        <v>10</v>
      </c>
      <c r="F66">
        <v>12</v>
      </c>
      <c r="G66">
        <v>1</v>
      </c>
      <c r="H66">
        <v>11</v>
      </c>
      <c r="I66">
        <v>1.35E-2</v>
      </c>
      <c r="J66">
        <v>50</v>
      </c>
      <c r="K66">
        <f t="shared" si="0"/>
        <v>6.7500000000000008E-3</v>
      </c>
      <c r="L66" t="s">
        <v>17</v>
      </c>
      <c r="M66">
        <v>296</v>
      </c>
      <c r="N66" t="s">
        <v>17</v>
      </c>
      <c r="O66" t="s">
        <v>620</v>
      </c>
    </row>
    <row r="67" spans="1:15" x14ac:dyDescent="0.2">
      <c r="A67" t="s">
        <v>190</v>
      </c>
      <c r="B67" t="s">
        <v>191</v>
      </c>
      <c r="C67">
        <v>11</v>
      </c>
      <c r="D67">
        <v>4</v>
      </c>
      <c r="E67">
        <v>8</v>
      </c>
      <c r="F67">
        <v>10</v>
      </c>
      <c r="G67">
        <v>3</v>
      </c>
      <c r="H67">
        <v>7</v>
      </c>
      <c r="I67">
        <v>1.34E-2</v>
      </c>
      <c r="J67">
        <v>50</v>
      </c>
      <c r="K67">
        <f t="shared" si="0"/>
        <v>6.7000000000000002E-3</v>
      </c>
      <c r="L67" t="s">
        <v>17</v>
      </c>
      <c r="M67">
        <v>296</v>
      </c>
      <c r="N67" t="s">
        <v>17</v>
      </c>
      <c r="O67" t="s">
        <v>620</v>
      </c>
    </row>
    <row r="68" spans="1:15" x14ac:dyDescent="0.2">
      <c r="A68" t="s">
        <v>190</v>
      </c>
      <c r="B68" t="s">
        <v>191</v>
      </c>
      <c r="C68">
        <v>11</v>
      </c>
      <c r="D68">
        <v>5</v>
      </c>
      <c r="E68">
        <v>6</v>
      </c>
      <c r="F68">
        <v>10</v>
      </c>
      <c r="G68">
        <v>4</v>
      </c>
      <c r="H68">
        <v>7</v>
      </c>
      <c r="I68">
        <v>1.1599999999999999E-2</v>
      </c>
      <c r="J68">
        <v>50</v>
      </c>
      <c r="K68">
        <f t="shared" ref="K68:K131" si="1">I68*J68/100</f>
        <v>5.7999999999999996E-3</v>
      </c>
      <c r="L68" t="s">
        <v>17</v>
      </c>
      <c r="M68">
        <v>296</v>
      </c>
      <c r="N68" t="s">
        <v>17</v>
      </c>
      <c r="O68" t="s">
        <v>620</v>
      </c>
    </row>
    <row r="69" spans="1:15" x14ac:dyDescent="0.2">
      <c r="A69" t="s">
        <v>190</v>
      </c>
      <c r="B69" t="s">
        <v>191</v>
      </c>
      <c r="C69">
        <v>12</v>
      </c>
      <c r="D69">
        <v>2</v>
      </c>
      <c r="E69">
        <v>10</v>
      </c>
      <c r="F69">
        <v>11</v>
      </c>
      <c r="G69">
        <v>3</v>
      </c>
      <c r="H69">
        <v>9</v>
      </c>
      <c r="I69">
        <v>1.35E-2</v>
      </c>
      <c r="J69">
        <v>50</v>
      </c>
      <c r="K69">
        <f t="shared" si="1"/>
        <v>6.7500000000000008E-3</v>
      </c>
      <c r="L69" t="s">
        <v>17</v>
      </c>
      <c r="M69">
        <v>296</v>
      </c>
      <c r="N69" t="s">
        <v>17</v>
      </c>
      <c r="O69" t="s">
        <v>620</v>
      </c>
    </row>
    <row r="70" spans="1:15" x14ac:dyDescent="0.2">
      <c r="A70" t="s">
        <v>190</v>
      </c>
      <c r="B70" t="s">
        <v>191</v>
      </c>
      <c r="C70">
        <v>12</v>
      </c>
      <c r="D70">
        <v>4</v>
      </c>
      <c r="E70">
        <v>9</v>
      </c>
      <c r="F70">
        <v>11</v>
      </c>
      <c r="G70">
        <v>3</v>
      </c>
      <c r="H70">
        <v>8</v>
      </c>
      <c r="I70">
        <v>2.1600000000000001E-2</v>
      </c>
      <c r="J70">
        <v>50</v>
      </c>
      <c r="K70">
        <f t="shared" si="1"/>
        <v>1.0800000000000001E-2</v>
      </c>
      <c r="L70" t="s">
        <v>17</v>
      </c>
      <c r="M70">
        <v>296</v>
      </c>
      <c r="N70" t="s">
        <v>17</v>
      </c>
      <c r="O70" t="s">
        <v>620</v>
      </c>
    </row>
    <row r="71" spans="1:15" x14ac:dyDescent="0.2">
      <c r="A71" t="s">
        <v>190</v>
      </c>
      <c r="B71" t="s">
        <v>191</v>
      </c>
      <c r="C71">
        <v>13</v>
      </c>
      <c r="D71">
        <v>2</v>
      </c>
      <c r="E71">
        <v>11</v>
      </c>
      <c r="F71">
        <v>12</v>
      </c>
      <c r="G71">
        <v>1</v>
      </c>
      <c r="H71">
        <v>11</v>
      </c>
      <c r="I71">
        <v>8.0000000000000002E-3</v>
      </c>
      <c r="J71">
        <v>50</v>
      </c>
      <c r="K71">
        <f t="shared" si="1"/>
        <v>4.0000000000000001E-3</v>
      </c>
      <c r="L71" t="s">
        <v>17</v>
      </c>
      <c r="M71">
        <v>296</v>
      </c>
      <c r="N71" t="s">
        <v>17</v>
      </c>
      <c r="O71" t="s">
        <v>620</v>
      </c>
    </row>
    <row r="72" spans="1:15" x14ac:dyDescent="0.2">
      <c r="A72" t="s">
        <v>190</v>
      </c>
      <c r="B72" t="s">
        <v>191</v>
      </c>
      <c r="C72">
        <v>13</v>
      </c>
      <c r="D72">
        <v>2</v>
      </c>
      <c r="E72">
        <v>11</v>
      </c>
      <c r="F72">
        <v>12</v>
      </c>
      <c r="G72">
        <v>3</v>
      </c>
      <c r="H72">
        <v>10</v>
      </c>
      <c r="I72">
        <v>1.0999999999999999E-2</v>
      </c>
      <c r="J72">
        <v>50</v>
      </c>
      <c r="K72">
        <f t="shared" si="1"/>
        <v>5.4999999999999997E-3</v>
      </c>
      <c r="L72" t="s">
        <v>17</v>
      </c>
      <c r="M72">
        <v>296</v>
      </c>
      <c r="N72" t="s">
        <v>17</v>
      </c>
      <c r="O72" t="s">
        <v>620</v>
      </c>
    </row>
    <row r="73" spans="1:15" x14ac:dyDescent="0.2">
      <c r="A73" t="s">
        <v>190</v>
      </c>
      <c r="B73" t="s">
        <v>191</v>
      </c>
      <c r="C73">
        <v>13</v>
      </c>
      <c r="D73">
        <v>1</v>
      </c>
      <c r="E73">
        <v>12</v>
      </c>
      <c r="F73">
        <v>14</v>
      </c>
      <c r="G73">
        <v>2</v>
      </c>
      <c r="H73">
        <v>13</v>
      </c>
      <c r="I73">
        <v>5.7000000000000002E-3</v>
      </c>
      <c r="J73">
        <v>50</v>
      </c>
      <c r="K73">
        <f t="shared" si="1"/>
        <v>2.8500000000000001E-3</v>
      </c>
      <c r="L73" t="s">
        <v>17</v>
      </c>
      <c r="M73">
        <v>296</v>
      </c>
      <c r="N73" t="s">
        <v>17</v>
      </c>
      <c r="O73" t="s">
        <v>622</v>
      </c>
    </row>
    <row r="74" spans="1:15" x14ac:dyDescent="0.2">
      <c r="A74" t="s">
        <v>190</v>
      </c>
      <c r="B74" t="s">
        <v>191</v>
      </c>
      <c r="C74">
        <v>13</v>
      </c>
      <c r="D74">
        <v>2</v>
      </c>
      <c r="E74">
        <v>12</v>
      </c>
      <c r="F74">
        <v>14</v>
      </c>
      <c r="G74">
        <v>1</v>
      </c>
      <c r="H74">
        <v>13</v>
      </c>
      <c r="I74">
        <v>5.8999999999999999E-3</v>
      </c>
      <c r="J74">
        <v>50</v>
      </c>
      <c r="K74">
        <f t="shared" si="1"/>
        <v>2.9499999999999999E-3</v>
      </c>
      <c r="L74" t="s">
        <v>17</v>
      </c>
      <c r="M74">
        <v>296</v>
      </c>
      <c r="N74" t="s">
        <v>17</v>
      </c>
      <c r="O74" t="s">
        <v>622</v>
      </c>
    </row>
    <row r="75" spans="1:15" x14ac:dyDescent="0.2">
      <c r="A75" t="s">
        <v>190</v>
      </c>
      <c r="B75" t="s">
        <v>191</v>
      </c>
      <c r="C75">
        <v>14</v>
      </c>
      <c r="D75">
        <v>1</v>
      </c>
      <c r="E75">
        <v>13</v>
      </c>
      <c r="F75">
        <v>13</v>
      </c>
      <c r="G75">
        <v>2</v>
      </c>
      <c r="H75">
        <v>12</v>
      </c>
      <c r="I75">
        <v>1.1900000000000001E-2</v>
      </c>
      <c r="J75">
        <v>50</v>
      </c>
      <c r="K75">
        <f t="shared" si="1"/>
        <v>5.9500000000000004E-3</v>
      </c>
      <c r="L75" t="s">
        <v>17</v>
      </c>
      <c r="M75">
        <v>296</v>
      </c>
      <c r="N75" t="s">
        <v>17</v>
      </c>
      <c r="O75" t="s">
        <v>620</v>
      </c>
    </row>
    <row r="76" spans="1:15" x14ac:dyDescent="0.2">
      <c r="A76" t="s">
        <v>190</v>
      </c>
      <c r="B76" t="s">
        <v>191</v>
      </c>
      <c r="C76">
        <v>14</v>
      </c>
      <c r="D76">
        <v>2</v>
      </c>
      <c r="E76">
        <v>13</v>
      </c>
      <c r="F76">
        <v>13</v>
      </c>
      <c r="G76">
        <v>1</v>
      </c>
      <c r="H76">
        <v>12</v>
      </c>
      <c r="I76">
        <v>1.0699999999999999E-2</v>
      </c>
      <c r="J76">
        <v>50</v>
      </c>
      <c r="K76">
        <f t="shared" si="1"/>
        <v>5.3499999999999989E-3</v>
      </c>
      <c r="L76" t="s">
        <v>17</v>
      </c>
      <c r="M76">
        <v>296</v>
      </c>
      <c r="N76" t="s">
        <v>17</v>
      </c>
      <c r="O76" t="s">
        <v>620</v>
      </c>
    </row>
    <row r="77" spans="1:15" x14ac:dyDescent="0.2">
      <c r="A77" t="s">
        <v>190</v>
      </c>
      <c r="B77" t="s">
        <v>191</v>
      </c>
      <c r="C77">
        <v>14</v>
      </c>
      <c r="D77">
        <v>0</v>
      </c>
      <c r="E77">
        <v>14</v>
      </c>
      <c r="F77">
        <v>15</v>
      </c>
      <c r="G77">
        <v>1</v>
      </c>
      <c r="H77">
        <v>15</v>
      </c>
      <c r="I77">
        <v>3.3999999999999998E-3</v>
      </c>
      <c r="J77">
        <v>50</v>
      </c>
      <c r="K77">
        <f t="shared" si="1"/>
        <v>1.6999999999999999E-3</v>
      </c>
      <c r="L77" t="s">
        <v>17</v>
      </c>
      <c r="M77">
        <v>296</v>
      </c>
      <c r="N77" t="s">
        <v>17</v>
      </c>
      <c r="O77" t="s">
        <v>622</v>
      </c>
    </row>
    <row r="78" spans="1:15" x14ac:dyDescent="0.2">
      <c r="A78" t="s">
        <v>190</v>
      </c>
      <c r="B78" t="s">
        <v>191</v>
      </c>
      <c r="C78">
        <v>15</v>
      </c>
      <c r="D78">
        <v>0</v>
      </c>
      <c r="E78">
        <v>15</v>
      </c>
      <c r="F78">
        <v>14</v>
      </c>
      <c r="G78">
        <v>1</v>
      </c>
      <c r="H78">
        <v>14</v>
      </c>
      <c r="I78">
        <v>6.6E-3</v>
      </c>
      <c r="J78">
        <v>50</v>
      </c>
      <c r="K78">
        <f t="shared" si="1"/>
        <v>3.3E-3</v>
      </c>
      <c r="L78" t="s">
        <v>17</v>
      </c>
      <c r="M78">
        <v>296</v>
      </c>
      <c r="N78" t="s">
        <v>17</v>
      </c>
      <c r="O78" t="s">
        <v>620</v>
      </c>
    </row>
    <row r="79" spans="1:15" x14ac:dyDescent="0.2">
      <c r="A79" t="s">
        <v>190</v>
      </c>
      <c r="B79" t="s">
        <v>403</v>
      </c>
      <c r="C79">
        <v>3</v>
      </c>
      <c r="D79">
        <v>1</v>
      </c>
      <c r="E79">
        <v>3</v>
      </c>
      <c r="F79">
        <v>2</v>
      </c>
      <c r="G79">
        <v>2</v>
      </c>
      <c r="H79">
        <v>0</v>
      </c>
      <c r="I79">
        <v>2.7400000000000001E-2</v>
      </c>
      <c r="J79">
        <v>50</v>
      </c>
      <c r="K79">
        <f t="shared" si="1"/>
        <v>1.37E-2</v>
      </c>
      <c r="L79" t="s">
        <v>17</v>
      </c>
      <c r="M79">
        <v>296</v>
      </c>
      <c r="N79" t="s">
        <v>17</v>
      </c>
      <c r="O79" t="s">
        <v>623</v>
      </c>
    </row>
    <row r="80" spans="1:15" x14ac:dyDescent="0.2">
      <c r="A80" t="s">
        <v>190</v>
      </c>
      <c r="B80" t="s">
        <v>403</v>
      </c>
      <c r="C80">
        <v>4</v>
      </c>
      <c r="D80">
        <v>1</v>
      </c>
      <c r="E80">
        <v>4</v>
      </c>
      <c r="F80">
        <v>3</v>
      </c>
      <c r="G80">
        <v>2</v>
      </c>
      <c r="H80">
        <v>1</v>
      </c>
      <c r="I80">
        <v>2.58E-2</v>
      </c>
      <c r="J80">
        <v>50</v>
      </c>
      <c r="K80">
        <f t="shared" si="1"/>
        <v>1.29E-2</v>
      </c>
      <c r="L80" t="s">
        <v>17</v>
      </c>
      <c r="M80">
        <v>296</v>
      </c>
      <c r="N80" t="s">
        <v>17</v>
      </c>
      <c r="O80" t="s">
        <v>620</v>
      </c>
    </row>
    <row r="81" spans="1:15" x14ac:dyDescent="0.2">
      <c r="A81" t="s">
        <v>190</v>
      </c>
      <c r="B81" t="s">
        <v>403</v>
      </c>
      <c r="C81">
        <v>4</v>
      </c>
      <c r="D81">
        <v>4</v>
      </c>
      <c r="E81">
        <v>1</v>
      </c>
      <c r="F81">
        <v>3</v>
      </c>
      <c r="G81">
        <v>1</v>
      </c>
      <c r="H81">
        <v>2</v>
      </c>
      <c r="I81">
        <v>2.07E-2</v>
      </c>
      <c r="J81">
        <v>50</v>
      </c>
      <c r="K81">
        <f t="shared" si="1"/>
        <v>1.035E-2</v>
      </c>
      <c r="L81" t="s">
        <v>17</v>
      </c>
      <c r="M81">
        <v>296</v>
      </c>
      <c r="N81" t="s">
        <v>17</v>
      </c>
      <c r="O81" t="s">
        <v>620</v>
      </c>
    </row>
    <row r="82" spans="1:15" x14ac:dyDescent="0.2">
      <c r="A82" t="s">
        <v>190</v>
      </c>
      <c r="B82" t="s">
        <v>403</v>
      </c>
      <c r="C82">
        <v>5</v>
      </c>
      <c r="D82">
        <v>4</v>
      </c>
      <c r="E82">
        <v>1</v>
      </c>
      <c r="F82">
        <v>4</v>
      </c>
      <c r="G82">
        <v>1</v>
      </c>
      <c r="H82">
        <v>4</v>
      </c>
      <c r="I82">
        <v>2.47E-2</v>
      </c>
      <c r="J82">
        <v>50</v>
      </c>
      <c r="K82">
        <f t="shared" si="1"/>
        <v>1.2349999999999998E-2</v>
      </c>
      <c r="L82" t="s">
        <v>17</v>
      </c>
      <c r="M82">
        <v>296</v>
      </c>
      <c r="N82" t="s">
        <v>17</v>
      </c>
      <c r="O82" t="s">
        <v>620</v>
      </c>
    </row>
    <row r="83" spans="1:15" x14ac:dyDescent="0.2">
      <c r="A83" t="s">
        <v>190</v>
      </c>
      <c r="B83" t="s">
        <v>403</v>
      </c>
      <c r="C83">
        <v>5</v>
      </c>
      <c r="D83">
        <v>4</v>
      </c>
      <c r="E83">
        <v>1</v>
      </c>
      <c r="F83">
        <v>4</v>
      </c>
      <c r="G83">
        <v>3</v>
      </c>
      <c r="H83">
        <v>2</v>
      </c>
      <c r="I83">
        <v>1.7899999999999999E-2</v>
      </c>
      <c r="J83">
        <v>50</v>
      </c>
      <c r="K83">
        <f t="shared" si="1"/>
        <v>8.9499999999999996E-3</v>
      </c>
      <c r="L83" t="s">
        <v>17</v>
      </c>
      <c r="M83">
        <v>296</v>
      </c>
      <c r="N83" t="s">
        <v>17</v>
      </c>
      <c r="O83" t="s">
        <v>620</v>
      </c>
    </row>
    <row r="84" spans="1:15" x14ac:dyDescent="0.2">
      <c r="A84" t="s">
        <v>190</v>
      </c>
      <c r="B84" t="s">
        <v>403</v>
      </c>
      <c r="C84">
        <v>5</v>
      </c>
      <c r="D84">
        <v>4</v>
      </c>
      <c r="E84">
        <v>2</v>
      </c>
      <c r="F84">
        <v>4</v>
      </c>
      <c r="G84">
        <v>1</v>
      </c>
      <c r="H84">
        <v>3</v>
      </c>
      <c r="I84">
        <v>1.9199999999999998E-2</v>
      </c>
      <c r="J84">
        <v>50</v>
      </c>
      <c r="K84">
        <f t="shared" si="1"/>
        <v>9.5999999999999992E-3</v>
      </c>
      <c r="L84" t="s">
        <v>17</v>
      </c>
      <c r="M84">
        <v>296</v>
      </c>
      <c r="N84" t="s">
        <v>17</v>
      </c>
      <c r="O84" t="s">
        <v>620</v>
      </c>
    </row>
    <row r="85" spans="1:15" x14ac:dyDescent="0.2">
      <c r="A85" t="s">
        <v>190</v>
      </c>
      <c r="B85" t="s">
        <v>403</v>
      </c>
      <c r="C85">
        <v>6</v>
      </c>
      <c r="D85">
        <v>1</v>
      </c>
      <c r="E85">
        <v>6</v>
      </c>
      <c r="F85">
        <v>5</v>
      </c>
      <c r="G85">
        <v>2</v>
      </c>
      <c r="H85">
        <v>3</v>
      </c>
      <c r="I85">
        <v>2.3199999999999998E-2</v>
      </c>
      <c r="J85">
        <v>50</v>
      </c>
      <c r="K85">
        <f t="shared" si="1"/>
        <v>1.1599999999999999E-2</v>
      </c>
      <c r="L85" t="s">
        <v>17</v>
      </c>
      <c r="M85">
        <v>296</v>
      </c>
      <c r="N85" t="s">
        <v>17</v>
      </c>
      <c r="O85" t="s">
        <v>620</v>
      </c>
    </row>
    <row r="86" spans="1:15" x14ac:dyDescent="0.2">
      <c r="A86" t="s">
        <v>190</v>
      </c>
      <c r="B86" t="s">
        <v>403</v>
      </c>
      <c r="C86">
        <v>6</v>
      </c>
      <c r="D86">
        <v>4</v>
      </c>
      <c r="E86">
        <v>2</v>
      </c>
      <c r="F86">
        <v>6</v>
      </c>
      <c r="G86">
        <v>1</v>
      </c>
      <c r="H86">
        <v>5</v>
      </c>
      <c r="I86">
        <v>1.8100000000000002E-2</v>
      </c>
      <c r="J86">
        <v>50</v>
      </c>
      <c r="K86">
        <f t="shared" si="1"/>
        <v>9.0500000000000008E-3</v>
      </c>
      <c r="L86" t="s">
        <v>17</v>
      </c>
      <c r="M86">
        <v>296</v>
      </c>
      <c r="N86" t="s">
        <v>17</v>
      </c>
      <c r="O86" t="s">
        <v>620</v>
      </c>
    </row>
    <row r="87" spans="1:15" x14ac:dyDescent="0.2">
      <c r="A87" t="s">
        <v>190</v>
      </c>
      <c r="B87" t="s">
        <v>403</v>
      </c>
      <c r="C87">
        <v>7</v>
      </c>
      <c r="D87">
        <v>3</v>
      </c>
      <c r="E87">
        <v>5</v>
      </c>
      <c r="F87">
        <v>6</v>
      </c>
      <c r="G87">
        <v>0</v>
      </c>
      <c r="H87">
        <v>6</v>
      </c>
      <c r="I87">
        <v>0.02</v>
      </c>
      <c r="J87">
        <v>50</v>
      </c>
      <c r="K87">
        <f t="shared" si="1"/>
        <v>0.01</v>
      </c>
      <c r="L87" t="s">
        <v>17</v>
      </c>
      <c r="M87">
        <v>296</v>
      </c>
      <c r="N87" t="s">
        <v>17</v>
      </c>
      <c r="O87" t="s">
        <v>620</v>
      </c>
    </row>
    <row r="88" spans="1:15" x14ac:dyDescent="0.2">
      <c r="A88" t="s">
        <v>190</v>
      </c>
      <c r="B88" t="s">
        <v>403</v>
      </c>
      <c r="C88">
        <v>7</v>
      </c>
      <c r="D88">
        <v>3</v>
      </c>
      <c r="E88">
        <v>4</v>
      </c>
      <c r="F88">
        <v>7</v>
      </c>
      <c r="G88">
        <v>0</v>
      </c>
      <c r="H88">
        <v>7</v>
      </c>
      <c r="I88">
        <v>2.3199999999999998E-2</v>
      </c>
      <c r="J88">
        <v>50</v>
      </c>
      <c r="K88">
        <f t="shared" si="1"/>
        <v>1.1599999999999999E-2</v>
      </c>
      <c r="L88" t="s">
        <v>17</v>
      </c>
      <c r="M88">
        <v>296</v>
      </c>
      <c r="N88" t="s">
        <v>17</v>
      </c>
      <c r="O88" t="s">
        <v>620</v>
      </c>
    </row>
    <row r="89" spans="1:15" x14ac:dyDescent="0.2">
      <c r="A89" t="s">
        <v>190</v>
      </c>
      <c r="B89" t="s">
        <v>403</v>
      </c>
      <c r="C89">
        <v>7</v>
      </c>
      <c r="D89">
        <v>4</v>
      </c>
      <c r="E89">
        <v>4</v>
      </c>
      <c r="F89">
        <v>6</v>
      </c>
      <c r="G89">
        <v>1</v>
      </c>
      <c r="H89">
        <v>5</v>
      </c>
      <c r="I89">
        <v>1.6799999999999999E-2</v>
      </c>
      <c r="J89">
        <v>50</v>
      </c>
      <c r="K89">
        <f t="shared" si="1"/>
        <v>8.3999999999999995E-3</v>
      </c>
      <c r="L89" t="s">
        <v>17</v>
      </c>
      <c r="M89">
        <v>296</v>
      </c>
      <c r="N89" t="s">
        <v>17</v>
      </c>
      <c r="O89" t="s">
        <v>620</v>
      </c>
    </row>
    <row r="90" spans="1:15" x14ac:dyDescent="0.2">
      <c r="A90" t="s">
        <v>190</v>
      </c>
      <c r="B90" t="s">
        <v>403</v>
      </c>
      <c r="C90">
        <v>8</v>
      </c>
      <c r="D90">
        <v>2</v>
      </c>
      <c r="E90">
        <v>6</v>
      </c>
      <c r="F90">
        <v>7</v>
      </c>
      <c r="G90">
        <v>1</v>
      </c>
      <c r="H90">
        <v>7</v>
      </c>
      <c r="I90">
        <v>2.12E-2</v>
      </c>
      <c r="J90">
        <v>50</v>
      </c>
      <c r="K90">
        <f t="shared" si="1"/>
        <v>1.06E-2</v>
      </c>
      <c r="L90" t="s">
        <v>17</v>
      </c>
      <c r="M90">
        <v>296</v>
      </c>
      <c r="N90" t="s">
        <v>17</v>
      </c>
      <c r="O90" t="s">
        <v>620</v>
      </c>
    </row>
    <row r="91" spans="1:15" x14ac:dyDescent="0.2">
      <c r="A91" t="s">
        <v>190</v>
      </c>
      <c r="B91" t="s">
        <v>403</v>
      </c>
      <c r="C91">
        <v>8</v>
      </c>
      <c r="D91">
        <v>5</v>
      </c>
      <c r="E91">
        <v>4</v>
      </c>
      <c r="F91">
        <v>7</v>
      </c>
      <c r="G91">
        <v>2</v>
      </c>
      <c r="H91">
        <v>5</v>
      </c>
      <c r="I91">
        <v>1.38E-2</v>
      </c>
      <c r="J91">
        <v>50</v>
      </c>
      <c r="K91">
        <f t="shared" si="1"/>
        <v>6.8999999999999999E-3</v>
      </c>
      <c r="L91" t="s">
        <v>17</v>
      </c>
      <c r="M91">
        <v>296</v>
      </c>
      <c r="N91" t="s">
        <v>17</v>
      </c>
      <c r="O91" t="s">
        <v>620</v>
      </c>
    </row>
    <row r="92" spans="1:15" x14ac:dyDescent="0.2">
      <c r="A92" t="s">
        <v>190</v>
      </c>
      <c r="B92" t="s">
        <v>403</v>
      </c>
      <c r="C92">
        <v>9</v>
      </c>
      <c r="D92">
        <v>2</v>
      </c>
      <c r="E92">
        <v>7</v>
      </c>
      <c r="F92">
        <v>8</v>
      </c>
      <c r="G92">
        <v>1</v>
      </c>
      <c r="H92">
        <v>8</v>
      </c>
      <c r="I92">
        <v>1.9800000000000002E-2</v>
      </c>
      <c r="J92">
        <v>50</v>
      </c>
      <c r="K92">
        <f t="shared" si="1"/>
        <v>9.9000000000000008E-3</v>
      </c>
      <c r="L92" t="s">
        <v>17</v>
      </c>
      <c r="M92">
        <v>296</v>
      </c>
      <c r="N92" t="s">
        <v>17</v>
      </c>
      <c r="O92" t="s">
        <v>620</v>
      </c>
    </row>
    <row r="93" spans="1:15" x14ac:dyDescent="0.2">
      <c r="A93" t="s">
        <v>190</v>
      </c>
      <c r="B93" t="s">
        <v>403</v>
      </c>
      <c r="C93">
        <v>9</v>
      </c>
      <c r="D93">
        <v>3</v>
      </c>
      <c r="E93">
        <v>7</v>
      </c>
      <c r="F93">
        <v>8</v>
      </c>
      <c r="G93">
        <v>0</v>
      </c>
      <c r="H93">
        <v>8</v>
      </c>
      <c r="I93">
        <v>1.77E-2</v>
      </c>
      <c r="J93">
        <v>50</v>
      </c>
      <c r="K93">
        <f t="shared" si="1"/>
        <v>8.8500000000000002E-3</v>
      </c>
      <c r="L93" t="s">
        <v>17</v>
      </c>
      <c r="M93">
        <v>296</v>
      </c>
      <c r="N93" t="s">
        <v>17</v>
      </c>
      <c r="O93" t="s">
        <v>620</v>
      </c>
    </row>
    <row r="94" spans="1:15" x14ac:dyDescent="0.2">
      <c r="A94" t="s">
        <v>190</v>
      </c>
      <c r="B94" t="s">
        <v>403</v>
      </c>
      <c r="C94">
        <v>9</v>
      </c>
      <c r="D94">
        <v>6</v>
      </c>
      <c r="E94">
        <v>4</v>
      </c>
      <c r="F94">
        <v>8</v>
      </c>
      <c r="G94">
        <v>5</v>
      </c>
      <c r="H94">
        <v>3</v>
      </c>
      <c r="I94">
        <v>1.12E-2</v>
      </c>
      <c r="J94">
        <v>50</v>
      </c>
      <c r="K94">
        <f t="shared" si="1"/>
        <v>5.5999999999999991E-3</v>
      </c>
      <c r="L94" t="s">
        <v>17</v>
      </c>
      <c r="M94">
        <v>296</v>
      </c>
      <c r="N94" t="s">
        <v>17</v>
      </c>
      <c r="O94" t="s">
        <v>620</v>
      </c>
    </row>
    <row r="95" spans="1:15" x14ac:dyDescent="0.2">
      <c r="A95" t="s">
        <v>190</v>
      </c>
      <c r="B95" t="s">
        <v>403</v>
      </c>
      <c r="C95">
        <v>9</v>
      </c>
      <c r="D95">
        <v>7</v>
      </c>
      <c r="E95">
        <v>3</v>
      </c>
      <c r="F95">
        <v>8</v>
      </c>
      <c r="G95">
        <v>6</v>
      </c>
      <c r="H95">
        <v>2</v>
      </c>
      <c r="I95">
        <v>9.7999999999999997E-3</v>
      </c>
      <c r="J95">
        <v>50</v>
      </c>
      <c r="K95">
        <f t="shared" si="1"/>
        <v>4.8999999999999998E-3</v>
      </c>
      <c r="L95" t="s">
        <v>17</v>
      </c>
      <c r="M95">
        <v>296</v>
      </c>
      <c r="N95" t="s">
        <v>17</v>
      </c>
      <c r="O95" t="s">
        <v>620</v>
      </c>
    </row>
    <row r="96" spans="1:15" x14ac:dyDescent="0.2">
      <c r="A96" t="s">
        <v>190</v>
      </c>
      <c r="B96" t="s">
        <v>403</v>
      </c>
      <c r="C96">
        <v>9</v>
      </c>
      <c r="D96">
        <v>2</v>
      </c>
      <c r="E96">
        <v>7</v>
      </c>
      <c r="F96">
        <v>10</v>
      </c>
      <c r="G96">
        <v>3</v>
      </c>
      <c r="H96">
        <v>8</v>
      </c>
      <c r="I96">
        <v>1.01E-2</v>
      </c>
      <c r="J96">
        <v>50</v>
      </c>
      <c r="K96">
        <f t="shared" si="1"/>
        <v>5.0499999999999998E-3</v>
      </c>
      <c r="L96" t="s">
        <v>17</v>
      </c>
      <c r="M96">
        <v>296</v>
      </c>
      <c r="N96" t="s">
        <v>17</v>
      </c>
      <c r="O96" t="s">
        <v>620</v>
      </c>
    </row>
    <row r="97" spans="1:15" x14ac:dyDescent="0.2">
      <c r="A97" t="s">
        <v>190</v>
      </c>
      <c r="B97" t="s">
        <v>403</v>
      </c>
      <c r="C97">
        <v>9</v>
      </c>
      <c r="D97">
        <v>3</v>
      </c>
      <c r="E97">
        <v>6</v>
      </c>
      <c r="F97">
        <v>10</v>
      </c>
      <c r="G97">
        <v>4</v>
      </c>
      <c r="H97">
        <v>7</v>
      </c>
      <c r="I97">
        <v>1.2699999999999999E-2</v>
      </c>
      <c r="J97">
        <v>50</v>
      </c>
      <c r="K97">
        <f t="shared" si="1"/>
        <v>6.3499999999999997E-3</v>
      </c>
      <c r="L97" t="s">
        <v>17</v>
      </c>
      <c r="M97">
        <v>296</v>
      </c>
      <c r="N97" t="s">
        <v>17</v>
      </c>
      <c r="O97" t="s">
        <v>620</v>
      </c>
    </row>
    <row r="98" spans="1:15" x14ac:dyDescent="0.2">
      <c r="A98" t="s">
        <v>190</v>
      </c>
      <c r="B98" t="s">
        <v>403</v>
      </c>
      <c r="C98">
        <v>9</v>
      </c>
      <c r="D98">
        <v>5</v>
      </c>
      <c r="E98">
        <v>5</v>
      </c>
      <c r="F98">
        <v>10</v>
      </c>
      <c r="G98">
        <v>6</v>
      </c>
      <c r="H98">
        <v>4</v>
      </c>
      <c r="I98">
        <v>1.0699999999999999E-2</v>
      </c>
      <c r="J98">
        <v>50</v>
      </c>
      <c r="K98">
        <f t="shared" si="1"/>
        <v>5.3499999999999989E-3</v>
      </c>
      <c r="L98" t="s">
        <v>17</v>
      </c>
      <c r="M98">
        <v>296</v>
      </c>
      <c r="N98" t="s">
        <v>17</v>
      </c>
      <c r="O98" t="s">
        <v>620</v>
      </c>
    </row>
    <row r="99" spans="1:15" x14ac:dyDescent="0.2">
      <c r="A99" t="s">
        <v>190</v>
      </c>
      <c r="B99" t="s">
        <v>403</v>
      </c>
      <c r="C99">
        <v>10</v>
      </c>
      <c r="D99">
        <v>3</v>
      </c>
      <c r="E99">
        <v>7</v>
      </c>
      <c r="F99">
        <v>9</v>
      </c>
      <c r="G99">
        <v>2</v>
      </c>
      <c r="H99">
        <v>8</v>
      </c>
      <c r="I99">
        <v>1.1900000000000001E-2</v>
      </c>
      <c r="J99">
        <v>50</v>
      </c>
      <c r="K99">
        <f t="shared" si="1"/>
        <v>5.9500000000000004E-3</v>
      </c>
      <c r="L99" t="s">
        <v>17</v>
      </c>
      <c r="M99">
        <v>296</v>
      </c>
      <c r="N99" t="s">
        <v>17</v>
      </c>
      <c r="O99" t="s">
        <v>620</v>
      </c>
    </row>
    <row r="100" spans="1:15" x14ac:dyDescent="0.2">
      <c r="A100" t="s">
        <v>190</v>
      </c>
      <c r="B100" t="s">
        <v>403</v>
      </c>
      <c r="C100">
        <v>10</v>
      </c>
      <c r="D100">
        <v>4</v>
      </c>
      <c r="E100">
        <v>6</v>
      </c>
      <c r="F100">
        <v>9</v>
      </c>
      <c r="G100">
        <v>3</v>
      </c>
      <c r="H100">
        <v>7</v>
      </c>
      <c r="I100">
        <v>1.15E-2</v>
      </c>
      <c r="J100">
        <v>50</v>
      </c>
      <c r="K100">
        <f t="shared" si="1"/>
        <v>5.7499999999999999E-3</v>
      </c>
      <c r="L100" t="s">
        <v>17</v>
      </c>
      <c r="M100">
        <v>296</v>
      </c>
      <c r="N100" t="s">
        <v>17</v>
      </c>
      <c r="O100" t="s">
        <v>620</v>
      </c>
    </row>
    <row r="101" spans="1:15" x14ac:dyDescent="0.2">
      <c r="A101" t="s">
        <v>190</v>
      </c>
      <c r="B101" t="s">
        <v>403</v>
      </c>
      <c r="C101">
        <v>10</v>
      </c>
      <c r="D101">
        <v>5</v>
      </c>
      <c r="E101">
        <v>5</v>
      </c>
      <c r="F101">
        <v>9</v>
      </c>
      <c r="G101">
        <v>4</v>
      </c>
      <c r="H101">
        <v>6</v>
      </c>
      <c r="I101">
        <v>1.09E-2</v>
      </c>
      <c r="J101">
        <v>50</v>
      </c>
      <c r="K101">
        <f t="shared" si="1"/>
        <v>5.45E-3</v>
      </c>
      <c r="L101" t="s">
        <v>17</v>
      </c>
      <c r="M101">
        <v>296</v>
      </c>
      <c r="N101" t="s">
        <v>17</v>
      </c>
      <c r="O101" t="s">
        <v>620</v>
      </c>
    </row>
    <row r="102" spans="1:15" x14ac:dyDescent="0.2">
      <c r="A102" t="s">
        <v>190</v>
      </c>
      <c r="B102" t="s">
        <v>403</v>
      </c>
      <c r="C102">
        <v>10</v>
      </c>
      <c r="D102">
        <v>6</v>
      </c>
      <c r="E102">
        <v>5</v>
      </c>
      <c r="F102">
        <v>9</v>
      </c>
      <c r="G102">
        <v>5</v>
      </c>
      <c r="H102">
        <v>4</v>
      </c>
      <c r="I102">
        <v>1.0500000000000001E-2</v>
      </c>
      <c r="J102">
        <v>50</v>
      </c>
      <c r="K102">
        <f t="shared" si="1"/>
        <v>5.2500000000000003E-3</v>
      </c>
      <c r="L102" t="s">
        <v>17</v>
      </c>
      <c r="M102">
        <v>296</v>
      </c>
      <c r="N102" t="s">
        <v>17</v>
      </c>
      <c r="O102" t="s">
        <v>620</v>
      </c>
    </row>
    <row r="103" spans="1:15" x14ac:dyDescent="0.2">
      <c r="A103" t="s">
        <v>190</v>
      </c>
      <c r="B103" t="s">
        <v>403</v>
      </c>
      <c r="C103">
        <v>10</v>
      </c>
      <c r="D103">
        <v>7</v>
      </c>
      <c r="E103">
        <v>4</v>
      </c>
      <c r="F103">
        <v>9</v>
      </c>
      <c r="G103">
        <v>6</v>
      </c>
      <c r="H103">
        <v>3</v>
      </c>
      <c r="I103">
        <v>9.1000000000000004E-3</v>
      </c>
      <c r="J103">
        <v>50</v>
      </c>
      <c r="K103">
        <f t="shared" si="1"/>
        <v>4.5500000000000002E-3</v>
      </c>
      <c r="L103" t="s">
        <v>17</v>
      </c>
      <c r="M103">
        <v>296</v>
      </c>
      <c r="N103" t="s">
        <v>17</v>
      </c>
      <c r="O103" t="s">
        <v>620</v>
      </c>
    </row>
    <row r="104" spans="1:15" x14ac:dyDescent="0.2">
      <c r="A104" t="s">
        <v>190</v>
      </c>
      <c r="B104" t="s">
        <v>403</v>
      </c>
      <c r="C104">
        <v>11</v>
      </c>
      <c r="D104">
        <v>2</v>
      </c>
      <c r="E104">
        <v>10</v>
      </c>
      <c r="F104">
        <v>12</v>
      </c>
      <c r="G104">
        <v>1</v>
      </c>
      <c r="H104">
        <v>11</v>
      </c>
      <c r="I104">
        <v>1.14E-2</v>
      </c>
      <c r="J104">
        <v>50</v>
      </c>
      <c r="K104">
        <f t="shared" si="1"/>
        <v>5.7000000000000002E-3</v>
      </c>
      <c r="L104" t="s">
        <v>17</v>
      </c>
      <c r="M104">
        <v>296</v>
      </c>
      <c r="N104" t="s">
        <v>17</v>
      </c>
      <c r="O104" t="s">
        <v>620</v>
      </c>
    </row>
    <row r="105" spans="1:15" x14ac:dyDescent="0.2">
      <c r="A105" t="s">
        <v>190</v>
      </c>
      <c r="B105" t="s">
        <v>403</v>
      </c>
      <c r="C105">
        <v>11</v>
      </c>
      <c r="D105">
        <v>4</v>
      </c>
      <c r="E105">
        <v>8</v>
      </c>
      <c r="F105">
        <v>10</v>
      </c>
      <c r="G105">
        <v>3</v>
      </c>
      <c r="H105">
        <v>7</v>
      </c>
      <c r="I105">
        <v>1.17E-2</v>
      </c>
      <c r="J105">
        <v>50</v>
      </c>
      <c r="K105">
        <f t="shared" si="1"/>
        <v>5.8499999999999993E-3</v>
      </c>
      <c r="L105" t="s">
        <v>17</v>
      </c>
      <c r="M105">
        <v>296</v>
      </c>
      <c r="N105" t="s">
        <v>17</v>
      </c>
      <c r="O105" t="s">
        <v>620</v>
      </c>
    </row>
    <row r="106" spans="1:15" x14ac:dyDescent="0.2">
      <c r="A106" t="s">
        <v>190</v>
      </c>
      <c r="B106" t="s">
        <v>403</v>
      </c>
      <c r="C106">
        <v>11</v>
      </c>
      <c r="D106">
        <v>5</v>
      </c>
      <c r="E106">
        <v>6</v>
      </c>
      <c r="F106">
        <v>10</v>
      </c>
      <c r="G106">
        <v>4</v>
      </c>
      <c r="H106">
        <v>7</v>
      </c>
      <c r="I106">
        <v>1.24E-2</v>
      </c>
      <c r="J106">
        <v>50</v>
      </c>
      <c r="K106">
        <f t="shared" si="1"/>
        <v>6.1999999999999998E-3</v>
      </c>
      <c r="L106" t="s">
        <v>17</v>
      </c>
      <c r="M106">
        <v>296</v>
      </c>
      <c r="N106" t="s">
        <v>17</v>
      </c>
      <c r="O106" t="s">
        <v>620</v>
      </c>
    </row>
    <row r="107" spans="1:15" x14ac:dyDescent="0.2">
      <c r="A107" t="s">
        <v>190</v>
      </c>
      <c r="B107" t="s">
        <v>403</v>
      </c>
      <c r="C107">
        <v>12</v>
      </c>
      <c r="D107">
        <v>2</v>
      </c>
      <c r="E107">
        <v>10</v>
      </c>
      <c r="F107">
        <v>11</v>
      </c>
      <c r="G107">
        <v>3</v>
      </c>
      <c r="H107">
        <v>9</v>
      </c>
      <c r="I107">
        <v>1.0200000000000001E-2</v>
      </c>
      <c r="J107">
        <v>50</v>
      </c>
      <c r="K107">
        <f t="shared" si="1"/>
        <v>5.1000000000000004E-3</v>
      </c>
      <c r="L107" t="s">
        <v>17</v>
      </c>
      <c r="M107">
        <v>296</v>
      </c>
      <c r="N107" t="s">
        <v>17</v>
      </c>
      <c r="O107" t="s">
        <v>620</v>
      </c>
    </row>
    <row r="108" spans="1:15" x14ac:dyDescent="0.2">
      <c r="A108" t="s">
        <v>190</v>
      </c>
      <c r="B108" t="s">
        <v>403</v>
      </c>
      <c r="C108">
        <v>12</v>
      </c>
      <c r="D108">
        <v>4</v>
      </c>
      <c r="E108">
        <v>9</v>
      </c>
      <c r="F108">
        <v>11</v>
      </c>
      <c r="G108">
        <v>3</v>
      </c>
      <c r="H108">
        <v>8</v>
      </c>
      <c r="I108">
        <v>1.17E-2</v>
      </c>
      <c r="J108">
        <v>50</v>
      </c>
      <c r="K108">
        <f t="shared" si="1"/>
        <v>5.8499999999999993E-3</v>
      </c>
      <c r="L108" t="s">
        <v>17</v>
      </c>
      <c r="M108">
        <v>296</v>
      </c>
      <c r="N108" t="s">
        <v>17</v>
      </c>
      <c r="O108" t="s">
        <v>620</v>
      </c>
    </row>
    <row r="109" spans="1:15" x14ac:dyDescent="0.2">
      <c r="A109" t="s">
        <v>190</v>
      </c>
      <c r="B109" t="s">
        <v>403</v>
      </c>
      <c r="C109">
        <v>13</v>
      </c>
      <c r="D109">
        <v>2</v>
      </c>
      <c r="E109">
        <v>11</v>
      </c>
      <c r="F109">
        <v>12</v>
      </c>
      <c r="G109">
        <v>1</v>
      </c>
      <c r="H109">
        <v>11</v>
      </c>
      <c r="I109">
        <v>9.1000000000000004E-3</v>
      </c>
      <c r="J109">
        <v>50</v>
      </c>
      <c r="K109">
        <f t="shared" si="1"/>
        <v>4.5500000000000002E-3</v>
      </c>
      <c r="L109" t="s">
        <v>17</v>
      </c>
      <c r="M109">
        <v>296</v>
      </c>
      <c r="N109" t="s">
        <v>17</v>
      </c>
      <c r="O109" t="s">
        <v>620</v>
      </c>
    </row>
    <row r="110" spans="1:15" x14ac:dyDescent="0.2">
      <c r="A110" t="s">
        <v>190</v>
      </c>
      <c r="B110" t="s">
        <v>403</v>
      </c>
      <c r="C110">
        <v>13</v>
      </c>
      <c r="D110">
        <v>2</v>
      </c>
      <c r="E110">
        <v>11</v>
      </c>
      <c r="F110">
        <v>12</v>
      </c>
      <c r="G110">
        <v>3</v>
      </c>
      <c r="H110">
        <v>10</v>
      </c>
      <c r="I110">
        <v>8.5000000000000006E-3</v>
      </c>
      <c r="J110">
        <v>50</v>
      </c>
      <c r="K110">
        <f t="shared" si="1"/>
        <v>4.2500000000000003E-3</v>
      </c>
      <c r="L110" t="s">
        <v>17</v>
      </c>
      <c r="M110">
        <v>296</v>
      </c>
      <c r="N110" t="s">
        <v>17</v>
      </c>
      <c r="O110" t="s">
        <v>620</v>
      </c>
    </row>
    <row r="111" spans="1:15" x14ac:dyDescent="0.2">
      <c r="A111" t="s">
        <v>190</v>
      </c>
      <c r="B111" t="s">
        <v>403</v>
      </c>
      <c r="C111">
        <v>13</v>
      </c>
      <c r="D111">
        <v>1</v>
      </c>
      <c r="E111">
        <v>12</v>
      </c>
      <c r="F111">
        <v>14</v>
      </c>
      <c r="G111">
        <v>2</v>
      </c>
      <c r="H111">
        <v>13</v>
      </c>
      <c r="I111">
        <v>8.3999999999999995E-3</v>
      </c>
      <c r="J111">
        <v>50</v>
      </c>
      <c r="K111">
        <f t="shared" si="1"/>
        <v>4.1999999999999997E-3</v>
      </c>
      <c r="L111" t="s">
        <v>17</v>
      </c>
      <c r="M111">
        <v>296</v>
      </c>
      <c r="N111" t="s">
        <v>17</v>
      </c>
      <c r="O111" t="s">
        <v>620</v>
      </c>
    </row>
    <row r="112" spans="1:15" x14ac:dyDescent="0.2">
      <c r="A112" t="s">
        <v>190</v>
      </c>
      <c r="B112" t="s">
        <v>403</v>
      </c>
      <c r="C112">
        <v>13</v>
      </c>
      <c r="D112">
        <v>2</v>
      </c>
      <c r="E112">
        <v>12</v>
      </c>
      <c r="F112">
        <v>14</v>
      </c>
      <c r="G112">
        <v>1</v>
      </c>
      <c r="H112">
        <v>13</v>
      </c>
      <c r="I112">
        <v>8.3999999999999995E-3</v>
      </c>
      <c r="J112">
        <v>50</v>
      </c>
      <c r="K112">
        <f t="shared" si="1"/>
        <v>4.1999999999999997E-3</v>
      </c>
      <c r="L112" t="s">
        <v>17</v>
      </c>
      <c r="M112">
        <v>296</v>
      </c>
      <c r="N112" t="s">
        <v>17</v>
      </c>
      <c r="O112" t="s">
        <v>620</v>
      </c>
    </row>
    <row r="113" spans="1:15" x14ac:dyDescent="0.2">
      <c r="A113" t="s">
        <v>190</v>
      </c>
      <c r="B113" t="s">
        <v>403</v>
      </c>
      <c r="C113">
        <v>14</v>
      </c>
      <c r="D113">
        <v>1</v>
      </c>
      <c r="E113">
        <v>13</v>
      </c>
      <c r="F113">
        <v>13</v>
      </c>
      <c r="G113">
        <v>2</v>
      </c>
      <c r="H113">
        <v>12</v>
      </c>
      <c r="I113">
        <v>8.5000000000000006E-3</v>
      </c>
      <c r="J113">
        <v>50</v>
      </c>
      <c r="K113">
        <f t="shared" si="1"/>
        <v>4.2500000000000003E-3</v>
      </c>
      <c r="L113" t="s">
        <v>17</v>
      </c>
      <c r="M113">
        <v>296</v>
      </c>
      <c r="N113" t="s">
        <v>17</v>
      </c>
      <c r="O113" t="s">
        <v>620</v>
      </c>
    </row>
    <row r="114" spans="1:15" x14ac:dyDescent="0.2">
      <c r="A114" t="s">
        <v>190</v>
      </c>
      <c r="B114" t="s">
        <v>403</v>
      </c>
      <c r="C114">
        <v>14</v>
      </c>
      <c r="D114">
        <v>2</v>
      </c>
      <c r="E114">
        <v>13</v>
      </c>
      <c r="F114">
        <v>13</v>
      </c>
      <c r="G114">
        <v>1</v>
      </c>
      <c r="H114">
        <v>12</v>
      </c>
      <c r="I114">
        <v>8.5000000000000006E-3</v>
      </c>
      <c r="J114">
        <v>50</v>
      </c>
      <c r="K114">
        <f t="shared" si="1"/>
        <v>4.2500000000000003E-3</v>
      </c>
      <c r="L114" t="s">
        <v>17</v>
      </c>
      <c r="M114">
        <v>296</v>
      </c>
      <c r="N114" t="s">
        <v>17</v>
      </c>
      <c r="O114" t="s">
        <v>620</v>
      </c>
    </row>
    <row r="115" spans="1:15" x14ac:dyDescent="0.2">
      <c r="A115" t="s">
        <v>190</v>
      </c>
      <c r="B115" t="s">
        <v>403</v>
      </c>
      <c r="C115">
        <v>14</v>
      </c>
      <c r="D115">
        <v>0</v>
      </c>
      <c r="E115">
        <v>14</v>
      </c>
      <c r="F115">
        <v>15</v>
      </c>
      <c r="G115">
        <v>1</v>
      </c>
      <c r="H115">
        <v>15</v>
      </c>
      <c r="I115">
        <v>4.7000000000000002E-3</v>
      </c>
      <c r="J115">
        <v>50</v>
      </c>
      <c r="K115">
        <f t="shared" si="1"/>
        <v>2.3500000000000001E-3</v>
      </c>
      <c r="L115" t="s">
        <v>17</v>
      </c>
      <c r="M115">
        <v>296</v>
      </c>
      <c r="N115" t="s">
        <v>17</v>
      </c>
      <c r="O115" t="s">
        <v>622</v>
      </c>
    </row>
    <row r="116" spans="1:15" x14ac:dyDescent="0.2">
      <c r="A116" t="s">
        <v>190</v>
      </c>
      <c r="B116" t="s">
        <v>403</v>
      </c>
      <c r="C116">
        <v>15</v>
      </c>
      <c r="D116">
        <v>0</v>
      </c>
      <c r="E116">
        <v>15</v>
      </c>
      <c r="F116">
        <v>14</v>
      </c>
      <c r="G116">
        <v>1</v>
      </c>
      <c r="H116">
        <v>14</v>
      </c>
      <c r="I116">
        <v>9.1999999999999998E-3</v>
      </c>
      <c r="J116">
        <v>50</v>
      </c>
      <c r="K116">
        <f t="shared" si="1"/>
        <v>4.5999999999999999E-3</v>
      </c>
      <c r="L116" t="s">
        <v>17</v>
      </c>
      <c r="M116">
        <v>296</v>
      </c>
      <c r="N116" t="s">
        <v>17</v>
      </c>
      <c r="O116" t="s">
        <v>620</v>
      </c>
    </row>
    <row r="117" spans="1:15" x14ac:dyDescent="0.2">
      <c r="A117" t="s">
        <v>190</v>
      </c>
      <c r="B117" t="s">
        <v>376</v>
      </c>
      <c r="C117">
        <v>3</v>
      </c>
      <c r="D117">
        <v>1</v>
      </c>
      <c r="E117">
        <v>3</v>
      </c>
      <c r="F117">
        <v>2</v>
      </c>
      <c r="G117">
        <v>2</v>
      </c>
      <c r="H117">
        <v>0</v>
      </c>
      <c r="I117">
        <v>4.7699999999999999E-2</v>
      </c>
      <c r="J117">
        <v>50</v>
      </c>
      <c r="K117">
        <f t="shared" si="1"/>
        <v>2.3849999999999996E-2</v>
      </c>
      <c r="L117" t="s">
        <v>17</v>
      </c>
      <c r="M117">
        <v>296</v>
      </c>
      <c r="N117" t="s">
        <v>17</v>
      </c>
      <c r="O117" t="s">
        <v>620</v>
      </c>
    </row>
    <row r="118" spans="1:15" x14ac:dyDescent="0.2">
      <c r="A118" t="s">
        <v>190</v>
      </c>
      <c r="B118" t="s">
        <v>376</v>
      </c>
      <c r="C118">
        <v>4</v>
      </c>
      <c r="D118">
        <v>1</v>
      </c>
      <c r="E118">
        <v>4</v>
      </c>
      <c r="F118">
        <v>3</v>
      </c>
      <c r="G118">
        <v>2</v>
      </c>
      <c r="H118">
        <v>1</v>
      </c>
      <c r="I118">
        <v>4.5499999999999999E-2</v>
      </c>
      <c r="J118">
        <v>50</v>
      </c>
      <c r="K118">
        <f t="shared" si="1"/>
        <v>2.2749999999999999E-2</v>
      </c>
      <c r="L118" t="s">
        <v>17</v>
      </c>
      <c r="M118">
        <v>296</v>
      </c>
      <c r="N118" t="s">
        <v>17</v>
      </c>
      <c r="O118" t="s">
        <v>620</v>
      </c>
    </row>
    <row r="119" spans="1:15" x14ac:dyDescent="0.2">
      <c r="A119" t="s">
        <v>190</v>
      </c>
      <c r="B119" t="s">
        <v>376</v>
      </c>
      <c r="C119">
        <v>4</v>
      </c>
      <c r="D119">
        <v>4</v>
      </c>
      <c r="E119">
        <v>1</v>
      </c>
      <c r="F119">
        <v>3</v>
      </c>
      <c r="G119">
        <v>1</v>
      </c>
      <c r="H119">
        <v>2</v>
      </c>
      <c r="I119">
        <v>4.0500000000000001E-2</v>
      </c>
      <c r="J119">
        <v>50</v>
      </c>
      <c r="K119">
        <f t="shared" si="1"/>
        <v>2.0250000000000001E-2</v>
      </c>
      <c r="L119" t="s">
        <v>17</v>
      </c>
      <c r="M119">
        <v>296</v>
      </c>
      <c r="N119" t="s">
        <v>17</v>
      </c>
      <c r="O119" t="s">
        <v>620</v>
      </c>
    </row>
    <row r="120" spans="1:15" x14ac:dyDescent="0.2">
      <c r="A120" t="s">
        <v>190</v>
      </c>
      <c r="B120" t="s">
        <v>376</v>
      </c>
      <c r="C120">
        <v>5</v>
      </c>
      <c r="D120">
        <v>4</v>
      </c>
      <c r="E120">
        <v>1</v>
      </c>
      <c r="F120">
        <v>4</v>
      </c>
      <c r="G120">
        <v>1</v>
      </c>
      <c r="H120">
        <v>4</v>
      </c>
      <c r="I120">
        <v>4.3900000000000002E-2</v>
      </c>
      <c r="J120">
        <v>50</v>
      </c>
      <c r="K120">
        <f t="shared" si="1"/>
        <v>2.1950000000000004E-2</v>
      </c>
      <c r="L120" t="s">
        <v>17</v>
      </c>
      <c r="M120">
        <v>296</v>
      </c>
      <c r="N120" t="s">
        <v>17</v>
      </c>
      <c r="O120" t="s">
        <v>620</v>
      </c>
    </row>
    <row r="121" spans="1:15" x14ac:dyDescent="0.2">
      <c r="A121" t="s">
        <v>190</v>
      </c>
      <c r="B121" t="s">
        <v>376</v>
      </c>
      <c r="C121">
        <v>5</v>
      </c>
      <c r="D121">
        <v>4</v>
      </c>
      <c r="E121">
        <v>1</v>
      </c>
      <c r="F121">
        <v>4</v>
      </c>
      <c r="G121">
        <v>3</v>
      </c>
      <c r="H121">
        <v>2</v>
      </c>
      <c r="I121">
        <v>2.3699999999999999E-2</v>
      </c>
      <c r="J121">
        <v>50</v>
      </c>
      <c r="K121">
        <f t="shared" si="1"/>
        <v>1.1850000000000001E-2</v>
      </c>
      <c r="L121" t="s">
        <v>17</v>
      </c>
      <c r="M121">
        <v>296</v>
      </c>
      <c r="N121" t="s">
        <v>17</v>
      </c>
      <c r="O121" t="s">
        <v>620</v>
      </c>
    </row>
    <row r="122" spans="1:15" x14ac:dyDescent="0.2">
      <c r="A122" t="s">
        <v>190</v>
      </c>
      <c r="B122" t="s">
        <v>376</v>
      </c>
      <c r="C122">
        <v>5</v>
      </c>
      <c r="D122">
        <v>4</v>
      </c>
      <c r="E122">
        <v>2</v>
      </c>
      <c r="F122">
        <v>4</v>
      </c>
      <c r="G122">
        <v>1</v>
      </c>
      <c r="H122">
        <v>3</v>
      </c>
      <c r="I122">
        <v>4.53E-2</v>
      </c>
      <c r="J122">
        <v>50</v>
      </c>
      <c r="K122">
        <f t="shared" si="1"/>
        <v>2.265E-2</v>
      </c>
      <c r="L122" t="s">
        <v>17</v>
      </c>
      <c r="M122">
        <v>296</v>
      </c>
      <c r="N122" t="s">
        <v>17</v>
      </c>
      <c r="O122" t="s">
        <v>620</v>
      </c>
    </row>
    <row r="123" spans="1:15" x14ac:dyDescent="0.2">
      <c r="A123" t="s">
        <v>190</v>
      </c>
      <c r="B123" t="s">
        <v>376</v>
      </c>
      <c r="C123">
        <v>6</v>
      </c>
      <c r="D123">
        <v>1</v>
      </c>
      <c r="E123">
        <v>6</v>
      </c>
      <c r="F123">
        <v>5</v>
      </c>
      <c r="G123">
        <v>2</v>
      </c>
      <c r="H123">
        <v>3</v>
      </c>
      <c r="I123">
        <v>3.6999999999999998E-2</v>
      </c>
      <c r="J123">
        <v>50</v>
      </c>
      <c r="K123">
        <f t="shared" si="1"/>
        <v>1.8499999999999999E-2</v>
      </c>
      <c r="L123" t="s">
        <v>17</v>
      </c>
      <c r="M123">
        <v>296</v>
      </c>
      <c r="N123" t="s">
        <v>17</v>
      </c>
      <c r="O123" t="s">
        <v>620</v>
      </c>
    </row>
    <row r="124" spans="1:15" x14ac:dyDescent="0.2">
      <c r="A124" t="s">
        <v>190</v>
      </c>
      <c r="B124" t="s">
        <v>376</v>
      </c>
      <c r="C124">
        <v>6</v>
      </c>
      <c r="D124">
        <v>4</v>
      </c>
      <c r="E124">
        <v>2</v>
      </c>
      <c r="F124">
        <v>6</v>
      </c>
      <c r="G124">
        <v>1</v>
      </c>
      <c r="H124">
        <v>5</v>
      </c>
      <c r="I124">
        <v>3.2300000000000002E-2</v>
      </c>
      <c r="J124">
        <v>50</v>
      </c>
      <c r="K124">
        <f t="shared" si="1"/>
        <v>1.6150000000000001E-2</v>
      </c>
      <c r="L124" t="s">
        <v>17</v>
      </c>
      <c r="M124">
        <v>296</v>
      </c>
      <c r="N124" t="s">
        <v>17</v>
      </c>
      <c r="O124" t="s">
        <v>620</v>
      </c>
    </row>
    <row r="125" spans="1:15" x14ac:dyDescent="0.2">
      <c r="A125" t="s">
        <v>190</v>
      </c>
      <c r="B125" t="s">
        <v>376</v>
      </c>
      <c r="C125">
        <v>7</v>
      </c>
      <c r="D125">
        <v>3</v>
      </c>
      <c r="E125">
        <v>5</v>
      </c>
      <c r="F125">
        <v>6</v>
      </c>
      <c r="G125">
        <v>0</v>
      </c>
      <c r="H125">
        <v>6</v>
      </c>
      <c r="I125">
        <v>3.6200000000000003E-2</v>
      </c>
      <c r="J125">
        <v>50</v>
      </c>
      <c r="K125">
        <f t="shared" si="1"/>
        <v>1.8100000000000002E-2</v>
      </c>
      <c r="L125" t="s">
        <v>17</v>
      </c>
      <c r="M125">
        <v>296</v>
      </c>
      <c r="N125" t="s">
        <v>17</v>
      </c>
      <c r="O125" t="s">
        <v>620</v>
      </c>
    </row>
    <row r="126" spans="1:15" x14ac:dyDescent="0.2">
      <c r="A126" t="s">
        <v>190</v>
      </c>
      <c r="B126" t="s">
        <v>376</v>
      </c>
      <c r="C126">
        <v>7</v>
      </c>
      <c r="D126">
        <v>3</v>
      </c>
      <c r="E126">
        <v>4</v>
      </c>
      <c r="F126">
        <v>7</v>
      </c>
      <c r="G126">
        <v>0</v>
      </c>
      <c r="H126">
        <v>7</v>
      </c>
      <c r="I126">
        <v>4.2200000000000001E-2</v>
      </c>
      <c r="J126">
        <v>50</v>
      </c>
      <c r="K126">
        <f t="shared" si="1"/>
        <v>2.1099999999999997E-2</v>
      </c>
      <c r="L126" t="s">
        <v>17</v>
      </c>
      <c r="M126">
        <v>296</v>
      </c>
      <c r="N126" t="s">
        <v>17</v>
      </c>
      <c r="O126" t="s">
        <v>620</v>
      </c>
    </row>
    <row r="127" spans="1:15" x14ac:dyDescent="0.2">
      <c r="A127" t="s">
        <v>190</v>
      </c>
      <c r="B127" t="s">
        <v>376</v>
      </c>
      <c r="C127">
        <v>7</v>
      </c>
      <c r="D127">
        <v>4</v>
      </c>
      <c r="E127">
        <v>4</v>
      </c>
      <c r="F127">
        <v>6</v>
      </c>
      <c r="G127">
        <v>1</v>
      </c>
      <c r="H127">
        <v>5</v>
      </c>
      <c r="I127">
        <v>2.9899999999999999E-2</v>
      </c>
      <c r="J127">
        <v>50</v>
      </c>
      <c r="K127">
        <f t="shared" si="1"/>
        <v>1.4949999999999998E-2</v>
      </c>
      <c r="L127" t="s">
        <v>17</v>
      </c>
      <c r="M127">
        <v>296</v>
      </c>
      <c r="N127" t="s">
        <v>17</v>
      </c>
      <c r="O127" t="s">
        <v>620</v>
      </c>
    </row>
    <row r="128" spans="1:15" x14ac:dyDescent="0.2">
      <c r="A128" t="s">
        <v>190</v>
      </c>
      <c r="B128" t="s">
        <v>376</v>
      </c>
      <c r="C128">
        <v>8</v>
      </c>
      <c r="D128">
        <v>2</v>
      </c>
      <c r="E128">
        <v>6</v>
      </c>
      <c r="F128">
        <v>7</v>
      </c>
      <c r="G128">
        <v>1</v>
      </c>
      <c r="H128">
        <v>7</v>
      </c>
      <c r="I128">
        <v>3.9100000000000003E-2</v>
      </c>
      <c r="J128">
        <v>50</v>
      </c>
      <c r="K128">
        <f t="shared" si="1"/>
        <v>1.9550000000000001E-2</v>
      </c>
      <c r="L128" t="s">
        <v>17</v>
      </c>
      <c r="M128">
        <v>296</v>
      </c>
      <c r="N128" t="s">
        <v>17</v>
      </c>
      <c r="O128" t="s">
        <v>620</v>
      </c>
    </row>
    <row r="129" spans="1:15" x14ac:dyDescent="0.2">
      <c r="A129" t="s">
        <v>190</v>
      </c>
      <c r="B129" t="s">
        <v>376</v>
      </c>
      <c r="C129">
        <v>8</v>
      </c>
      <c r="D129">
        <v>5</v>
      </c>
      <c r="E129">
        <v>4</v>
      </c>
      <c r="F129">
        <v>7</v>
      </c>
      <c r="G129">
        <v>2</v>
      </c>
      <c r="H129">
        <v>5</v>
      </c>
      <c r="I129">
        <v>2.53E-2</v>
      </c>
      <c r="J129">
        <v>50</v>
      </c>
      <c r="K129">
        <f t="shared" si="1"/>
        <v>1.265E-2</v>
      </c>
      <c r="L129" t="s">
        <v>17</v>
      </c>
      <c r="M129">
        <v>296</v>
      </c>
      <c r="N129" t="s">
        <v>17</v>
      </c>
      <c r="O129" t="s">
        <v>620</v>
      </c>
    </row>
    <row r="130" spans="1:15" x14ac:dyDescent="0.2">
      <c r="A130" t="s">
        <v>190</v>
      </c>
      <c r="B130" t="s">
        <v>376</v>
      </c>
      <c r="C130">
        <v>9</v>
      </c>
      <c r="D130">
        <v>2</v>
      </c>
      <c r="E130">
        <v>7</v>
      </c>
      <c r="F130">
        <v>8</v>
      </c>
      <c r="G130">
        <v>1</v>
      </c>
      <c r="H130">
        <v>8</v>
      </c>
      <c r="I130">
        <v>3.6700000000000003E-2</v>
      </c>
      <c r="J130">
        <v>50</v>
      </c>
      <c r="K130">
        <f t="shared" si="1"/>
        <v>1.8350000000000002E-2</v>
      </c>
      <c r="L130" t="s">
        <v>17</v>
      </c>
      <c r="M130">
        <v>296</v>
      </c>
      <c r="N130" t="s">
        <v>17</v>
      </c>
      <c r="O130" t="s">
        <v>620</v>
      </c>
    </row>
    <row r="131" spans="1:15" x14ac:dyDescent="0.2">
      <c r="A131" t="s">
        <v>190</v>
      </c>
      <c r="B131" t="s">
        <v>376</v>
      </c>
      <c r="C131">
        <v>9</v>
      </c>
      <c r="D131">
        <v>3</v>
      </c>
      <c r="E131">
        <v>7</v>
      </c>
      <c r="F131">
        <v>8</v>
      </c>
      <c r="G131">
        <v>0</v>
      </c>
      <c r="H131">
        <v>8</v>
      </c>
      <c r="I131">
        <v>2.4299999999999999E-2</v>
      </c>
      <c r="J131">
        <v>50</v>
      </c>
      <c r="K131">
        <f t="shared" si="1"/>
        <v>1.2149999999999999E-2</v>
      </c>
      <c r="L131" t="s">
        <v>17</v>
      </c>
      <c r="M131">
        <v>296</v>
      </c>
      <c r="N131" t="s">
        <v>17</v>
      </c>
      <c r="O131" t="s">
        <v>620</v>
      </c>
    </row>
    <row r="132" spans="1:15" x14ac:dyDescent="0.2">
      <c r="A132" t="s">
        <v>190</v>
      </c>
      <c r="B132" t="s">
        <v>376</v>
      </c>
      <c r="C132">
        <v>9</v>
      </c>
      <c r="D132">
        <v>6</v>
      </c>
      <c r="E132">
        <v>4</v>
      </c>
      <c r="F132">
        <v>8</v>
      </c>
      <c r="G132">
        <v>5</v>
      </c>
      <c r="H132">
        <v>3</v>
      </c>
      <c r="I132">
        <v>2.3599999999999999E-2</v>
      </c>
      <c r="J132">
        <v>50</v>
      </c>
      <c r="K132">
        <f t="shared" ref="K132:K154" si="2">I132*J132/100</f>
        <v>1.18E-2</v>
      </c>
      <c r="L132" t="s">
        <v>17</v>
      </c>
      <c r="M132">
        <v>296</v>
      </c>
      <c r="N132" t="s">
        <v>17</v>
      </c>
      <c r="O132" t="s">
        <v>620</v>
      </c>
    </row>
    <row r="133" spans="1:15" x14ac:dyDescent="0.2">
      <c r="A133" t="s">
        <v>190</v>
      </c>
      <c r="B133" t="s">
        <v>376</v>
      </c>
      <c r="C133">
        <v>9</v>
      </c>
      <c r="D133">
        <v>7</v>
      </c>
      <c r="E133">
        <v>3</v>
      </c>
      <c r="F133">
        <v>8</v>
      </c>
      <c r="G133">
        <v>6</v>
      </c>
      <c r="H133">
        <v>2</v>
      </c>
      <c r="I133">
        <v>2.0400000000000001E-2</v>
      </c>
      <c r="J133">
        <v>50</v>
      </c>
      <c r="K133">
        <f t="shared" si="2"/>
        <v>1.0200000000000001E-2</v>
      </c>
      <c r="L133" t="s">
        <v>17</v>
      </c>
      <c r="M133">
        <v>296</v>
      </c>
      <c r="N133" t="s">
        <v>17</v>
      </c>
      <c r="O133" t="s">
        <v>620</v>
      </c>
    </row>
    <row r="134" spans="1:15" x14ac:dyDescent="0.2">
      <c r="A134" t="s">
        <v>190</v>
      </c>
      <c r="B134" t="s">
        <v>376</v>
      </c>
      <c r="C134">
        <v>9</v>
      </c>
      <c r="D134">
        <v>2</v>
      </c>
      <c r="E134">
        <v>7</v>
      </c>
      <c r="F134">
        <v>10</v>
      </c>
      <c r="G134">
        <v>3</v>
      </c>
      <c r="H134">
        <v>8</v>
      </c>
      <c r="I134">
        <v>1.4E-2</v>
      </c>
      <c r="J134">
        <v>50</v>
      </c>
      <c r="K134">
        <f t="shared" si="2"/>
        <v>7.000000000000001E-3</v>
      </c>
      <c r="L134" t="s">
        <v>17</v>
      </c>
      <c r="M134">
        <v>296</v>
      </c>
      <c r="N134" t="s">
        <v>17</v>
      </c>
      <c r="O134" t="s">
        <v>620</v>
      </c>
    </row>
    <row r="135" spans="1:15" x14ac:dyDescent="0.2">
      <c r="A135" t="s">
        <v>190</v>
      </c>
      <c r="B135" t="s">
        <v>376</v>
      </c>
      <c r="C135">
        <v>9</v>
      </c>
      <c r="D135">
        <v>3</v>
      </c>
      <c r="E135">
        <v>6</v>
      </c>
      <c r="F135">
        <v>10</v>
      </c>
      <c r="G135">
        <v>4</v>
      </c>
      <c r="H135">
        <v>7</v>
      </c>
      <c r="I135">
        <v>1.4500000000000001E-2</v>
      </c>
      <c r="J135">
        <v>50</v>
      </c>
      <c r="K135">
        <f t="shared" si="2"/>
        <v>7.2500000000000012E-3</v>
      </c>
      <c r="L135" t="s">
        <v>17</v>
      </c>
      <c r="M135">
        <v>296</v>
      </c>
      <c r="N135" t="s">
        <v>17</v>
      </c>
      <c r="O135" t="s">
        <v>620</v>
      </c>
    </row>
    <row r="136" spans="1:15" x14ac:dyDescent="0.2">
      <c r="A136" t="s">
        <v>190</v>
      </c>
      <c r="B136" t="s">
        <v>376</v>
      </c>
      <c r="C136">
        <v>9</v>
      </c>
      <c r="D136">
        <v>5</v>
      </c>
      <c r="E136">
        <v>5</v>
      </c>
      <c r="F136">
        <v>10</v>
      </c>
      <c r="G136">
        <v>6</v>
      </c>
      <c r="H136">
        <v>4</v>
      </c>
      <c r="I136">
        <v>1.2999999999999999E-2</v>
      </c>
      <c r="J136">
        <v>50</v>
      </c>
      <c r="K136">
        <f t="shared" si="2"/>
        <v>6.5000000000000006E-3</v>
      </c>
      <c r="L136" t="s">
        <v>17</v>
      </c>
      <c r="M136">
        <v>296</v>
      </c>
      <c r="N136" t="s">
        <v>17</v>
      </c>
      <c r="O136" t="s">
        <v>620</v>
      </c>
    </row>
    <row r="137" spans="1:15" x14ac:dyDescent="0.2">
      <c r="A137" t="s">
        <v>190</v>
      </c>
      <c r="B137" t="s">
        <v>376</v>
      </c>
      <c r="C137">
        <v>10</v>
      </c>
      <c r="D137">
        <v>3</v>
      </c>
      <c r="E137">
        <v>7</v>
      </c>
      <c r="F137">
        <v>9</v>
      </c>
      <c r="G137">
        <v>2</v>
      </c>
      <c r="H137">
        <v>8</v>
      </c>
      <c r="I137">
        <v>1.4500000000000001E-2</v>
      </c>
      <c r="J137">
        <v>50</v>
      </c>
      <c r="K137">
        <f t="shared" si="2"/>
        <v>7.2500000000000012E-3</v>
      </c>
      <c r="L137" t="s">
        <v>17</v>
      </c>
      <c r="M137">
        <v>296</v>
      </c>
      <c r="N137" t="s">
        <v>17</v>
      </c>
      <c r="O137" t="s">
        <v>620</v>
      </c>
    </row>
    <row r="138" spans="1:15" x14ac:dyDescent="0.2">
      <c r="A138" t="s">
        <v>190</v>
      </c>
      <c r="B138" t="s">
        <v>376</v>
      </c>
      <c r="C138">
        <v>10</v>
      </c>
      <c r="D138">
        <v>4</v>
      </c>
      <c r="E138">
        <v>6</v>
      </c>
      <c r="F138">
        <v>9</v>
      </c>
      <c r="G138">
        <v>3</v>
      </c>
      <c r="H138">
        <v>7</v>
      </c>
      <c r="I138">
        <v>1.29E-2</v>
      </c>
      <c r="J138">
        <v>50</v>
      </c>
      <c r="K138">
        <f t="shared" si="2"/>
        <v>6.45E-3</v>
      </c>
      <c r="L138" t="s">
        <v>17</v>
      </c>
      <c r="M138">
        <v>296</v>
      </c>
      <c r="N138" t="s">
        <v>17</v>
      </c>
      <c r="O138" t="s">
        <v>620</v>
      </c>
    </row>
    <row r="139" spans="1:15" x14ac:dyDescent="0.2">
      <c r="A139" t="s">
        <v>190</v>
      </c>
      <c r="B139" t="s">
        <v>376</v>
      </c>
      <c r="C139">
        <v>10</v>
      </c>
      <c r="D139">
        <v>5</v>
      </c>
      <c r="E139">
        <v>5</v>
      </c>
      <c r="F139">
        <v>9</v>
      </c>
      <c r="G139">
        <v>4</v>
      </c>
      <c r="H139">
        <v>6</v>
      </c>
      <c r="I139">
        <v>1.1900000000000001E-2</v>
      </c>
      <c r="J139">
        <v>50</v>
      </c>
      <c r="K139">
        <f t="shared" si="2"/>
        <v>5.9500000000000004E-3</v>
      </c>
      <c r="L139" t="s">
        <v>17</v>
      </c>
      <c r="M139">
        <v>296</v>
      </c>
      <c r="N139" t="s">
        <v>17</v>
      </c>
      <c r="O139" t="s">
        <v>620</v>
      </c>
    </row>
    <row r="140" spans="1:15" x14ac:dyDescent="0.2">
      <c r="A140" t="s">
        <v>190</v>
      </c>
      <c r="B140" t="s">
        <v>376</v>
      </c>
      <c r="C140">
        <v>10</v>
      </c>
      <c r="D140">
        <v>6</v>
      </c>
      <c r="E140">
        <v>5</v>
      </c>
      <c r="F140">
        <v>9</v>
      </c>
      <c r="G140">
        <v>5</v>
      </c>
      <c r="H140">
        <v>4</v>
      </c>
      <c r="I140">
        <v>1.2E-2</v>
      </c>
      <c r="J140">
        <v>50</v>
      </c>
      <c r="K140">
        <f t="shared" si="2"/>
        <v>6.0000000000000001E-3</v>
      </c>
      <c r="L140" t="s">
        <v>17</v>
      </c>
      <c r="M140">
        <v>296</v>
      </c>
      <c r="N140" t="s">
        <v>17</v>
      </c>
      <c r="O140" t="s">
        <v>620</v>
      </c>
    </row>
    <row r="141" spans="1:15" x14ac:dyDescent="0.2">
      <c r="A141" t="s">
        <v>190</v>
      </c>
      <c r="B141" t="s">
        <v>376</v>
      </c>
      <c r="C141">
        <v>10</v>
      </c>
      <c r="D141">
        <v>7</v>
      </c>
      <c r="E141">
        <v>4</v>
      </c>
      <c r="F141">
        <v>9</v>
      </c>
      <c r="G141">
        <v>6</v>
      </c>
      <c r="H141">
        <v>3</v>
      </c>
      <c r="I141">
        <v>6.8999999999999999E-3</v>
      </c>
      <c r="J141">
        <v>50</v>
      </c>
      <c r="K141">
        <f t="shared" si="2"/>
        <v>3.4499999999999999E-3</v>
      </c>
      <c r="L141" t="s">
        <v>17</v>
      </c>
      <c r="M141">
        <v>296</v>
      </c>
      <c r="N141" t="s">
        <v>17</v>
      </c>
      <c r="O141" t="s">
        <v>620</v>
      </c>
    </row>
    <row r="142" spans="1:15" x14ac:dyDescent="0.2">
      <c r="A142" t="s">
        <v>190</v>
      </c>
      <c r="B142" t="s">
        <v>376</v>
      </c>
      <c r="C142">
        <v>11</v>
      </c>
      <c r="D142">
        <v>2</v>
      </c>
      <c r="E142">
        <v>10</v>
      </c>
      <c r="F142">
        <v>12</v>
      </c>
      <c r="G142">
        <v>1</v>
      </c>
      <c r="H142">
        <v>11</v>
      </c>
      <c r="I142">
        <v>1.4200000000000001E-2</v>
      </c>
      <c r="J142">
        <v>50</v>
      </c>
      <c r="K142">
        <f t="shared" si="2"/>
        <v>7.1000000000000004E-3</v>
      </c>
      <c r="L142" t="s">
        <v>17</v>
      </c>
      <c r="M142">
        <v>296</v>
      </c>
      <c r="N142" t="s">
        <v>17</v>
      </c>
      <c r="O142" t="s">
        <v>620</v>
      </c>
    </row>
    <row r="143" spans="1:15" x14ac:dyDescent="0.2">
      <c r="A143" t="s">
        <v>190</v>
      </c>
      <c r="B143" t="s">
        <v>376</v>
      </c>
      <c r="C143">
        <v>11</v>
      </c>
      <c r="D143">
        <v>4</v>
      </c>
      <c r="E143">
        <v>8</v>
      </c>
      <c r="F143">
        <v>10</v>
      </c>
      <c r="G143">
        <v>3</v>
      </c>
      <c r="H143">
        <v>7</v>
      </c>
      <c r="I143">
        <v>1.4200000000000001E-2</v>
      </c>
      <c r="J143">
        <v>50</v>
      </c>
      <c r="K143">
        <f t="shared" si="2"/>
        <v>7.1000000000000004E-3</v>
      </c>
      <c r="L143" t="s">
        <v>17</v>
      </c>
      <c r="M143">
        <v>296</v>
      </c>
      <c r="N143" t="s">
        <v>17</v>
      </c>
      <c r="O143" t="s">
        <v>620</v>
      </c>
    </row>
    <row r="144" spans="1:15" x14ac:dyDescent="0.2">
      <c r="A144" t="s">
        <v>190</v>
      </c>
      <c r="B144" t="s">
        <v>376</v>
      </c>
      <c r="C144">
        <v>11</v>
      </c>
      <c r="D144">
        <v>5</v>
      </c>
      <c r="E144">
        <v>6</v>
      </c>
      <c r="F144">
        <v>10</v>
      </c>
      <c r="G144">
        <v>4</v>
      </c>
      <c r="H144">
        <v>7</v>
      </c>
      <c r="I144">
        <v>1.3899999999999999E-2</v>
      </c>
      <c r="J144">
        <v>50</v>
      </c>
      <c r="K144">
        <f t="shared" si="2"/>
        <v>6.9499999999999996E-3</v>
      </c>
      <c r="L144" t="s">
        <v>17</v>
      </c>
      <c r="M144">
        <v>296</v>
      </c>
      <c r="N144" t="s">
        <v>17</v>
      </c>
      <c r="O144" t="s">
        <v>620</v>
      </c>
    </row>
    <row r="145" spans="1:15" x14ac:dyDescent="0.2">
      <c r="A145" t="s">
        <v>190</v>
      </c>
      <c r="B145" t="s">
        <v>376</v>
      </c>
      <c r="C145">
        <v>12</v>
      </c>
      <c r="D145">
        <v>2</v>
      </c>
      <c r="E145">
        <v>10</v>
      </c>
      <c r="F145">
        <v>11</v>
      </c>
      <c r="G145">
        <v>3</v>
      </c>
      <c r="H145">
        <v>9</v>
      </c>
      <c r="I145">
        <v>9.4999999999999998E-3</v>
      </c>
      <c r="J145">
        <v>50</v>
      </c>
      <c r="K145">
        <f t="shared" si="2"/>
        <v>4.7499999999999999E-3</v>
      </c>
      <c r="L145" t="s">
        <v>17</v>
      </c>
      <c r="M145">
        <v>296</v>
      </c>
      <c r="N145" t="s">
        <v>17</v>
      </c>
      <c r="O145" t="s">
        <v>620</v>
      </c>
    </row>
    <row r="146" spans="1:15" x14ac:dyDescent="0.2">
      <c r="A146" t="s">
        <v>190</v>
      </c>
      <c r="B146" t="s">
        <v>376</v>
      </c>
      <c r="C146">
        <v>12</v>
      </c>
      <c r="D146">
        <v>4</v>
      </c>
      <c r="E146">
        <v>9</v>
      </c>
      <c r="F146">
        <v>11</v>
      </c>
      <c r="G146">
        <v>3</v>
      </c>
      <c r="H146">
        <v>8</v>
      </c>
      <c r="I146">
        <v>9.4999999999999998E-3</v>
      </c>
      <c r="J146">
        <v>50</v>
      </c>
      <c r="K146">
        <f t="shared" si="2"/>
        <v>4.7499999999999999E-3</v>
      </c>
      <c r="L146" t="s">
        <v>17</v>
      </c>
      <c r="M146">
        <v>296</v>
      </c>
      <c r="N146" t="s">
        <v>17</v>
      </c>
      <c r="O146" t="s">
        <v>620</v>
      </c>
    </row>
    <row r="147" spans="1:15" x14ac:dyDescent="0.2">
      <c r="A147" t="s">
        <v>190</v>
      </c>
      <c r="B147" t="s">
        <v>376</v>
      </c>
      <c r="C147">
        <v>13</v>
      </c>
      <c r="D147">
        <v>2</v>
      </c>
      <c r="E147">
        <v>11</v>
      </c>
      <c r="F147">
        <v>12</v>
      </c>
      <c r="G147">
        <v>1</v>
      </c>
      <c r="H147">
        <v>11</v>
      </c>
      <c r="I147">
        <v>6.0000000000000001E-3</v>
      </c>
      <c r="J147">
        <v>50</v>
      </c>
      <c r="K147">
        <f t="shared" si="2"/>
        <v>3.0000000000000001E-3</v>
      </c>
      <c r="L147" t="s">
        <v>17</v>
      </c>
      <c r="M147">
        <v>296</v>
      </c>
      <c r="N147" t="s">
        <v>17</v>
      </c>
      <c r="O147" t="s">
        <v>620</v>
      </c>
    </row>
    <row r="148" spans="1:15" x14ac:dyDescent="0.2">
      <c r="A148" t="s">
        <v>190</v>
      </c>
      <c r="B148" t="s">
        <v>376</v>
      </c>
      <c r="C148">
        <v>13</v>
      </c>
      <c r="D148">
        <v>2</v>
      </c>
      <c r="E148">
        <v>11</v>
      </c>
      <c r="F148">
        <v>12</v>
      </c>
      <c r="G148">
        <v>3</v>
      </c>
      <c r="H148">
        <v>10</v>
      </c>
      <c r="I148">
        <v>7.7999999999999996E-3</v>
      </c>
      <c r="J148">
        <v>50</v>
      </c>
      <c r="K148">
        <f t="shared" si="2"/>
        <v>3.8999999999999994E-3</v>
      </c>
      <c r="L148" t="s">
        <v>17</v>
      </c>
      <c r="M148">
        <v>296</v>
      </c>
      <c r="N148" t="s">
        <v>17</v>
      </c>
      <c r="O148" t="s">
        <v>620</v>
      </c>
    </row>
    <row r="149" spans="1:15" x14ac:dyDescent="0.2">
      <c r="A149" t="s">
        <v>190</v>
      </c>
      <c r="B149" t="s">
        <v>376</v>
      </c>
      <c r="C149">
        <v>13</v>
      </c>
      <c r="D149">
        <v>1</v>
      </c>
      <c r="E149">
        <v>12</v>
      </c>
      <c r="F149">
        <v>14</v>
      </c>
      <c r="G149">
        <v>2</v>
      </c>
      <c r="H149">
        <v>13</v>
      </c>
      <c r="I149">
        <v>6.8999999999999999E-3</v>
      </c>
      <c r="J149">
        <v>50</v>
      </c>
      <c r="K149">
        <f t="shared" si="2"/>
        <v>3.4499999999999999E-3</v>
      </c>
      <c r="L149" t="s">
        <v>17</v>
      </c>
      <c r="M149">
        <v>296</v>
      </c>
      <c r="N149" t="s">
        <v>17</v>
      </c>
      <c r="O149" t="s">
        <v>620</v>
      </c>
    </row>
    <row r="150" spans="1:15" x14ac:dyDescent="0.2">
      <c r="A150" t="s">
        <v>190</v>
      </c>
      <c r="B150" t="s">
        <v>376</v>
      </c>
      <c r="C150">
        <v>13</v>
      </c>
      <c r="D150">
        <v>2</v>
      </c>
      <c r="E150">
        <v>12</v>
      </c>
      <c r="F150">
        <v>14</v>
      </c>
      <c r="G150">
        <v>1</v>
      </c>
      <c r="H150">
        <v>13</v>
      </c>
      <c r="I150">
        <v>6.8999999999999999E-3</v>
      </c>
      <c r="J150">
        <v>50</v>
      </c>
      <c r="K150">
        <f t="shared" si="2"/>
        <v>3.4499999999999999E-3</v>
      </c>
      <c r="L150" t="s">
        <v>17</v>
      </c>
      <c r="M150">
        <v>296</v>
      </c>
      <c r="N150" t="s">
        <v>17</v>
      </c>
      <c r="O150" t="s">
        <v>620</v>
      </c>
    </row>
    <row r="151" spans="1:15" x14ac:dyDescent="0.2">
      <c r="A151" t="s">
        <v>190</v>
      </c>
      <c r="B151" t="s">
        <v>376</v>
      </c>
      <c r="C151">
        <v>14</v>
      </c>
      <c r="D151">
        <v>1</v>
      </c>
      <c r="E151">
        <v>13</v>
      </c>
      <c r="F151">
        <v>13</v>
      </c>
      <c r="G151">
        <v>2</v>
      </c>
      <c r="H151">
        <v>12</v>
      </c>
      <c r="I151">
        <v>9.4000000000000004E-3</v>
      </c>
      <c r="J151">
        <v>50</v>
      </c>
      <c r="K151">
        <f t="shared" si="2"/>
        <v>4.7000000000000002E-3</v>
      </c>
      <c r="L151" t="s">
        <v>17</v>
      </c>
      <c r="M151">
        <v>296</v>
      </c>
      <c r="N151" t="s">
        <v>17</v>
      </c>
      <c r="O151" t="s">
        <v>620</v>
      </c>
    </row>
    <row r="152" spans="1:15" x14ac:dyDescent="0.2">
      <c r="A152" t="s">
        <v>190</v>
      </c>
      <c r="B152" t="s">
        <v>376</v>
      </c>
      <c r="C152">
        <v>14</v>
      </c>
      <c r="D152">
        <v>2</v>
      </c>
      <c r="E152">
        <v>13</v>
      </c>
      <c r="F152">
        <v>13</v>
      </c>
      <c r="G152">
        <v>1</v>
      </c>
      <c r="H152">
        <v>12</v>
      </c>
      <c r="I152">
        <v>9.4000000000000004E-3</v>
      </c>
      <c r="J152">
        <v>50</v>
      </c>
      <c r="K152">
        <f t="shared" si="2"/>
        <v>4.7000000000000002E-3</v>
      </c>
      <c r="L152" t="s">
        <v>17</v>
      </c>
      <c r="M152">
        <v>296</v>
      </c>
      <c r="N152" t="s">
        <v>17</v>
      </c>
      <c r="O152" t="s">
        <v>620</v>
      </c>
    </row>
    <row r="153" spans="1:15" x14ac:dyDescent="0.2">
      <c r="A153" t="s">
        <v>190</v>
      </c>
      <c r="B153" t="s">
        <v>376</v>
      </c>
      <c r="C153">
        <v>14</v>
      </c>
      <c r="D153">
        <v>0</v>
      </c>
      <c r="E153">
        <v>14</v>
      </c>
      <c r="F153">
        <v>15</v>
      </c>
      <c r="G153">
        <v>1</v>
      </c>
      <c r="H153">
        <v>15</v>
      </c>
      <c r="I153">
        <v>5.8999999999999999E-3</v>
      </c>
      <c r="J153">
        <v>50</v>
      </c>
      <c r="K153">
        <f t="shared" si="2"/>
        <v>2.9499999999999999E-3</v>
      </c>
      <c r="L153" t="s">
        <v>17</v>
      </c>
      <c r="M153">
        <v>296</v>
      </c>
      <c r="N153" t="s">
        <v>17</v>
      </c>
      <c r="O153" t="s">
        <v>620</v>
      </c>
    </row>
    <row r="154" spans="1:15" x14ac:dyDescent="0.2">
      <c r="A154" t="s">
        <v>190</v>
      </c>
      <c r="B154" t="s">
        <v>376</v>
      </c>
      <c r="C154">
        <v>15</v>
      </c>
      <c r="D154">
        <v>0</v>
      </c>
      <c r="E154">
        <v>15</v>
      </c>
      <c r="F154">
        <v>14</v>
      </c>
      <c r="G154">
        <v>1</v>
      </c>
      <c r="H154">
        <v>14</v>
      </c>
      <c r="I154">
        <v>4.5999999999999999E-3</v>
      </c>
      <c r="J154">
        <v>50</v>
      </c>
      <c r="K154">
        <f t="shared" si="2"/>
        <v>2.3E-3</v>
      </c>
      <c r="L154" t="s">
        <v>17</v>
      </c>
      <c r="M154">
        <v>296</v>
      </c>
      <c r="N154" t="s">
        <v>17</v>
      </c>
      <c r="O154" t="s">
        <v>620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9C3C-8AC2-784A-BB7D-3462A7C232E0}">
  <dimension ref="A1:O21"/>
  <sheetViews>
    <sheetView workbookViewId="0">
      <selection activeCell="H36" sqref="H3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624</v>
      </c>
      <c r="B2" t="s">
        <v>624</v>
      </c>
      <c r="C2">
        <v>4</v>
      </c>
      <c r="D2">
        <v>4</v>
      </c>
      <c r="E2">
        <v>1</v>
      </c>
      <c r="F2">
        <v>4</v>
      </c>
      <c r="G2">
        <v>3</v>
      </c>
      <c r="H2">
        <v>2</v>
      </c>
      <c r="I2">
        <v>0.186</v>
      </c>
      <c r="J2">
        <v>7.5270000000000001</v>
      </c>
      <c r="K2">
        <v>1.4E-2</v>
      </c>
      <c r="L2" t="s">
        <v>17</v>
      </c>
      <c r="M2">
        <v>296</v>
      </c>
      <c r="N2" t="s">
        <v>626</v>
      </c>
      <c r="O2" t="s">
        <v>625</v>
      </c>
    </row>
    <row r="3" spans="1:15" x14ac:dyDescent="0.2">
      <c r="A3" t="s">
        <v>624</v>
      </c>
      <c r="B3" t="s">
        <v>624</v>
      </c>
      <c r="C3">
        <v>2</v>
      </c>
      <c r="D3">
        <v>1</v>
      </c>
      <c r="E3">
        <v>1</v>
      </c>
      <c r="F3">
        <v>2</v>
      </c>
      <c r="G3">
        <v>2</v>
      </c>
      <c r="H3">
        <v>0</v>
      </c>
      <c r="I3">
        <v>0.18099999999999999</v>
      </c>
      <c r="J3">
        <v>7.7350000000000003</v>
      </c>
      <c r="K3">
        <v>1.4E-2</v>
      </c>
      <c r="L3" t="s">
        <v>17</v>
      </c>
      <c r="M3">
        <v>296</v>
      </c>
      <c r="N3" t="s">
        <v>626</v>
      </c>
      <c r="O3" t="s">
        <v>625</v>
      </c>
    </row>
    <row r="4" spans="1:15" x14ac:dyDescent="0.2">
      <c r="A4" t="s">
        <v>624</v>
      </c>
      <c r="B4" t="s">
        <v>624</v>
      </c>
      <c r="C4">
        <v>7</v>
      </c>
      <c r="D4">
        <v>4</v>
      </c>
      <c r="E4">
        <v>3</v>
      </c>
      <c r="F4">
        <v>7</v>
      </c>
      <c r="G4">
        <v>3</v>
      </c>
      <c r="H4">
        <v>4</v>
      </c>
      <c r="I4">
        <v>0.18</v>
      </c>
      <c r="J4">
        <v>3.3330000000000002</v>
      </c>
      <c r="K4">
        <v>6.0000000000000001E-3</v>
      </c>
      <c r="L4" t="s">
        <v>17</v>
      </c>
      <c r="M4">
        <v>296</v>
      </c>
      <c r="N4" t="s">
        <v>626</v>
      </c>
      <c r="O4" t="s">
        <v>625</v>
      </c>
    </row>
    <row r="5" spans="1:15" x14ac:dyDescent="0.2">
      <c r="A5" t="s">
        <v>624</v>
      </c>
      <c r="B5" t="s">
        <v>624</v>
      </c>
      <c r="C5">
        <v>2</v>
      </c>
      <c r="D5">
        <v>2</v>
      </c>
      <c r="E5">
        <v>1</v>
      </c>
      <c r="F5">
        <v>2</v>
      </c>
      <c r="G5">
        <v>1</v>
      </c>
      <c r="H5">
        <v>2</v>
      </c>
      <c r="I5">
        <v>0.18</v>
      </c>
      <c r="J5">
        <v>6.6669999999999998</v>
      </c>
      <c r="K5">
        <v>1.2E-2</v>
      </c>
      <c r="L5" t="s">
        <v>17</v>
      </c>
      <c r="M5">
        <v>296</v>
      </c>
      <c r="N5" t="s">
        <v>626</v>
      </c>
      <c r="O5" t="s">
        <v>625</v>
      </c>
    </row>
    <row r="6" spans="1:15" x14ac:dyDescent="0.2">
      <c r="A6" t="s">
        <v>624</v>
      </c>
      <c r="B6" t="s">
        <v>624</v>
      </c>
      <c r="C6">
        <v>2</v>
      </c>
      <c r="D6">
        <v>2</v>
      </c>
      <c r="E6">
        <v>0</v>
      </c>
      <c r="F6">
        <v>2</v>
      </c>
      <c r="G6">
        <v>1</v>
      </c>
      <c r="H6">
        <v>1</v>
      </c>
      <c r="I6">
        <v>0.17199999999999999</v>
      </c>
      <c r="J6">
        <v>8.14</v>
      </c>
      <c r="K6">
        <v>1.4E-2</v>
      </c>
      <c r="L6" t="s">
        <v>17</v>
      </c>
      <c r="M6">
        <v>296</v>
      </c>
      <c r="N6" t="s">
        <v>626</v>
      </c>
      <c r="O6" t="s">
        <v>625</v>
      </c>
    </row>
    <row r="7" spans="1:15" x14ac:dyDescent="0.2">
      <c r="A7" t="s">
        <v>624</v>
      </c>
      <c r="B7" t="s">
        <v>624</v>
      </c>
      <c r="C7">
        <v>4</v>
      </c>
      <c r="D7">
        <v>4</v>
      </c>
      <c r="E7">
        <v>0</v>
      </c>
      <c r="F7">
        <v>4</v>
      </c>
      <c r="G7">
        <v>3</v>
      </c>
      <c r="H7">
        <v>1</v>
      </c>
      <c r="I7">
        <v>0.17100000000000001</v>
      </c>
      <c r="J7">
        <v>0.58499999999999996</v>
      </c>
      <c r="K7">
        <v>1E-3</v>
      </c>
      <c r="L7" t="s">
        <v>17</v>
      </c>
      <c r="M7">
        <v>296</v>
      </c>
      <c r="N7" t="s">
        <v>626</v>
      </c>
      <c r="O7" t="s">
        <v>625</v>
      </c>
    </row>
    <row r="8" spans="1:15" x14ac:dyDescent="0.2">
      <c r="A8" t="s">
        <v>624</v>
      </c>
      <c r="B8" t="s">
        <v>624</v>
      </c>
      <c r="C8">
        <v>2</v>
      </c>
      <c r="D8">
        <v>0</v>
      </c>
      <c r="E8">
        <v>2</v>
      </c>
      <c r="F8">
        <v>1</v>
      </c>
      <c r="G8">
        <v>1</v>
      </c>
      <c r="H8">
        <v>1</v>
      </c>
      <c r="I8">
        <v>0.16500000000000001</v>
      </c>
      <c r="J8">
        <v>6.0609999999999999</v>
      </c>
      <c r="K8">
        <v>0.01</v>
      </c>
      <c r="L8" t="s">
        <v>17</v>
      </c>
      <c r="M8">
        <v>296</v>
      </c>
      <c r="N8" t="s">
        <v>626</v>
      </c>
      <c r="O8" t="s">
        <v>625</v>
      </c>
    </row>
    <row r="9" spans="1:15" x14ac:dyDescent="0.2">
      <c r="A9" t="s">
        <v>624</v>
      </c>
      <c r="B9" t="s">
        <v>624</v>
      </c>
      <c r="C9">
        <v>4</v>
      </c>
      <c r="D9">
        <v>1</v>
      </c>
      <c r="E9">
        <v>3</v>
      </c>
      <c r="F9">
        <v>4</v>
      </c>
      <c r="G9">
        <v>0</v>
      </c>
      <c r="H9">
        <v>4</v>
      </c>
      <c r="I9">
        <v>0.161</v>
      </c>
      <c r="J9">
        <v>4.9690000000000003</v>
      </c>
      <c r="K9">
        <v>8.0000000000000002E-3</v>
      </c>
      <c r="L9" t="s">
        <v>17</v>
      </c>
      <c r="M9">
        <v>296</v>
      </c>
      <c r="N9" t="s">
        <v>626</v>
      </c>
      <c r="O9" t="s">
        <v>625</v>
      </c>
    </row>
    <row r="10" spans="1:15" x14ac:dyDescent="0.2">
      <c r="A10" t="s">
        <v>624</v>
      </c>
      <c r="B10" t="s">
        <v>624</v>
      </c>
      <c r="C10">
        <v>4</v>
      </c>
      <c r="D10">
        <v>3</v>
      </c>
      <c r="E10">
        <v>1</v>
      </c>
      <c r="F10">
        <v>4</v>
      </c>
      <c r="G10">
        <v>2</v>
      </c>
      <c r="H10">
        <v>2</v>
      </c>
      <c r="I10">
        <v>0.159</v>
      </c>
      <c r="J10">
        <v>4.4029999999999996</v>
      </c>
      <c r="K10">
        <v>7.0000000000000001E-3</v>
      </c>
      <c r="L10" t="s">
        <v>17</v>
      </c>
      <c r="M10">
        <v>296</v>
      </c>
      <c r="N10" t="s">
        <v>626</v>
      </c>
      <c r="O10" t="s">
        <v>625</v>
      </c>
    </row>
    <row r="11" spans="1:15" x14ac:dyDescent="0.2">
      <c r="A11" t="s">
        <v>624</v>
      </c>
      <c r="B11" t="s">
        <v>624</v>
      </c>
      <c r="C11">
        <v>4</v>
      </c>
      <c r="D11">
        <v>2</v>
      </c>
      <c r="E11">
        <v>3</v>
      </c>
      <c r="F11">
        <v>4</v>
      </c>
      <c r="G11">
        <v>1</v>
      </c>
      <c r="H11">
        <v>4</v>
      </c>
      <c r="I11">
        <v>0.158</v>
      </c>
      <c r="J11">
        <v>14.557</v>
      </c>
      <c r="K11">
        <v>2.3E-2</v>
      </c>
      <c r="L11" t="s">
        <v>17</v>
      </c>
      <c r="M11">
        <v>296</v>
      </c>
      <c r="N11" t="s">
        <v>626</v>
      </c>
      <c r="O11" t="s">
        <v>625</v>
      </c>
    </row>
    <row r="12" spans="1:15" x14ac:dyDescent="0.2">
      <c r="A12" t="s">
        <v>624</v>
      </c>
      <c r="B12" t="s">
        <v>624</v>
      </c>
      <c r="C12">
        <v>1</v>
      </c>
      <c r="D12">
        <v>1</v>
      </c>
      <c r="E12">
        <v>0</v>
      </c>
      <c r="F12">
        <v>1</v>
      </c>
      <c r="G12">
        <v>0</v>
      </c>
      <c r="H12">
        <v>1</v>
      </c>
      <c r="I12">
        <v>0.157</v>
      </c>
      <c r="J12">
        <v>4.4589999999999996</v>
      </c>
      <c r="K12">
        <v>7.0000000000000001E-3</v>
      </c>
      <c r="L12" t="s">
        <v>17</v>
      </c>
      <c r="M12">
        <v>296</v>
      </c>
      <c r="N12" t="s">
        <v>626</v>
      </c>
      <c r="O12" t="s">
        <v>625</v>
      </c>
    </row>
    <row r="13" spans="1:15" x14ac:dyDescent="0.2">
      <c r="A13" t="s">
        <v>624</v>
      </c>
      <c r="B13" t="s">
        <v>624</v>
      </c>
      <c r="C13">
        <v>7</v>
      </c>
      <c r="D13">
        <v>5</v>
      </c>
      <c r="E13">
        <v>2</v>
      </c>
      <c r="F13">
        <v>7</v>
      </c>
      <c r="G13">
        <v>4</v>
      </c>
      <c r="H13">
        <v>3</v>
      </c>
      <c r="I13">
        <v>0.155</v>
      </c>
      <c r="J13">
        <v>5.806</v>
      </c>
      <c r="K13">
        <v>8.9999999999999993E-3</v>
      </c>
      <c r="L13" t="s">
        <v>17</v>
      </c>
      <c r="M13">
        <v>296</v>
      </c>
      <c r="N13" t="s">
        <v>626</v>
      </c>
      <c r="O13" t="s">
        <v>625</v>
      </c>
    </row>
    <row r="14" spans="1:15" x14ac:dyDescent="0.2">
      <c r="A14" t="s">
        <v>624</v>
      </c>
      <c r="B14" t="s">
        <v>624</v>
      </c>
      <c r="C14">
        <v>5</v>
      </c>
      <c r="D14">
        <v>3</v>
      </c>
      <c r="E14">
        <v>2</v>
      </c>
      <c r="F14">
        <v>5</v>
      </c>
      <c r="G14">
        <v>4</v>
      </c>
      <c r="H14">
        <v>1</v>
      </c>
      <c r="I14">
        <v>0.15</v>
      </c>
      <c r="J14">
        <v>0.66700000000000004</v>
      </c>
      <c r="K14">
        <v>1E-3</v>
      </c>
      <c r="L14" t="s">
        <v>17</v>
      </c>
      <c r="M14">
        <v>296</v>
      </c>
      <c r="N14" t="s">
        <v>626</v>
      </c>
      <c r="O14" t="s">
        <v>625</v>
      </c>
    </row>
    <row r="15" spans="1:15" x14ac:dyDescent="0.2">
      <c r="A15" t="s">
        <v>624</v>
      </c>
      <c r="B15" t="s">
        <v>624</v>
      </c>
      <c r="C15">
        <v>5</v>
      </c>
      <c r="D15">
        <v>5</v>
      </c>
      <c r="E15">
        <v>0</v>
      </c>
      <c r="F15">
        <v>5</v>
      </c>
      <c r="G15">
        <v>4</v>
      </c>
      <c r="H15">
        <v>1</v>
      </c>
      <c r="I15">
        <v>0.15</v>
      </c>
      <c r="J15">
        <v>5.3330000000000002</v>
      </c>
      <c r="K15">
        <v>8.0000000000000002E-3</v>
      </c>
      <c r="L15" t="s">
        <v>17</v>
      </c>
      <c r="M15">
        <v>296</v>
      </c>
      <c r="N15" t="s">
        <v>626</v>
      </c>
      <c r="O15" t="s">
        <v>625</v>
      </c>
    </row>
    <row r="16" spans="1:15" x14ac:dyDescent="0.2">
      <c r="A16" t="s">
        <v>624</v>
      </c>
      <c r="B16" t="s">
        <v>624</v>
      </c>
      <c r="C16">
        <v>5</v>
      </c>
      <c r="D16">
        <v>3</v>
      </c>
      <c r="E16">
        <v>2</v>
      </c>
      <c r="F16">
        <v>5</v>
      </c>
      <c r="G16">
        <v>2</v>
      </c>
      <c r="H16">
        <v>3</v>
      </c>
      <c r="I16">
        <v>0.14899999999999999</v>
      </c>
      <c r="J16">
        <v>6.04</v>
      </c>
      <c r="K16">
        <v>8.9999999999999993E-3</v>
      </c>
      <c r="L16" t="s">
        <v>17</v>
      </c>
      <c r="M16">
        <v>296</v>
      </c>
      <c r="N16" t="s">
        <v>626</v>
      </c>
      <c r="O16" t="s">
        <v>625</v>
      </c>
    </row>
    <row r="17" spans="1:15" x14ac:dyDescent="0.2">
      <c r="A17" t="s">
        <v>624</v>
      </c>
      <c r="B17" t="s">
        <v>624</v>
      </c>
      <c r="C17">
        <v>7</v>
      </c>
      <c r="D17">
        <v>3</v>
      </c>
      <c r="E17">
        <v>4</v>
      </c>
      <c r="F17">
        <v>7</v>
      </c>
      <c r="G17">
        <v>2</v>
      </c>
      <c r="H17">
        <v>5</v>
      </c>
      <c r="I17">
        <v>0.14799999999999999</v>
      </c>
      <c r="J17">
        <v>11.486000000000001</v>
      </c>
      <c r="K17">
        <v>1.7000000000000001E-2</v>
      </c>
      <c r="L17" t="s">
        <v>17</v>
      </c>
      <c r="M17">
        <v>296</v>
      </c>
      <c r="N17" t="s">
        <v>626</v>
      </c>
      <c r="O17" t="s">
        <v>625</v>
      </c>
    </row>
    <row r="18" spans="1:15" x14ac:dyDescent="0.2">
      <c r="A18" t="s">
        <v>624</v>
      </c>
      <c r="B18" t="s">
        <v>624</v>
      </c>
      <c r="C18">
        <v>3</v>
      </c>
      <c r="D18">
        <v>1</v>
      </c>
      <c r="E18">
        <v>2</v>
      </c>
      <c r="F18">
        <v>3</v>
      </c>
      <c r="G18">
        <v>2</v>
      </c>
      <c r="H18">
        <v>1</v>
      </c>
      <c r="I18">
        <v>0.14799999999999999</v>
      </c>
      <c r="J18">
        <v>11.486000000000001</v>
      </c>
      <c r="K18">
        <v>1.7000000000000001E-2</v>
      </c>
      <c r="L18" t="s">
        <v>17</v>
      </c>
      <c r="M18">
        <v>296</v>
      </c>
      <c r="N18" t="s">
        <v>626</v>
      </c>
      <c r="O18" t="s">
        <v>625</v>
      </c>
    </row>
    <row r="19" spans="1:15" x14ac:dyDescent="0.2">
      <c r="A19" t="s">
        <v>624</v>
      </c>
      <c r="B19" t="s">
        <v>624</v>
      </c>
      <c r="C19">
        <v>3</v>
      </c>
      <c r="D19">
        <v>2</v>
      </c>
      <c r="E19">
        <v>1</v>
      </c>
      <c r="F19">
        <v>3</v>
      </c>
      <c r="G19">
        <v>3</v>
      </c>
      <c r="H19">
        <v>0</v>
      </c>
      <c r="I19">
        <v>0.14099999999999999</v>
      </c>
      <c r="J19">
        <v>4.9649999999999999</v>
      </c>
      <c r="K19">
        <v>7.0000000000000001E-3</v>
      </c>
      <c r="L19" t="s">
        <v>17</v>
      </c>
      <c r="M19">
        <v>296</v>
      </c>
      <c r="N19" t="s">
        <v>626</v>
      </c>
      <c r="O19" t="s">
        <v>625</v>
      </c>
    </row>
    <row r="20" spans="1:15" x14ac:dyDescent="0.2">
      <c r="A20" t="s">
        <v>624</v>
      </c>
      <c r="B20" t="s">
        <v>624</v>
      </c>
      <c r="C20">
        <v>1</v>
      </c>
      <c r="D20">
        <v>0</v>
      </c>
      <c r="E20">
        <v>1</v>
      </c>
      <c r="F20">
        <v>1</v>
      </c>
      <c r="G20">
        <v>1</v>
      </c>
      <c r="H20">
        <v>0</v>
      </c>
      <c r="I20">
        <v>0.14000000000000001</v>
      </c>
      <c r="J20">
        <v>6.4290000000000003</v>
      </c>
      <c r="K20">
        <v>8.9999999999999993E-3</v>
      </c>
      <c r="L20" t="s">
        <v>17</v>
      </c>
      <c r="M20">
        <v>296</v>
      </c>
      <c r="N20" t="s">
        <v>626</v>
      </c>
      <c r="O20" t="s">
        <v>625</v>
      </c>
    </row>
    <row r="21" spans="1:15" x14ac:dyDescent="0.2">
      <c r="A21" t="s">
        <v>624</v>
      </c>
      <c r="B21" t="s">
        <v>624</v>
      </c>
      <c r="C21">
        <v>8</v>
      </c>
      <c r="D21">
        <v>6</v>
      </c>
      <c r="E21">
        <v>2</v>
      </c>
      <c r="F21">
        <v>8</v>
      </c>
      <c r="G21">
        <v>5</v>
      </c>
      <c r="H21">
        <v>3</v>
      </c>
      <c r="I21">
        <v>0.121</v>
      </c>
      <c r="J21">
        <v>14.05</v>
      </c>
      <c r="K21">
        <v>1.7000000000000001E-2</v>
      </c>
      <c r="L21" t="s">
        <v>17</v>
      </c>
      <c r="M21">
        <v>296</v>
      </c>
      <c r="N21" t="s">
        <v>626</v>
      </c>
      <c r="O21" t="s">
        <v>625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018C1-4F2F-7A41-B8AF-8F35BE40DD46}">
  <dimension ref="A1:O23"/>
  <sheetViews>
    <sheetView workbookViewId="0">
      <selection activeCell="L28" sqref="L28"/>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6</v>
      </c>
      <c r="D2">
        <v>1</v>
      </c>
      <c r="E2">
        <v>5</v>
      </c>
      <c r="F2">
        <v>7</v>
      </c>
      <c r="G2">
        <v>3</v>
      </c>
      <c r="H2">
        <v>4</v>
      </c>
      <c r="I2">
        <v>1.8599999999999998E-2</v>
      </c>
      <c r="J2">
        <v>1.613</v>
      </c>
      <c r="K2">
        <v>2.9999999999999997E-4</v>
      </c>
      <c r="L2" t="s">
        <v>17</v>
      </c>
      <c r="M2">
        <v>295</v>
      </c>
      <c r="N2" t="s">
        <v>201</v>
      </c>
      <c r="O2" t="s">
        <v>627</v>
      </c>
    </row>
    <row r="3" spans="1:15" x14ac:dyDescent="0.2">
      <c r="A3" t="s">
        <v>190</v>
      </c>
      <c r="B3" t="s">
        <v>191</v>
      </c>
      <c r="C3">
        <v>5</v>
      </c>
      <c r="D3">
        <v>1</v>
      </c>
      <c r="E3">
        <v>4</v>
      </c>
      <c r="F3">
        <v>6</v>
      </c>
      <c r="G3">
        <v>3</v>
      </c>
      <c r="H3">
        <v>3</v>
      </c>
      <c r="I3">
        <v>2.0400000000000001E-2</v>
      </c>
      <c r="J3">
        <v>2.9409999999999998</v>
      </c>
      <c r="K3">
        <v>5.9999999999999995E-4</v>
      </c>
      <c r="L3" t="s">
        <v>17</v>
      </c>
      <c r="M3">
        <v>295</v>
      </c>
      <c r="N3" t="s">
        <v>201</v>
      </c>
      <c r="O3" t="s">
        <v>628</v>
      </c>
    </row>
    <row r="4" spans="1:15" x14ac:dyDescent="0.2">
      <c r="A4" t="s">
        <v>190</v>
      </c>
      <c r="B4" t="s">
        <v>191</v>
      </c>
      <c r="C4">
        <v>3</v>
      </c>
      <c r="D4">
        <v>1</v>
      </c>
      <c r="E4">
        <v>3</v>
      </c>
      <c r="F4">
        <v>4</v>
      </c>
      <c r="G4">
        <v>3</v>
      </c>
      <c r="H4">
        <v>2</v>
      </c>
      <c r="I4">
        <v>1.8100000000000002E-2</v>
      </c>
      <c r="J4">
        <v>3.867</v>
      </c>
      <c r="K4">
        <v>6.9999999999999999E-4</v>
      </c>
      <c r="L4" t="s">
        <v>17</v>
      </c>
      <c r="M4">
        <v>295</v>
      </c>
      <c r="N4" t="s">
        <v>201</v>
      </c>
      <c r="O4" t="s">
        <v>629</v>
      </c>
    </row>
    <row r="5" spans="1:15" x14ac:dyDescent="0.2">
      <c r="A5" t="s">
        <v>190</v>
      </c>
      <c r="B5" t="s">
        <v>191</v>
      </c>
      <c r="C5">
        <v>4</v>
      </c>
      <c r="D5">
        <v>1</v>
      </c>
      <c r="E5">
        <v>3</v>
      </c>
      <c r="F5">
        <v>5</v>
      </c>
      <c r="G5">
        <v>3</v>
      </c>
      <c r="H5">
        <v>2</v>
      </c>
      <c r="I5">
        <v>2.06E-2</v>
      </c>
      <c r="J5">
        <v>1.9419999999999999</v>
      </c>
      <c r="K5">
        <v>4.0000000000000002E-4</v>
      </c>
      <c r="L5" t="s">
        <v>17</v>
      </c>
      <c r="M5">
        <v>295</v>
      </c>
      <c r="N5" t="s">
        <v>201</v>
      </c>
      <c r="O5" t="s">
        <v>630</v>
      </c>
    </row>
    <row r="6" spans="1:15" x14ac:dyDescent="0.2">
      <c r="A6" t="s">
        <v>190</v>
      </c>
      <c r="B6" t="s">
        <v>191</v>
      </c>
      <c r="C6">
        <v>4</v>
      </c>
      <c r="D6">
        <v>0</v>
      </c>
      <c r="E6">
        <v>4</v>
      </c>
      <c r="F6">
        <v>5</v>
      </c>
      <c r="G6">
        <v>2</v>
      </c>
      <c r="H6">
        <v>3</v>
      </c>
      <c r="I6">
        <v>2.18E-2</v>
      </c>
      <c r="J6">
        <v>13.760999999999999</v>
      </c>
      <c r="K6">
        <v>3.0000000000000001E-3</v>
      </c>
      <c r="L6" t="s">
        <v>17</v>
      </c>
      <c r="M6">
        <v>295</v>
      </c>
      <c r="N6" t="s">
        <v>201</v>
      </c>
      <c r="O6" t="s">
        <v>631</v>
      </c>
    </row>
    <row r="7" spans="1:15" x14ac:dyDescent="0.2">
      <c r="A7" t="s">
        <v>190</v>
      </c>
      <c r="B7" t="s">
        <v>191</v>
      </c>
      <c r="C7">
        <v>8</v>
      </c>
      <c r="D7">
        <v>3</v>
      </c>
      <c r="E7">
        <v>5</v>
      </c>
      <c r="F7">
        <v>9</v>
      </c>
      <c r="G7">
        <v>3</v>
      </c>
      <c r="H7">
        <v>6</v>
      </c>
      <c r="I7">
        <v>1.9099999999999999E-2</v>
      </c>
      <c r="J7">
        <v>3.665</v>
      </c>
      <c r="K7">
        <v>6.9999999999999999E-4</v>
      </c>
      <c r="L7" t="s">
        <v>17</v>
      </c>
      <c r="M7">
        <v>295</v>
      </c>
      <c r="N7" t="s">
        <v>201</v>
      </c>
      <c r="O7" t="s">
        <v>632</v>
      </c>
    </row>
    <row r="8" spans="1:15" x14ac:dyDescent="0.2">
      <c r="A8" t="s">
        <v>190</v>
      </c>
      <c r="B8" t="s">
        <v>191</v>
      </c>
      <c r="C8">
        <v>9</v>
      </c>
      <c r="D8">
        <v>0</v>
      </c>
      <c r="E8">
        <v>9</v>
      </c>
      <c r="F8">
        <v>10</v>
      </c>
      <c r="G8">
        <v>0</v>
      </c>
      <c r="H8">
        <v>10</v>
      </c>
      <c r="I8">
        <v>1.41E-2</v>
      </c>
      <c r="J8">
        <v>3.5459999999999998</v>
      </c>
      <c r="K8">
        <v>5.0000000000000001E-4</v>
      </c>
      <c r="L8" t="s">
        <v>17</v>
      </c>
      <c r="M8">
        <v>295</v>
      </c>
      <c r="N8" t="s">
        <v>201</v>
      </c>
      <c r="O8" t="s">
        <v>633</v>
      </c>
    </row>
    <row r="9" spans="1:15" x14ac:dyDescent="0.2">
      <c r="A9" t="s">
        <v>190</v>
      </c>
      <c r="B9" t="s">
        <v>191</v>
      </c>
      <c r="C9">
        <v>9</v>
      </c>
      <c r="D9">
        <v>1</v>
      </c>
      <c r="E9">
        <v>9</v>
      </c>
      <c r="F9">
        <v>10</v>
      </c>
      <c r="G9">
        <v>1</v>
      </c>
      <c r="H9">
        <v>10</v>
      </c>
      <c r="I9">
        <v>1.2200000000000001E-2</v>
      </c>
      <c r="J9">
        <v>4.0979999999999999</v>
      </c>
      <c r="K9">
        <v>5.0000000000000001E-4</v>
      </c>
      <c r="L9" t="s">
        <v>17</v>
      </c>
      <c r="M9">
        <v>295</v>
      </c>
      <c r="N9" t="s">
        <v>201</v>
      </c>
      <c r="O9" t="s">
        <v>634</v>
      </c>
    </row>
    <row r="10" spans="1:15" x14ac:dyDescent="0.2">
      <c r="A10" t="s">
        <v>190</v>
      </c>
      <c r="B10" t="s">
        <v>191</v>
      </c>
      <c r="C10">
        <v>8</v>
      </c>
      <c r="D10">
        <v>4</v>
      </c>
      <c r="E10">
        <v>4</v>
      </c>
      <c r="F10">
        <v>9</v>
      </c>
      <c r="G10">
        <v>4</v>
      </c>
      <c r="H10">
        <v>5</v>
      </c>
      <c r="I10">
        <v>1.7600000000000001E-2</v>
      </c>
      <c r="J10">
        <v>3.4089999999999998</v>
      </c>
      <c r="K10">
        <v>5.9999999999999995E-4</v>
      </c>
      <c r="L10" t="s">
        <v>17</v>
      </c>
      <c r="M10">
        <v>295</v>
      </c>
      <c r="N10" t="s">
        <v>201</v>
      </c>
      <c r="O10" t="s">
        <v>635</v>
      </c>
    </row>
    <row r="11" spans="1:15" x14ac:dyDescent="0.2">
      <c r="A11" t="s">
        <v>190</v>
      </c>
      <c r="B11" t="s">
        <v>191</v>
      </c>
      <c r="C11">
        <v>3</v>
      </c>
      <c r="D11">
        <v>1</v>
      </c>
      <c r="E11">
        <v>2</v>
      </c>
      <c r="F11">
        <v>4</v>
      </c>
      <c r="G11">
        <v>3</v>
      </c>
      <c r="H11">
        <v>1</v>
      </c>
      <c r="I11">
        <v>2.3400000000000001E-2</v>
      </c>
      <c r="J11">
        <v>2.5640000000000001</v>
      </c>
      <c r="K11">
        <v>5.9999999999999995E-4</v>
      </c>
      <c r="L11" t="s">
        <v>17</v>
      </c>
      <c r="M11">
        <v>295</v>
      </c>
      <c r="N11" t="s">
        <v>201</v>
      </c>
      <c r="O11" t="s">
        <v>636</v>
      </c>
    </row>
    <row r="12" spans="1:15" x14ac:dyDescent="0.2">
      <c r="A12" t="s">
        <v>190</v>
      </c>
      <c r="B12" t="s">
        <v>191</v>
      </c>
      <c r="C12">
        <v>8</v>
      </c>
      <c r="D12">
        <v>1</v>
      </c>
      <c r="E12">
        <v>7</v>
      </c>
      <c r="F12">
        <v>9</v>
      </c>
      <c r="G12">
        <v>1</v>
      </c>
      <c r="H12">
        <v>8</v>
      </c>
      <c r="I12">
        <v>1.55E-2</v>
      </c>
      <c r="J12">
        <v>1.29</v>
      </c>
      <c r="K12">
        <v>2.0000000000000001E-4</v>
      </c>
      <c r="L12" t="s">
        <v>17</v>
      </c>
      <c r="M12">
        <v>295</v>
      </c>
      <c r="N12" t="s">
        <v>201</v>
      </c>
      <c r="O12" t="s">
        <v>637</v>
      </c>
    </row>
    <row r="13" spans="1:15" x14ac:dyDescent="0.2">
      <c r="A13" t="s">
        <v>190</v>
      </c>
      <c r="B13" t="s">
        <v>191</v>
      </c>
      <c r="C13">
        <v>8</v>
      </c>
      <c r="D13">
        <v>0</v>
      </c>
      <c r="E13">
        <v>8</v>
      </c>
      <c r="F13">
        <v>9</v>
      </c>
      <c r="G13">
        <v>0</v>
      </c>
      <c r="H13">
        <v>9</v>
      </c>
      <c r="I13">
        <v>1.21E-2</v>
      </c>
      <c r="J13">
        <v>6.6120000000000001</v>
      </c>
      <c r="K13">
        <v>8.0000000000000004E-4</v>
      </c>
      <c r="L13" t="s">
        <v>17</v>
      </c>
      <c r="M13">
        <v>295</v>
      </c>
      <c r="N13" t="s">
        <v>201</v>
      </c>
      <c r="O13" t="s">
        <v>638</v>
      </c>
    </row>
    <row r="14" spans="1:15" x14ac:dyDescent="0.2">
      <c r="A14" t="s">
        <v>190</v>
      </c>
      <c r="B14" t="s">
        <v>191</v>
      </c>
      <c r="C14">
        <v>7</v>
      </c>
      <c r="D14">
        <v>0</v>
      </c>
      <c r="E14">
        <v>7</v>
      </c>
      <c r="F14">
        <v>8</v>
      </c>
      <c r="G14">
        <v>0</v>
      </c>
      <c r="H14">
        <v>8</v>
      </c>
      <c r="I14">
        <v>1.46E-2</v>
      </c>
      <c r="J14">
        <v>3.4249999999999998</v>
      </c>
      <c r="K14">
        <v>5.0000000000000001E-4</v>
      </c>
      <c r="L14" t="s">
        <v>17</v>
      </c>
      <c r="M14">
        <v>295</v>
      </c>
      <c r="N14" t="s">
        <v>201</v>
      </c>
      <c r="O14" t="s">
        <v>639</v>
      </c>
    </row>
    <row r="15" spans="1:15" x14ac:dyDescent="0.2">
      <c r="A15" t="s">
        <v>190</v>
      </c>
      <c r="B15" t="s">
        <v>191</v>
      </c>
      <c r="C15">
        <v>7</v>
      </c>
      <c r="D15">
        <v>1</v>
      </c>
      <c r="E15">
        <v>7</v>
      </c>
      <c r="F15">
        <v>8</v>
      </c>
      <c r="G15">
        <v>1</v>
      </c>
      <c r="H15">
        <v>8</v>
      </c>
      <c r="I15">
        <v>1.5900000000000001E-2</v>
      </c>
      <c r="J15">
        <v>4.4029999999999996</v>
      </c>
      <c r="K15">
        <v>6.9999999999999999E-4</v>
      </c>
      <c r="L15" t="s">
        <v>17</v>
      </c>
      <c r="M15">
        <v>295</v>
      </c>
      <c r="N15" t="s">
        <v>201</v>
      </c>
      <c r="O15" t="s">
        <v>640</v>
      </c>
    </row>
    <row r="16" spans="1:15" x14ac:dyDescent="0.2">
      <c r="A16" t="s">
        <v>190</v>
      </c>
      <c r="B16" t="s">
        <v>191</v>
      </c>
      <c r="C16">
        <v>6</v>
      </c>
      <c r="D16">
        <v>3</v>
      </c>
      <c r="E16">
        <v>4</v>
      </c>
      <c r="F16">
        <v>7</v>
      </c>
      <c r="G16">
        <v>3</v>
      </c>
      <c r="H16">
        <v>5</v>
      </c>
      <c r="I16">
        <v>1.7100000000000001E-2</v>
      </c>
      <c r="J16">
        <v>1.17</v>
      </c>
      <c r="K16">
        <v>2.0000000000000001E-4</v>
      </c>
      <c r="L16" t="s">
        <v>17</v>
      </c>
      <c r="M16">
        <v>295</v>
      </c>
      <c r="N16" t="s">
        <v>201</v>
      </c>
      <c r="O16" t="s">
        <v>641</v>
      </c>
    </row>
    <row r="17" spans="1:15" x14ac:dyDescent="0.2">
      <c r="A17" t="s">
        <v>190</v>
      </c>
      <c r="B17" t="s">
        <v>191</v>
      </c>
      <c r="C17">
        <v>3</v>
      </c>
      <c r="D17">
        <v>1</v>
      </c>
      <c r="E17">
        <v>2</v>
      </c>
      <c r="F17">
        <v>4</v>
      </c>
      <c r="G17">
        <v>1</v>
      </c>
      <c r="H17">
        <v>3</v>
      </c>
      <c r="I17">
        <v>2.2800000000000001E-2</v>
      </c>
      <c r="J17">
        <v>3.9470000000000001</v>
      </c>
      <c r="K17">
        <v>8.9999999999999998E-4</v>
      </c>
      <c r="L17" t="s">
        <v>17</v>
      </c>
      <c r="M17">
        <v>295</v>
      </c>
      <c r="N17" t="s">
        <v>201</v>
      </c>
      <c r="O17" t="s">
        <v>642</v>
      </c>
    </row>
    <row r="18" spans="1:15" x14ac:dyDescent="0.2">
      <c r="A18" t="s">
        <v>190</v>
      </c>
      <c r="B18" t="s">
        <v>191</v>
      </c>
      <c r="C18">
        <v>4</v>
      </c>
      <c r="D18">
        <v>4</v>
      </c>
      <c r="E18">
        <v>0</v>
      </c>
      <c r="F18">
        <v>5</v>
      </c>
      <c r="G18">
        <v>4</v>
      </c>
      <c r="H18">
        <v>1</v>
      </c>
      <c r="I18">
        <v>1.6400000000000001E-2</v>
      </c>
      <c r="J18">
        <v>3.0489999999999999</v>
      </c>
      <c r="K18">
        <v>5.0000000000000001E-4</v>
      </c>
      <c r="L18" t="s">
        <v>17</v>
      </c>
      <c r="M18">
        <v>295</v>
      </c>
      <c r="N18" t="s">
        <v>201</v>
      </c>
      <c r="O18" t="s">
        <v>643</v>
      </c>
    </row>
    <row r="19" spans="1:15" x14ac:dyDescent="0.2">
      <c r="A19" t="s">
        <v>190</v>
      </c>
      <c r="B19" t="s">
        <v>191</v>
      </c>
      <c r="C19">
        <v>4</v>
      </c>
      <c r="D19">
        <v>4</v>
      </c>
      <c r="E19">
        <v>1</v>
      </c>
      <c r="F19">
        <v>5</v>
      </c>
      <c r="G19">
        <v>4</v>
      </c>
      <c r="H19">
        <v>2</v>
      </c>
      <c r="I19">
        <v>1.54E-2</v>
      </c>
      <c r="J19">
        <v>2.597</v>
      </c>
      <c r="K19">
        <v>4.0000000000000002E-4</v>
      </c>
      <c r="L19" t="s">
        <v>17</v>
      </c>
      <c r="M19">
        <v>295</v>
      </c>
      <c r="N19" t="s">
        <v>201</v>
      </c>
      <c r="O19" t="s">
        <v>644</v>
      </c>
    </row>
    <row r="20" spans="1:15" x14ac:dyDescent="0.2">
      <c r="A20" t="s">
        <v>190</v>
      </c>
      <c r="B20" t="s">
        <v>191</v>
      </c>
      <c r="C20">
        <v>5</v>
      </c>
      <c r="D20">
        <v>0</v>
      </c>
      <c r="E20">
        <v>5</v>
      </c>
      <c r="F20">
        <v>5</v>
      </c>
      <c r="G20">
        <v>2</v>
      </c>
      <c r="H20">
        <v>4</v>
      </c>
      <c r="I20">
        <v>1.9099999999999999E-2</v>
      </c>
      <c r="J20">
        <v>1.0469999999999999</v>
      </c>
      <c r="K20">
        <v>2.0000000000000001E-4</v>
      </c>
      <c r="L20" t="s">
        <v>17</v>
      </c>
      <c r="M20">
        <v>295</v>
      </c>
      <c r="N20" t="s">
        <v>201</v>
      </c>
      <c r="O20" t="s">
        <v>645</v>
      </c>
    </row>
    <row r="21" spans="1:15" x14ac:dyDescent="0.2">
      <c r="A21" t="s">
        <v>190</v>
      </c>
      <c r="B21" t="s">
        <v>191</v>
      </c>
      <c r="C21">
        <v>1</v>
      </c>
      <c r="D21">
        <v>1</v>
      </c>
      <c r="E21">
        <v>0</v>
      </c>
      <c r="F21">
        <v>2</v>
      </c>
      <c r="G21">
        <v>1</v>
      </c>
      <c r="H21">
        <v>1</v>
      </c>
      <c r="I21">
        <v>2.3800000000000002E-2</v>
      </c>
      <c r="J21">
        <v>2.5209999999999999</v>
      </c>
      <c r="K21">
        <v>5.9999999999999995E-4</v>
      </c>
      <c r="L21" t="s">
        <v>17</v>
      </c>
      <c r="M21">
        <v>295</v>
      </c>
      <c r="N21" t="s">
        <v>201</v>
      </c>
      <c r="O21" t="s">
        <v>646</v>
      </c>
    </row>
    <row r="22" spans="1:15" x14ac:dyDescent="0.2">
      <c r="A22" t="s">
        <v>190</v>
      </c>
      <c r="B22" t="s">
        <v>191</v>
      </c>
      <c r="C22">
        <v>3</v>
      </c>
      <c r="D22">
        <v>1</v>
      </c>
      <c r="E22">
        <v>3</v>
      </c>
      <c r="F22">
        <v>3</v>
      </c>
      <c r="G22">
        <v>1</v>
      </c>
      <c r="H22">
        <v>2</v>
      </c>
      <c r="I22">
        <v>2.3099999999999999E-2</v>
      </c>
      <c r="J22">
        <v>3.03</v>
      </c>
      <c r="K22">
        <v>6.9999999999999999E-4</v>
      </c>
      <c r="L22" t="s">
        <v>17</v>
      </c>
      <c r="M22">
        <v>295</v>
      </c>
      <c r="N22" t="s">
        <v>201</v>
      </c>
      <c r="O22" t="s">
        <v>647</v>
      </c>
    </row>
    <row r="23" spans="1:15" x14ac:dyDescent="0.2">
      <c r="A23" t="s">
        <v>190</v>
      </c>
      <c r="B23" t="s">
        <v>191</v>
      </c>
      <c r="C23">
        <v>5</v>
      </c>
      <c r="D23">
        <v>2</v>
      </c>
      <c r="E23">
        <v>4</v>
      </c>
      <c r="F23">
        <v>5</v>
      </c>
      <c r="G23">
        <v>2</v>
      </c>
      <c r="H23">
        <v>3</v>
      </c>
      <c r="I23">
        <v>1.9599999999999999E-2</v>
      </c>
      <c r="J23">
        <v>3.0609999999999999</v>
      </c>
      <c r="K23">
        <v>5.9999999999999995E-4</v>
      </c>
      <c r="L23" t="s">
        <v>17</v>
      </c>
      <c r="M23">
        <v>295</v>
      </c>
      <c r="N23" t="s">
        <v>201</v>
      </c>
      <c r="O23" t="s">
        <v>648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0B20-B0CA-0045-BCDF-3B98F0BC0A75}">
  <dimension ref="A1:O8"/>
  <sheetViews>
    <sheetView workbookViewId="0">
      <selection activeCell="M33" sqref="M33"/>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190</v>
      </c>
      <c r="C2">
        <v>6</v>
      </c>
      <c r="D2">
        <v>5</v>
      </c>
      <c r="E2">
        <v>2</v>
      </c>
      <c r="F2">
        <v>5</v>
      </c>
      <c r="G2">
        <v>4</v>
      </c>
      <c r="H2">
        <v>1</v>
      </c>
      <c r="I2">
        <v>0.35</v>
      </c>
      <c r="J2">
        <v>50</v>
      </c>
      <c r="K2">
        <f>J2*I2/100</f>
        <v>0.17499999999999999</v>
      </c>
      <c r="L2" t="s">
        <v>17</v>
      </c>
      <c r="M2">
        <v>296</v>
      </c>
      <c r="N2" t="s">
        <v>17</v>
      </c>
      <c r="O2" t="s">
        <v>649</v>
      </c>
    </row>
    <row r="3" spans="1:15" x14ac:dyDescent="0.2">
      <c r="A3" t="s">
        <v>190</v>
      </c>
      <c r="B3" t="s">
        <v>190</v>
      </c>
      <c r="C3">
        <v>6</v>
      </c>
      <c r="D3">
        <v>5</v>
      </c>
      <c r="E3">
        <v>1</v>
      </c>
      <c r="F3">
        <v>5</v>
      </c>
      <c r="G3">
        <v>4</v>
      </c>
      <c r="H3">
        <v>2</v>
      </c>
      <c r="I3">
        <v>0.33</v>
      </c>
      <c r="J3">
        <v>50</v>
      </c>
      <c r="K3">
        <f t="shared" ref="K3:K8" si="0">J3*I3/100</f>
        <v>0.16500000000000001</v>
      </c>
      <c r="L3" t="s">
        <v>17</v>
      </c>
      <c r="M3">
        <v>296</v>
      </c>
      <c r="N3" t="s">
        <v>17</v>
      </c>
      <c r="O3" t="s">
        <v>650</v>
      </c>
    </row>
    <row r="4" spans="1:15" x14ac:dyDescent="0.2">
      <c r="A4" t="s">
        <v>190</v>
      </c>
      <c r="B4" t="s">
        <v>190</v>
      </c>
      <c r="C4">
        <v>6</v>
      </c>
      <c r="D4">
        <v>6</v>
      </c>
      <c r="E4">
        <v>1</v>
      </c>
      <c r="F4">
        <v>5</v>
      </c>
      <c r="G4">
        <v>5</v>
      </c>
      <c r="H4">
        <v>0</v>
      </c>
      <c r="I4">
        <v>0.28499999999999998</v>
      </c>
      <c r="J4">
        <v>50</v>
      </c>
      <c r="K4">
        <f t="shared" si="0"/>
        <v>0.14249999999999999</v>
      </c>
      <c r="L4" t="s">
        <v>17</v>
      </c>
      <c r="M4">
        <v>296</v>
      </c>
      <c r="N4" t="s">
        <v>17</v>
      </c>
      <c r="O4" t="s">
        <v>651</v>
      </c>
    </row>
    <row r="5" spans="1:15" x14ac:dyDescent="0.2">
      <c r="A5" t="s">
        <v>190</v>
      </c>
      <c r="B5" t="s">
        <v>190</v>
      </c>
      <c r="C5">
        <v>7</v>
      </c>
      <c r="D5">
        <v>4</v>
      </c>
      <c r="E5">
        <v>3</v>
      </c>
      <c r="F5">
        <v>6</v>
      </c>
      <c r="G5">
        <v>3</v>
      </c>
      <c r="H5">
        <v>4</v>
      </c>
      <c r="I5">
        <v>0.41499999999999998</v>
      </c>
      <c r="J5">
        <v>50</v>
      </c>
      <c r="K5">
        <f t="shared" si="0"/>
        <v>0.20749999999999999</v>
      </c>
      <c r="L5" t="s">
        <v>17</v>
      </c>
      <c r="M5">
        <v>296</v>
      </c>
      <c r="N5" t="s">
        <v>17</v>
      </c>
      <c r="O5" t="s">
        <v>652</v>
      </c>
    </row>
    <row r="6" spans="1:15" x14ac:dyDescent="0.2">
      <c r="A6" t="s">
        <v>190</v>
      </c>
      <c r="B6" t="s">
        <v>190</v>
      </c>
      <c r="C6">
        <v>7</v>
      </c>
      <c r="D6">
        <v>5</v>
      </c>
      <c r="E6">
        <v>3</v>
      </c>
      <c r="F6">
        <v>6</v>
      </c>
      <c r="G6">
        <v>4</v>
      </c>
      <c r="H6">
        <v>2</v>
      </c>
      <c r="I6">
        <v>0.36799999999999999</v>
      </c>
      <c r="J6">
        <v>50</v>
      </c>
      <c r="K6">
        <f t="shared" si="0"/>
        <v>0.184</v>
      </c>
      <c r="L6" t="s">
        <v>17</v>
      </c>
      <c r="M6">
        <v>296</v>
      </c>
      <c r="N6" t="s">
        <v>17</v>
      </c>
      <c r="O6" t="s">
        <v>653</v>
      </c>
    </row>
    <row r="7" spans="1:15" x14ac:dyDescent="0.2">
      <c r="A7" t="s">
        <v>190</v>
      </c>
      <c r="B7" t="s">
        <v>190</v>
      </c>
      <c r="C7">
        <v>7</v>
      </c>
      <c r="D7">
        <v>5</v>
      </c>
      <c r="E7">
        <v>2</v>
      </c>
      <c r="F7">
        <v>6</v>
      </c>
      <c r="G7">
        <v>4</v>
      </c>
      <c r="H7">
        <v>3</v>
      </c>
      <c r="I7">
        <v>0.30499999999999999</v>
      </c>
      <c r="J7">
        <v>50</v>
      </c>
      <c r="K7">
        <f t="shared" si="0"/>
        <v>0.1525</v>
      </c>
      <c r="L7" t="s">
        <v>17</v>
      </c>
      <c r="M7">
        <v>296</v>
      </c>
      <c r="N7" t="s">
        <v>17</v>
      </c>
      <c r="O7" t="s">
        <v>654</v>
      </c>
    </row>
    <row r="8" spans="1:15" x14ac:dyDescent="0.2">
      <c r="A8" t="s">
        <v>190</v>
      </c>
      <c r="B8" t="s">
        <v>190</v>
      </c>
      <c r="C8">
        <v>8</v>
      </c>
      <c r="D8">
        <v>6</v>
      </c>
      <c r="E8">
        <v>3</v>
      </c>
      <c r="F8">
        <v>7</v>
      </c>
      <c r="G8">
        <v>5</v>
      </c>
      <c r="H8">
        <v>2</v>
      </c>
      <c r="I8">
        <v>0.29399999999999998</v>
      </c>
      <c r="J8">
        <v>50</v>
      </c>
      <c r="K8">
        <f t="shared" si="0"/>
        <v>0.14699999999999999</v>
      </c>
      <c r="L8" t="s">
        <v>17</v>
      </c>
      <c r="M8">
        <v>296</v>
      </c>
      <c r="N8" t="s">
        <v>17</v>
      </c>
      <c r="O8" t="s">
        <v>655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A8BB1-3BA3-C84F-B2E2-0436F5839589}">
  <dimension ref="A1:O113"/>
  <sheetViews>
    <sheetView workbookViewId="0">
      <selection activeCell="D18" sqref="D18"/>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624</v>
      </c>
      <c r="B2" t="s">
        <v>191</v>
      </c>
      <c r="C2">
        <v>4</v>
      </c>
      <c r="D2">
        <v>4</v>
      </c>
      <c r="E2">
        <v>0</v>
      </c>
      <c r="F2">
        <v>3</v>
      </c>
      <c r="G2">
        <v>3</v>
      </c>
      <c r="H2">
        <v>1</v>
      </c>
      <c r="I2">
        <v>4.4999999999999998E-2</v>
      </c>
      <c r="J2">
        <v>50</v>
      </c>
      <c r="K2">
        <f>J2*I2/100</f>
        <v>2.2499999999999999E-2</v>
      </c>
      <c r="L2" t="s">
        <v>17</v>
      </c>
      <c r="M2">
        <v>296</v>
      </c>
      <c r="N2" t="s">
        <v>17</v>
      </c>
      <c r="O2" t="s">
        <v>657</v>
      </c>
    </row>
    <row r="3" spans="1:15" x14ac:dyDescent="0.2">
      <c r="A3" t="s">
        <v>624</v>
      </c>
      <c r="B3" t="s">
        <v>403</v>
      </c>
      <c r="C3">
        <v>4</v>
      </c>
      <c r="D3">
        <v>4</v>
      </c>
      <c r="E3">
        <v>0</v>
      </c>
      <c r="F3">
        <v>3</v>
      </c>
      <c r="G3">
        <v>3</v>
      </c>
      <c r="H3">
        <v>1</v>
      </c>
      <c r="I3">
        <v>3.0499999999999999E-2</v>
      </c>
      <c r="J3">
        <v>50</v>
      </c>
      <c r="K3">
        <f>J3*I3/100</f>
        <v>1.525E-2</v>
      </c>
      <c r="L3" t="s">
        <v>17</v>
      </c>
      <c r="M3">
        <v>296</v>
      </c>
      <c r="N3" t="s">
        <v>17</v>
      </c>
      <c r="O3" t="s">
        <v>658</v>
      </c>
    </row>
    <row r="4" spans="1:15" x14ac:dyDescent="0.2">
      <c r="A4" t="s">
        <v>624</v>
      </c>
      <c r="B4" t="s">
        <v>191</v>
      </c>
      <c r="C4">
        <v>5</v>
      </c>
      <c r="D4">
        <v>3</v>
      </c>
      <c r="E4">
        <v>3</v>
      </c>
      <c r="F4">
        <v>4</v>
      </c>
      <c r="G4">
        <v>0</v>
      </c>
      <c r="H4">
        <v>4</v>
      </c>
      <c r="I4">
        <v>4.9000000000000002E-2</v>
      </c>
      <c r="J4">
        <v>50</v>
      </c>
      <c r="K4">
        <f t="shared" ref="K4:K67" si="0">J4*I4/100</f>
        <v>2.4500000000000001E-2</v>
      </c>
      <c r="L4" t="s">
        <v>17</v>
      </c>
      <c r="M4">
        <v>296</v>
      </c>
      <c r="N4" t="s">
        <v>17</v>
      </c>
      <c r="O4" t="s">
        <v>659</v>
      </c>
    </row>
    <row r="5" spans="1:15" x14ac:dyDescent="0.2">
      <c r="A5" t="s">
        <v>624</v>
      </c>
      <c r="B5" t="s">
        <v>403</v>
      </c>
      <c r="C5">
        <v>5</v>
      </c>
      <c r="D5">
        <v>3</v>
      </c>
      <c r="E5">
        <v>3</v>
      </c>
      <c r="F5">
        <v>4</v>
      </c>
      <c r="G5">
        <v>0</v>
      </c>
      <c r="H5">
        <v>4</v>
      </c>
      <c r="I5">
        <v>5.5300000000000002E-2</v>
      </c>
      <c r="J5">
        <v>50</v>
      </c>
      <c r="K5">
        <f t="shared" si="0"/>
        <v>2.7650000000000001E-2</v>
      </c>
      <c r="L5" t="s">
        <v>17</v>
      </c>
      <c r="M5">
        <v>296</v>
      </c>
      <c r="N5" t="s">
        <v>17</v>
      </c>
      <c r="O5" t="s">
        <v>660</v>
      </c>
    </row>
    <row r="6" spans="1:15" x14ac:dyDescent="0.2">
      <c r="A6" t="s">
        <v>624</v>
      </c>
      <c r="B6" t="s">
        <v>191</v>
      </c>
      <c r="C6">
        <v>5</v>
      </c>
      <c r="D6">
        <v>4</v>
      </c>
      <c r="E6">
        <v>1</v>
      </c>
      <c r="F6">
        <v>4</v>
      </c>
      <c r="G6">
        <v>3</v>
      </c>
      <c r="H6">
        <v>2</v>
      </c>
      <c r="I6">
        <v>4.2999999999999997E-2</v>
      </c>
      <c r="J6">
        <v>50</v>
      </c>
      <c r="K6">
        <f t="shared" si="0"/>
        <v>2.1499999999999998E-2</v>
      </c>
      <c r="L6" t="s">
        <v>17</v>
      </c>
      <c r="M6">
        <v>296</v>
      </c>
      <c r="N6" t="s">
        <v>17</v>
      </c>
      <c r="O6" t="s">
        <v>661</v>
      </c>
    </row>
    <row r="7" spans="1:15" x14ac:dyDescent="0.2">
      <c r="A7" t="s">
        <v>624</v>
      </c>
      <c r="B7" t="s">
        <v>403</v>
      </c>
      <c r="C7">
        <v>5</v>
      </c>
      <c r="D7">
        <v>4</v>
      </c>
      <c r="E7">
        <v>1</v>
      </c>
      <c r="F7">
        <v>4</v>
      </c>
      <c r="G7">
        <v>3</v>
      </c>
      <c r="H7">
        <v>2</v>
      </c>
      <c r="I7">
        <v>3.8199999999999998E-2</v>
      </c>
      <c r="J7">
        <v>50</v>
      </c>
      <c r="K7">
        <f t="shared" si="0"/>
        <v>1.9099999999999999E-2</v>
      </c>
      <c r="L7" t="s">
        <v>17</v>
      </c>
      <c r="M7">
        <v>296</v>
      </c>
      <c r="N7" t="s">
        <v>17</v>
      </c>
      <c r="O7" t="s">
        <v>662</v>
      </c>
    </row>
    <row r="8" spans="1:15" x14ac:dyDescent="0.2">
      <c r="A8" t="s">
        <v>624</v>
      </c>
      <c r="B8" t="s">
        <v>191</v>
      </c>
      <c r="C8">
        <v>6</v>
      </c>
      <c r="D8">
        <v>4</v>
      </c>
      <c r="E8">
        <v>2</v>
      </c>
      <c r="F8">
        <v>5</v>
      </c>
      <c r="G8">
        <v>3</v>
      </c>
      <c r="H8">
        <v>3</v>
      </c>
      <c r="I8">
        <v>0.04</v>
      </c>
      <c r="J8">
        <v>50</v>
      </c>
      <c r="K8">
        <f t="shared" si="0"/>
        <v>0.02</v>
      </c>
      <c r="L8" t="s">
        <v>17</v>
      </c>
      <c r="M8">
        <v>296</v>
      </c>
      <c r="N8" t="s">
        <v>17</v>
      </c>
      <c r="O8" t="s">
        <v>663</v>
      </c>
    </row>
    <row r="9" spans="1:15" x14ac:dyDescent="0.2">
      <c r="A9" t="s">
        <v>624</v>
      </c>
      <c r="B9" t="s">
        <v>403</v>
      </c>
      <c r="C9">
        <v>6</v>
      </c>
      <c r="D9">
        <v>4</v>
      </c>
      <c r="E9">
        <v>2</v>
      </c>
      <c r="F9">
        <v>5</v>
      </c>
      <c r="G9">
        <v>3</v>
      </c>
      <c r="H9">
        <v>3</v>
      </c>
      <c r="I9">
        <v>3.2899999999999999E-2</v>
      </c>
      <c r="J9">
        <v>50</v>
      </c>
      <c r="K9">
        <f t="shared" si="0"/>
        <v>1.6449999999999999E-2</v>
      </c>
      <c r="L9" t="s">
        <v>17</v>
      </c>
      <c r="M9">
        <v>296</v>
      </c>
      <c r="N9" t="s">
        <v>17</v>
      </c>
      <c r="O9" t="s">
        <v>664</v>
      </c>
    </row>
    <row r="10" spans="1:15" x14ac:dyDescent="0.2">
      <c r="A10" t="s">
        <v>624</v>
      </c>
      <c r="B10" t="s">
        <v>191</v>
      </c>
      <c r="C10">
        <v>6</v>
      </c>
      <c r="D10">
        <v>5</v>
      </c>
      <c r="E10">
        <v>2</v>
      </c>
      <c r="F10">
        <v>5</v>
      </c>
      <c r="G10">
        <v>4</v>
      </c>
      <c r="H10">
        <v>1</v>
      </c>
      <c r="I10">
        <v>3.78E-2</v>
      </c>
      <c r="J10">
        <v>50</v>
      </c>
      <c r="K10">
        <f t="shared" si="0"/>
        <v>1.89E-2</v>
      </c>
      <c r="L10" t="s">
        <v>17</v>
      </c>
      <c r="M10">
        <v>296</v>
      </c>
      <c r="N10" t="s">
        <v>17</v>
      </c>
      <c r="O10" t="s">
        <v>665</v>
      </c>
    </row>
    <row r="11" spans="1:15" x14ac:dyDescent="0.2">
      <c r="A11" t="s">
        <v>624</v>
      </c>
      <c r="B11" t="s">
        <v>403</v>
      </c>
      <c r="C11">
        <v>6</v>
      </c>
      <c r="D11">
        <v>5</v>
      </c>
      <c r="E11">
        <v>2</v>
      </c>
      <c r="F11">
        <v>5</v>
      </c>
      <c r="G11">
        <v>4</v>
      </c>
      <c r="H11">
        <v>1</v>
      </c>
      <c r="I11">
        <v>3.3000000000000002E-2</v>
      </c>
      <c r="J11">
        <v>50</v>
      </c>
      <c r="K11">
        <f t="shared" si="0"/>
        <v>1.6500000000000001E-2</v>
      </c>
      <c r="L11" t="s">
        <v>17</v>
      </c>
      <c r="M11">
        <v>296</v>
      </c>
      <c r="N11" t="s">
        <v>17</v>
      </c>
      <c r="O11" t="s">
        <v>666</v>
      </c>
    </row>
    <row r="12" spans="1:15" x14ac:dyDescent="0.2">
      <c r="A12" t="s">
        <v>624</v>
      </c>
      <c r="B12" t="s">
        <v>191</v>
      </c>
      <c r="C12">
        <v>7</v>
      </c>
      <c r="D12">
        <v>6</v>
      </c>
      <c r="E12">
        <v>2</v>
      </c>
      <c r="F12">
        <v>6</v>
      </c>
      <c r="G12">
        <v>5</v>
      </c>
      <c r="H12">
        <v>1</v>
      </c>
      <c r="I12">
        <v>3.09E-2</v>
      </c>
      <c r="J12">
        <v>50</v>
      </c>
      <c r="K12">
        <f t="shared" si="0"/>
        <v>1.5449999999999998E-2</v>
      </c>
      <c r="L12" t="s">
        <v>17</v>
      </c>
      <c r="M12">
        <v>296</v>
      </c>
      <c r="N12" t="s">
        <v>17</v>
      </c>
      <c r="O12" t="s">
        <v>667</v>
      </c>
    </row>
    <row r="13" spans="1:15" x14ac:dyDescent="0.2">
      <c r="A13" t="s">
        <v>624</v>
      </c>
      <c r="B13" t="s">
        <v>403</v>
      </c>
      <c r="C13">
        <v>7</v>
      </c>
      <c r="D13">
        <v>6</v>
      </c>
      <c r="E13">
        <v>2</v>
      </c>
      <c r="F13">
        <v>6</v>
      </c>
      <c r="G13">
        <v>5</v>
      </c>
      <c r="H13">
        <v>1</v>
      </c>
      <c r="I13">
        <v>3.2399999999999998E-2</v>
      </c>
      <c r="J13">
        <v>50</v>
      </c>
      <c r="K13">
        <f t="shared" si="0"/>
        <v>1.6199999999999999E-2</v>
      </c>
      <c r="L13" t="s">
        <v>17</v>
      </c>
      <c r="M13">
        <v>296</v>
      </c>
      <c r="N13" t="s">
        <v>17</v>
      </c>
      <c r="O13" t="s">
        <v>668</v>
      </c>
    </row>
    <row r="14" spans="1:15" x14ac:dyDescent="0.2">
      <c r="A14" t="s">
        <v>624</v>
      </c>
      <c r="B14" t="s">
        <v>191</v>
      </c>
      <c r="C14">
        <v>8</v>
      </c>
      <c r="D14">
        <v>4</v>
      </c>
      <c r="E14">
        <v>5</v>
      </c>
      <c r="F14">
        <v>7</v>
      </c>
      <c r="G14">
        <v>3</v>
      </c>
      <c r="H14">
        <v>4</v>
      </c>
      <c r="I14">
        <v>0.04</v>
      </c>
      <c r="J14">
        <v>50</v>
      </c>
      <c r="K14">
        <f t="shared" si="0"/>
        <v>0.02</v>
      </c>
      <c r="L14" t="s">
        <v>17</v>
      </c>
      <c r="M14">
        <v>296</v>
      </c>
      <c r="N14" t="s">
        <v>17</v>
      </c>
      <c r="O14" t="s">
        <v>669</v>
      </c>
    </row>
    <row r="15" spans="1:15" x14ac:dyDescent="0.2">
      <c r="A15" t="s">
        <v>624</v>
      </c>
      <c r="B15" t="s">
        <v>403</v>
      </c>
      <c r="C15">
        <v>8</v>
      </c>
      <c r="D15">
        <v>4</v>
      </c>
      <c r="E15">
        <v>5</v>
      </c>
      <c r="F15">
        <v>7</v>
      </c>
      <c r="G15">
        <v>3</v>
      </c>
      <c r="H15">
        <v>4</v>
      </c>
      <c r="I15">
        <v>3.4200000000000001E-2</v>
      </c>
      <c r="J15">
        <v>50</v>
      </c>
      <c r="K15">
        <f t="shared" si="0"/>
        <v>1.7100000000000001E-2</v>
      </c>
      <c r="L15" t="s">
        <v>17</v>
      </c>
      <c r="M15">
        <v>296</v>
      </c>
      <c r="N15" t="s">
        <v>17</v>
      </c>
      <c r="O15" t="s">
        <v>670</v>
      </c>
    </row>
    <row r="16" spans="1:15" x14ac:dyDescent="0.2">
      <c r="A16" t="s">
        <v>624</v>
      </c>
      <c r="B16" t="s">
        <v>191</v>
      </c>
      <c r="C16">
        <v>8</v>
      </c>
      <c r="D16">
        <v>3</v>
      </c>
      <c r="E16">
        <v>5</v>
      </c>
      <c r="F16">
        <v>7</v>
      </c>
      <c r="G16">
        <v>4</v>
      </c>
      <c r="H16">
        <v>4</v>
      </c>
      <c r="I16">
        <v>4.3700000000000003E-2</v>
      </c>
      <c r="J16">
        <v>50</v>
      </c>
      <c r="K16">
        <f t="shared" si="0"/>
        <v>2.1850000000000001E-2</v>
      </c>
      <c r="L16" t="s">
        <v>17</v>
      </c>
      <c r="M16">
        <v>296</v>
      </c>
      <c r="N16" t="s">
        <v>17</v>
      </c>
      <c r="O16" t="s">
        <v>671</v>
      </c>
    </row>
    <row r="17" spans="1:15" x14ac:dyDescent="0.2">
      <c r="A17" t="s">
        <v>624</v>
      </c>
      <c r="B17" t="s">
        <v>403</v>
      </c>
      <c r="C17">
        <v>8</v>
      </c>
      <c r="D17">
        <v>3</v>
      </c>
      <c r="E17">
        <v>5</v>
      </c>
      <c r="F17">
        <v>7</v>
      </c>
      <c r="G17">
        <v>4</v>
      </c>
      <c r="H17">
        <v>4</v>
      </c>
      <c r="I17">
        <v>0.04</v>
      </c>
      <c r="J17">
        <v>50</v>
      </c>
      <c r="K17">
        <f t="shared" si="0"/>
        <v>0.02</v>
      </c>
      <c r="L17" t="s">
        <v>17</v>
      </c>
      <c r="M17">
        <v>296</v>
      </c>
      <c r="N17" t="s">
        <v>17</v>
      </c>
      <c r="O17" t="s">
        <v>672</v>
      </c>
    </row>
    <row r="18" spans="1:15" x14ac:dyDescent="0.2">
      <c r="A18" t="s">
        <v>624</v>
      </c>
      <c r="B18" t="s">
        <v>191</v>
      </c>
      <c r="C18">
        <v>8</v>
      </c>
      <c r="D18">
        <v>6</v>
      </c>
      <c r="E18">
        <v>3</v>
      </c>
      <c r="F18">
        <v>7</v>
      </c>
      <c r="G18">
        <v>5</v>
      </c>
      <c r="H18">
        <v>2</v>
      </c>
      <c r="I18">
        <v>3.5000000000000003E-2</v>
      </c>
      <c r="J18">
        <v>50</v>
      </c>
      <c r="K18">
        <f t="shared" si="0"/>
        <v>1.7500000000000002E-2</v>
      </c>
      <c r="L18" t="s">
        <v>17</v>
      </c>
      <c r="M18">
        <v>296</v>
      </c>
      <c r="N18" t="s">
        <v>17</v>
      </c>
      <c r="O18" t="s">
        <v>673</v>
      </c>
    </row>
    <row r="19" spans="1:15" x14ac:dyDescent="0.2">
      <c r="A19" t="s">
        <v>624</v>
      </c>
      <c r="B19" t="s">
        <v>403</v>
      </c>
      <c r="C19">
        <v>8</v>
      </c>
      <c r="D19">
        <v>6</v>
      </c>
      <c r="E19">
        <v>3</v>
      </c>
      <c r="F19">
        <v>7</v>
      </c>
      <c r="G19">
        <v>5</v>
      </c>
      <c r="H19">
        <v>2</v>
      </c>
      <c r="I19">
        <v>5.8000000000000003E-2</v>
      </c>
      <c r="J19">
        <v>50</v>
      </c>
      <c r="K19">
        <f t="shared" si="0"/>
        <v>2.9000000000000005E-2</v>
      </c>
      <c r="L19" t="s">
        <v>17</v>
      </c>
      <c r="M19">
        <v>296</v>
      </c>
      <c r="N19" t="s">
        <v>17</v>
      </c>
      <c r="O19" t="s">
        <v>674</v>
      </c>
    </row>
    <row r="20" spans="1:15" x14ac:dyDescent="0.2">
      <c r="A20" t="s">
        <v>624</v>
      </c>
      <c r="B20" t="s">
        <v>191</v>
      </c>
      <c r="C20">
        <v>8</v>
      </c>
      <c r="D20">
        <v>7</v>
      </c>
      <c r="E20">
        <v>1</v>
      </c>
      <c r="F20">
        <v>7</v>
      </c>
      <c r="G20">
        <v>6</v>
      </c>
      <c r="H20">
        <v>2</v>
      </c>
      <c r="I20">
        <v>3.56E-2</v>
      </c>
      <c r="J20">
        <v>50</v>
      </c>
      <c r="K20">
        <f t="shared" si="0"/>
        <v>1.78E-2</v>
      </c>
      <c r="L20" t="s">
        <v>17</v>
      </c>
      <c r="M20">
        <v>296</v>
      </c>
      <c r="N20" t="s">
        <v>17</v>
      </c>
      <c r="O20" t="s">
        <v>675</v>
      </c>
    </row>
    <row r="21" spans="1:15" x14ac:dyDescent="0.2">
      <c r="A21" t="s">
        <v>624</v>
      </c>
      <c r="B21" t="s">
        <v>403</v>
      </c>
      <c r="C21">
        <v>8</v>
      </c>
      <c r="D21">
        <v>7</v>
      </c>
      <c r="E21">
        <v>1</v>
      </c>
      <c r="F21">
        <v>7</v>
      </c>
      <c r="G21">
        <v>6</v>
      </c>
      <c r="H21">
        <v>2</v>
      </c>
      <c r="I21">
        <v>3.8100000000000002E-2</v>
      </c>
      <c r="J21">
        <v>50</v>
      </c>
      <c r="K21">
        <f t="shared" si="0"/>
        <v>1.9050000000000001E-2</v>
      </c>
      <c r="L21" t="s">
        <v>17</v>
      </c>
      <c r="M21">
        <v>296</v>
      </c>
      <c r="N21" t="s">
        <v>17</v>
      </c>
      <c r="O21" t="s">
        <v>676</v>
      </c>
    </row>
    <row r="22" spans="1:15" x14ac:dyDescent="0.2">
      <c r="A22" t="s">
        <v>624</v>
      </c>
      <c r="B22" t="s">
        <v>191</v>
      </c>
      <c r="C22">
        <v>9</v>
      </c>
      <c r="D22">
        <v>3</v>
      </c>
      <c r="E22">
        <v>7</v>
      </c>
      <c r="F22">
        <v>8</v>
      </c>
      <c r="G22">
        <v>2</v>
      </c>
      <c r="H22">
        <v>6</v>
      </c>
      <c r="I22">
        <v>3.5900000000000001E-2</v>
      </c>
      <c r="J22">
        <v>50</v>
      </c>
      <c r="K22">
        <f t="shared" si="0"/>
        <v>1.7950000000000001E-2</v>
      </c>
      <c r="L22" t="s">
        <v>17</v>
      </c>
      <c r="M22">
        <v>296</v>
      </c>
      <c r="N22" t="s">
        <v>17</v>
      </c>
      <c r="O22" t="s">
        <v>677</v>
      </c>
    </row>
    <row r="23" spans="1:15" x14ac:dyDescent="0.2">
      <c r="A23" t="s">
        <v>624</v>
      </c>
      <c r="B23" t="s">
        <v>403</v>
      </c>
      <c r="C23">
        <v>9</v>
      </c>
      <c r="D23">
        <v>3</v>
      </c>
      <c r="E23">
        <v>7</v>
      </c>
      <c r="F23">
        <v>8</v>
      </c>
      <c r="G23">
        <v>2</v>
      </c>
      <c r="H23">
        <v>6</v>
      </c>
      <c r="I23">
        <v>2.52E-2</v>
      </c>
      <c r="J23">
        <v>50</v>
      </c>
      <c r="K23">
        <f t="shared" si="0"/>
        <v>1.26E-2</v>
      </c>
      <c r="L23" t="s">
        <v>17</v>
      </c>
      <c r="M23">
        <v>296</v>
      </c>
      <c r="N23" t="s">
        <v>17</v>
      </c>
      <c r="O23" t="s">
        <v>678</v>
      </c>
    </row>
    <row r="24" spans="1:15" x14ac:dyDescent="0.2">
      <c r="A24" t="s">
        <v>624</v>
      </c>
      <c r="B24" t="s">
        <v>191</v>
      </c>
      <c r="C24">
        <v>9</v>
      </c>
      <c r="D24">
        <v>2</v>
      </c>
      <c r="E24">
        <v>7</v>
      </c>
      <c r="F24">
        <v>8</v>
      </c>
      <c r="G24">
        <v>3</v>
      </c>
      <c r="H24">
        <v>6</v>
      </c>
      <c r="I24">
        <v>3.7100000000000001E-2</v>
      </c>
      <c r="J24">
        <v>50</v>
      </c>
      <c r="K24">
        <f t="shared" si="0"/>
        <v>1.8550000000000001E-2</v>
      </c>
      <c r="L24" t="s">
        <v>17</v>
      </c>
      <c r="M24">
        <v>296</v>
      </c>
      <c r="N24" t="s">
        <v>17</v>
      </c>
      <c r="O24" t="s">
        <v>679</v>
      </c>
    </row>
    <row r="25" spans="1:15" x14ac:dyDescent="0.2">
      <c r="A25" t="s">
        <v>624</v>
      </c>
      <c r="B25" t="s">
        <v>403</v>
      </c>
      <c r="C25">
        <v>9</v>
      </c>
      <c r="D25">
        <v>2</v>
      </c>
      <c r="E25">
        <v>7</v>
      </c>
      <c r="F25">
        <v>8</v>
      </c>
      <c r="G25">
        <v>3</v>
      </c>
      <c r="H25">
        <v>6</v>
      </c>
      <c r="I25">
        <v>0.03</v>
      </c>
      <c r="J25">
        <v>50</v>
      </c>
      <c r="K25">
        <f t="shared" si="0"/>
        <v>1.4999999999999999E-2</v>
      </c>
      <c r="L25" t="s">
        <v>17</v>
      </c>
      <c r="M25">
        <v>296</v>
      </c>
      <c r="N25" t="s">
        <v>17</v>
      </c>
      <c r="O25" t="s">
        <v>680</v>
      </c>
    </row>
    <row r="26" spans="1:15" x14ac:dyDescent="0.2">
      <c r="A26" t="s">
        <v>624</v>
      </c>
      <c r="B26" t="s">
        <v>191</v>
      </c>
      <c r="C26">
        <v>9</v>
      </c>
      <c r="D26">
        <v>7</v>
      </c>
      <c r="E26">
        <v>3</v>
      </c>
      <c r="F26">
        <v>8</v>
      </c>
      <c r="G26">
        <v>6</v>
      </c>
      <c r="H26">
        <v>2</v>
      </c>
      <c r="I26">
        <v>0.04</v>
      </c>
      <c r="J26">
        <v>50</v>
      </c>
      <c r="K26">
        <f t="shared" si="0"/>
        <v>0.02</v>
      </c>
      <c r="L26" t="s">
        <v>17</v>
      </c>
      <c r="M26">
        <v>296</v>
      </c>
      <c r="N26" t="s">
        <v>17</v>
      </c>
      <c r="O26" t="s">
        <v>681</v>
      </c>
    </row>
    <row r="27" spans="1:15" x14ac:dyDescent="0.2">
      <c r="A27" t="s">
        <v>624</v>
      </c>
      <c r="B27" t="s">
        <v>403</v>
      </c>
      <c r="C27">
        <v>9</v>
      </c>
      <c r="D27">
        <v>7</v>
      </c>
      <c r="E27">
        <v>3</v>
      </c>
      <c r="F27">
        <v>8</v>
      </c>
      <c r="G27">
        <v>6</v>
      </c>
      <c r="H27">
        <v>2</v>
      </c>
      <c r="I27">
        <v>3.7400000000000003E-2</v>
      </c>
      <c r="J27">
        <v>50</v>
      </c>
      <c r="K27">
        <f t="shared" si="0"/>
        <v>1.8700000000000001E-2</v>
      </c>
      <c r="L27" t="s">
        <v>17</v>
      </c>
      <c r="M27">
        <v>296</v>
      </c>
      <c r="N27" t="s">
        <v>17</v>
      </c>
      <c r="O27" t="s">
        <v>682</v>
      </c>
    </row>
    <row r="28" spans="1:15" x14ac:dyDescent="0.2">
      <c r="A28" t="s">
        <v>624</v>
      </c>
      <c r="B28" t="s">
        <v>191</v>
      </c>
      <c r="C28">
        <v>10</v>
      </c>
      <c r="D28">
        <v>5</v>
      </c>
      <c r="E28">
        <v>6</v>
      </c>
      <c r="F28">
        <v>9</v>
      </c>
      <c r="G28">
        <v>4</v>
      </c>
      <c r="H28">
        <v>5</v>
      </c>
      <c r="I28">
        <v>5.1999999999999998E-2</v>
      </c>
      <c r="J28">
        <v>50</v>
      </c>
      <c r="K28">
        <f t="shared" si="0"/>
        <v>2.6000000000000002E-2</v>
      </c>
      <c r="L28" t="s">
        <v>17</v>
      </c>
      <c r="M28">
        <v>296</v>
      </c>
      <c r="N28" t="s">
        <v>17</v>
      </c>
      <c r="O28" t="s">
        <v>683</v>
      </c>
    </row>
    <row r="29" spans="1:15" x14ac:dyDescent="0.2">
      <c r="A29" t="s">
        <v>624</v>
      </c>
      <c r="B29" t="s">
        <v>403</v>
      </c>
      <c r="C29">
        <v>10</v>
      </c>
      <c r="D29">
        <v>5</v>
      </c>
      <c r="E29">
        <v>6</v>
      </c>
      <c r="F29">
        <v>9</v>
      </c>
      <c r="G29">
        <v>4</v>
      </c>
      <c r="H29">
        <v>5</v>
      </c>
      <c r="I29">
        <v>3.49E-2</v>
      </c>
      <c r="J29">
        <v>50</v>
      </c>
      <c r="K29">
        <f t="shared" si="0"/>
        <v>1.745E-2</v>
      </c>
      <c r="L29" t="s">
        <v>17</v>
      </c>
      <c r="M29">
        <v>296</v>
      </c>
      <c r="N29" t="s">
        <v>17</v>
      </c>
      <c r="O29" t="s">
        <v>684</v>
      </c>
    </row>
    <row r="30" spans="1:15" x14ac:dyDescent="0.2">
      <c r="A30" t="s">
        <v>624</v>
      </c>
      <c r="B30" t="s">
        <v>191</v>
      </c>
      <c r="C30">
        <v>12</v>
      </c>
      <c r="D30">
        <v>6</v>
      </c>
      <c r="E30">
        <v>7</v>
      </c>
      <c r="F30">
        <v>11</v>
      </c>
      <c r="G30">
        <v>5</v>
      </c>
      <c r="H30">
        <v>6</v>
      </c>
      <c r="I30">
        <v>3.8300000000000001E-2</v>
      </c>
      <c r="J30">
        <v>50</v>
      </c>
      <c r="K30">
        <f t="shared" si="0"/>
        <v>1.915E-2</v>
      </c>
      <c r="L30" t="s">
        <v>17</v>
      </c>
      <c r="M30">
        <v>296</v>
      </c>
      <c r="N30" t="s">
        <v>17</v>
      </c>
      <c r="O30" t="s">
        <v>685</v>
      </c>
    </row>
    <row r="31" spans="1:15" x14ac:dyDescent="0.2">
      <c r="A31" t="s">
        <v>624</v>
      </c>
      <c r="B31" t="s">
        <v>403</v>
      </c>
      <c r="C31">
        <v>12</v>
      </c>
      <c r="D31">
        <v>6</v>
      </c>
      <c r="E31">
        <v>7</v>
      </c>
      <c r="F31">
        <v>11</v>
      </c>
      <c r="G31">
        <v>5</v>
      </c>
      <c r="H31">
        <v>6</v>
      </c>
      <c r="I31">
        <v>3.2300000000000002E-2</v>
      </c>
      <c r="J31">
        <v>50</v>
      </c>
      <c r="K31">
        <f t="shared" si="0"/>
        <v>1.6150000000000001E-2</v>
      </c>
      <c r="L31" t="s">
        <v>17</v>
      </c>
      <c r="M31">
        <v>296</v>
      </c>
      <c r="N31" t="s">
        <v>17</v>
      </c>
      <c r="O31" t="s">
        <v>686</v>
      </c>
    </row>
    <row r="32" spans="1:15" x14ac:dyDescent="0.2">
      <c r="A32" t="s">
        <v>624</v>
      </c>
      <c r="B32" t="s">
        <v>191</v>
      </c>
      <c r="C32">
        <v>15</v>
      </c>
      <c r="D32">
        <v>0</v>
      </c>
      <c r="E32">
        <v>15</v>
      </c>
      <c r="F32">
        <v>14</v>
      </c>
      <c r="G32">
        <v>1</v>
      </c>
      <c r="H32">
        <v>14</v>
      </c>
      <c r="I32">
        <v>3.0200000000000001E-2</v>
      </c>
      <c r="J32">
        <v>50</v>
      </c>
      <c r="K32">
        <f t="shared" si="0"/>
        <v>1.5100000000000001E-2</v>
      </c>
      <c r="L32" t="s">
        <v>17</v>
      </c>
      <c r="M32">
        <v>296</v>
      </c>
      <c r="N32" t="s">
        <v>17</v>
      </c>
      <c r="O32" t="s">
        <v>687</v>
      </c>
    </row>
    <row r="33" spans="1:15" x14ac:dyDescent="0.2">
      <c r="A33" t="s">
        <v>624</v>
      </c>
      <c r="B33" t="s">
        <v>403</v>
      </c>
      <c r="C33">
        <v>15</v>
      </c>
      <c r="D33">
        <v>0</v>
      </c>
      <c r="E33">
        <v>15</v>
      </c>
      <c r="F33">
        <v>14</v>
      </c>
      <c r="G33">
        <v>1</v>
      </c>
      <c r="H33">
        <v>14</v>
      </c>
      <c r="I33">
        <v>1.95E-2</v>
      </c>
      <c r="J33">
        <v>50</v>
      </c>
      <c r="K33">
        <f t="shared" si="0"/>
        <v>9.75E-3</v>
      </c>
      <c r="L33" t="s">
        <v>17</v>
      </c>
      <c r="M33">
        <v>296</v>
      </c>
      <c r="N33" t="s">
        <v>17</v>
      </c>
      <c r="O33" t="s">
        <v>688</v>
      </c>
    </row>
    <row r="34" spans="1:15" x14ac:dyDescent="0.2">
      <c r="A34" t="s">
        <v>624</v>
      </c>
      <c r="B34" t="s">
        <v>191</v>
      </c>
      <c r="C34">
        <v>4</v>
      </c>
      <c r="D34">
        <v>3</v>
      </c>
      <c r="E34">
        <v>1</v>
      </c>
      <c r="F34">
        <v>3</v>
      </c>
      <c r="G34">
        <v>1</v>
      </c>
      <c r="H34">
        <v>2</v>
      </c>
      <c r="I34">
        <v>5.8000000000000003E-2</v>
      </c>
      <c r="J34">
        <v>50</v>
      </c>
      <c r="K34">
        <f t="shared" si="0"/>
        <v>2.9000000000000005E-2</v>
      </c>
      <c r="L34" t="s">
        <v>17</v>
      </c>
      <c r="M34">
        <v>296</v>
      </c>
      <c r="N34" t="s">
        <v>17</v>
      </c>
      <c r="O34" t="s">
        <v>689</v>
      </c>
    </row>
    <row r="35" spans="1:15" x14ac:dyDescent="0.2">
      <c r="A35" t="s">
        <v>624</v>
      </c>
      <c r="B35" t="s">
        <v>403</v>
      </c>
      <c r="C35">
        <v>4</v>
      </c>
      <c r="D35">
        <v>3</v>
      </c>
      <c r="E35">
        <v>1</v>
      </c>
      <c r="F35">
        <v>3</v>
      </c>
      <c r="G35">
        <v>1</v>
      </c>
      <c r="H35">
        <v>2</v>
      </c>
      <c r="I35">
        <v>3.9E-2</v>
      </c>
      <c r="J35">
        <v>50</v>
      </c>
      <c r="K35">
        <f t="shared" si="0"/>
        <v>1.95E-2</v>
      </c>
      <c r="L35" t="s">
        <v>17</v>
      </c>
      <c r="M35">
        <v>296</v>
      </c>
      <c r="N35" t="s">
        <v>17</v>
      </c>
      <c r="O35" t="s">
        <v>690</v>
      </c>
    </row>
    <row r="36" spans="1:15" x14ac:dyDescent="0.2">
      <c r="A36" t="s">
        <v>624</v>
      </c>
      <c r="B36" t="s">
        <v>191</v>
      </c>
      <c r="C36">
        <v>6</v>
      </c>
      <c r="D36">
        <v>5</v>
      </c>
      <c r="E36">
        <v>1</v>
      </c>
      <c r="F36">
        <v>5</v>
      </c>
      <c r="G36">
        <v>5</v>
      </c>
      <c r="H36">
        <v>0</v>
      </c>
      <c r="I36">
        <v>3.9300000000000002E-2</v>
      </c>
      <c r="J36">
        <v>50</v>
      </c>
      <c r="K36">
        <f t="shared" si="0"/>
        <v>1.9650000000000001E-2</v>
      </c>
      <c r="L36" t="s">
        <v>17</v>
      </c>
      <c r="M36">
        <v>296</v>
      </c>
      <c r="N36" t="s">
        <v>17</v>
      </c>
      <c r="O36" t="s">
        <v>691</v>
      </c>
    </row>
    <row r="37" spans="1:15" x14ac:dyDescent="0.2">
      <c r="A37" t="s">
        <v>624</v>
      </c>
      <c r="B37" t="s">
        <v>403</v>
      </c>
      <c r="C37">
        <v>6</v>
      </c>
      <c r="D37">
        <v>5</v>
      </c>
      <c r="E37">
        <v>1</v>
      </c>
      <c r="F37">
        <v>5</v>
      </c>
      <c r="G37">
        <v>5</v>
      </c>
      <c r="H37">
        <v>0</v>
      </c>
      <c r="I37">
        <v>2.6700000000000002E-2</v>
      </c>
      <c r="J37">
        <v>50</v>
      </c>
      <c r="K37">
        <f t="shared" si="0"/>
        <v>1.3349999999999999E-2</v>
      </c>
      <c r="L37" t="s">
        <v>17</v>
      </c>
      <c r="M37">
        <v>296</v>
      </c>
      <c r="N37" t="s">
        <v>17</v>
      </c>
      <c r="O37" t="s">
        <v>692</v>
      </c>
    </row>
    <row r="38" spans="1:15" x14ac:dyDescent="0.2">
      <c r="A38" t="s">
        <v>624</v>
      </c>
      <c r="B38" t="s">
        <v>191</v>
      </c>
      <c r="C38">
        <v>8</v>
      </c>
      <c r="D38">
        <v>4</v>
      </c>
      <c r="E38">
        <v>4</v>
      </c>
      <c r="F38">
        <v>7</v>
      </c>
      <c r="G38">
        <v>4</v>
      </c>
      <c r="H38">
        <v>3</v>
      </c>
      <c r="I38">
        <v>4.7E-2</v>
      </c>
      <c r="J38">
        <v>50</v>
      </c>
      <c r="K38">
        <f t="shared" si="0"/>
        <v>2.35E-2</v>
      </c>
      <c r="L38" t="s">
        <v>17</v>
      </c>
      <c r="M38">
        <v>296</v>
      </c>
      <c r="N38" t="s">
        <v>17</v>
      </c>
      <c r="O38" t="s">
        <v>693</v>
      </c>
    </row>
    <row r="39" spans="1:15" x14ac:dyDescent="0.2">
      <c r="A39" t="s">
        <v>624</v>
      </c>
      <c r="B39" t="s">
        <v>403</v>
      </c>
      <c r="C39">
        <v>8</v>
      </c>
      <c r="D39">
        <v>4</v>
      </c>
      <c r="E39">
        <v>4</v>
      </c>
      <c r="F39">
        <v>7</v>
      </c>
      <c r="G39">
        <v>4</v>
      </c>
      <c r="H39">
        <v>3</v>
      </c>
      <c r="I39">
        <v>3.6999999999999998E-2</v>
      </c>
      <c r="J39">
        <v>50</v>
      </c>
      <c r="K39">
        <f t="shared" si="0"/>
        <v>1.8499999999999999E-2</v>
      </c>
      <c r="L39" t="s">
        <v>17</v>
      </c>
      <c r="M39">
        <v>296</v>
      </c>
      <c r="N39" t="s">
        <v>17</v>
      </c>
      <c r="O39" t="s">
        <v>694</v>
      </c>
    </row>
    <row r="40" spans="1:15" x14ac:dyDescent="0.2">
      <c r="A40" t="s">
        <v>624</v>
      </c>
      <c r="B40" t="s">
        <v>191</v>
      </c>
      <c r="C40">
        <v>8</v>
      </c>
      <c r="D40">
        <v>7</v>
      </c>
      <c r="E40">
        <v>2</v>
      </c>
      <c r="F40">
        <v>7</v>
      </c>
      <c r="G40">
        <v>7</v>
      </c>
      <c r="H40">
        <v>1</v>
      </c>
      <c r="I40">
        <v>5.8999999999999997E-2</v>
      </c>
      <c r="J40">
        <v>50</v>
      </c>
      <c r="K40">
        <f t="shared" si="0"/>
        <v>2.9499999999999998E-2</v>
      </c>
      <c r="L40" t="s">
        <v>17</v>
      </c>
      <c r="M40">
        <v>296</v>
      </c>
      <c r="N40" t="s">
        <v>17</v>
      </c>
      <c r="O40" t="s">
        <v>695</v>
      </c>
    </row>
    <row r="41" spans="1:15" x14ac:dyDescent="0.2">
      <c r="A41" t="s">
        <v>624</v>
      </c>
      <c r="B41" t="s">
        <v>403</v>
      </c>
      <c r="C41">
        <v>8</v>
      </c>
      <c r="D41">
        <v>7</v>
      </c>
      <c r="E41">
        <v>2</v>
      </c>
      <c r="F41">
        <v>7</v>
      </c>
      <c r="G41">
        <v>7</v>
      </c>
      <c r="H41">
        <v>1</v>
      </c>
      <c r="I41">
        <v>2.1999999999999999E-2</v>
      </c>
      <c r="J41">
        <v>50</v>
      </c>
      <c r="K41">
        <f t="shared" si="0"/>
        <v>1.0999999999999999E-2</v>
      </c>
      <c r="L41" t="s">
        <v>17</v>
      </c>
      <c r="M41">
        <v>296</v>
      </c>
      <c r="N41" t="s">
        <v>17</v>
      </c>
      <c r="O41" t="s">
        <v>696</v>
      </c>
    </row>
    <row r="42" spans="1:15" x14ac:dyDescent="0.2">
      <c r="A42" t="s">
        <v>624</v>
      </c>
      <c r="B42" t="s">
        <v>191</v>
      </c>
      <c r="C42">
        <v>8</v>
      </c>
      <c r="D42">
        <v>7</v>
      </c>
      <c r="E42">
        <v>1</v>
      </c>
      <c r="F42">
        <v>7</v>
      </c>
      <c r="G42">
        <v>7</v>
      </c>
      <c r="H42">
        <v>0</v>
      </c>
      <c r="I42">
        <v>3.1800000000000002E-2</v>
      </c>
      <c r="J42">
        <v>50</v>
      </c>
      <c r="K42">
        <f t="shared" si="0"/>
        <v>1.5900000000000001E-2</v>
      </c>
      <c r="L42" t="s">
        <v>17</v>
      </c>
      <c r="M42">
        <v>296</v>
      </c>
      <c r="N42" t="s">
        <v>17</v>
      </c>
      <c r="O42" t="s">
        <v>697</v>
      </c>
    </row>
    <row r="43" spans="1:15" x14ac:dyDescent="0.2">
      <c r="A43" t="s">
        <v>624</v>
      </c>
      <c r="B43" t="s">
        <v>403</v>
      </c>
      <c r="C43">
        <v>8</v>
      </c>
      <c r="D43">
        <v>7</v>
      </c>
      <c r="E43">
        <v>1</v>
      </c>
      <c r="F43">
        <v>7</v>
      </c>
      <c r="G43">
        <v>7</v>
      </c>
      <c r="H43">
        <v>0</v>
      </c>
      <c r="I43">
        <v>2.4E-2</v>
      </c>
      <c r="J43">
        <v>50</v>
      </c>
      <c r="K43">
        <f t="shared" si="0"/>
        <v>1.2E-2</v>
      </c>
      <c r="L43" t="s">
        <v>17</v>
      </c>
      <c r="M43">
        <v>296</v>
      </c>
      <c r="N43" t="s">
        <v>17</v>
      </c>
      <c r="O43" t="s">
        <v>698</v>
      </c>
    </row>
    <row r="44" spans="1:15" x14ac:dyDescent="0.2">
      <c r="A44" t="s">
        <v>624</v>
      </c>
      <c r="B44" t="s">
        <v>191</v>
      </c>
      <c r="C44">
        <v>5</v>
      </c>
      <c r="D44">
        <v>4</v>
      </c>
      <c r="E44">
        <v>1</v>
      </c>
      <c r="F44">
        <v>4</v>
      </c>
      <c r="G44">
        <v>3</v>
      </c>
      <c r="H44">
        <v>2</v>
      </c>
      <c r="I44">
        <v>3.6999999999999998E-2</v>
      </c>
      <c r="J44">
        <v>50</v>
      </c>
      <c r="K44">
        <f t="shared" si="0"/>
        <v>1.8499999999999999E-2</v>
      </c>
      <c r="L44" t="s">
        <v>17</v>
      </c>
      <c r="M44">
        <v>296</v>
      </c>
      <c r="N44" t="s">
        <v>17</v>
      </c>
      <c r="O44" t="s">
        <v>699</v>
      </c>
    </row>
    <row r="45" spans="1:15" x14ac:dyDescent="0.2">
      <c r="A45" t="s">
        <v>624</v>
      </c>
      <c r="B45" t="s">
        <v>403</v>
      </c>
      <c r="C45">
        <v>5</v>
      </c>
      <c r="D45">
        <v>4</v>
      </c>
      <c r="E45">
        <v>1</v>
      </c>
      <c r="F45">
        <v>4</v>
      </c>
      <c r="G45">
        <v>3</v>
      </c>
      <c r="H45">
        <v>2</v>
      </c>
      <c r="I45">
        <v>3.1699999999999999E-2</v>
      </c>
      <c r="J45">
        <v>50</v>
      </c>
      <c r="K45">
        <f t="shared" si="0"/>
        <v>1.585E-2</v>
      </c>
      <c r="L45" t="s">
        <v>17</v>
      </c>
      <c r="M45">
        <v>296</v>
      </c>
      <c r="N45" t="s">
        <v>17</v>
      </c>
      <c r="O45" t="s">
        <v>700</v>
      </c>
    </row>
    <row r="46" spans="1:15" x14ac:dyDescent="0.2">
      <c r="A46" t="s">
        <v>624</v>
      </c>
      <c r="B46" t="s">
        <v>191</v>
      </c>
      <c r="C46">
        <v>12</v>
      </c>
      <c r="D46">
        <v>1</v>
      </c>
      <c r="E46">
        <v>12</v>
      </c>
      <c r="F46">
        <v>11</v>
      </c>
      <c r="G46">
        <v>0</v>
      </c>
      <c r="H46">
        <v>11</v>
      </c>
      <c r="I46">
        <v>1.9699999999999999E-2</v>
      </c>
      <c r="J46">
        <v>50</v>
      </c>
      <c r="K46">
        <f t="shared" si="0"/>
        <v>9.8499999999999994E-3</v>
      </c>
      <c r="L46" t="s">
        <v>17</v>
      </c>
      <c r="M46">
        <v>296</v>
      </c>
      <c r="N46" t="s">
        <v>17</v>
      </c>
      <c r="O46" t="s">
        <v>701</v>
      </c>
    </row>
    <row r="47" spans="1:15" x14ac:dyDescent="0.2">
      <c r="A47" t="s">
        <v>624</v>
      </c>
      <c r="B47" t="s">
        <v>239</v>
      </c>
      <c r="C47">
        <v>4</v>
      </c>
      <c r="D47">
        <v>4</v>
      </c>
      <c r="E47">
        <v>0</v>
      </c>
      <c r="F47">
        <v>3</v>
      </c>
      <c r="G47">
        <v>3</v>
      </c>
      <c r="H47">
        <v>1</v>
      </c>
      <c r="I47">
        <v>6.0400000000000002E-2</v>
      </c>
      <c r="J47">
        <v>50</v>
      </c>
      <c r="K47">
        <f t="shared" si="0"/>
        <v>3.0200000000000001E-2</v>
      </c>
      <c r="L47" t="s">
        <v>17</v>
      </c>
      <c r="M47">
        <v>296</v>
      </c>
      <c r="N47" t="s">
        <v>17</v>
      </c>
      <c r="O47" t="s">
        <v>702</v>
      </c>
    </row>
    <row r="48" spans="1:15" x14ac:dyDescent="0.2">
      <c r="A48" t="s">
        <v>624</v>
      </c>
      <c r="B48" t="s">
        <v>376</v>
      </c>
      <c r="C48">
        <v>4</v>
      </c>
      <c r="D48">
        <v>4</v>
      </c>
      <c r="E48">
        <v>0</v>
      </c>
      <c r="F48">
        <v>3</v>
      </c>
      <c r="G48">
        <v>3</v>
      </c>
      <c r="H48">
        <v>1</v>
      </c>
      <c r="I48">
        <v>7.2300000000000003E-2</v>
      </c>
      <c r="J48">
        <v>50</v>
      </c>
      <c r="K48">
        <f t="shared" si="0"/>
        <v>3.6150000000000002E-2</v>
      </c>
      <c r="L48" t="s">
        <v>17</v>
      </c>
      <c r="M48">
        <v>296</v>
      </c>
      <c r="N48" t="s">
        <v>17</v>
      </c>
      <c r="O48" t="s">
        <v>703</v>
      </c>
    </row>
    <row r="49" spans="1:15" x14ac:dyDescent="0.2">
      <c r="A49" t="s">
        <v>624</v>
      </c>
      <c r="B49" t="s">
        <v>407</v>
      </c>
      <c r="C49">
        <v>4</v>
      </c>
      <c r="D49">
        <v>4</v>
      </c>
      <c r="E49">
        <v>0</v>
      </c>
      <c r="F49">
        <v>3</v>
      </c>
      <c r="G49">
        <v>3</v>
      </c>
      <c r="H49">
        <v>1</v>
      </c>
      <c r="I49">
        <v>5.5300000000000002E-2</v>
      </c>
      <c r="J49">
        <v>50</v>
      </c>
      <c r="K49">
        <f t="shared" si="0"/>
        <v>2.7650000000000001E-2</v>
      </c>
      <c r="L49" t="s">
        <v>17</v>
      </c>
      <c r="M49">
        <v>296</v>
      </c>
      <c r="N49" t="s">
        <v>17</v>
      </c>
      <c r="O49" t="s">
        <v>704</v>
      </c>
    </row>
    <row r="50" spans="1:15" x14ac:dyDescent="0.2">
      <c r="A50" t="s">
        <v>624</v>
      </c>
      <c r="B50" t="s">
        <v>239</v>
      </c>
      <c r="C50">
        <v>5</v>
      </c>
      <c r="D50">
        <v>3</v>
      </c>
      <c r="E50">
        <v>3</v>
      </c>
      <c r="F50">
        <v>4</v>
      </c>
      <c r="G50">
        <v>0</v>
      </c>
      <c r="H50">
        <v>4</v>
      </c>
      <c r="I50">
        <v>8.5000000000000006E-2</v>
      </c>
      <c r="J50">
        <v>50</v>
      </c>
      <c r="K50">
        <f t="shared" si="0"/>
        <v>4.2500000000000003E-2</v>
      </c>
      <c r="L50" t="s">
        <v>17</v>
      </c>
      <c r="M50">
        <v>296</v>
      </c>
      <c r="N50" t="s">
        <v>17</v>
      </c>
      <c r="O50" t="s">
        <v>705</v>
      </c>
    </row>
    <row r="51" spans="1:15" x14ac:dyDescent="0.2">
      <c r="A51" t="s">
        <v>624</v>
      </c>
      <c r="B51" t="s">
        <v>376</v>
      </c>
      <c r="C51">
        <v>5</v>
      </c>
      <c r="D51">
        <v>3</v>
      </c>
      <c r="E51">
        <v>3</v>
      </c>
      <c r="F51">
        <v>4</v>
      </c>
      <c r="G51">
        <v>0</v>
      </c>
      <c r="H51">
        <v>4</v>
      </c>
      <c r="I51">
        <v>9.6000000000000002E-2</v>
      </c>
      <c r="J51">
        <v>50</v>
      </c>
      <c r="K51">
        <f t="shared" si="0"/>
        <v>4.8000000000000001E-2</v>
      </c>
      <c r="L51" t="s">
        <v>17</v>
      </c>
      <c r="M51">
        <v>296</v>
      </c>
      <c r="N51" t="s">
        <v>17</v>
      </c>
      <c r="O51" t="s">
        <v>706</v>
      </c>
    </row>
    <row r="52" spans="1:15" x14ac:dyDescent="0.2">
      <c r="A52" t="s">
        <v>624</v>
      </c>
      <c r="B52" t="s">
        <v>407</v>
      </c>
      <c r="C52">
        <v>5</v>
      </c>
      <c r="D52">
        <v>3</v>
      </c>
      <c r="E52">
        <v>3</v>
      </c>
      <c r="F52">
        <v>4</v>
      </c>
      <c r="G52">
        <v>0</v>
      </c>
      <c r="H52">
        <v>4</v>
      </c>
      <c r="I52">
        <v>8.1900000000000001E-2</v>
      </c>
      <c r="J52">
        <v>50</v>
      </c>
      <c r="K52">
        <f t="shared" si="0"/>
        <v>4.095E-2</v>
      </c>
      <c r="L52" t="s">
        <v>17</v>
      </c>
      <c r="M52">
        <v>296</v>
      </c>
      <c r="N52" t="s">
        <v>17</v>
      </c>
      <c r="O52" t="s">
        <v>707</v>
      </c>
    </row>
    <row r="53" spans="1:15" x14ac:dyDescent="0.2">
      <c r="A53" t="s">
        <v>624</v>
      </c>
      <c r="B53" t="s">
        <v>239</v>
      </c>
      <c r="C53">
        <v>5</v>
      </c>
      <c r="D53">
        <v>4</v>
      </c>
      <c r="E53">
        <v>1</v>
      </c>
      <c r="F53">
        <v>4</v>
      </c>
      <c r="G53">
        <v>3</v>
      </c>
      <c r="H53">
        <v>2</v>
      </c>
      <c r="I53">
        <v>5.8999999999999997E-2</v>
      </c>
      <c r="J53">
        <v>50</v>
      </c>
      <c r="K53">
        <f t="shared" si="0"/>
        <v>2.9499999999999998E-2</v>
      </c>
      <c r="L53" t="s">
        <v>17</v>
      </c>
      <c r="M53">
        <v>296</v>
      </c>
      <c r="N53" t="s">
        <v>17</v>
      </c>
      <c r="O53" t="s">
        <v>708</v>
      </c>
    </row>
    <row r="54" spans="1:15" x14ac:dyDescent="0.2">
      <c r="A54" t="s">
        <v>624</v>
      </c>
      <c r="B54" t="s">
        <v>376</v>
      </c>
      <c r="C54">
        <v>5</v>
      </c>
      <c r="D54">
        <v>4</v>
      </c>
      <c r="E54">
        <v>1</v>
      </c>
      <c r="F54">
        <v>4</v>
      </c>
      <c r="G54">
        <v>3</v>
      </c>
      <c r="H54">
        <v>2</v>
      </c>
      <c r="I54">
        <v>6.8000000000000005E-2</v>
      </c>
      <c r="J54">
        <v>50</v>
      </c>
      <c r="K54">
        <f t="shared" si="0"/>
        <v>3.4000000000000002E-2</v>
      </c>
      <c r="L54" t="s">
        <v>17</v>
      </c>
      <c r="M54">
        <v>296</v>
      </c>
      <c r="N54" t="s">
        <v>17</v>
      </c>
      <c r="O54" t="s">
        <v>709</v>
      </c>
    </row>
    <row r="55" spans="1:15" x14ac:dyDescent="0.2">
      <c r="A55" t="s">
        <v>624</v>
      </c>
      <c r="B55" t="s">
        <v>407</v>
      </c>
      <c r="C55">
        <v>5</v>
      </c>
      <c r="D55">
        <v>4</v>
      </c>
      <c r="E55">
        <v>1</v>
      </c>
      <c r="F55">
        <v>4</v>
      </c>
      <c r="G55">
        <v>3</v>
      </c>
      <c r="H55">
        <v>2</v>
      </c>
      <c r="I55">
        <v>6.7000000000000004E-2</v>
      </c>
      <c r="J55">
        <v>50</v>
      </c>
      <c r="K55">
        <f t="shared" si="0"/>
        <v>3.3500000000000002E-2</v>
      </c>
      <c r="L55" t="s">
        <v>17</v>
      </c>
      <c r="M55">
        <v>296</v>
      </c>
      <c r="N55" t="s">
        <v>17</v>
      </c>
      <c r="O55" t="s">
        <v>710</v>
      </c>
    </row>
    <row r="56" spans="1:15" x14ac:dyDescent="0.2">
      <c r="A56" t="s">
        <v>624</v>
      </c>
      <c r="B56" t="s">
        <v>239</v>
      </c>
      <c r="C56">
        <v>6</v>
      </c>
      <c r="D56">
        <v>4</v>
      </c>
      <c r="E56">
        <v>2</v>
      </c>
      <c r="F56">
        <v>5</v>
      </c>
      <c r="G56">
        <v>3</v>
      </c>
      <c r="H56">
        <v>3</v>
      </c>
      <c r="I56">
        <v>0.05</v>
      </c>
      <c r="J56">
        <v>50</v>
      </c>
      <c r="K56">
        <f t="shared" si="0"/>
        <v>2.5000000000000001E-2</v>
      </c>
      <c r="L56" t="s">
        <v>17</v>
      </c>
      <c r="M56">
        <v>296</v>
      </c>
      <c r="N56" t="s">
        <v>17</v>
      </c>
      <c r="O56" t="s">
        <v>711</v>
      </c>
    </row>
    <row r="57" spans="1:15" x14ac:dyDescent="0.2">
      <c r="A57" t="s">
        <v>624</v>
      </c>
      <c r="B57" t="s">
        <v>376</v>
      </c>
      <c r="C57">
        <v>6</v>
      </c>
      <c r="D57">
        <v>4</v>
      </c>
      <c r="E57">
        <v>2</v>
      </c>
      <c r="F57">
        <v>5</v>
      </c>
      <c r="G57">
        <v>3</v>
      </c>
      <c r="H57">
        <v>3</v>
      </c>
      <c r="I57">
        <v>6.9000000000000006E-2</v>
      </c>
      <c r="J57">
        <v>50</v>
      </c>
      <c r="K57">
        <f t="shared" si="0"/>
        <v>3.4500000000000003E-2</v>
      </c>
      <c r="L57" t="s">
        <v>17</v>
      </c>
      <c r="M57">
        <v>296</v>
      </c>
      <c r="N57" t="s">
        <v>17</v>
      </c>
      <c r="O57" t="s">
        <v>712</v>
      </c>
    </row>
    <row r="58" spans="1:15" x14ac:dyDescent="0.2">
      <c r="A58" t="s">
        <v>624</v>
      </c>
      <c r="B58" t="s">
        <v>407</v>
      </c>
      <c r="C58">
        <v>6</v>
      </c>
      <c r="D58">
        <v>4</v>
      </c>
      <c r="E58">
        <v>2</v>
      </c>
      <c r="F58">
        <v>5</v>
      </c>
      <c r="G58">
        <v>3</v>
      </c>
      <c r="H58">
        <v>3</v>
      </c>
      <c r="I58">
        <v>8.6999999999999994E-2</v>
      </c>
      <c r="J58">
        <v>50</v>
      </c>
      <c r="K58">
        <f t="shared" si="0"/>
        <v>4.3499999999999997E-2</v>
      </c>
      <c r="L58" t="s">
        <v>17</v>
      </c>
      <c r="M58">
        <v>296</v>
      </c>
      <c r="N58" t="s">
        <v>17</v>
      </c>
      <c r="O58" t="s">
        <v>713</v>
      </c>
    </row>
    <row r="59" spans="1:15" x14ac:dyDescent="0.2">
      <c r="A59" t="s">
        <v>624</v>
      </c>
      <c r="B59" t="s">
        <v>239</v>
      </c>
      <c r="C59">
        <v>6</v>
      </c>
      <c r="D59">
        <v>5</v>
      </c>
      <c r="E59">
        <v>2</v>
      </c>
      <c r="F59">
        <v>5</v>
      </c>
      <c r="G59">
        <v>4</v>
      </c>
      <c r="H59">
        <v>1</v>
      </c>
      <c r="I59">
        <v>4.7199999999999999E-2</v>
      </c>
      <c r="J59">
        <v>50</v>
      </c>
      <c r="K59">
        <f t="shared" si="0"/>
        <v>2.3599999999999999E-2</v>
      </c>
      <c r="L59" t="s">
        <v>17</v>
      </c>
      <c r="M59">
        <v>296</v>
      </c>
      <c r="N59" t="s">
        <v>17</v>
      </c>
      <c r="O59" t="s">
        <v>714</v>
      </c>
    </row>
    <row r="60" spans="1:15" x14ac:dyDescent="0.2">
      <c r="A60" t="s">
        <v>624</v>
      </c>
      <c r="B60" t="s">
        <v>376</v>
      </c>
      <c r="C60">
        <v>6</v>
      </c>
      <c r="D60">
        <v>5</v>
      </c>
      <c r="E60">
        <v>2</v>
      </c>
      <c r="F60">
        <v>5</v>
      </c>
      <c r="G60">
        <v>4</v>
      </c>
      <c r="H60">
        <v>1</v>
      </c>
      <c r="I60">
        <v>6.4000000000000001E-2</v>
      </c>
      <c r="J60">
        <v>50</v>
      </c>
      <c r="K60">
        <f t="shared" si="0"/>
        <v>3.2000000000000001E-2</v>
      </c>
      <c r="L60" t="s">
        <v>17</v>
      </c>
      <c r="M60">
        <v>296</v>
      </c>
      <c r="N60" t="s">
        <v>17</v>
      </c>
      <c r="O60" t="s">
        <v>715</v>
      </c>
    </row>
    <row r="61" spans="1:15" x14ac:dyDescent="0.2">
      <c r="A61" t="s">
        <v>624</v>
      </c>
      <c r="B61" t="s">
        <v>407</v>
      </c>
      <c r="C61">
        <v>6</v>
      </c>
      <c r="D61">
        <v>5</v>
      </c>
      <c r="E61">
        <v>2</v>
      </c>
      <c r="F61">
        <v>5</v>
      </c>
      <c r="G61">
        <v>4</v>
      </c>
      <c r="H61">
        <v>1</v>
      </c>
      <c r="I61">
        <v>6.0999999999999999E-2</v>
      </c>
      <c r="J61">
        <v>50</v>
      </c>
      <c r="K61">
        <f t="shared" si="0"/>
        <v>3.0499999999999999E-2</v>
      </c>
      <c r="L61" t="s">
        <v>17</v>
      </c>
      <c r="M61">
        <v>296</v>
      </c>
      <c r="N61" t="s">
        <v>17</v>
      </c>
      <c r="O61" t="s">
        <v>716</v>
      </c>
    </row>
    <row r="62" spans="1:15" x14ac:dyDescent="0.2">
      <c r="A62" t="s">
        <v>624</v>
      </c>
      <c r="B62" t="s">
        <v>239</v>
      </c>
      <c r="C62">
        <v>7</v>
      </c>
      <c r="D62">
        <v>6</v>
      </c>
      <c r="E62">
        <v>2</v>
      </c>
      <c r="F62">
        <v>6</v>
      </c>
      <c r="G62">
        <v>5</v>
      </c>
      <c r="H62">
        <v>1</v>
      </c>
      <c r="I62">
        <v>0.05</v>
      </c>
      <c r="J62">
        <v>50</v>
      </c>
      <c r="K62">
        <f t="shared" si="0"/>
        <v>2.5000000000000001E-2</v>
      </c>
      <c r="L62" t="s">
        <v>17</v>
      </c>
      <c r="M62">
        <v>296</v>
      </c>
      <c r="N62" t="s">
        <v>17</v>
      </c>
      <c r="O62" t="s">
        <v>717</v>
      </c>
    </row>
    <row r="63" spans="1:15" x14ac:dyDescent="0.2">
      <c r="A63" t="s">
        <v>624</v>
      </c>
      <c r="B63" t="s">
        <v>376</v>
      </c>
      <c r="C63">
        <v>7</v>
      </c>
      <c r="D63">
        <v>6</v>
      </c>
      <c r="E63">
        <v>2</v>
      </c>
      <c r="F63">
        <v>6</v>
      </c>
      <c r="G63">
        <v>5</v>
      </c>
      <c r="H63">
        <v>1</v>
      </c>
      <c r="I63">
        <v>6.0999999999999999E-2</v>
      </c>
      <c r="J63">
        <v>50</v>
      </c>
      <c r="K63">
        <f t="shared" si="0"/>
        <v>3.0499999999999999E-2</v>
      </c>
      <c r="L63" t="s">
        <v>17</v>
      </c>
      <c r="M63">
        <v>296</v>
      </c>
      <c r="N63" t="s">
        <v>17</v>
      </c>
      <c r="O63" t="s">
        <v>718</v>
      </c>
    </row>
    <row r="64" spans="1:15" x14ac:dyDescent="0.2">
      <c r="A64" t="s">
        <v>624</v>
      </c>
      <c r="B64" t="s">
        <v>407</v>
      </c>
      <c r="C64">
        <v>7</v>
      </c>
      <c r="D64">
        <v>6</v>
      </c>
      <c r="E64">
        <v>2</v>
      </c>
      <c r="F64">
        <v>6</v>
      </c>
      <c r="G64">
        <v>5</v>
      </c>
      <c r="H64">
        <v>1</v>
      </c>
      <c r="I64">
        <v>6.4000000000000001E-2</v>
      </c>
      <c r="J64">
        <v>50</v>
      </c>
      <c r="K64">
        <f t="shared" si="0"/>
        <v>3.2000000000000001E-2</v>
      </c>
      <c r="L64" t="s">
        <v>17</v>
      </c>
      <c r="M64">
        <v>296</v>
      </c>
      <c r="N64" t="s">
        <v>17</v>
      </c>
      <c r="O64" t="s">
        <v>719</v>
      </c>
    </row>
    <row r="65" spans="1:15" x14ac:dyDescent="0.2">
      <c r="A65" t="s">
        <v>624</v>
      </c>
      <c r="B65" t="s">
        <v>239</v>
      </c>
      <c r="C65">
        <v>8</v>
      </c>
      <c r="D65">
        <v>4</v>
      </c>
      <c r="E65">
        <v>5</v>
      </c>
      <c r="F65">
        <v>7</v>
      </c>
      <c r="G65">
        <v>3</v>
      </c>
      <c r="H65">
        <v>4</v>
      </c>
      <c r="I65">
        <v>5.0999999999999997E-2</v>
      </c>
      <c r="J65">
        <v>50</v>
      </c>
      <c r="K65">
        <f t="shared" si="0"/>
        <v>2.5499999999999998E-2</v>
      </c>
      <c r="L65" t="s">
        <v>17</v>
      </c>
      <c r="M65">
        <v>296</v>
      </c>
      <c r="N65" t="s">
        <v>17</v>
      </c>
      <c r="O65" t="s">
        <v>720</v>
      </c>
    </row>
    <row r="66" spans="1:15" x14ac:dyDescent="0.2">
      <c r="A66" t="s">
        <v>624</v>
      </c>
      <c r="B66" t="s">
        <v>376</v>
      </c>
      <c r="C66">
        <v>8</v>
      </c>
      <c r="D66">
        <v>4</v>
      </c>
      <c r="E66">
        <v>5</v>
      </c>
      <c r="F66">
        <v>7</v>
      </c>
      <c r="G66">
        <v>3</v>
      </c>
      <c r="H66">
        <v>4</v>
      </c>
      <c r="I66">
        <v>6.3E-2</v>
      </c>
      <c r="J66">
        <v>50</v>
      </c>
      <c r="K66">
        <f t="shared" si="0"/>
        <v>3.15E-2</v>
      </c>
      <c r="L66" t="s">
        <v>17</v>
      </c>
      <c r="M66">
        <v>296</v>
      </c>
      <c r="N66" t="s">
        <v>17</v>
      </c>
      <c r="O66" t="s">
        <v>721</v>
      </c>
    </row>
    <row r="67" spans="1:15" x14ac:dyDescent="0.2">
      <c r="A67" t="s">
        <v>624</v>
      </c>
      <c r="B67" t="s">
        <v>407</v>
      </c>
      <c r="C67">
        <v>8</v>
      </c>
      <c r="D67">
        <v>4</v>
      </c>
      <c r="E67">
        <v>5</v>
      </c>
      <c r="F67">
        <v>7</v>
      </c>
      <c r="G67">
        <v>3</v>
      </c>
      <c r="H67">
        <v>4</v>
      </c>
      <c r="I67">
        <v>6.2E-2</v>
      </c>
      <c r="J67">
        <v>50</v>
      </c>
      <c r="K67">
        <f t="shared" si="0"/>
        <v>3.1E-2</v>
      </c>
      <c r="L67" t="s">
        <v>17</v>
      </c>
      <c r="M67">
        <v>296</v>
      </c>
      <c r="N67" t="s">
        <v>17</v>
      </c>
      <c r="O67" t="s">
        <v>722</v>
      </c>
    </row>
    <row r="68" spans="1:15" x14ac:dyDescent="0.2">
      <c r="A68" t="s">
        <v>624</v>
      </c>
      <c r="B68" t="s">
        <v>239</v>
      </c>
      <c r="C68">
        <v>8</v>
      </c>
      <c r="D68">
        <v>3</v>
      </c>
      <c r="E68">
        <v>5</v>
      </c>
      <c r="F68">
        <v>7</v>
      </c>
      <c r="G68">
        <v>4</v>
      </c>
      <c r="H68">
        <v>4</v>
      </c>
      <c r="I68">
        <v>5.3600000000000002E-2</v>
      </c>
      <c r="J68">
        <v>50</v>
      </c>
      <c r="K68">
        <f t="shared" ref="K68:K113" si="1">J68*I68/100</f>
        <v>2.6800000000000001E-2</v>
      </c>
      <c r="L68" t="s">
        <v>17</v>
      </c>
      <c r="M68">
        <v>296</v>
      </c>
      <c r="N68" t="s">
        <v>17</v>
      </c>
      <c r="O68" t="s">
        <v>723</v>
      </c>
    </row>
    <row r="69" spans="1:15" x14ac:dyDescent="0.2">
      <c r="A69" t="s">
        <v>624</v>
      </c>
      <c r="B69" t="s">
        <v>376</v>
      </c>
      <c r="C69">
        <v>8</v>
      </c>
      <c r="D69">
        <v>3</v>
      </c>
      <c r="E69">
        <v>5</v>
      </c>
      <c r="F69">
        <v>7</v>
      </c>
      <c r="G69">
        <v>4</v>
      </c>
      <c r="H69">
        <v>4</v>
      </c>
      <c r="I69">
        <v>7.1999999999999995E-2</v>
      </c>
      <c r="J69">
        <v>50</v>
      </c>
      <c r="K69">
        <f t="shared" si="1"/>
        <v>3.5999999999999997E-2</v>
      </c>
      <c r="L69" t="s">
        <v>17</v>
      </c>
      <c r="M69">
        <v>296</v>
      </c>
      <c r="N69" t="s">
        <v>17</v>
      </c>
      <c r="O69" t="s">
        <v>724</v>
      </c>
    </row>
    <row r="70" spans="1:15" x14ac:dyDescent="0.2">
      <c r="A70" t="s">
        <v>624</v>
      </c>
      <c r="B70" t="s">
        <v>407</v>
      </c>
      <c r="C70">
        <v>8</v>
      </c>
      <c r="D70">
        <v>3</v>
      </c>
      <c r="E70">
        <v>5</v>
      </c>
      <c r="F70">
        <v>7</v>
      </c>
      <c r="G70">
        <v>4</v>
      </c>
      <c r="H70">
        <v>4</v>
      </c>
      <c r="I70">
        <v>6.3399999999999998E-2</v>
      </c>
      <c r="J70">
        <v>50</v>
      </c>
      <c r="K70">
        <f t="shared" si="1"/>
        <v>3.1699999999999999E-2</v>
      </c>
      <c r="L70" t="s">
        <v>17</v>
      </c>
      <c r="M70">
        <v>296</v>
      </c>
      <c r="N70" t="s">
        <v>17</v>
      </c>
      <c r="O70" t="s">
        <v>725</v>
      </c>
    </row>
    <row r="71" spans="1:15" x14ac:dyDescent="0.2">
      <c r="A71" t="s">
        <v>624</v>
      </c>
      <c r="B71" t="s">
        <v>239</v>
      </c>
      <c r="C71">
        <v>8</v>
      </c>
      <c r="D71">
        <v>6</v>
      </c>
      <c r="E71">
        <v>3</v>
      </c>
      <c r="F71">
        <v>7</v>
      </c>
      <c r="G71">
        <v>5</v>
      </c>
      <c r="H71">
        <v>2</v>
      </c>
      <c r="I71">
        <v>7.0000000000000007E-2</v>
      </c>
      <c r="J71">
        <v>50</v>
      </c>
      <c r="K71">
        <f t="shared" si="1"/>
        <v>3.5000000000000003E-2</v>
      </c>
      <c r="L71" t="s">
        <v>17</v>
      </c>
      <c r="M71">
        <v>296</v>
      </c>
      <c r="N71" t="s">
        <v>17</v>
      </c>
      <c r="O71" t="s">
        <v>726</v>
      </c>
    </row>
    <row r="72" spans="1:15" x14ac:dyDescent="0.2">
      <c r="A72" t="s">
        <v>624</v>
      </c>
      <c r="B72" t="s">
        <v>376</v>
      </c>
      <c r="C72">
        <v>8</v>
      </c>
      <c r="D72">
        <v>6</v>
      </c>
      <c r="E72">
        <v>3</v>
      </c>
      <c r="F72">
        <v>7</v>
      </c>
      <c r="G72">
        <v>5</v>
      </c>
      <c r="H72">
        <v>2</v>
      </c>
      <c r="I72">
        <v>9.0999999999999998E-2</v>
      </c>
      <c r="J72">
        <v>50</v>
      </c>
      <c r="K72">
        <f t="shared" si="1"/>
        <v>4.5499999999999999E-2</v>
      </c>
      <c r="L72" t="s">
        <v>17</v>
      </c>
      <c r="M72">
        <v>296</v>
      </c>
      <c r="N72" t="s">
        <v>17</v>
      </c>
      <c r="O72" t="s">
        <v>727</v>
      </c>
    </row>
    <row r="73" spans="1:15" x14ac:dyDescent="0.2">
      <c r="A73" t="s">
        <v>624</v>
      </c>
      <c r="B73" t="s">
        <v>407</v>
      </c>
      <c r="C73">
        <v>8</v>
      </c>
      <c r="D73">
        <v>6</v>
      </c>
      <c r="E73">
        <v>3</v>
      </c>
      <c r="F73">
        <v>7</v>
      </c>
      <c r="G73">
        <v>5</v>
      </c>
      <c r="H73">
        <v>2</v>
      </c>
      <c r="I73">
        <v>9.1999999999999998E-2</v>
      </c>
      <c r="J73">
        <v>50</v>
      </c>
      <c r="K73">
        <f t="shared" si="1"/>
        <v>4.5999999999999999E-2</v>
      </c>
      <c r="L73" t="s">
        <v>17</v>
      </c>
      <c r="M73">
        <v>296</v>
      </c>
      <c r="N73" t="s">
        <v>17</v>
      </c>
      <c r="O73" t="s">
        <v>728</v>
      </c>
    </row>
    <row r="74" spans="1:15" x14ac:dyDescent="0.2">
      <c r="A74" t="s">
        <v>624</v>
      </c>
      <c r="B74" t="s">
        <v>239</v>
      </c>
      <c r="C74">
        <v>8</v>
      </c>
      <c r="D74">
        <v>7</v>
      </c>
      <c r="E74">
        <v>1</v>
      </c>
      <c r="F74">
        <v>7</v>
      </c>
      <c r="G74">
        <v>6</v>
      </c>
      <c r="H74">
        <v>2</v>
      </c>
      <c r="I74">
        <v>4.8000000000000001E-2</v>
      </c>
      <c r="J74">
        <v>50</v>
      </c>
      <c r="K74">
        <f t="shared" si="1"/>
        <v>2.4E-2</v>
      </c>
      <c r="L74" t="s">
        <v>17</v>
      </c>
      <c r="M74">
        <v>296</v>
      </c>
      <c r="N74" t="s">
        <v>17</v>
      </c>
      <c r="O74" t="s">
        <v>729</v>
      </c>
    </row>
    <row r="75" spans="1:15" x14ac:dyDescent="0.2">
      <c r="A75" t="s">
        <v>624</v>
      </c>
      <c r="B75" t="s">
        <v>376</v>
      </c>
      <c r="C75">
        <v>8</v>
      </c>
      <c r="D75">
        <v>7</v>
      </c>
      <c r="E75">
        <v>1</v>
      </c>
      <c r="F75">
        <v>7</v>
      </c>
      <c r="G75">
        <v>6</v>
      </c>
      <c r="H75">
        <v>2</v>
      </c>
      <c r="I75">
        <v>6.3200000000000006E-2</v>
      </c>
      <c r="J75">
        <v>50</v>
      </c>
      <c r="K75">
        <f t="shared" si="1"/>
        <v>3.1600000000000003E-2</v>
      </c>
      <c r="L75" t="s">
        <v>17</v>
      </c>
      <c r="M75">
        <v>296</v>
      </c>
      <c r="N75" t="s">
        <v>17</v>
      </c>
      <c r="O75" t="s">
        <v>730</v>
      </c>
    </row>
    <row r="76" spans="1:15" x14ac:dyDescent="0.2">
      <c r="A76" t="s">
        <v>624</v>
      </c>
      <c r="B76" t="s">
        <v>407</v>
      </c>
      <c r="C76">
        <v>8</v>
      </c>
      <c r="D76">
        <v>7</v>
      </c>
      <c r="E76">
        <v>1</v>
      </c>
      <c r="F76">
        <v>7</v>
      </c>
      <c r="G76">
        <v>6</v>
      </c>
      <c r="H76">
        <v>2</v>
      </c>
      <c r="I76">
        <v>6.3E-2</v>
      </c>
      <c r="J76">
        <v>50</v>
      </c>
      <c r="K76">
        <f t="shared" si="1"/>
        <v>3.15E-2</v>
      </c>
      <c r="L76" t="s">
        <v>17</v>
      </c>
      <c r="M76">
        <v>296</v>
      </c>
      <c r="N76" t="s">
        <v>17</v>
      </c>
      <c r="O76" t="s">
        <v>731</v>
      </c>
    </row>
    <row r="77" spans="1:15" x14ac:dyDescent="0.2">
      <c r="A77" t="s">
        <v>624</v>
      </c>
      <c r="B77" t="s">
        <v>239</v>
      </c>
      <c r="C77">
        <v>9</v>
      </c>
      <c r="D77">
        <v>3</v>
      </c>
      <c r="E77">
        <v>7</v>
      </c>
      <c r="F77">
        <v>8</v>
      </c>
      <c r="G77">
        <v>2</v>
      </c>
      <c r="H77">
        <v>6</v>
      </c>
      <c r="I77">
        <v>4.3999999999999997E-2</v>
      </c>
      <c r="J77">
        <v>50</v>
      </c>
      <c r="K77">
        <f t="shared" si="1"/>
        <v>2.1999999999999999E-2</v>
      </c>
      <c r="L77" t="s">
        <v>17</v>
      </c>
      <c r="M77">
        <v>296</v>
      </c>
      <c r="N77" t="s">
        <v>17</v>
      </c>
      <c r="O77" t="s">
        <v>732</v>
      </c>
    </row>
    <row r="78" spans="1:15" x14ac:dyDescent="0.2">
      <c r="A78" t="s">
        <v>624</v>
      </c>
      <c r="B78" t="s">
        <v>376</v>
      </c>
      <c r="C78">
        <v>9</v>
      </c>
      <c r="D78">
        <v>3</v>
      </c>
      <c r="E78">
        <v>7</v>
      </c>
      <c r="F78">
        <v>8</v>
      </c>
      <c r="G78">
        <v>2</v>
      </c>
      <c r="H78">
        <v>6</v>
      </c>
      <c r="I78">
        <v>4.7E-2</v>
      </c>
      <c r="J78">
        <v>50</v>
      </c>
      <c r="K78">
        <f t="shared" si="1"/>
        <v>2.35E-2</v>
      </c>
      <c r="L78" t="s">
        <v>17</v>
      </c>
      <c r="M78">
        <v>296</v>
      </c>
      <c r="N78" t="s">
        <v>17</v>
      </c>
      <c r="O78" t="s">
        <v>733</v>
      </c>
    </row>
    <row r="79" spans="1:15" x14ac:dyDescent="0.2">
      <c r="A79" t="s">
        <v>624</v>
      </c>
      <c r="B79" t="s">
        <v>407</v>
      </c>
      <c r="C79">
        <v>9</v>
      </c>
      <c r="D79">
        <v>3</v>
      </c>
      <c r="E79">
        <v>7</v>
      </c>
      <c r="F79">
        <v>8</v>
      </c>
      <c r="G79">
        <v>2</v>
      </c>
      <c r="H79">
        <v>6</v>
      </c>
      <c r="I79">
        <v>5.2999999999999999E-2</v>
      </c>
      <c r="J79">
        <v>50</v>
      </c>
      <c r="K79">
        <f t="shared" si="1"/>
        <v>2.6499999999999999E-2</v>
      </c>
      <c r="L79" t="s">
        <v>17</v>
      </c>
      <c r="M79">
        <v>296</v>
      </c>
      <c r="N79" t="s">
        <v>17</v>
      </c>
      <c r="O79" t="s">
        <v>734</v>
      </c>
    </row>
    <row r="80" spans="1:15" x14ac:dyDescent="0.2">
      <c r="A80" t="s">
        <v>624</v>
      </c>
      <c r="B80" t="s">
        <v>239</v>
      </c>
      <c r="C80">
        <v>9</v>
      </c>
      <c r="D80">
        <v>2</v>
      </c>
      <c r="E80">
        <v>7</v>
      </c>
      <c r="F80">
        <v>8</v>
      </c>
      <c r="G80">
        <v>3</v>
      </c>
      <c r="H80">
        <v>6</v>
      </c>
      <c r="I80">
        <v>4.2000000000000003E-2</v>
      </c>
      <c r="J80">
        <v>50</v>
      </c>
      <c r="K80">
        <f t="shared" si="1"/>
        <v>2.1000000000000001E-2</v>
      </c>
      <c r="L80" t="s">
        <v>17</v>
      </c>
      <c r="M80">
        <v>296</v>
      </c>
      <c r="N80" t="s">
        <v>17</v>
      </c>
      <c r="O80" t="s">
        <v>735</v>
      </c>
    </row>
    <row r="81" spans="1:15" x14ac:dyDescent="0.2">
      <c r="A81" t="s">
        <v>624</v>
      </c>
      <c r="B81" t="s">
        <v>376</v>
      </c>
      <c r="C81">
        <v>9</v>
      </c>
      <c r="D81">
        <v>2</v>
      </c>
      <c r="E81">
        <v>7</v>
      </c>
      <c r="F81">
        <v>8</v>
      </c>
      <c r="G81">
        <v>3</v>
      </c>
      <c r="H81">
        <v>6</v>
      </c>
      <c r="I81">
        <v>5.7000000000000002E-2</v>
      </c>
      <c r="J81">
        <v>50</v>
      </c>
      <c r="K81">
        <f t="shared" si="1"/>
        <v>2.8500000000000001E-2</v>
      </c>
      <c r="L81" t="s">
        <v>17</v>
      </c>
      <c r="M81">
        <v>296</v>
      </c>
      <c r="N81" t="s">
        <v>17</v>
      </c>
      <c r="O81" t="s">
        <v>736</v>
      </c>
    </row>
    <row r="82" spans="1:15" x14ac:dyDescent="0.2">
      <c r="A82" t="s">
        <v>624</v>
      </c>
      <c r="B82" t="s">
        <v>407</v>
      </c>
      <c r="C82">
        <v>9</v>
      </c>
      <c r="D82">
        <v>2</v>
      </c>
      <c r="E82">
        <v>7</v>
      </c>
      <c r="F82">
        <v>8</v>
      </c>
      <c r="G82">
        <v>3</v>
      </c>
      <c r="H82">
        <v>6</v>
      </c>
      <c r="I82">
        <v>5.2999999999999999E-2</v>
      </c>
      <c r="J82">
        <v>50</v>
      </c>
      <c r="K82">
        <f t="shared" si="1"/>
        <v>2.6499999999999999E-2</v>
      </c>
      <c r="L82" t="s">
        <v>17</v>
      </c>
      <c r="M82">
        <v>296</v>
      </c>
      <c r="N82" t="s">
        <v>17</v>
      </c>
      <c r="O82" t="s">
        <v>737</v>
      </c>
    </row>
    <row r="83" spans="1:15" x14ac:dyDescent="0.2">
      <c r="A83" t="s">
        <v>624</v>
      </c>
      <c r="B83" t="s">
        <v>239</v>
      </c>
      <c r="C83">
        <v>9</v>
      </c>
      <c r="D83">
        <v>7</v>
      </c>
      <c r="E83">
        <v>3</v>
      </c>
      <c r="F83">
        <v>8</v>
      </c>
      <c r="G83">
        <v>6</v>
      </c>
      <c r="H83">
        <v>2</v>
      </c>
      <c r="I83">
        <v>5.7099999999999998E-2</v>
      </c>
      <c r="J83">
        <v>50</v>
      </c>
      <c r="K83">
        <f t="shared" si="1"/>
        <v>2.8549999999999999E-2</v>
      </c>
      <c r="L83" t="s">
        <v>17</v>
      </c>
      <c r="M83">
        <v>296</v>
      </c>
      <c r="N83" t="s">
        <v>17</v>
      </c>
      <c r="O83" t="s">
        <v>738</v>
      </c>
    </row>
    <row r="84" spans="1:15" x14ac:dyDescent="0.2">
      <c r="A84" t="s">
        <v>624</v>
      </c>
      <c r="B84" t="s">
        <v>376</v>
      </c>
      <c r="C84">
        <v>9</v>
      </c>
      <c r="D84">
        <v>7</v>
      </c>
      <c r="E84">
        <v>3</v>
      </c>
      <c r="F84">
        <v>8</v>
      </c>
      <c r="G84">
        <v>6</v>
      </c>
      <c r="H84">
        <v>2</v>
      </c>
      <c r="I84">
        <v>6.4000000000000001E-2</v>
      </c>
      <c r="J84">
        <v>50</v>
      </c>
      <c r="K84">
        <f t="shared" si="1"/>
        <v>3.2000000000000001E-2</v>
      </c>
      <c r="L84" t="s">
        <v>17</v>
      </c>
      <c r="M84">
        <v>296</v>
      </c>
      <c r="N84" t="s">
        <v>17</v>
      </c>
      <c r="O84" t="s">
        <v>739</v>
      </c>
    </row>
    <row r="85" spans="1:15" x14ac:dyDescent="0.2">
      <c r="A85" t="s">
        <v>624</v>
      </c>
      <c r="B85" t="s">
        <v>407</v>
      </c>
      <c r="C85">
        <v>9</v>
      </c>
      <c r="D85">
        <v>7</v>
      </c>
      <c r="E85">
        <v>3</v>
      </c>
      <c r="F85">
        <v>8</v>
      </c>
      <c r="G85">
        <v>6</v>
      </c>
      <c r="H85">
        <v>2</v>
      </c>
      <c r="I85">
        <v>7.4999999999999997E-2</v>
      </c>
      <c r="J85">
        <v>50</v>
      </c>
      <c r="K85">
        <f t="shared" si="1"/>
        <v>3.7499999999999999E-2</v>
      </c>
      <c r="L85" t="s">
        <v>17</v>
      </c>
      <c r="M85">
        <v>296</v>
      </c>
      <c r="N85" t="s">
        <v>17</v>
      </c>
      <c r="O85" t="s">
        <v>740</v>
      </c>
    </row>
    <row r="86" spans="1:15" x14ac:dyDescent="0.2">
      <c r="A86" t="s">
        <v>624</v>
      </c>
      <c r="B86" t="s">
        <v>239</v>
      </c>
      <c r="C86">
        <v>10</v>
      </c>
      <c r="D86">
        <v>5</v>
      </c>
      <c r="E86">
        <v>6</v>
      </c>
      <c r="F86">
        <v>9</v>
      </c>
      <c r="G86">
        <v>4</v>
      </c>
      <c r="H86">
        <v>5</v>
      </c>
      <c r="I86">
        <v>4.4999999999999998E-2</v>
      </c>
      <c r="J86">
        <v>50</v>
      </c>
      <c r="K86">
        <f t="shared" si="1"/>
        <v>2.2499999999999999E-2</v>
      </c>
      <c r="L86" t="s">
        <v>17</v>
      </c>
      <c r="M86">
        <v>296</v>
      </c>
      <c r="N86" t="s">
        <v>17</v>
      </c>
      <c r="O86" t="s">
        <v>741</v>
      </c>
    </row>
    <row r="87" spans="1:15" x14ac:dyDescent="0.2">
      <c r="A87" t="s">
        <v>624</v>
      </c>
      <c r="B87" t="s">
        <v>376</v>
      </c>
      <c r="C87">
        <v>10</v>
      </c>
      <c r="D87">
        <v>5</v>
      </c>
      <c r="E87">
        <v>6</v>
      </c>
      <c r="F87">
        <v>9</v>
      </c>
      <c r="G87">
        <v>4</v>
      </c>
      <c r="H87">
        <v>5</v>
      </c>
      <c r="I87">
        <v>6.8000000000000005E-2</v>
      </c>
      <c r="J87">
        <v>50</v>
      </c>
      <c r="K87">
        <f t="shared" si="1"/>
        <v>3.4000000000000002E-2</v>
      </c>
      <c r="L87" t="s">
        <v>17</v>
      </c>
      <c r="M87">
        <v>296</v>
      </c>
      <c r="N87" t="s">
        <v>17</v>
      </c>
      <c r="O87" t="s">
        <v>742</v>
      </c>
    </row>
    <row r="88" spans="1:15" x14ac:dyDescent="0.2">
      <c r="A88" t="s">
        <v>624</v>
      </c>
      <c r="B88" t="s">
        <v>407</v>
      </c>
      <c r="C88">
        <v>10</v>
      </c>
      <c r="D88">
        <v>5</v>
      </c>
      <c r="E88">
        <v>6</v>
      </c>
      <c r="F88">
        <v>9</v>
      </c>
      <c r="G88">
        <v>4</v>
      </c>
      <c r="H88">
        <v>5</v>
      </c>
      <c r="I88">
        <v>5.8999999999999997E-2</v>
      </c>
      <c r="J88">
        <v>50</v>
      </c>
      <c r="K88">
        <f t="shared" si="1"/>
        <v>2.9499999999999998E-2</v>
      </c>
      <c r="L88" t="s">
        <v>17</v>
      </c>
      <c r="M88">
        <v>296</v>
      </c>
      <c r="N88" t="s">
        <v>17</v>
      </c>
      <c r="O88" t="s">
        <v>743</v>
      </c>
    </row>
    <row r="89" spans="1:15" x14ac:dyDescent="0.2">
      <c r="A89" t="s">
        <v>624</v>
      </c>
      <c r="B89" t="s">
        <v>239</v>
      </c>
      <c r="C89">
        <v>12</v>
      </c>
      <c r="D89">
        <v>6</v>
      </c>
      <c r="E89">
        <v>7</v>
      </c>
      <c r="F89">
        <v>11</v>
      </c>
      <c r="G89">
        <v>5</v>
      </c>
      <c r="H89">
        <v>6</v>
      </c>
      <c r="I89">
        <v>5.1999999999999998E-2</v>
      </c>
      <c r="J89">
        <v>50</v>
      </c>
      <c r="K89">
        <f t="shared" si="1"/>
        <v>2.6000000000000002E-2</v>
      </c>
      <c r="L89" t="s">
        <v>17</v>
      </c>
      <c r="M89">
        <v>296</v>
      </c>
      <c r="N89" t="s">
        <v>17</v>
      </c>
      <c r="O89" t="s">
        <v>744</v>
      </c>
    </row>
    <row r="90" spans="1:15" x14ac:dyDescent="0.2">
      <c r="A90" t="s">
        <v>624</v>
      </c>
      <c r="B90" t="s">
        <v>376</v>
      </c>
      <c r="C90">
        <v>12</v>
      </c>
      <c r="D90">
        <v>6</v>
      </c>
      <c r="E90">
        <v>7</v>
      </c>
      <c r="F90">
        <v>11</v>
      </c>
      <c r="G90">
        <v>5</v>
      </c>
      <c r="H90">
        <v>6</v>
      </c>
      <c r="I90">
        <v>5.0999999999999997E-2</v>
      </c>
      <c r="J90">
        <v>50</v>
      </c>
      <c r="K90">
        <f t="shared" si="1"/>
        <v>2.5499999999999998E-2</v>
      </c>
      <c r="L90" t="s">
        <v>17</v>
      </c>
      <c r="M90">
        <v>296</v>
      </c>
      <c r="N90" t="s">
        <v>17</v>
      </c>
      <c r="O90" t="s">
        <v>745</v>
      </c>
    </row>
    <row r="91" spans="1:15" x14ac:dyDescent="0.2">
      <c r="A91" t="s">
        <v>624</v>
      </c>
      <c r="B91" t="s">
        <v>407</v>
      </c>
      <c r="C91">
        <v>12</v>
      </c>
      <c r="D91">
        <v>6</v>
      </c>
      <c r="E91">
        <v>7</v>
      </c>
      <c r="F91">
        <v>11</v>
      </c>
      <c r="G91">
        <v>5</v>
      </c>
      <c r="H91">
        <v>6</v>
      </c>
      <c r="I91">
        <v>5.6000000000000001E-2</v>
      </c>
      <c r="J91">
        <v>50</v>
      </c>
      <c r="K91">
        <f t="shared" si="1"/>
        <v>2.8000000000000004E-2</v>
      </c>
      <c r="L91" t="s">
        <v>17</v>
      </c>
      <c r="M91">
        <v>296</v>
      </c>
      <c r="N91" t="s">
        <v>17</v>
      </c>
      <c r="O91" t="s">
        <v>746</v>
      </c>
    </row>
    <row r="92" spans="1:15" x14ac:dyDescent="0.2">
      <c r="A92" t="s">
        <v>624</v>
      </c>
      <c r="B92" t="s">
        <v>239</v>
      </c>
      <c r="C92">
        <v>15</v>
      </c>
      <c r="D92">
        <v>0</v>
      </c>
      <c r="E92">
        <v>15</v>
      </c>
      <c r="F92">
        <v>14</v>
      </c>
      <c r="G92">
        <v>1</v>
      </c>
      <c r="H92">
        <v>14</v>
      </c>
      <c r="I92">
        <v>2.6800000000000001E-2</v>
      </c>
      <c r="J92">
        <v>50</v>
      </c>
      <c r="K92">
        <f t="shared" si="1"/>
        <v>1.34E-2</v>
      </c>
      <c r="L92" t="s">
        <v>17</v>
      </c>
      <c r="M92">
        <v>296</v>
      </c>
      <c r="N92" t="s">
        <v>17</v>
      </c>
      <c r="O92" t="s">
        <v>747</v>
      </c>
    </row>
    <row r="93" spans="1:15" x14ac:dyDescent="0.2">
      <c r="A93" t="s">
        <v>624</v>
      </c>
      <c r="B93" t="s">
        <v>376</v>
      </c>
      <c r="C93">
        <v>15</v>
      </c>
      <c r="D93">
        <v>0</v>
      </c>
      <c r="E93">
        <v>15</v>
      </c>
      <c r="F93">
        <v>14</v>
      </c>
      <c r="G93">
        <v>1</v>
      </c>
      <c r="H93">
        <v>14</v>
      </c>
      <c r="I93">
        <v>3.6999999999999998E-2</v>
      </c>
      <c r="J93">
        <v>50</v>
      </c>
      <c r="K93">
        <f t="shared" si="1"/>
        <v>1.8499999999999999E-2</v>
      </c>
      <c r="L93" t="s">
        <v>17</v>
      </c>
      <c r="M93">
        <v>296</v>
      </c>
      <c r="N93" t="s">
        <v>17</v>
      </c>
      <c r="O93" t="s">
        <v>748</v>
      </c>
    </row>
    <row r="94" spans="1:15" x14ac:dyDescent="0.2">
      <c r="A94" t="s">
        <v>624</v>
      </c>
      <c r="B94" t="s">
        <v>407</v>
      </c>
      <c r="C94">
        <v>15</v>
      </c>
      <c r="D94">
        <v>0</v>
      </c>
      <c r="E94">
        <v>15</v>
      </c>
      <c r="F94">
        <v>14</v>
      </c>
      <c r="G94">
        <v>1</v>
      </c>
      <c r="H94">
        <v>14</v>
      </c>
      <c r="I94">
        <v>3.56E-2</v>
      </c>
      <c r="J94">
        <v>50</v>
      </c>
      <c r="K94">
        <f t="shared" si="1"/>
        <v>1.78E-2</v>
      </c>
      <c r="L94" t="s">
        <v>17</v>
      </c>
      <c r="M94">
        <v>296</v>
      </c>
      <c r="N94" t="s">
        <v>17</v>
      </c>
      <c r="O94" t="s">
        <v>749</v>
      </c>
    </row>
    <row r="95" spans="1:15" x14ac:dyDescent="0.2">
      <c r="A95" t="s">
        <v>624</v>
      </c>
      <c r="B95" t="s">
        <v>239</v>
      </c>
      <c r="C95">
        <v>4</v>
      </c>
      <c r="D95">
        <v>3</v>
      </c>
      <c r="E95">
        <v>1</v>
      </c>
      <c r="F95">
        <v>3</v>
      </c>
      <c r="G95">
        <v>1</v>
      </c>
      <c r="H95">
        <v>2</v>
      </c>
      <c r="I95">
        <v>6.9000000000000006E-2</v>
      </c>
      <c r="J95">
        <v>50</v>
      </c>
      <c r="K95">
        <f t="shared" si="1"/>
        <v>3.4500000000000003E-2</v>
      </c>
      <c r="L95" t="s">
        <v>17</v>
      </c>
      <c r="M95">
        <v>296</v>
      </c>
      <c r="N95" t="s">
        <v>17</v>
      </c>
      <c r="O95" t="s">
        <v>750</v>
      </c>
    </row>
    <row r="96" spans="1:15" x14ac:dyDescent="0.2">
      <c r="A96" t="s">
        <v>624</v>
      </c>
      <c r="B96" t="s">
        <v>376</v>
      </c>
      <c r="C96">
        <v>4</v>
      </c>
      <c r="D96">
        <v>3</v>
      </c>
      <c r="E96">
        <v>1</v>
      </c>
      <c r="F96">
        <v>3</v>
      </c>
      <c r="G96">
        <v>1</v>
      </c>
      <c r="H96">
        <v>2</v>
      </c>
      <c r="I96">
        <v>8.5000000000000006E-2</v>
      </c>
      <c r="J96">
        <v>50</v>
      </c>
      <c r="K96">
        <f t="shared" si="1"/>
        <v>4.2500000000000003E-2</v>
      </c>
      <c r="L96" t="s">
        <v>17</v>
      </c>
      <c r="M96">
        <v>296</v>
      </c>
      <c r="N96" t="s">
        <v>17</v>
      </c>
      <c r="O96" t="s">
        <v>751</v>
      </c>
    </row>
    <row r="97" spans="1:15" x14ac:dyDescent="0.2">
      <c r="A97" t="s">
        <v>624</v>
      </c>
      <c r="B97" t="s">
        <v>407</v>
      </c>
      <c r="C97">
        <v>4</v>
      </c>
      <c r="D97">
        <v>3</v>
      </c>
      <c r="E97">
        <v>1</v>
      </c>
      <c r="F97">
        <v>3</v>
      </c>
      <c r="G97">
        <v>1</v>
      </c>
      <c r="H97">
        <v>2</v>
      </c>
      <c r="I97">
        <v>7.0999999999999994E-2</v>
      </c>
      <c r="J97">
        <v>50</v>
      </c>
      <c r="K97">
        <f t="shared" si="1"/>
        <v>3.5499999999999997E-2</v>
      </c>
      <c r="L97" t="s">
        <v>17</v>
      </c>
      <c r="M97">
        <v>296</v>
      </c>
      <c r="N97" t="s">
        <v>17</v>
      </c>
      <c r="O97" t="s">
        <v>752</v>
      </c>
    </row>
    <row r="98" spans="1:15" x14ac:dyDescent="0.2">
      <c r="A98" t="s">
        <v>624</v>
      </c>
      <c r="B98" t="s">
        <v>239</v>
      </c>
      <c r="C98">
        <v>6</v>
      </c>
      <c r="D98">
        <v>5</v>
      </c>
      <c r="E98">
        <v>1</v>
      </c>
      <c r="F98">
        <v>5</v>
      </c>
      <c r="G98">
        <v>5</v>
      </c>
      <c r="H98">
        <v>0</v>
      </c>
      <c r="I98">
        <v>5.0299999999999997E-2</v>
      </c>
      <c r="J98">
        <v>50</v>
      </c>
      <c r="K98">
        <f t="shared" si="1"/>
        <v>2.5149999999999995E-2</v>
      </c>
      <c r="L98" t="s">
        <v>17</v>
      </c>
      <c r="M98">
        <v>296</v>
      </c>
      <c r="N98" t="s">
        <v>17</v>
      </c>
      <c r="O98" t="s">
        <v>753</v>
      </c>
    </row>
    <row r="99" spans="1:15" x14ac:dyDescent="0.2">
      <c r="A99" t="s">
        <v>624</v>
      </c>
      <c r="B99" t="s">
        <v>376</v>
      </c>
      <c r="C99">
        <v>6</v>
      </c>
      <c r="D99">
        <v>5</v>
      </c>
      <c r="E99">
        <v>1</v>
      </c>
      <c r="F99">
        <v>5</v>
      </c>
      <c r="G99">
        <v>5</v>
      </c>
      <c r="H99">
        <v>0</v>
      </c>
      <c r="I99">
        <v>6.6699999999999995E-2</v>
      </c>
      <c r="J99">
        <v>50</v>
      </c>
      <c r="K99">
        <f t="shared" si="1"/>
        <v>3.3349999999999998E-2</v>
      </c>
      <c r="L99" t="s">
        <v>17</v>
      </c>
      <c r="M99">
        <v>296</v>
      </c>
      <c r="N99" t="s">
        <v>17</v>
      </c>
      <c r="O99" t="s">
        <v>754</v>
      </c>
    </row>
    <row r="100" spans="1:15" x14ac:dyDescent="0.2">
      <c r="A100" t="s">
        <v>624</v>
      </c>
      <c r="B100" t="s">
        <v>407</v>
      </c>
      <c r="C100">
        <v>6</v>
      </c>
      <c r="D100">
        <v>5</v>
      </c>
      <c r="E100">
        <v>1</v>
      </c>
      <c r="F100">
        <v>5</v>
      </c>
      <c r="G100">
        <v>5</v>
      </c>
      <c r="H100">
        <v>0</v>
      </c>
      <c r="I100">
        <v>6.13E-2</v>
      </c>
      <c r="J100">
        <v>50</v>
      </c>
      <c r="K100">
        <f t="shared" si="1"/>
        <v>3.065E-2</v>
      </c>
      <c r="L100" t="s">
        <v>17</v>
      </c>
      <c r="M100">
        <v>296</v>
      </c>
      <c r="N100" t="s">
        <v>17</v>
      </c>
      <c r="O100" t="s">
        <v>755</v>
      </c>
    </row>
    <row r="101" spans="1:15" x14ac:dyDescent="0.2">
      <c r="A101" t="s">
        <v>624</v>
      </c>
      <c r="B101" t="s">
        <v>239</v>
      </c>
      <c r="C101">
        <v>8</v>
      </c>
      <c r="D101">
        <v>4</v>
      </c>
      <c r="E101">
        <v>4</v>
      </c>
      <c r="F101">
        <v>7</v>
      </c>
      <c r="G101">
        <v>4</v>
      </c>
      <c r="H101">
        <v>3</v>
      </c>
      <c r="I101">
        <v>5.6000000000000001E-2</v>
      </c>
      <c r="J101">
        <v>50</v>
      </c>
      <c r="K101">
        <f t="shared" si="1"/>
        <v>2.8000000000000004E-2</v>
      </c>
      <c r="L101" t="s">
        <v>17</v>
      </c>
      <c r="M101">
        <v>296</v>
      </c>
      <c r="N101" t="s">
        <v>17</v>
      </c>
      <c r="O101" t="s">
        <v>756</v>
      </c>
    </row>
    <row r="102" spans="1:15" x14ac:dyDescent="0.2">
      <c r="A102" t="s">
        <v>624</v>
      </c>
      <c r="B102" t="s">
        <v>376</v>
      </c>
      <c r="C102">
        <v>8</v>
      </c>
      <c r="D102">
        <v>4</v>
      </c>
      <c r="E102">
        <v>4</v>
      </c>
      <c r="F102">
        <v>7</v>
      </c>
      <c r="G102">
        <v>4</v>
      </c>
      <c r="H102">
        <v>3</v>
      </c>
      <c r="I102">
        <v>6.9000000000000006E-2</v>
      </c>
      <c r="J102">
        <v>50</v>
      </c>
      <c r="K102">
        <f t="shared" si="1"/>
        <v>3.4500000000000003E-2</v>
      </c>
      <c r="L102" t="s">
        <v>17</v>
      </c>
      <c r="M102">
        <v>296</v>
      </c>
      <c r="N102" t="s">
        <v>17</v>
      </c>
      <c r="O102" t="s">
        <v>757</v>
      </c>
    </row>
    <row r="103" spans="1:15" x14ac:dyDescent="0.2">
      <c r="A103" t="s">
        <v>624</v>
      </c>
      <c r="B103" t="s">
        <v>407</v>
      </c>
      <c r="C103">
        <v>8</v>
      </c>
      <c r="D103">
        <v>4</v>
      </c>
      <c r="E103">
        <v>4</v>
      </c>
      <c r="F103">
        <v>7</v>
      </c>
      <c r="G103">
        <v>4</v>
      </c>
      <c r="H103">
        <v>3</v>
      </c>
      <c r="I103">
        <v>6.5000000000000002E-2</v>
      </c>
      <c r="J103">
        <v>50</v>
      </c>
      <c r="K103">
        <f t="shared" si="1"/>
        <v>3.2500000000000001E-2</v>
      </c>
      <c r="L103" t="s">
        <v>17</v>
      </c>
      <c r="M103">
        <v>296</v>
      </c>
      <c r="N103" t="s">
        <v>17</v>
      </c>
      <c r="O103" t="s">
        <v>758</v>
      </c>
    </row>
    <row r="104" spans="1:15" x14ac:dyDescent="0.2">
      <c r="A104" t="s">
        <v>624</v>
      </c>
      <c r="B104" t="s">
        <v>239</v>
      </c>
      <c r="C104">
        <v>8</v>
      </c>
      <c r="D104">
        <v>7</v>
      </c>
      <c r="E104">
        <v>2</v>
      </c>
      <c r="F104">
        <v>7</v>
      </c>
      <c r="G104">
        <v>7</v>
      </c>
      <c r="H104">
        <v>1</v>
      </c>
      <c r="I104">
        <v>5.7000000000000002E-2</v>
      </c>
      <c r="J104">
        <v>50</v>
      </c>
      <c r="K104">
        <f t="shared" si="1"/>
        <v>2.8500000000000001E-2</v>
      </c>
      <c r="L104" t="s">
        <v>17</v>
      </c>
      <c r="M104">
        <v>296</v>
      </c>
      <c r="N104" t="s">
        <v>17</v>
      </c>
      <c r="O104" t="s">
        <v>759</v>
      </c>
    </row>
    <row r="105" spans="1:15" x14ac:dyDescent="0.2">
      <c r="A105" t="s">
        <v>624</v>
      </c>
      <c r="B105" t="s">
        <v>376</v>
      </c>
      <c r="C105">
        <v>8</v>
      </c>
      <c r="D105">
        <v>7</v>
      </c>
      <c r="E105">
        <v>2</v>
      </c>
      <c r="F105">
        <v>7</v>
      </c>
      <c r="G105">
        <v>7</v>
      </c>
      <c r="H105">
        <v>1</v>
      </c>
      <c r="I105">
        <v>4.1000000000000002E-2</v>
      </c>
      <c r="J105">
        <v>50</v>
      </c>
      <c r="K105">
        <f t="shared" si="1"/>
        <v>2.0500000000000004E-2</v>
      </c>
      <c r="L105" t="s">
        <v>17</v>
      </c>
      <c r="M105">
        <v>296</v>
      </c>
      <c r="N105" t="s">
        <v>17</v>
      </c>
      <c r="O105" t="s">
        <v>760</v>
      </c>
    </row>
    <row r="106" spans="1:15" x14ac:dyDescent="0.2">
      <c r="A106" t="s">
        <v>624</v>
      </c>
      <c r="B106" t="s">
        <v>407</v>
      </c>
      <c r="C106">
        <v>8</v>
      </c>
      <c r="D106">
        <v>7</v>
      </c>
      <c r="E106">
        <v>2</v>
      </c>
      <c r="F106">
        <v>7</v>
      </c>
      <c r="G106">
        <v>7</v>
      </c>
      <c r="H106">
        <v>1</v>
      </c>
      <c r="I106">
        <v>6.3E-2</v>
      </c>
      <c r="J106">
        <v>50</v>
      </c>
      <c r="K106">
        <f t="shared" si="1"/>
        <v>3.15E-2</v>
      </c>
      <c r="L106" t="s">
        <v>17</v>
      </c>
      <c r="M106">
        <v>296</v>
      </c>
      <c r="N106" t="s">
        <v>17</v>
      </c>
      <c r="O106" t="s">
        <v>761</v>
      </c>
    </row>
    <row r="107" spans="1:15" x14ac:dyDescent="0.2">
      <c r="A107" t="s">
        <v>624</v>
      </c>
      <c r="B107" t="s">
        <v>239</v>
      </c>
      <c r="C107">
        <v>8</v>
      </c>
      <c r="D107">
        <v>7</v>
      </c>
      <c r="E107">
        <v>1</v>
      </c>
      <c r="F107">
        <v>7</v>
      </c>
      <c r="G107">
        <v>7</v>
      </c>
      <c r="H107">
        <v>0</v>
      </c>
      <c r="I107">
        <v>4.5999999999999999E-2</v>
      </c>
      <c r="J107">
        <v>50</v>
      </c>
      <c r="K107">
        <f t="shared" si="1"/>
        <v>2.3E-2</v>
      </c>
      <c r="L107" t="s">
        <v>17</v>
      </c>
      <c r="M107">
        <v>296</v>
      </c>
      <c r="N107" t="s">
        <v>17</v>
      </c>
      <c r="O107" t="s">
        <v>762</v>
      </c>
    </row>
    <row r="108" spans="1:15" x14ac:dyDescent="0.2">
      <c r="A108" t="s">
        <v>624</v>
      </c>
      <c r="B108" t="s">
        <v>376</v>
      </c>
      <c r="C108">
        <v>8</v>
      </c>
      <c r="D108">
        <v>7</v>
      </c>
      <c r="E108">
        <v>1</v>
      </c>
      <c r="F108">
        <v>7</v>
      </c>
      <c r="G108">
        <v>7</v>
      </c>
      <c r="H108">
        <v>0</v>
      </c>
      <c r="I108">
        <v>5.21E-2</v>
      </c>
      <c r="J108">
        <v>50</v>
      </c>
      <c r="K108">
        <f t="shared" si="1"/>
        <v>2.605E-2</v>
      </c>
      <c r="L108" t="s">
        <v>17</v>
      </c>
      <c r="M108">
        <v>296</v>
      </c>
      <c r="N108" t="s">
        <v>17</v>
      </c>
      <c r="O108" t="s">
        <v>763</v>
      </c>
    </row>
    <row r="109" spans="1:15" x14ac:dyDescent="0.2">
      <c r="A109" t="s">
        <v>624</v>
      </c>
      <c r="B109" t="s">
        <v>407</v>
      </c>
      <c r="C109">
        <v>8</v>
      </c>
      <c r="D109">
        <v>7</v>
      </c>
      <c r="E109">
        <v>1</v>
      </c>
      <c r="F109">
        <v>7</v>
      </c>
      <c r="G109">
        <v>7</v>
      </c>
      <c r="H109">
        <v>0</v>
      </c>
      <c r="I109">
        <v>5.3999999999999999E-2</v>
      </c>
      <c r="J109">
        <v>50</v>
      </c>
      <c r="K109">
        <f t="shared" si="1"/>
        <v>2.7000000000000003E-2</v>
      </c>
      <c r="L109" t="s">
        <v>17</v>
      </c>
      <c r="M109">
        <v>296</v>
      </c>
      <c r="N109" t="s">
        <v>17</v>
      </c>
      <c r="O109" t="s">
        <v>764</v>
      </c>
    </row>
    <row r="110" spans="1:15" x14ac:dyDescent="0.2">
      <c r="A110" t="s">
        <v>624</v>
      </c>
      <c r="B110" t="s">
        <v>239</v>
      </c>
      <c r="C110">
        <v>5</v>
      </c>
      <c r="D110">
        <v>4</v>
      </c>
      <c r="E110">
        <v>1</v>
      </c>
      <c r="F110">
        <v>4</v>
      </c>
      <c r="G110">
        <v>3</v>
      </c>
      <c r="H110">
        <v>2</v>
      </c>
      <c r="I110">
        <v>5.3999999999999999E-2</v>
      </c>
      <c r="J110">
        <v>50</v>
      </c>
      <c r="K110">
        <f t="shared" si="1"/>
        <v>2.7000000000000003E-2</v>
      </c>
      <c r="L110" t="s">
        <v>17</v>
      </c>
      <c r="M110">
        <v>296</v>
      </c>
      <c r="N110" t="s">
        <v>17</v>
      </c>
      <c r="O110" t="s">
        <v>765</v>
      </c>
    </row>
    <row r="111" spans="1:15" x14ac:dyDescent="0.2">
      <c r="A111" t="s">
        <v>624</v>
      </c>
      <c r="B111" t="s">
        <v>376</v>
      </c>
      <c r="C111">
        <v>5</v>
      </c>
      <c r="D111">
        <v>4</v>
      </c>
      <c r="E111">
        <v>1</v>
      </c>
      <c r="F111">
        <v>4</v>
      </c>
      <c r="G111">
        <v>3</v>
      </c>
      <c r="H111">
        <v>2</v>
      </c>
      <c r="I111">
        <v>8.2000000000000003E-2</v>
      </c>
      <c r="J111">
        <v>50</v>
      </c>
      <c r="K111">
        <f t="shared" si="1"/>
        <v>4.1000000000000009E-2</v>
      </c>
      <c r="L111" t="s">
        <v>17</v>
      </c>
      <c r="M111">
        <v>296</v>
      </c>
      <c r="N111" t="s">
        <v>17</v>
      </c>
      <c r="O111" t="s">
        <v>766</v>
      </c>
    </row>
    <row r="112" spans="1:15" x14ac:dyDescent="0.2">
      <c r="A112" t="s">
        <v>624</v>
      </c>
      <c r="B112" t="s">
        <v>407</v>
      </c>
      <c r="C112">
        <v>5</v>
      </c>
      <c r="D112">
        <v>4</v>
      </c>
      <c r="E112">
        <v>1</v>
      </c>
      <c r="F112">
        <v>4</v>
      </c>
      <c r="G112">
        <v>3</v>
      </c>
      <c r="H112">
        <v>2</v>
      </c>
      <c r="I112">
        <v>8.7999999999999995E-2</v>
      </c>
      <c r="J112">
        <v>50</v>
      </c>
      <c r="K112">
        <f t="shared" si="1"/>
        <v>4.3999999999999997E-2</v>
      </c>
      <c r="L112" t="s">
        <v>17</v>
      </c>
      <c r="M112">
        <v>296</v>
      </c>
      <c r="N112" t="s">
        <v>17</v>
      </c>
      <c r="O112" t="s">
        <v>767</v>
      </c>
    </row>
    <row r="113" spans="1:15" x14ac:dyDescent="0.2">
      <c r="A113" t="s">
        <v>624</v>
      </c>
      <c r="B113" t="s">
        <v>239</v>
      </c>
      <c r="C113">
        <v>6</v>
      </c>
      <c r="D113">
        <v>4</v>
      </c>
      <c r="E113">
        <v>2</v>
      </c>
      <c r="F113">
        <v>5</v>
      </c>
      <c r="G113">
        <v>3</v>
      </c>
      <c r="H113">
        <v>3</v>
      </c>
      <c r="I113">
        <v>5.67E-2</v>
      </c>
      <c r="J113">
        <v>50</v>
      </c>
      <c r="K113">
        <f t="shared" si="1"/>
        <v>2.835E-2</v>
      </c>
      <c r="L113" t="s">
        <v>17</v>
      </c>
      <c r="M113">
        <v>296</v>
      </c>
      <c r="N113" t="s">
        <v>17</v>
      </c>
      <c r="O113" t="s">
        <v>768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6337-19A0-3E4B-A61C-550FB58407AD}">
  <dimension ref="A1:O77"/>
  <sheetViews>
    <sheetView workbookViewId="0">
      <selection activeCell="G32" sqref="G3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624</v>
      </c>
      <c r="B2" t="s">
        <v>191</v>
      </c>
      <c r="C2">
        <v>4</v>
      </c>
      <c r="D2">
        <v>4</v>
      </c>
      <c r="E2">
        <v>0</v>
      </c>
      <c r="F2">
        <v>3</v>
      </c>
      <c r="G2">
        <v>3</v>
      </c>
      <c r="H2">
        <v>1</v>
      </c>
      <c r="I2">
        <v>4.4999999999999998E-2</v>
      </c>
      <c r="J2">
        <v>50</v>
      </c>
      <c r="K2">
        <f>J2*I2/100</f>
        <v>2.2499999999999999E-2</v>
      </c>
      <c r="L2" t="s">
        <v>17</v>
      </c>
      <c r="M2">
        <v>296</v>
      </c>
      <c r="N2" t="s">
        <v>17</v>
      </c>
      <c r="O2" t="s">
        <v>769</v>
      </c>
    </row>
    <row r="3" spans="1:15" x14ac:dyDescent="0.2">
      <c r="A3" t="s">
        <v>624</v>
      </c>
      <c r="B3" t="s">
        <v>191</v>
      </c>
      <c r="C3">
        <v>5</v>
      </c>
      <c r="D3">
        <v>3</v>
      </c>
      <c r="E3">
        <v>3</v>
      </c>
      <c r="F3">
        <v>4</v>
      </c>
      <c r="G3">
        <v>0</v>
      </c>
      <c r="H3">
        <v>4</v>
      </c>
      <c r="I3">
        <v>4.9000000000000002E-2</v>
      </c>
      <c r="J3">
        <v>50</v>
      </c>
      <c r="K3">
        <f>J3*I3/100</f>
        <v>2.4500000000000001E-2</v>
      </c>
      <c r="L3" t="s">
        <v>17</v>
      </c>
      <c r="M3">
        <v>296</v>
      </c>
      <c r="N3" t="s">
        <v>17</v>
      </c>
      <c r="O3" t="s">
        <v>769</v>
      </c>
    </row>
    <row r="4" spans="1:15" x14ac:dyDescent="0.2">
      <c r="A4" t="s">
        <v>624</v>
      </c>
      <c r="B4" t="s">
        <v>191</v>
      </c>
      <c r="C4">
        <v>5</v>
      </c>
      <c r="D4">
        <v>4</v>
      </c>
      <c r="E4">
        <v>1</v>
      </c>
      <c r="F4">
        <v>4</v>
      </c>
      <c r="G4">
        <v>3</v>
      </c>
      <c r="H4">
        <v>2</v>
      </c>
      <c r="I4">
        <v>4.2999999999999997E-2</v>
      </c>
      <c r="J4">
        <v>50</v>
      </c>
      <c r="K4">
        <f>J4*I4/100</f>
        <v>2.1499999999999998E-2</v>
      </c>
      <c r="L4" t="s">
        <v>17</v>
      </c>
      <c r="M4">
        <v>296</v>
      </c>
      <c r="N4" t="s">
        <v>17</v>
      </c>
      <c r="O4" t="s">
        <v>769</v>
      </c>
    </row>
    <row r="5" spans="1:15" x14ac:dyDescent="0.2">
      <c r="A5" t="s">
        <v>624</v>
      </c>
      <c r="B5" t="s">
        <v>191</v>
      </c>
      <c r="C5">
        <v>6</v>
      </c>
      <c r="D5">
        <v>4</v>
      </c>
      <c r="E5">
        <v>2</v>
      </c>
      <c r="F5">
        <v>5</v>
      </c>
      <c r="G5">
        <v>3</v>
      </c>
      <c r="H5">
        <v>3</v>
      </c>
      <c r="I5">
        <v>0.04</v>
      </c>
      <c r="J5">
        <v>50</v>
      </c>
      <c r="K5">
        <f t="shared" ref="K5:K49" si="0">J5*I5/100</f>
        <v>0.02</v>
      </c>
      <c r="L5" t="s">
        <v>17</v>
      </c>
      <c r="M5">
        <v>296</v>
      </c>
      <c r="N5" t="s">
        <v>17</v>
      </c>
      <c r="O5" t="s">
        <v>769</v>
      </c>
    </row>
    <row r="6" spans="1:15" x14ac:dyDescent="0.2">
      <c r="A6" t="s">
        <v>624</v>
      </c>
      <c r="B6" t="s">
        <v>191</v>
      </c>
      <c r="C6">
        <v>6</v>
      </c>
      <c r="D6">
        <v>5</v>
      </c>
      <c r="E6">
        <v>2</v>
      </c>
      <c r="F6">
        <v>5</v>
      </c>
      <c r="G6">
        <v>4</v>
      </c>
      <c r="H6">
        <v>1</v>
      </c>
      <c r="I6">
        <v>3.7999999999999999E-2</v>
      </c>
      <c r="J6">
        <v>50</v>
      </c>
      <c r="K6">
        <f t="shared" si="0"/>
        <v>1.9E-2</v>
      </c>
      <c r="L6" t="s">
        <v>17</v>
      </c>
      <c r="M6">
        <v>296</v>
      </c>
      <c r="N6" t="s">
        <v>17</v>
      </c>
      <c r="O6" t="s">
        <v>769</v>
      </c>
    </row>
    <row r="7" spans="1:15" x14ac:dyDescent="0.2">
      <c r="A7" t="s">
        <v>624</v>
      </c>
      <c r="B7" t="s">
        <v>191</v>
      </c>
      <c r="C7">
        <v>7</v>
      </c>
      <c r="D7">
        <v>6</v>
      </c>
      <c r="E7">
        <v>2</v>
      </c>
      <c r="F7">
        <v>6</v>
      </c>
      <c r="G7">
        <v>5</v>
      </c>
      <c r="H7">
        <v>1</v>
      </c>
      <c r="I7">
        <v>3.1E-2</v>
      </c>
      <c r="J7">
        <v>50</v>
      </c>
      <c r="K7">
        <f t="shared" si="0"/>
        <v>1.55E-2</v>
      </c>
      <c r="L7" t="s">
        <v>17</v>
      </c>
      <c r="M7">
        <v>296</v>
      </c>
      <c r="N7" t="s">
        <v>17</v>
      </c>
      <c r="O7" t="s">
        <v>769</v>
      </c>
    </row>
    <row r="8" spans="1:15" x14ac:dyDescent="0.2">
      <c r="A8" t="s">
        <v>624</v>
      </c>
      <c r="B8" t="s">
        <v>191</v>
      </c>
      <c r="C8">
        <v>8</v>
      </c>
      <c r="D8">
        <v>4</v>
      </c>
      <c r="E8">
        <v>5</v>
      </c>
      <c r="F8">
        <v>7</v>
      </c>
      <c r="G8">
        <v>3</v>
      </c>
      <c r="H8">
        <v>4</v>
      </c>
      <c r="I8">
        <v>0.04</v>
      </c>
      <c r="J8">
        <v>50</v>
      </c>
      <c r="K8">
        <f t="shared" si="0"/>
        <v>0.02</v>
      </c>
      <c r="L8" t="s">
        <v>17</v>
      </c>
      <c r="M8">
        <v>296</v>
      </c>
      <c r="N8" t="s">
        <v>17</v>
      </c>
      <c r="O8" t="s">
        <v>769</v>
      </c>
    </row>
    <row r="9" spans="1:15" x14ac:dyDescent="0.2">
      <c r="A9" t="s">
        <v>624</v>
      </c>
      <c r="B9" t="s">
        <v>191</v>
      </c>
      <c r="C9">
        <v>8</v>
      </c>
      <c r="D9">
        <v>3</v>
      </c>
      <c r="E9">
        <v>5</v>
      </c>
      <c r="F9">
        <v>7</v>
      </c>
      <c r="G9">
        <v>4</v>
      </c>
      <c r="H9">
        <v>4</v>
      </c>
      <c r="I9">
        <v>4.3999999999999997E-2</v>
      </c>
      <c r="J9">
        <v>50</v>
      </c>
      <c r="K9">
        <f t="shared" si="0"/>
        <v>2.1999999999999999E-2</v>
      </c>
      <c r="L9" t="s">
        <v>17</v>
      </c>
      <c r="M9">
        <v>296</v>
      </c>
      <c r="N9" t="s">
        <v>17</v>
      </c>
      <c r="O9" t="s">
        <v>769</v>
      </c>
    </row>
    <row r="10" spans="1:15" x14ac:dyDescent="0.2">
      <c r="A10" t="s">
        <v>624</v>
      </c>
      <c r="B10" t="s">
        <v>191</v>
      </c>
      <c r="C10">
        <v>8</v>
      </c>
      <c r="D10">
        <v>6</v>
      </c>
      <c r="E10">
        <v>3</v>
      </c>
      <c r="F10">
        <v>7</v>
      </c>
      <c r="G10">
        <v>5</v>
      </c>
      <c r="H10">
        <v>2</v>
      </c>
      <c r="I10">
        <v>3.5000000000000003E-2</v>
      </c>
      <c r="J10">
        <v>50</v>
      </c>
      <c r="K10">
        <f t="shared" si="0"/>
        <v>1.7500000000000002E-2</v>
      </c>
      <c r="L10" t="s">
        <v>17</v>
      </c>
      <c r="M10">
        <v>296</v>
      </c>
      <c r="N10" t="s">
        <v>17</v>
      </c>
      <c r="O10" t="s">
        <v>769</v>
      </c>
    </row>
    <row r="11" spans="1:15" x14ac:dyDescent="0.2">
      <c r="A11" t="s">
        <v>624</v>
      </c>
      <c r="B11" t="s">
        <v>191</v>
      </c>
      <c r="C11">
        <v>8</v>
      </c>
      <c r="D11">
        <v>7</v>
      </c>
      <c r="E11">
        <v>1</v>
      </c>
      <c r="F11">
        <v>7</v>
      </c>
      <c r="G11">
        <v>6</v>
      </c>
      <c r="H11">
        <v>2</v>
      </c>
      <c r="I11">
        <v>3.5999999999999997E-2</v>
      </c>
      <c r="J11">
        <v>50</v>
      </c>
      <c r="K11">
        <f t="shared" si="0"/>
        <v>1.7999999999999999E-2</v>
      </c>
      <c r="L11" t="s">
        <v>17</v>
      </c>
      <c r="M11">
        <v>296</v>
      </c>
      <c r="N11" t="s">
        <v>17</v>
      </c>
      <c r="O11" t="s">
        <v>769</v>
      </c>
    </row>
    <row r="12" spans="1:15" x14ac:dyDescent="0.2">
      <c r="A12" t="s">
        <v>624</v>
      </c>
      <c r="B12" t="s">
        <v>191</v>
      </c>
      <c r="C12">
        <v>9</v>
      </c>
      <c r="D12">
        <v>3</v>
      </c>
      <c r="E12">
        <v>7</v>
      </c>
      <c r="F12">
        <v>8</v>
      </c>
      <c r="G12">
        <v>2</v>
      </c>
      <c r="H12">
        <v>6</v>
      </c>
      <c r="I12">
        <v>3.5999999999999997E-2</v>
      </c>
      <c r="J12">
        <v>50</v>
      </c>
      <c r="K12">
        <f t="shared" si="0"/>
        <v>1.7999999999999999E-2</v>
      </c>
      <c r="L12" t="s">
        <v>17</v>
      </c>
      <c r="M12">
        <v>296</v>
      </c>
      <c r="N12" t="s">
        <v>17</v>
      </c>
      <c r="O12" t="s">
        <v>769</v>
      </c>
    </row>
    <row r="13" spans="1:15" x14ac:dyDescent="0.2">
      <c r="A13" t="s">
        <v>624</v>
      </c>
      <c r="B13" t="s">
        <v>191</v>
      </c>
      <c r="C13">
        <v>9</v>
      </c>
      <c r="D13">
        <v>2</v>
      </c>
      <c r="E13">
        <v>7</v>
      </c>
      <c r="F13">
        <v>8</v>
      </c>
      <c r="G13">
        <v>3</v>
      </c>
      <c r="H13">
        <v>6</v>
      </c>
      <c r="I13">
        <v>3.6999999999999998E-2</v>
      </c>
      <c r="J13">
        <v>50</v>
      </c>
      <c r="K13">
        <f t="shared" si="0"/>
        <v>1.8499999999999999E-2</v>
      </c>
      <c r="L13" t="s">
        <v>17</v>
      </c>
      <c r="M13">
        <v>296</v>
      </c>
      <c r="N13" t="s">
        <v>17</v>
      </c>
      <c r="O13" t="s">
        <v>769</v>
      </c>
    </row>
    <row r="14" spans="1:15" x14ac:dyDescent="0.2">
      <c r="A14" t="s">
        <v>624</v>
      </c>
      <c r="B14" t="s">
        <v>191</v>
      </c>
      <c r="C14">
        <v>9</v>
      </c>
      <c r="D14">
        <v>7</v>
      </c>
      <c r="E14">
        <v>3</v>
      </c>
      <c r="F14">
        <v>8</v>
      </c>
      <c r="G14">
        <v>6</v>
      </c>
      <c r="H14">
        <v>2</v>
      </c>
      <c r="I14">
        <v>0.04</v>
      </c>
      <c r="J14">
        <v>50</v>
      </c>
      <c r="K14">
        <f t="shared" si="0"/>
        <v>0.02</v>
      </c>
      <c r="L14" t="s">
        <v>17</v>
      </c>
      <c r="M14">
        <v>296</v>
      </c>
      <c r="N14" t="s">
        <v>17</v>
      </c>
      <c r="O14" t="s">
        <v>769</v>
      </c>
    </row>
    <row r="15" spans="1:15" x14ac:dyDescent="0.2">
      <c r="A15" t="s">
        <v>624</v>
      </c>
      <c r="B15" t="s">
        <v>191</v>
      </c>
      <c r="C15">
        <v>10</v>
      </c>
      <c r="D15">
        <v>5</v>
      </c>
      <c r="E15">
        <v>6</v>
      </c>
      <c r="F15">
        <v>9</v>
      </c>
      <c r="G15">
        <v>4</v>
      </c>
      <c r="H15">
        <v>5</v>
      </c>
      <c r="I15">
        <v>5.1999999999999998E-2</v>
      </c>
      <c r="J15">
        <v>50</v>
      </c>
      <c r="K15">
        <f t="shared" si="0"/>
        <v>2.6000000000000002E-2</v>
      </c>
      <c r="L15" t="s">
        <v>17</v>
      </c>
      <c r="M15">
        <v>296</v>
      </c>
      <c r="N15" t="s">
        <v>17</v>
      </c>
      <c r="O15" t="s">
        <v>769</v>
      </c>
    </row>
    <row r="16" spans="1:15" x14ac:dyDescent="0.2">
      <c r="A16" t="s">
        <v>624</v>
      </c>
      <c r="B16" t="s">
        <v>191</v>
      </c>
      <c r="C16">
        <v>12</v>
      </c>
      <c r="D16">
        <v>6</v>
      </c>
      <c r="E16">
        <v>7</v>
      </c>
      <c r="F16">
        <v>11</v>
      </c>
      <c r="G16">
        <v>5</v>
      </c>
      <c r="H16">
        <v>6</v>
      </c>
      <c r="I16">
        <v>3.7999999999999999E-2</v>
      </c>
      <c r="J16">
        <v>50</v>
      </c>
      <c r="K16">
        <f t="shared" si="0"/>
        <v>1.9E-2</v>
      </c>
      <c r="L16" t="s">
        <v>17</v>
      </c>
      <c r="M16">
        <v>296</v>
      </c>
      <c r="N16" t="s">
        <v>17</v>
      </c>
      <c r="O16" t="s">
        <v>769</v>
      </c>
    </row>
    <row r="17" spans="1:15" x14ac:dyDescent="0.2">
      <c r="A17" t="s">
        <v>624</v>
      </c>
      <c r="B17" t="s">
        <v>191</v>
      </c>
      <c r="C17">
        <v>15</v>
      </c>
      <c r="D17">
        <v>0</v>
      </c>
      <c r="E17">
        <v>15</v>
      </c>
      <c r="F17">
        <v>14</v>
      </c>
      <c r="G17">
        <v>1</v>
      </c>
      <c r="H17">
        <v>14</v>
      </c>
      <c r="I17">
        <v>0.03</v>
      </c>
      <c r="J17">
        <v>50</v>
      </c>
      <c r="K17">
        <f t="shared" si="0"/>
        <v>1.4999999999999999E-2</v>
      </c>
      <c r="L17" t="s">
        <v>17</v>
      </c>
      <c r="M17">
        <v>296</v>
      </c>
      <c r="N17" t="s">
        <v>17</v>
      </c>
      <c r="O17" t="s">
        <v>769</v>
      </c>
    </row>
    <row r="18" spans="1:15" x14ac:dyDescent="0.2">
      <c r="A18" t="s">
        <v>624</v>
      </c>
      <c r="B18" t="s">
        <v>191</v>
      </c>
      <c r="C18">
        <v>1</v>
      </c>
      <c r="D18">
        <v>1</v>
      </c>
      <c r="E18">
        <v>0</v>
      </c>
      <c r="F18">
        <v>1</v>
      </c>
      <c r="G18">
        <v>0</v>
      </c>
      <c r="H18">
        <v>1</v>
      </c>
      <c r="I18">
        <v>0.03</v>
      </c>
      <c r="J18">
        <v>50</v>
      </c>
      <c r="K18">
        <f t="shared" si="0"/>
        <v>1.4999999999999999E-2</v>
      </c>
      <c r="L18" t="s">
        <v>17</v>
      </c>
      <c r="M18">
        <v>623</v>
      </c>
      <c r="N18" t="s">
        <v>17</v>
      </c>
      <c r="O18" t="s">
        <v>770</v>
      </c>
    </row>
    <row r="19" spans="1:15" x14ac:dyDescent="0.2">
      <c r="A19" t="s">
        <v>624</v>
      </c>
      <c r="B19" t="s">
        <v>191</v>
      </c>
      <c r="C19">
        <v>2</v>
      </c>
      <c r="D19">
        <v>2</v>
      </c>
      <c r="E19">
        <v>0</v>
      </c>
      <c r="F19">
        <v>2</v>
      </c>
      <c r="G19">
        <v>1</v>
      </c>
      <c r="H19">
        <v>1</v>
      </c>
      <c r="I19">
        <v>3.2000000000000001E-2</v>
      </c>
      <c r="J19">
        <v>50</v>
      </c>
      <c r="K19">
        <f t="shared" si="0"/>
        <v>1.6E-2</v>
      </c>
      <c r="L19" t="s">
        <v>17</v>
      </c>
      <c r="M19">
        <v>602</v>
      </c>
      <c r="N19" t="s">
        <v>17</v>
      </c>
      <c r="O19" t="s">
        <v>771</v>
      </c>
    </row>
    <row r="20" spans="1:15" x14ac:dyDescent="0.2">
      <c r="A20" t="s">
        <v>624</v>
      </c>
      <c r="B20" t="s">
        <v>191</v>
      </c>
      <c r="C20">
        <v>1</v>
      </c>
      <c r="D20">
        <v>1</v>
      </c>
      <c r="E20">
        <v>0</v>
      </c>
      <c r="F20">
        <v>1</v>
      </c>
      <c r="G20">
        <v>0</v>
      </c>
      <c r="H20">
        <v>1</v>
      </c>
      <c r="I20">
        <v>3.4000000000000002E-2</v>
      </c>
      <c r="J20">
        <v>50</v>
      </c>
      <c r="K20">
        <f t="shared" si="0"/>
        <v>1.7000000000000001E-2</v>
      </c>
      <c r="L20" t="s">
        <v>17</v>
      </c>
      <c r="M20">
        <v>505</v>
      </c>
      <c r="N20" t="s">
        <v>17</v>
      </c>
      <c r="O20" t="s">
        <v>772</v>
      </c>
    </row>
    <row r="21" spans="1:15" x14ac:dyDescent="0.2">
      <c r="A21" t="s">
        <v>624</v>
      </c>
      <c r="B21" t="s">
        <v>191</v>
      </c>
      <c r="C21">
        <v>2</v>
      </c>
      <c r="D21">
        <v>2</v>
      </c>
      <c r="E21">
        <v>0</v>
      </c>
      <c r="F21">
        <v>2</v>
      </c>
      <c r="G21">
        <v>1</v>
      </c>
      <c r="H21">
        <v>1</v>
      </c>
      <c r="I21">
        <v>3.5999999999999997E-2</v>
      </c>
      <c r="J21">
        <v>50</v>
      </c>
      <c r="K21">
        <f t="shared" si="0"/>
        <v>1.7999999999999999E-2</v>
      </c>
      <c r="L21" t="s">
        <v>17</v>
      </c>
      <c r="M21">
        <v>492</v>
      </c>
      <c r="N21" t="s">
        <v>17</v>
      </c>
      <c r="O21" t="s">
        <v>773</v>
      </c>
    </row>
    <row r="22" spans="1:15" x14ac:dyDescent="0.2">
      <c r="A22" t="s">
        <v>624</v>
      </c>
      <c r="B22" t="s">
        <v>191</v>
      </c>
      <c r="C22">
        <v>1</v>
      </c>
      <c r="D22">
        <v>1</v>
      </c>
      <c r="E22">
        <v>0</v>
      </c>
      <c r="F22">
        <v>1</v>
      </c>
      <c r="G22">
        <v>0</v>
      </c>
      <c r="H22">
        <v>1</v>
      </c>
      <c r="I22">
        <v>3.7999999999999999E-2</v>
      </c>
      <c r="J22">
        <v>50</v>
      </c>
      <c r="K22">
        <f t="shared" si="0"/>
        <v>1.9E-2</v>
      </c>
      <c r="L22" t="s">
        <v>17</v>
      </c>
      <c r="M22">
        <v>430</v>
      </c>
      <c r="N22" t="s">
        <v>17</v>
      </c>
      <c r="O22" t="s">
        <v>772</v>
      </c>
    </row>
    <row r="23" spans="1:15" x14ac:dyDescent="0.2">
      <c r="A23" t="s">
        <v>624</v>
      </c>
      <c r="B23" t="s">
        <v>191</v>
      </c>
      <c r="C23">
        <v>2</v>
      </c>
      <c r="D23">
        <v>2</v>
      </c>
      <c r="E23">
        <v>0</v>
      </c>
      <c r="F23">
        <v>2</v>
      </c>
      <c r="G23">
        <v>1</v>
      </c>
      <c r="H23">
        <v>1</v>
      </c>
      <c r="I23">
        <v>4.1000000000000002E-2</v>
      </c>
      <c r="J23">
        <v>50</v>
      </c>
      <c r="K23">
        <f t="shared" si="0"/>
        <v>2.0500000000000004E-2</v>
      </c>
      <c r="L23" t="s">
        <v>17</v>
      </c>
      <c r="M23">
        <v>395</v>
      </c>
      <c r="N23" t="s">
        <v>17</v>
      </c>
      <c r="O23" t="s">
        <v>773</v>
      </c>
    </row>
    <row r="24" spans="1:15" x14ac:dyDescent="0.2">
      <c r="A24" t="s">
        <v>624</v>
      </c>
      <c r="B24" t="s">
        <v>191</v>
      </c>
      <c r="C24">
        <v>1</v>
      </c>
      <c r="D24">
        <v>1</v>
      </c>
      <c r="E24">
        <v>0</v>
      </c>
      <c r="F24">
        <v>1</v>
      </c>
      <c r="G24">
        <v>0</v>
      </c>
      <c r="H24">
        <v>1</v>
      </c>
      <c r="I24">
        <v>3.9E-2</v>
      </c>
      <c r="J24">
        <v>50</v>
      </c>
      <c r="K24">
        <f t="shared" si="0"/>
        <v>1.95E-2</v>
      </c>
      <c r="L24" t="s">
        <v>17</v>
      </c>
      <c r="M24">
        <v>380</v>
      </c>
      <c r="N24" t="s">
        <v>17</v>
      </c>
      <c r="O24" t="s">
        <v>772</v>
      </c>
    </row>
    <row r="25" spans="1:15" x14ac:dyDescent="0.2">
      <c r="A25" t="s">
        <v>624</v>
      </c>
      <c r="B25" t="s">
        <v>191</v>
      </c>
      <c r="C25">
        <v>2</v>
      </c>
      <c r="D25">
        <v>2</v>
      </c>
      <c r="E25">
        <v>0</v>
      </c>
      <c r="F25">
        <v>2</v>
      </c>
      <c r="G25">
        <v>1</v>
      </c>
      <c r="H25">
        <v>1</v>
      </c>
      <c r="I25">
        <v>4.2000000000000003E-2</v>
      </c>
      <c r="J25">
        <v>50</v>
      </c>
      <c r="K25">
        <f t="shared" si="0"/>
        <v>2.1000000000000001E-2</v>
      </c>
      <c r="L25" t="s">
        <v>17</v>
      </c>
      <c r="M25">
        <v>365</v>
      </c>
      <c r="N25" t="s">
        <v>17</v>
      </c>
      <c r="O25" t="s">
        <v>773</v>
      </c>
    </row>
    <row r="26" spans="1:15" x14ac:dyDescent="0.2">
      <c r="A26" t="s">
        <v>624</v>
      </c>
      <c r="B26" t="s">
        <v>191</v>
      </c>
      <c r="C26">
        <v>1</v>
      </c>
      <c r="D26">
        <v>1</v>
      </c>
      <c r="E26">
        <v>0</v>
      </c>
      <c r="F26">
        <v>1</v>
      </c>
      <c r="G26">
        <v>0</v>
      </c>
      <c r="H26">
        <v>1</v>
      </c>
      <c r="I26">
        <v>4.3999999999999997E-2</v>
      </c>
      <c r="J26">
        <v>50</v>
      </c>
      <c r="K26">
        <f t="shared" si="0"/>
        <v>2.1999999999999999E-2</v>
      </c>
      <c r="L26" t="s">
        <v>17</v>
      </c>
      <c r="M26">
        <v>300</v>
      </c>
      <c r="N26" t="s">
        <v>17</v>
      </c>
      <c r="O26" t="s">
        <v>772</v>
      </c>
    </row>
    <row r="27" spans="1:15" x14ac:dyDescent="0.2">
      <c r="A27" t="s">
        <v>624</v>
      </c>
      <c r="B27" t="s">
        <v>191</v>
      </c>
      <c r="C27">
        <v>2</v>
      </c>
      <c r="D27">
        <v>2</v>
      </c>
      <c r="E27">
        <v>0</v>
      </c>
      <c r="F27">
        <v>2</v>
      </c>
      <c r="G27">
        <v>1</v>
      </c>
      <c r="H27">
        <v>1</v>
      </c>
      <c r="I27">
        <v>4.7E-2</v>
      </c>
      <c r="J27">
        <v>50</v>
      </c>
      <c r="K27">
        <f t="shared" si="0"/>
        <v>2.35E-2</v>
      </c>
      <c r="L27" t="s">
        <v>17</v>
      </c>
      <c r="M27">
        <v>295</v>
      </c>
      <c r="N27" t="s">
        <v>17</v>
      </c>
      <c r="O27" t="s">
        <v>773</v>
      </c>
    </row>
    <row r="28" spans="1:15" x14ac:dyDescent="0.2">
      <c r="A28" t="s">
        <v>624</v>
      </c>
      <c r="B28" t="s">
        <v>191</v>
      </c>
      <c r="C28">
        <v>1</v>
      </c>
      <c r="D28">
        <v>1</v>
      </c>
      <c r="E28">
        <v>0</v>
      </c>
      <c r="F28">
        <v>1</v>
      </c>
      <c r="G28">
        <v>0</v>
      </c>
      <c r="H28">
        <v>1</v>
      </c>
      <c r="I28">
        <v>4.3999999999999997E-2</v>
      </c>
      <c r="J28">
        <v>50</v>
      </c>
      <c r="K28">
        <f t="shared" si="0"/>
        <v>2.1999999999999999E-2</v>
      </c>
      <c r="L28" t="s">
        <v>17</v>
      </c>
      <c r="M28">
        <v>295</v>
      </c>
      <c r="N28" t="s">
        <v>17</v>
      </c>
      <c r="O28" t="s">
        <v>774</v>
      </c>
    </row>
    <row r="29" spans="1:15" x14ac:dyDescent="0.2">
      <c r="A29" t="s">
        <v>624</v>
      </c>
      <c r="B29" t="s">
        <v>191</v>
      </c>
      <c r="C29">
        <v>2</v>
      </c>
      <c r="D29">
        <v>2</v>
      </c>
      <c r="E29">
        <v>0</v>
      </c>
      <c r="F29">
        <v>2</v>
      </c>
      <c r="G29">
        <v>1</v>
      </c>
      <c r="H29">
        <v>1</v>
      </c>
      <c r="I29">
        <v>0.05</v>
      </c>
      <c r="J29">
        <v>50</v>
      </c>
      <c r="K29">
        <f t="shared" si="0"/>
        <v>2.5000000000000001E-2</v>
      </c>
      <c r="L29" t="s">
        <v>17</v>
      </c>
      <c r="M29">
        <v>252</v>
      </c>
      <c r="N29" t="s">
        <v>17</v>
      </c>
      <c r="O29" t="s">
        <v>775</v>
      </c>
    </row>
    <row r="30" spans="1:15" x14ac:dyDescent="0.2">
      <c r="A30" t="s">
        <v>624</v>
      </c>
      <c r="B30" t="s">
        <v>191</v>
      </c>
      <c r="C30">
        <v>1</v>
      </c>
      <c r="D30">
        <v>1</v>
      </c>
      <c r="E30">
        <v>0</v>
      </c>
      <c r="F30">
        <v>1</v>
      </c>
      <c r="G30">
        <v>0</v>
      </c>
      <c r="H30">
        <v>1</v>
      </c>
      <c r="I30">
        <v>4.9000000000000002E-2</v>
      </c>
      <c r="J30">
        <v>50</v>
      </c>
      <c r="K30">
        <f t="shared" si="0"/>
        <v>2.4500000000000001E-2</v>
      </c>
      <c r="L30" t="s">
        <v>17</v>
      </c>
      <c r="M30">
        <v>227</v>
      </c>
      <c r="N30" t="s">
        <v>17</v>
      </c>
      <c r="O30" t="s">
        <v>776</v>
      </c>
    </row>
    <row r="31" spans="1:15" x14ac:dyDescent="0.2">
      <c r="A31" t="s">
        <v>624</v>
      </c>
      <c r="B31" t="s">
        <v>191</v>
      </c>
      <c r="C31">
        <v>2</v>
      </c>
      <c r="D31">
        <v>2</v>
      </c>
      <c r="E31">
        <v>0</v>
      </c>
      <c r="F31">
        <v>2</v>
      </c>
      <c r="G31">
        <v>1</v>
      </c>
      <c r="H31">
        <v>1</v>
      </c>
      <c r="I31">
        <v>5.0999999999999997E-2</v>
      </c>
      <c r="J31">
        <v>50</v>
      </c>
      <c r="K31">
        <f t="shared" si="0"/>
        <v>2.5499999999999998E-2</v>
      </c>
      <c r="L31" t="s">
        <v>17</v>
      </c>
      <c r="M31">
        <v>201</v>
      </c>
      <c r="N31" t="s">
        <v>17</v>
      </c>
      <c r="O31" t="s">
        <v>777</v>
      </c>
    </row>
    <row r="32" spans="1:15" x14ac:dyDescent="0.2">
      <c r="A32" t="s">
        <v>624</v>
      </c>
      <c r="B32" t="s">
        <v>191</v>
      </c>
      <c r="C32">
        <v>1</v>
      </c>
      <c r="D32">
        <v>1</v>
      </c>
      <c r="E32">
        <v>0</v>
      </c>
      <c r="F32">
        <v>1</v>
      </c>
      <c r="G32">
        <v>0</v>
      </c>
      <c r="H32">
        <v>1</v>
      </c>
      <c r="I32">
        <v>5.2999999999999999E-2</v>
      </c>
      <c r="J32">
        <v>50</v>
      </c>
      <c r="K32">
        <f t="shared" si="0"/>
        <v>2.6499999999999999E-2</v>
      </c>
      <c r="L32" t="s">
        <v>17</v>
      </c>
      <c r="M32">
        <v>182</v>
      </c>
      <c r="N32" t="s">
        <v>17</v>
      </c>
      <c r="O32" t="s">
        <v>776</v>
      </c>
    </row>
    <row r="33" spans="1:15" x14ac:dyDescent="0.2">
      <c r="A33" t="s">
        <v>624</v>
      </c>
      <c r="B33" t="s">
        <v>191</v>
      </c>
      <c r="C33">
        <v>2</v>
      </c>
      <c r="D33">
        <v>2</v>
      </c>
      <c r="E33">
        <v>0</v>
      </c>
      <c r="F33">
        <v>2</v>
      </c>
      <c r="G33">
        <v>1</v>
      </c>
      <c r="H33">
        <v>1</v>
      </c>
      <c r="I33">
        <v>5.8000000000000003E-2</v>
      </c>
      <c r="J33">
        <v>50</v>
      </c>
      <c r="K33">
        <f t="shared" si="0"/>
        <v>2.9000000000000005E-2</v>
      </c>
      <c r="L33" t="s">
        <v>17</v>
      </c>
      <c r="M33">
        <v>151</v>
      </c>
      <c r="N33" t="s">
        <v>17</v>
      </c>
      <c r="O33" t="s">
        <v>777</v>
      </c>
    </row>
    <row r="34" spans="1:15" x14ac:dyDescent="0.2">
      <c r="A34" t="s">
        <v>624</v>
      </c>
      <c r="B34" t="s">
        <v>191</v>
      </c>
      <c r="C34">
        <v>1</v>
      </c>
      <c r="D34">
        <v>1</v>
      </c>
      <c r="E34">
        <v>0</v>
      </c>
      <c r="F34">
        <v>1</v>
      </c>
      <c r="G34">
        <v>0</v>
      </c>
      <c r="H34">
        <v>1</v>
      </c>
      <c r="I34">
        <v>5.5E-2</v>
      </c>
      <c r="J34">
        <v>50</v>
      </c>
      <c r="K34">
        <f t="shared" si="0"/>
        <v>2.75E-2</v>
      </c>
      <c r="L34" t="s">
        <v>17</v>
      </c>
      <c r="M34">
        <v>151</v>
      </c>
      <c r="N34" t="s">
        <v>17</v>
      </c>
      <c r="O34" t="s">
        <v>778</v>
      </c>
    </row>
    <row r="35" spans="1:15" x14ac:dyDescent="0.2">
      <c r="A35" t="s">
        <v>624</v>
      </c>
      <c r="B35" t="s">
        <v>191</v>
      </c>
      <c r="C35">
        <v>2</v>
      </c>
      <c r="D35">
        <v>2</v>
      </c>
      <c r="E35">
        <v>0</v>
      </c>
      <c r="F35">
        <v>2</v>
      </c>
      <c r="G35">
        <v>1</v>
      </c>
      <c r="H35">
        <v>1</v>
      </c>
      <c r="I35">
        <v>6.2E-2</v>
      </c>
      <c r="J35">
        <v>50</v>
      </c>
      <c r="K35">
        <f t="shared" si="0"/>
        <v>3.1E-2</v>
      </c>
      <c r="L35" t="s">
        <v>17</v>
      </c>
      <c r="M35">
        <v>123</v>
      </c>
      <c r="N35" t="s">
        <v>17</v>
      </c>
      <c r="O35" t="s">
        <v>777</v>
      </c>
    </row>
    <row r="36" spans="1:15" x14ac:dyDescent="0.2">
      <c r="A36" t="s">
        <v>624</v>
      </c>
      <c r="B36" t="s">
        <v>191</v>
      </c>
      <c r="C36">
        <v>1</v>
      </c>
      <c r="D36">
        <v>1</v>
      </c>
      <c r="E36">
        <v>0</v>
      </c>
      <c r="F36">
        <v>1</v>
      </c>
      <c r="G36">
        <v>0</v>
      </c>
      <c r="H36">
        <v>1</v>
      </c>
      <c r="I36">
        <v>5.8000000000000003E-2</v>
      </c>
      <c r="J36">
        <v>50</v>
      </c>
      <c r="K36">
        <f t="shared" si="0"/>
        <v>2.9000000000000005E-2</v>
      </c>
      <c r="L36" t="s">
        <v>17</v>
      </c>
      <c r="M36">
        <v>124</v>
      </c>
      <c r="N36" t="s">
        <v>17</v>
      </c>
      <c r="O36" t="s">
        <v>776</v>
      </c>
    </row>
    <row r="37" spans="1:15" x14ac:dyDescent="0.2">
      <c r="A37" t="s">
        <v>624</v>
      </c>
      <c r="B37" t="s">
        <v>191</v>
      </c>
      <c r="C37">
        <v>2</v>
      </c>
      <c r="D37">
        <v>2</v>
      </c>
      <c r="E37">
        <v>0</v>
      </c>
      <c r="F37">
        <v>2</v>
      </c>
      <c r="G37">
        <v>1</v>
      </c>
      <c r="H37">
        <v>1</v>
      </c>
      <c r="I37">
        <v>6.4000000000000001E-2</v>
      </c>
      <c r="J37">
        <v>50</v>
      </c>
      <c r="K37">
        <f t="shared" si="0"/>
        <v>3.2000000000000001E-2</v>
      </c>
      <c r="L37" t="s">
        <v>17</v>
      </c>
      <c r="M37">
        <v>108</v>
      </c>
      <c r="N37" t="s">
        <v>17</v>
      </c>
      <c r="O37" t="s">
        <v>777</v>
      </c>
    </row>
    <row r="38" spans="1:15" x14ac:dyDescent="0.2">
      <c r="A38" t="s">
        <v>624</v>
      </c>
      <c r="B38" t="s">
        <v>191</v>
      </c>
      <c r="C38">
        <v>1</v>
      </c>
      <c r="D38">
        <v>1</v>
      </c>
      <c r="E38">
        <v>0</v>
      </c>
      <c r="F38">
        <v>1</v>
      </c>
      <c r="G38">
        <v>0</v>
      </c>
      <c r="H38">
        <v>1</v>
      </c>
      <c r="I38">
        <v>6.2E-2</v>
      </c>
      <c r="J38">
        <v>50</v>
      </c>
      <c r="K38">
        <f t="shared" si="0"/>
        <v>3.1E-2</v>
      </c>
      <c r="L38" t="s">
        <v>17</v>
      </c>
      <c r="M38">
        <v>100</v>
      </c>
      <c r="N38" t="s">
        <v>17</v>
      </c>
      <c r="O38" t="s">
        <v>776</v>
      </c>
    </row>
    <row r="39" spans="1:15" x14ac:dyDescent="0.2">
      <c r="A39" t="s">
        <v>624</v>
      </c>
      <c r="B39" t="s">
        <v>191</v>
      </c>
      <c r="C39">
        <v>2</v>
      </c>
      <c r="D39">
        <v>2</v>
      </c>
      <c r="E39">
        <v>0</v>
      </c>
      <c r="F39">
        <v>2</v>
      </c>
      <c r="G39">
        <v>1</v>
      </c>
      <c r="H39">
        <v>1</v>
      </c>
      <c r="I39">
        <v>6.9000000000000006E-2</v>
      </c>
      <c r="J39">
        <v>50</v>
      </c>
      <c r="K39">
        <f t="shared" si="0"/>
        <v>3.4500000000000003E-2</v>
      </c>
      <c r="L39" t="s">
        <v>17</v>
      </c>
      <c r="M39">
        <v>59.88</v>
      </c>
      <c r="N39" t="s">
        <v>17</v>
      </c>
      <c r="O39" t="s">
        <v>779</v>
      </c>
    </row>
    <row r="40" spans="1:15" x14ac:dyDescent="0.2">
      <c r="A40" t="s">
        <v>624</v>
      </c>
      <c r="B40" t="s">
        <v>191</v>
      </c>
      <c r="C40">
        <v>1</v>
      </c>
      <c r="D40">
        <v>1</v>
      </c>
      <c r="E40">
        <v>0</v>
      </c>
      <c r="F40">
        <v>1</v>
      </c>
      <c r="G40">
        <v>0</v>
      </c>
      <c r="H40">
        <v>1</v>
      </c>
      <c r="I40">
        <v>6.5000000000000002E-2</v>
      </c>
      <c r="J40">
        <v>50</v>
      </c>
      <c r="K40">
        <f t="shared" si="0"/>
        <v>3.2500000000000001E-2</v>
      </c>
      <c r="L40" t="s">
        <v>17</v>
      </c>
      <c r="M40">
        <v>97.12</v>
      </c>
      <c r="N40" t="s">
        <v>17</v>
      </c>
      <c r="O40" t="s">
        <v>780</v>
      </c>
    </row>
    <row r="41" spans="1:15" x14ac:dyDescent="0.2">
      <c r="A41" t="s">
        <v>624</v>
      </c>
      <c r="B41" t="s">
        <v>191</v>
      </c>
      <c r="C41">
        <v>2</v>
      </c>
      <c r="D41">
        <v>2</v>
      </c>
      <c r="E41">
        <v>0</v>
      </c>
      <c r="F41">
        <v>2</v>
      </c>
      <c r="G41">
        <v>1</v>
      </c>
      <c r="H41">
        <v>1</v>
      </c>
      <c r="I41">
        <v>7.1999999999999995E-2</v>
      </c>
      <c r="J41">
        <v>50</v>
      </c>
      <c r="K41">
        <f t="shared" si="0"/>
        <v>3.5999999999999997E-2</v>
      </c>
      <c r="L41" t="s">
        <v>17</v>
      </c>
      <c r="M41">
        <v>49.85</v>
      </c>
      <c r="N41" t="s">
        <v>17</v>
      </c>
      <c r="O41" t="s">
        <v>781</v>
      </c>
    </row>
    <row r="42" spans="1:15" x14ac:dyDescent="0.2">
      <c r="A42" t="s">
        <v>624</v>
      </c>
      <c r="B42" t="s">
        <v>191</v>
      </c>
      <c r="C42">
        <v>1</v>
      </c>
      <c r="D42">
        <v>1</v>
      </c>
      <c r="E42">
        <v>0</v>
      </c>
      <c r="F42">
        <v>1</v>
      </c>
      <c r="G42">
        <v>0</v>
      </c>
      <c r="H42">
        <v>1</v>
      </c>
      <c r="I42">
        <v>6.2E-2</v>
      </c>
      <c r="J42">
        <v>50</v>
      </c>
      <c r="K42">
        <f t="shared" si="0"/>
        <v>3.1E-2</v>
      </c>
      <c r="L42" t="s">
        <v>17</v>
      </c>
      <c r="M42">
        <v>61.56</v>
      </c>
      <c r="N42" t="s">
        <v>17</v>
      </c>
      <c r="O42" t="s">
        <v>782</v>
      </c>
    </row>
    <row r="43" spans="1:15" x14ac:dyDescent="0.2">
      <c r="A43" t="s">
        <v>624</v>
      </c>
      <c r="B43" t="s">
        <v>191</v>
      </c>
      <c r="C43">
        <v>2</v>
      </c>
      <c r="D43">
        <v>2</v>
      </c>
      <c r="E43">
        <v>0</v>
      </c>
      <c r="F43">
        <v>2</v>
      </c>
      <c r="G43">
        <v>1</v>
      </c>
      <c r="H43">
        <v>1</v>
      </c>
      <c r="I43">
        <v>7.3999999999999996E-2</v>
      </c>
      <c r="J43">
        <v>50</v>
      </c>
      <c r="K43">
        <f t="shared" si="0"/>
        <v>3.6999999999999998E-2</v>
      </c>
      <c r="L43" t="s">
        <v>17</v>
      </c>
      <c r="M43">
        <v>44.95</v>
      </c>
      <c r="N43" t="s">
        <v>17</v>
      </c>
      <c r="O43" t="s">
        <v>783</v>
      </c>
    </row>
    <row r="44" spans="1:15" x14ac:dyDescent="0.2">
      <c r="A44" t="s">
        <v>624</v>
      </c>
      <c r="B44" t="s">
        <v>191</v>
      </c>
      <c r="C44">
        <v>1</v>
      </c>
      <c r="D44">
        <v>1</v>
      </c>
      <c r="E44">
        <v>0</v>
      </c>
      <c r="F44">
        <v>1</v>
      </c>
      <c r="G44">
        <v>0</v>
      </c>
      <c r="H44">
        <v>1</v>
      </c>
      <c r="I44">
        <v>0.06</v>
      </c>
      <c r="J44">
        <v>50</v>
      </c>
      <c r="K44">
        <f t="shared" si="0"/>
        <v>0.03</v>
      </c>
      <c r="L44" t="s">
        <v>17</v>
      </c>
      <c r="M44">
        <v>53.01</v>
      </c>
      <c r="N44" t="s">
        <v>17</v>
      </c>
      <c r="O44" t="s">
        <v>784</v>
      </c>
    </row>
    <row r="45" spans="1:15" x14ac:dyDescent="0.2">
      <c r="A45" t="s">
        <v>624</v>
      </c>
      <c r="B45" t="s">
        <v>191</v>
      </c>
      <c r="C45">
        <v>2</v>
      </c>
      <c r="D45">
        <v>2</v>
      </c>
      <c r="E45">
        <v>0</v>
      </c>
      <c r="F45">
        <v>2</v>
      </c>
      <c r="G45">
        <v>1</v>
      </c>
      <c r="H45">
        <v>1</v>
      </c>
      <c r="I45">
        <v>8.5999999999999993E-2</v>
      </c>
      <c r="J45">
        <v>50</v>
      </c>
      <c r="K45">
        <f t="shared" si="0"/>
        <v>4.2999999999999997E-2</v>
      </c>
      <c r="L45" t="s">
        <v>17</v>
      </c>
      <c r="M45">
        <v>39.96</v>
      </c>
      <c r="N45" t="s">
        <v>17</v>
      </c>
      <c r="O45" t="s">
        <v>785</v>
      </c>
    </row>
    <row r="46" spans="1:15" x14ac:dyDescent="0.2">
      <c r="A46" t="s">
        <v>624</v>
      </c>
      <c r="B46" t="s">
        <v>191</v>
      </c>
      <c r="C46">
        <v>1</v>
      </c>
      <c r="D46">
        <v>1</v>
      </c>
      <c r="E46">
        <v>0</v>
      </c>
      <c r="F46">
        <v>1</v>
      </c>
      <c r="G46">
        <v>0</v>
      </c>
      <c r="H46">
        <v>1</v>
      </c>
      <c r="I46">
        <v>6.9000000000000006E-2</v>
      </c>
      <c r="J46">
        <v>50</v>
      </c>
      <c r="K46">
        <f t="shared" si="0"/>
        <v>3.4500000000000003E-2</v>
      </c>
      <c r="L46" t="s">
        <v>17</v>
      </c>
      <c r="M46">
        <v>46.98</v>
      </c>
      <c r="N46" t="s">
        <v>17</v>
      </c>
      <c r="O46" t="s">
        <v>786</v>
      </c>
    </row>
    <row r="47" spans="1:15" x14ac:dyDescent="0.2">
      <c r="A47" t="s">
        <v>624</v>
      </c>
      <c r="B47" t="s">
        <v>191</v>
      </c>
      <c r="C47">
        <v>2</v>
      </c>
      <c r="D47">
        <v>2</v>
      </c>
      <c r="E47">
        <v>0</v>
      </c>
      <c r="F47">
        <v>2</v>
      </c>
      <c r="G47">
        <v>1</v>
      </c>
      <c r="H47">
        <v>1</v>
      </c>
      <c r="I47">
        <v>8.5999999999999993E-2</v>
      </c>
      <c r="J47">
        <v>50</v>
      </c>
      <c r="K47">
        <f t="shared" si="0"/>
        <v>4.2999999999999997E-2</v>
      </c>
      <c r="L47" t="s">
        <v>17</v>
      </c>
      <c r="M47">
        <v>34.97</v>
      </c>
      <c r="N47" t="s">
        <v>17</v>
      </c>
      <c r="O47" t="s">
        <v>787</v>
      </c>
    </row>
    <row r="48" spans="1:15" x14ac:dyDescent="0.2">
      <c r="A48" t="s">
        <v>624</v>
      </c>
      <c r="B48" t="s">
        <v>191</v>
      </c>
      <c r="C48">
        <v>1</v>
      </c>
      <c r="D48">
        <v>1</v>
      </c>
      <c r="E48">
        <v>0</v>
      </c>
      <c r="F48">
        <v>1</v>
      </c>
      <c r="G48">
        <v>0</v>
      </c>
      <c r="H48">
        <v>1</v>
      </c>
      <c r="I48">
        <v>6.2E-2</v>
      </c>
      <c r="J48">
        <v>50</v>
      </c>
      <c r="K48">
        <f t="shared" si="0"/>
        <v>3.1E-2</v>
      </c>
      <c r="L48" t="s">
        <v>17</v>
      </c>
      <c r="M48">
        <v>42.8</v>
      </c>
      <c r="N48" t="s">
        <v>17</v>
      </c>
      <c r="O48" t="s">
        <v>788</v>
      </c>
    </row>
    <row r="49" spans="1:15" x14ac:dyDescent="0.2">
      <c r="A49" t="s">
        <v>624</v>
      </c>
      <c r="B49" t="s">
        <v>191</v>
      </c>
      <c r="C49">
        <v>2</v>
      </c>
      <c r="D49">
        <v>2</v>
      </c>
      <c r="E49">
        <v>0</v>
      </c>
      <c r="F49">
        <v>2</v>
      </c>
      <c r="G49">
        <v>1</v>
      </c>
      <c r="H49">
        <v>1</v>
      </c>
      <c r="I49">
        <v>8.5000000000000006E-2</v>
      </c>
      <c r="J49">
        <v>50</v>
      </c>
      <c r="K49">
        <f t="shared" si="0"/>
        <v>4.2500000000000003E-2</v>
      </c>
      <c r="L49" t="s">
        <v>17</v>
      </c>
      <c r="M49">
        <v>29.95</v>
      </c>
      <c r="N49" t="s">
        <v>17</v>
      </c>
      <c r="O49" t="s">
        <v>789</v>
      </c>
    </row>
    <row r="50" spans="1:15" x14ac:dyDescent="0.2">
      <c r="A50" t="s">
        <v>624</v>
      </c>
      <c r="B50" t="s">
        <v>191</v>
      </c>
      <c r="C50">
        <v>1</v>
      </c>
      <c r="D50">
        <v>1</v>
      </c>
      <c r="E50">
        <v>0</v>
      </c>
      <c r="F50">
        <v>1</v>
      </c>
      <c r="G50">
        <v>0</v>
      </c>
      <c r="H50">
        <v>1</v>
      </c>
      <c r="I50">
        <v>6.4000000000000001E-2</v>
      </c>
      <c r="J50">
        <v>50</v>
      </c>
      <c r="K50">
        <f>J50*I50/100</f>
        <v>3.2000000000000001E-2</v>
      </c>
      <c r="L50" t="s">
        <v>17</v>
      </c>
      <c r="M50">
        <v>32.54</v>
      </c>
      <c r="N50" t="s">
        <v>17</v>
      </c>
      <c r="O50" t="s">
        <v>790</v>
      </c>
    </row>
    <row r="51" spans="1:15" x14ac:dyDescent="0.2">
      <c r="A51" t="s">
        <v>624</v>
      </c>
      <c r="B51" t="s">
        <v>191</v>
      </c>
      <c r="C51">
        <v>2</v>
      </c>
      <c r="D51">
        <v>2</v>
      </c>
      <c r="E51">
        <v>0</v>
      </c>
      <c r="F51">
        <v>2</v>
      </c>
      <c r="G51">
        <v>1</v>
      </c>
      <c r="H51">
        <v>1</v>
      </c>
      <c r="I51">
        <v>9.0999999999999998E-2</v>
      </c>
      <c r="J51">
        <v>50</v>
      </c>
      <c r="K51">
        <f>J51*I51/100</f>
        <v>4.5499999999999999E-2</v>
      </c>
      <c r="L51" t="s">
        <v>17</v>
      </c>
      <c r="M51">
        <v>24.94</v>
      </c>
      <c r="N51" t="s">
        <v>17</v>
      </c>
      <c r="O51" t="s">
        <v>791</v>
      </c>
    </row>
    <row r="52" spans="1:15" x14ac:dyDescent="0.2">
      <c r="A52" t="s">
        <v>624</v>
      </c>
      <c r="B52" t="s">
        <v>191</v>
      </c>
      <c r="C52">
        <v>1</v>
      </c>
      <c r="D52">
        <v>1</v>
      </c>
      <c r="E52">
        <v>0</v>
      </c>
      <c r="F52">
        <v>1</v>
      </c>
      <c r="G52">
        <v>0</v>
      </c>
      <c r="H52">
        <v>1</v>
      </c>
      <c r="I52">
        <v>7.0999999999999994E-2</v>
      </c>
      <c r="J52">
        <v>50</v>
      </c>
      <c r="K52">
        <f>J52*I52/100</f>
        <v>3.5499999999999997E-2</v>
      </c>
      <c r="L52" t="s">
        <v>17</v>
      </c>
      <c r="M52">
        <v>31</v>
      </c>
      <c r="N52" t="s">
        <v>17</v>
      </c>
      <c r="O52" t="s">
        <v>792</v>
      </c>
    </row>
    <row r="53" spans="1:15" x14ac:dyDescent="0.2">
      <c r="A53" t="s">
        <v>624</v>
      </c>
      <c r="B53" t="s">
        <v>191</v>
      </c>
      <c r="C53">
        <v>2</v>
      </c>
      <c r="D53">
        <v>2</v>
      </c>
      <c r="E53">
        <v>0</v>
      </c>
      <c r="F53">
        <v>2</v>
      </c>
      <c r="G53">
        <v>1</v>
      </c>
      <c r="H53">
        <v>1</v>
      </c>
      <c r="I53">
        <v>0.109</v>
      </c>
      <c r="J53">
        <v>50</v>
      </c>
      <c r="K53">
        <f t="shared" ref="K53:K73" si="1">J53*I53/100</f>
        <v>5.45E-2</v>
      </c>
      <c r="L53" t="s">
        <v>17</v>
      </c>
      <c r="M53">
        <v>19.940000000000001</v>
      </c>
      <c r="N53" t="s">
        <v>17</v>
      </c>
      <c r="O53" t="s">
        <v>793</v>
      </c>
    </row>
    <row r="54" spans="1:15" x14ac:dyDescent="0.2">
      <c r="A54" t="s">
        <v>624</v>
      </c>
      <c r="B54" t="s">
        <v>191</v>
      </c>
      <c r="C54">
        <v>1</v>
      </c>
      <c r="D54">
        <v>1</v>
      </c>
      <c r="E54">
        <v>0</v>
      </c>
      <c r="F54">
        <v>1</v>
      </c>
      <c r="G54">
        <v>0</v>
      </c>
      <c r="H54">
        <v>1</v>
      </c>
      <c r="I54">
        <v>8.5999999999999993E-2</v>
      </c>
      <c r="J54">
        <v>50</v>
      </c>
      <c r="K54">
        <f t="shared" si="1"/>
        <v>4.2999999999999997E-2</v>
      </c>
      <c r="L54" t="s">
        <v>17</v>
      </c>
      <c r="M54">
        <v>25.8</v>
      </c>
      <c r="N54" t="s">
        <v>17</v>
      </c>
      <c r="O54" t="s">
        <v>794</v>
      </c>
    </row>
    <row r="55" spans="1:15" x14ac:dyDescent="0.2">
      <c r="A55" t="s">
        <v>624</v>
      </c>
      <c r="B55" t="s">
        <v>191</v>
      </c>
      <c r="C55">
        <v>2</v>
      </c>
      <c r="D55">
        <v>2</v>
      </c>
      <c r="E55">
        <v>0</v>
      </c>
      <c r="F55">
        <v>2</v>
      </c>
      <c r="G55">
        <v>1</v>
      </c>
      <c r="H55">
        <v>1</v>
      </c>
      <c r="I55">
        <v>0.125</v>
      </c>
      <c r="J55">
        <v>50</v>
      </c>
      <c r="K55">
        <f t="shared" si="1"/>
        <v>6.25E-2</v>
      </c>
      <c r="L55" t="s">
        <v>17</v>
      </c>
      <c r="M55">
        <v>14.96</v>
      </c>
      <c r="N55" t="s">
        <v>17</v>
      </c>
      <c r="O55" t="s">
        <v>795</v>
      </c>
    </row>
    <row r="56" spans="1:15" x14ac:dyDescent="0.2">
      <c r="A56" t="s">
        <v>624</v>
      </c>
      <c r="B56" t="s">
        <v>191</v>
      </c>
      <c r="C56">
        <v>1</v>
      </c>
      <c r="D56">
        <v>1</v>
      </c>
      <c r="E56">
        <v>0</v>
      </c>
      <c r="F56">
        <v>1</v>
      </c>
      <c r="G56">
        <v>0</v>
      </c>
      <c r="H56">
        <v>1</v>
      </c>
      <c r="I56">
        <v>0.08</v>
      </c>
      <c r="J56">
        <v>50</v>
      </c>
      <c r="K56">
        <f t="shared" si="1"/>
        <v>0.04</v>
      </c>
      <c r="L56" t="s">
        <v>17</v>
      </c>
      <c r="M56">
        <v>23.05</v>
      </c>
      <c r="N56" t="s">
        <v>17</v>
      </c>
      <c r="O56" t="s">
        <v>796</v>
      </c>
    </row>
    <row r="57" spans="1:15" x14ac:dyDescent="0.2">
      <c r="A57" t="s">
        <v>624</v>
      </c>
      <c r="B57" t="s">
        <v>191</v>
      </c>
      <c r="C57">
        <v>2</v>
      </c>
      <c r="D57">
        <v>2</v>
      </c>
      <c r="E57">
        <v>0</v>
      </c>
      <c r="F57">
        <v>2</v>
      </c>
      <c r="G57">
        <v>1</v>
      </c>
      <c r="H57">
        <v>1</v>
      </c>
      <c r="I57">
        <v>0.106</v>
      </c>
      <c r="J57">
        <v>50</v>
      </c>
      <c r="K57">
        <f t="shared" si="1"/>
        <v>5.2999999999999999E-2</v>
      </c>
      <c r="L57" t="s">
        <v>17</v>
      </c>
      <c r="M57">
        <v>12.39</v>
      </c>
      <c r="N57" t="s">
        <v>17</v>
      </c>
      <c r="O57" t="s">
        <v>797</v>
      </c>
    </row>
    <row r="58" spans="1:15" x14ac:dyDescent="0.2">
      <c r="A58" t="s">
        <v>624</v>
      </c>
      <c r="B58" t="s">
        <v>191</v>
      </c>
      <c r="C58">
        <v>1</v>
      </c>
      <c r="D58">
        <v>1</v>
      </c>
      <c r="E58">
        <v>0</v>
      </c>
      <c r="F58">
        <v>1</v>
      </c>
      <c r="G58">
        <v>0</v>
      </c>
      <c r="H58">
        <v>1</v>
      </c>
      <c r="I58">
        <v>8.6999999999999994E-2</v>
      </c>
      <c r="J58">
        <v>50</v>
      </c>
      <c r="K58">
        <f t="shared" si="1"/>
        <v>4.3499999999999997E-2</v>
      </c>
      <c r="L58" t="s">
        <v>17</v>
      </c>
      <c r="M58">
        <v>16.899999999999999</v>
      </c>
      <c r="N58" t="s">
        <v>17</v>
      </c>
      <c r="O58" t="s">
        <v>798</v>
      </c>
    </row>
    <row r="59" spans="1:15" x14ac:dyDescent="0.2">
      <c r="A59" t="s">
        <v>624</v>
      </c>
      <c r="B59" t="s">
        <v>191</v>
      </c>
      <c r="C59">
        <v>2</v>
      </c>
      <c r="D59">
        <v>2</v>
      </c>
      <c r="E59">
        <v>0</v>
      </c>
      <c r="F59">
        <v>2</v>
      </c>
      <c r="G59">
        <v>1</v>
      </c>
      <c r="H59">
        <v>1</v>
      </c>
      <c r="I59">
        <v>0.106</v>
      </c>
      <c r="J59">
        <v>50</v>
      </c>
      <c r="K59">
        <f t="shared" si="1"/>
        <v>5.2999999999999999E-2</v>
      </c>
      <c r="L59" t="s">
        <v>17</v>
      </c>
      <c r="M59">
        <v>9.8699999999999992</v>
      </c>
      <c r="N59" t="s">
        <v>17</v>
      </c>
      <c r="O59" t="s">
        <v>799</v>
      </c>
    </row>
    <row r="60" spans="1:15" x14ac:dyDescent="0.2">
      <c r="A60" t="s">
        <v>624</v>
      </c>
      <c r="B60" t="s">
        <v>191</v>
      </c>
      <c r="C60">
        <v>1</v>
      </c>
      <c r="D60">
        <v>1</v>
      </c>
      <c r="E60">
        <v>0</v>
      </c>
      <c r="F60">
        <v>1</v>
      </c>
      <c r="G60">
        <v>0</v>
      </c>
      <c r="H60">
        <v>1</v>
      </c>
      <c r="I60">
        <v>9.9000000000000005E-2</v>
      </c>
      <c r="J60">
        <v>50</v>
      </c>
      <c r="K60">
        <f t="shared" si="1"/>
        <v>4.9500000000000002E-2</v>
      </c>
      <c r="L60" t="s">
        <v>17</v>
      </c>
      <c r="M60">
        <v>16.739999999999998</v>
      </c>
      <c r="N60" t="s">
        <v>17</v>
      </c>
      <c r="O60" t="s">
        <v>800</v>
      </c>
    </row>
    <row r="61" spans="1:15" x14ac:dyDescent="0.2">
      <c r="A61" t="s">
        <v>624</v>
      </c>
      <c r="B61" t="s">
        <v>191</v>
      </c>
      <c r="C61">
        <v>2</v>
      </c>
      <c r="D61">
        <v>2</v>
      </c>
      <c r="E61">
        <v>0</v>
      </c>
      <c r="F61">
        <v>2</v>
      </c>
      <c r="G61">
        <v>1</v>
      </c>
      <c r="H61">
        <v>1</v>
      </c>
      <c r="I61">
        <v>0.1</v>
      </c>
      <c r="J61">
        <v>50</v>
      </c>
      <c r="K61">
        <f t="shared" si="1"/>
        <v>0.05</v>
      </c>
      <c r="L61" t="s">
        <v>17</v>
      </c>
      <c r="M61">
        <v>7.75</v>
      </c>
      <c r="N61" t="s">
        <v>17</v>
      </c>
      <c r="O61" t="s">
        <v>801</v>
      </c>
    </row>
    <row r="62" spans="1:15" x14ac:dyDescent="0.2">
      <c r="A62" t="s">
        <v>624</v>
      </c>
      <c r="B62" t="s">
        <v>191</v>
      </c>
      <c r="C62">
        <v>1</v>
      </c>
      <c r="D62">
        <v>1</v>
      </c>
      <c r="E62">
        <v>0</v>
      </c>
      <c r="F62">
        <v>1</v>
      </c>
      <c r="G62">
        <v>0</v>
      </c>
      <c r="H62">
        <v>1</v>
      </c>
      <c r="I62">
        <v>0.11799999999999999</v>
      </c>
      <c r="J62">
        <v>50</v>
      </c>
      <c r="K62">
        <f t="shared" si="1"/>
        <v>5.8999999999999997E-2</v>
      </c>
      <c r="L62" t="s">
        <v>17</v>
      </c>
      <c r="M62">
        <v>12.19</v>
      </c>
      <c r="N62" t="s">
        <v>17</v>
      </c>
      <c r="O62" t="s">
        <v>802</v>
      </c>
    </row>
    <row r="63" spans="1:15" x14ac:dyDescent="0.2">
      <c r="A63" t="s">
        <v>624</v>
      </c>
      <c r="B63" t="s">
        <v>191</v>
      </c>
      <c r="C63">
        <v>2</v>
      </c>
      <c r="D63">
        <v>2</v>
      </c>
      <c r="E63">
        <v>0</v>
      </c>
      <c r="F63">
        <v>2</v>
      </c>
      <c r="G63">
        <v>1</v>
      </c>
      <c r="H63">
        <v>1</v>
      </c>
      <c r="I63">
        <v>9.8000000000000004E-2</v>
      </c>
      <c r="J63">
        <v>50</v>
      </c>
      <c r="K63">
        <f t="shared" si="1"/>
        <v>4.9000000000000002E-2</v>
      </c>
      <c r="L63" t="s">
        <v>17</v>
      </c>
      <c r="M63">
        <v>4.21</v>
      </c>
      <c r="N63" t="s">
        <v>17</v>
      </c>
      <c r="O63" t="s">
        <v>803</v>
      </c>
    </row>
    <row r="64" spans="1:15" x14ac:dyDescent="0.2">
      <c r="A64" t="s">
        <v>624</v>
      </c>
      <c r="B64" t="s">
        <v>191</v>
      </c>
      <c r="C64">
        <v>1</v>
      </c>
      <c r="D64">
        <v>1</v>
      </c>
      <c r="E64">
        <v>0</v>
      </c>
      <c r="F64">
        <v>1</v>
      </c>
      <c r="G64">
        <v>0</v>
      </c>
      <c r="H64">
        <v>1</v>
      </c>
      <c r="I64">
        <v>0.124</v>
      </c>
      <c r="J64">
        <v>50</v>
      </c>
      <c r="K64">
        <f t="shared" si="1"/>
        <v>6.2E-2</v>
      </c>
      <c r="L64" t="s">
        <v>17</v>
      </c>
      <c r="M64">
        <v>11.1</v>
      </c>
      <c r="N64" t="s">
        <v>17</v>
      </c>
      <c r="O64" t="s">
        <v>804</v>
      </c>
    </row>
    <row r="65" spans="1:15" x14ac:dyDescent="0.2">
      <c r="A65" t="s">
        <v>624</v>
      </c>
      <c r="B65" t="s">
        <v>191</v>
      </c>
      <c r="C65">
        <v>2</v>
      </c>
      <c r="D65">
        <v>2</v>
      </c>
      <c r="E65">
        <v>0</v>
      </c>
      <c r="F65">
        <v>2</v>
      </c>
      <c r="G65">
        <v>1</v>
      </c>
      <c r="H65">
        <v>1</v>
      </c>
      <c r="I65">
        <v>0.1</v>
      </c>
      <c r="J65">
        <v>50</v>
      </c>
      <c r="K65">
        <f t="shared" si="1"/>
        <v>0.05</v>
      </c>
      <c r="L65" t="s">
        <v>17</v>
      </c>
      <c r="M65">
        <v>4.21</v>
      </c>
      <c r="N65" t="s">
        <v>17</v>
      </c>
      <c r="O65" t="s">
        <v>805</v>
      </c>
    </row>
    <row r="66" spans="1:15" x14ac:dyDescent="0.2">
      <c r="A66" t="s">
        <v>624</v>
      </c>
      <c r="B66" t="s">
        <v>191</v>
      </c>
      <c r="C66">
        <v>1</v>
      </c>
      <c r="D66">
        <v>1</v>
      </c>
      <c r="E66">
        <v>0</v>
      </c>
      <c r="F66">
        <v>1</v>
      </c>
      <c r="G66">
        <v>0</v>
      </c>
      <c r="H66">
        <v>1</v>
      </c>
      <c r="I66">
        <v>0.14699999999999999</v>
      </c>
      <c r="J66">
        <v>50</v>
      </c>
      <c r="K66">
        <f t="shared" si="1"/>
        <v>7.3499999999999996E-2</v>
      </c>
      <c r="L66" t="s">
        <v>17</v>
      </c>
      <c r="M66">
        <v>8.59</v>
      </c>
      <c r="N66" t="s">
        <v>17</v>
      </c>
      <c r="O66" t="s">
        <v>806</v>
      </c>
    </row>
    <row r="67" spans="1:15" x14ac:dyDescent="0.2">
      <c r="A67" t="s">
        <v>624</v>
      </c>
      <c r="B67" t="s">
        <v>191</v>
      </c>
      <c r="C67">
        <v>1</v>
      </c>
      <c r="D67">
        <v>1</v>
      </c>
      <c r="E67">
        <v>0</v>
      </c>
      <c r="F67">
        <v>1</v>
      </c>
      <c r="G67">
        <v>0</v>
      </c>
      <c r="H67">
        <v>1</v>
      </c>
      <c r="I67">
        <v>0.17599999999999999</v>
      </c>
      <c r="J67">
        <v>50</v>
      </c>
      <c r="K67">
        <f t="shared" si="1"/>
        <v>8.7999999999999995E-2</v>
      </c>
      <c r="L67" t="s">
        <v>17</v>
      </c>
      <c r="M67">
        <v>6.66</v>
      </c>
      <c r="N67" t="s">
        <v>17</v>
      </c>
      <c r="O67" t="s">
        <v>807</v>
      </c>
    </row>
    <row r="68" spans="1:15" x14ac:dyDescent="0.2">
      <c r="A68" t="s">
        <v>624</v>
      </c>
      <c r="B68" t="s">
        <v>191</v>
      </c>
      <c r="C68">
        <v>1</v>
      </c>
      <c r="D68">
        <v>1</v>
      </c>
      <c r="E68">
        <v>0</v>
      </c>
      <c r="F68">
        <v>1</v>
      </c>
      <c r="G68">
        <v>0</v>
      </c>
      <c r="H68">
        <v>1</v>
      </c>
      <c r="I68">
        <v>0.23699999999999999</v>
      </c>
      <c r="J68">
        <v>50</v>
      </c>
      <c r="K68">
        <f t="shared" si="1"/>
        <v>0.11849999999999999</v>
      </c>
      <c r="L68" t="s">
        <v>17</v>
      </c>
      <c r="M68">
        <v>4.2</v>
      </c>
      <c r="N68" t="s">
        <v>17</v>
      </c>
      <c r="O68" t="s">
        <v>808</v>
      </c>
    </row>
    <row r="69" spans="1:15" x14ac:dyDescent="0.2">
      <c r="A69" t="s">
        <v>624</v>
      </c>
      <c r="B69" t="s">
        <v>191</v>
      </c>
      <c r="C69">
        <v>1</v>
      </c>
      <c r="D69">
        <v>1</v>
      </c>
      <c r="E69">
        <v>0</v>
      </c>
      <c r="F69">
        <v>1</v>
      </c>
      <c r="G69">
        <v>0</v>
      </c>
      <c r="H69">
        <v>1</v>
      </c>
      <c r="I69">
        <v>0.28000000000000003</v>
      </c>
      <c r="J69">
        <v>50</v>
      </c>
      <c r="K69">
        <f t="shared" si="1"/>
        <v>0.14000000000000001</v>
      </c>
      <c r="L69" t="s">
        <v>17</v>
      </c>
      <c r="M69">
        <v>3.3</v>
      </c>
      <c r="N69" t="s">
        <v>17</v>
      </c>
      <c r="O69" t="s">
        <v>809</v>
      </c>
    </row>
    <row r="70" spans="1:15" x14ac:dyDescent="0.2">
      <c r="A70" t="s">
        <v>624</v>
      </c>
      <c r="B70" t="s">
        <v>191</v>
      </c>
      <c r="C70">
        <v>1</v>
      </c>
      <c r="D70">
        <v>1</v>
      </c>
      <c r="E70">
        <v>0</v>
      </c>
      <c r="F70">
        <v>1</v>
      </c>
      <c r="G70">
        <v>0</v>
      </c>
      <c r="H70">
        <v>1</v>
      </c>
      <c r="I70">
        <v>0.312</v>
      </c>
      <c r="J70">
        <v>50</v>
      </c>
      <c r="K70">
        <f t="shared" si="1"/>
        <v>0.156</v>
      </c>
      <c r="L70" t="s">
        <v>17</v>
      </c>
      <c r="M70">
        <v>2.85</v>
      </c>
      <c r="N70" t="s">
        <v>17</v>
      </c>
      <c r="O70" t="s">
        <v>810</v>
      </c>
    </row>
    <row r="71" spans="1:15" x14ac:dyDescent="0.2">
      <c r="A71" t="s">
        <v>624</v>
      </c>
      <c r="B71" t="s">
        <v>191</v>
      </c>
      <c r="C71">
        <v>1</v>
      </c>
      <c r="D71">
        <v>1</v>
      </c>
      <c r="E71">
        <v>0</v>
      </c>
      <c r="F71">
        <v>1</v>
      </c>
      <c r="G71">
        <v>0</v>
      </c>
      <c r="H71">
        <v>1</v>
      </c>
      <c r="I71">
        <v>0.32800000000000001</v>
      </c>
      <c r="J71">
        <v>50</v>
      </c>
      <c r="K71">
        <f t="shared" si="1"/>
        <v>0.16400000000000003</v>
      </c>
      <c r="L71" t="s">
        <v>17</v>
      </c>
      <c r="M71">
        <v>2.58</v>
      </c>
      <c r="N71" t="s">
        <v>17</v>
      </c>
      <c r="O71" t="s">
        <v>811</v>
      </c>
    </row>
    <row r="72" spans="1:15" x14ac:dyDescent="0.2">
      <c r="A72" t="s">
        <v>624</v>
      </c>
      <c r="B72" t="s">
        <v>191</v>
      </c>
      <c r="C72">
        <v>1</v>
      </c>
      <c r="D72">
        <v>1</v>
      </c>
      <c r="E72">
        <v>0</v>
      </c>
      <c r="F72">
        <v>1</v>
      </c>
      <c r="G72">
        <v>0</v>
      </c>
      <c r="H72">
        <v>1</v>
      </c>
      <c r="I72">
        <v>0.33300000000000002</v>
      </c>
      <c r="J72">
        <v>50</v>
      </c>
      <c r="K72">
        <f t="shared" si="1"/>
        <v>0.16650000000000001</v>
      </c>
      <c r="L72" t="s">
        <v>17</v>
      </c>
      <c r="M72">
        <v>2.42</v>
      </c>
      <c r="N72" t="s">
        <v>17</v>
      </c>
      <c r="O72" t="s">
        <v>812</v>
      </c>
    </row>
    <row r="73" spans="1:15" x14ac:dyDescent="0.2">
      <c r="A73" t="s">
        <v>624</v>
      </c>
      <c r="B73" t="s">
        <v>191</v>
      </c>
      <c r="C73">
        <v>1</v>
      </c>
      <c r="D73">
        <v>1</v>
      </c>
      <c r="E73">
        <v>0</v>
      </c>
      <c r="F73">
        <v>1</v>
      </c>
      <c r="G73">
        <v>0</v>
      </c>
      <c r="H73">
        <v>1</v>
      </c>
      <c r="I73">
        <v>0.33300000000000002</v>
      </c>
      <c r="J73">
        <v>50</v>
      </c>
      <c r="K73">
        <f t="shared" si="1"/>
        <v>0.16650000000000001</v>
      </c>
      <c r="L73" t="s">
        <v>17</v>
      </c>
      <c r="M73">
        <v>2.2999999999999998</v>
      </c>
      <c r="N73" t="s">
        <v>17</v>
      </c>
      <c r="O73" t="s">
        <v>813</v>
      </c>
    </row>
    <row r="74" spans="1:15" x14ac:dyDescent="0.2">
      <c r="A74" t="s">
        <v>624</v>
      </c>
      <c r="B74" t="s">
        <v>191</v>
      </c>
      <c r="C74">
        <v>1</v>
      </c>
      <c r="D74">
        <v>1</v>
      </c>
      <c r="E74">
        <v>0</v>
      </c>
      <c r="F74">
        <v>1</v>
      </c>
      <c r="G74">
        <v>0</v>
      </c>
      <c r="H74">
        <v>1</v>
      </c>
      <c r="I74">
        <v>0.35699999999999998</v>
      </c>
      <c r="J74">
        <v>50</v>
      </c>
      <c r="K74">
        <f>J74*I74/100</f>
        <v>0.17849999999999999</v>
      </c>
      <c r="L74" t="s">
        <v>17</v>
      </c>
      <c r="M74">
        <v>2</v>
      </c>
      <c r="N74" t="s">
        <v>17</v>
      </c>
      <c r="O74" t="s">
        <v>814</v>
      </c>
    </row>
    <row r="75" spans="1:15" x14ac:dyDescent="0.2">
      <c r="A75" t="s">
        <v>624</v>
      </c>
      <c r="B75" t="s">
        <v>191</v>
      </c>
      <c r="C75">
        <v>1</v>
      </c>
      <c r="D75">
        <v>1</v>
      </c>
      <c r="E75">
        <v>0</v>
      </c>
      <c r="F75">
        <v>1</v>
      </c>
      <c r="G75">
        <v>0</v>
      </c>
      <c r="H75">
        <v>1</v>
      </c>
      <c r="I75">
        <v>0.373</v>
      </c>
      <c r="J75">
        <v>50</v>
      </c>
      <c r="K75">
        <f>J75*I75/100</f>
        <v>0.1865</v>
      </c>
      <c r="L75" t="s">
        <v>17</v>
      </c>
      <c r="M75">
        <v>1.72</v>
      </c>
      <c r="N75" t="s">
        <v>17</v>
      </c>
      <c r="O75" t="s">
        <v>815</v>
      </c>
    </row>
    <row r="76" spans="1:15" x14ac:dyDescent="0.2">
      <c r="A76" t="s">
        <v>624</v>
      </c>
      <c r="B76" t="s">
        <v>191</v>
      </c>
      <c r="C76">
        <v>1</v>
      </c>
      <c r="D76">
        <v>1</v>
      </c>
      <c r="E76">
        <v>0</v>
      </c>
      <c r="F76">
        <v>1</v>
      </c>
      <c r="G76">
        <v>0</v>
      </c>
      <c r="H76">
        <v>1</v>
      </c>
      <c r="I76">
        <v>0.38</v>
      </c>
      <c r="J76">
        <v>50</v>
      </c>
      <c r="K76">
        <f>J76*I76/100</f>
        <v>0.19</v>
      </c>
      <c r="L76" t="s">
        <v>17</v>
      </c>
      <c r="M76">
        <v>1.48</v>
      </c>
      <c r="N76" t="s">
        <v>17</v>
      </c>
      <c r="O76" t="s">
        <v>816</v>
      </c>
    </row>
    <row r="77" spans="1:15" x14ac:dyDescent="0.2">
      <c r="A77" t="s">
        <v>624</v>
      </c>
      <c r="B77" t="s">
        <v>191</v>
      </c>
      <c r="C77">
        <v>1</v>
      </c>
      <c r="D77">
        <v>1</v>
      </c>
      <c r="E77">
        <v>0</v>
      </c>
      <c r="F77">
        <v>1</v>
      </c>
      <c r="G77">
        <v>0</v>
      </c>
      <c r="H77">
        <v>1</v>
      </c>
      <c r="I77">
        <v>0.38</v>
      </c>
      <c r="J77">
        <v>50</v>
      </c>
      <c r="K77">
        <f t="shared" ref="K77" si="2">J77*I77/100</f>
        <v>0.19</v>
      </c>
      <c r="L77" t="s">
        <v>17</v>
      </c>
      <c r="M77">
        <v>1.36</v>
      </c>
      <c r="N77" t="s">
        <v>17</v>
      </c>
      <c r="O77" t="s">
        <v>817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A33C-7111-784A-867D-05BD18F7F263}">
  <dimension ref="A1:O55"/>
  <sheetViews>
    <sheetView topLeftCell="A7" workbookViewId="0">
      <selection activeCell="G6" sqref="G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818</v>
      </c>
      <c r="B2" t="s">
        <v>239</v>
      </c>
      <c r="C2">
        <v>1</v>
      </c>
      <c r="D2" t="s">
        <v>17</v>
      </c>
      <c r="E2" t="s">
        <v>17</v>
      </c>
      <c r="F2">
        <v>2</v>
      </c>
      <c r="G2" t="s">
        <v>17</v>
      </c>
      <c r="H2" t="s">
        <v>17</v>
      </c>
      <c r="I2">
        <v>5.0200000000000002E-2</v>
      </c>
      <c r="J2">
        <v>50</v>
      </c>
      <c r="K2">
        <f>J2*I2/100</f>
        <v>2.5100000000000001E-2</v>
      </c>
      <c r="L2" t="s">
        <v>17</v>
      </c>
      <c r="M2">
        <v>296</v>
      </c>
      <c r="N2" t="s">
        <v>17</v>
      </c>
      <c r="O2" t="s">
        <v>819</v>
      </c>
    </row>
    <row r="3" spans="1:15" x14ac:dyDescent="0.2">
      <c r="A3" t="s">
        <v>818</v>
      </c>
      <c r="B3" t="s">
        <v>191</v>
      </c>
      <c r="C3">
        <v>1</v>
      </c>
      <c r="D3" t="s">
        <v>17</v>
      </c>
      <c r="E3" t="s">
        <v>17</v>
      </c>
      <c r="F3">
        <v>2</v>
      </c>
      <c r="G3" t="s">
        <v>17</v>
      </c>
      <c r="H3" t="s">
        <v>17</v>
      </c>
      <c r="I3">
        <v>3.2300000000000002E-2</v>
      </c>
      <c r="J3">
        <v>50</v>
      </c>
      <c r="K3">
        <f>J3*I3/100</f>
        <v>1.6150000000000001E-2</v>
      </c>
      <c r="L3" t="s">
        <v>17</v>
      </c>
      <c r="M3">
        <v>296</v>
      </c>
      <c r="N3" t="s">
        <v>17</v>
      </c>
      <c r="O3" t="s">
        <v>819</v>
      </c>
    </row>
    <row r="4" spans="1:15" x14ac:dyDescent="0.2">
      <c r="A4" t="s">
        <v>818</v>
      </c>
      <c r="B4" t="s">
        <v>239</v>
      </c>
      <c r="C4">
        <v>1</v>
      </c>
      <c r="D4" t="s">
        <v>17</v>
      </c>
      <c r="E4" t="s">
        <v>17</v>
      </c>
      <c r="F4">
        <v>2</v>
      </c>
      <c r="G4" t="s">
        <v>17</v>
      </c>
      <c r="H4" t="s">
        <v>17</v>
      </c>
      <c r="I4">
        <v>5.3999999999999999E-2</v>
      </c>
      <c r="J4">
        <v>50</v>
      </c>
      <c r="K4">
        <f t="shared" ref="K4:K55" si="0">J4*I4/100</f>
        <v>2.7000000000000003E-2</v>
      </c>
      <c r="L4" t="s">
        <v>17</v>
      </c>
      <c r="M4">
        <v>296</v>
      </c>
      <c r="N4" t="s">
        <v>17</v>
      </c>
      <c r="O4" t="s">
        <v>820</v>
      </c>
    </row>
    <row r="5" spans="1:15" x14ac:dyDescent="0.2">
      <c r="A5" t="s">
        <v>818</v>
      </c>
      <c r="B5" t="s">
        <v>191</v>
      </c>
      <c r="C5">
        <v>1</v>
      </c>
      <c r="D5" t="s">
        <v>17</v>
      </c>
      <c r="E5" t="s">
        <v>17</v>
      </c>
      <c r="F5">
        <v>2</v>
      </c>
      <c r="G5" t="s">
        <v>17</v>
      </c>
      <c r="H5" t="s">
        <v>17</v>
      </c>
      <c r="I5">
        <v>3.2099999999999997E-2</v>
      </c>
      <c r="J5">
        <v>50</v>
      </c>
      <c r="K5">
        <f t="shared" si="0"/>
        <v>1.6049999999999998E-2</v>
      </c>
      <c r="L5" t="s">
        <v>17</v>
      </c>
      <c r="M5">
        <v>296</v>
      </c>
      <c r="N5" t="s">
        <v>17</v>
      </c>
      <c r="O5" t="s">
        <v>820</v>
      </c>
    </row>
    <row r="6" spans="1:15" x14ac:dyDescent="0.2">
      <c r="A6" t="s">
        <v>818</v>
      </c>
      <c r="B6" t="s">
        <v>239</v>
      </c>
      <c r="C6">
        <v>2</v>
      </c>
      <c r="D6" t="s">
        <v>17</v>
      </c>
      <c r="E6" t="s">
        <v>17</v>
      </c>
      <c r="F6">
        <v>3</v>
      </c>
      <c r="G6" t="s">
        <v>17</v>
      </c>
      <c r="H6" t="s">
        <v>17</v>
      </c>
      <c r="I6">
        <v>5.0500000000000003E-2</v>
      </c>
      <c r="J6">
        <v>50</v>
      </c>
      <c r="K6">
        <f t="shared" si="0"/>
        <v>2.5250000000000005E-2</v>
      </c>
      <c r="L6" t="s">
        <v>17</v>
      </c>
      <c r="M6">
        <v>296</v>
      </c>
      <c r="N6" t="s">
        <v>17</v>
      </c>
      <c r="O6" t="s">
        <v>821</v>
      </c>
    </row>
    <row r="7" spans="1:15" x14ac:dyDescent="0.2">
      <c r="A7" t="s">
        <v>818</v>
      </c>
      <c r="B7" t="s">
        <v>191</v>
      </c>
      <c r="C7">
        <v>2</v>
      </c>
      <c r="D7" t="s">
        <v>17</v>
      </c>
      <c r="E7" t="s">
        <v>17</v>
      </c>
      <c r="F7">
        <v>3</v>
      </c>
      <c r="G7" t="s">
        <v>17</v>
      </c>
      <c r="H7" t="s">
        <v>17</v>
      </c>
      <c r="I7">
        <v>3.3000000000000002E-2</v>
      </c>
      <c r="J7">
        <v>50</v>
      </c>
      <c r="K7">
        <f t="shared" si="0"/>
        <v>1.6500000000000001E-2</v>
      </c>
      <c r="L7" t="s">
        <v>17</v>
      </c>
      <c r="M7">
        <v>296</v>
      </c>
      <c r="N7" t="s">
        <v>17</v>
      </c>
      <c r="O7" t="s">
        <v>821</v>
      </c>
    </row>
    <row r="8" spans="1:15" x14ac:dyDescent="0.2">
      <c r="A8" t="s">
        <v>818</v>
      </c>
      <c r="B8" t="s">
        <v>239</v>
      </c>
      <c r="C8">
        <v>2</v>
      </c>
      <c r="D8" t="s">
        <v>17</v>
      </c>
      <c r="E8" t="s">
        <v>17</v>
      </c>
      <c r="F8">
        <v>3</v>
      </c>
      <c r="G8" t="s">
        <v>17</v>
      </c>
      <c r="H8" t="s">
        <v>17</v>
      </c>
      <c r="I8">
        <v>5.3900000000000003E-2</v>
      </c>
      <c r="J8">
        <v>50</v>
      </c>
      <c r="K8">
        <f t="shared" si="0"/>
        <v>2.6950000000000002E-2</v>
      </c>
      <c r="L8" t="s">
        <v>17</v>
      </c>
      <c r="M8">
        <v>296</v>
      </c>
      <c r="N8" t="s">
        <v>17</v>
      </c>
      <c r="O8" t="s">
        <v>822</v>
      </c>
    </row>
    <row r="9" spans="1:15" x14ac:dyDescent="0.2">
      <c r="A9" t="s">
        <v>818</v>
      </c>
      <c r="B9" t="s">
        <v>191</v>
      </c>
      <c r="C9">
        <v>2</v>
      </c>
      <c r="D9" t="s">
        <v>17</v>
      </c>
      <c r="E9" t="s">
        <v>17</v>
      </c>
      <c r="F9">
        <v>3</v>
      </c>
      <c r="G9" t="s">
        <v>17</v>
      </c>
      <c r="H9" t="s">
        <v>17</v>
      </c>
      <c r="I9">
        <v>3.5999999999999997E-2</v>
      </c>
      <c r="J9">
        <v>50</v>
      </c>
      <c r="K9">
        <f t="shared" si="0"/>
        <v>1.7999999999999999E-2</v>
      </c>
      <c r="L9" t="s">
        <v>17</v>
      </c>
      <c r="M9">
        <v>296</v>
      </c>
      <c r="N9" t="s">
        <v>17</v>
      </c>
      <c r="O9" t="s">
        <v>822</v>
      </c>
    </row>
    <row r="10" spans="1:15" x14ac:dyDescent="0.2">
      <c r="A10" t="s">
        <v>818</v>
      </c>
      <c r="B10" t="s">
        <v>239</v>
      </c>
      <c r="C10">
        <v>2</v>
      </c>
      <c r="D10" t="s">
        <v>17</v>
      </c>
      <c r="E10" t="s">
        <v>17</v>
      </c>
      <c r="F10">
        <v>3</v>
      </c>
      <c r="G10" t="s">
        <v>17</v>
      </c>
      <c r="H10" t="s">
        <v>17</v>
      </c>
      <c r="I10">
        <v>5.5199999999999999E-2</v>
      </c>
      <c r="J10">
        <v>50</v>
      </c>
      <c r="K10">
        <f t="shared" si="0"/>
        <v>2.76E-2</v>
      </c>
      <c r="L10" t="s">
        <v>17</v>
      </c>
      <c r="M10">
        <v>296</v>
      </c>
      <c r="N10" t="s">
        <v>17</v>
      </c>
      <c r="O10" t="s">
        <v>823</v>
      </c>
    </row>
    <row r="11" spans="1:15" x14ac:dyDescent="0.2">
      <c r="A11" t="s">
        <v>818</v>
      </c>
      <c r="B11" t="s">
        <v>191</v>
      </c>
      <c r="C11">
        <v>2</v>
      </c>
      <c r="D11" t="s">
        <v>17</v>
      </c>
      <c r="E11" t="s">
        <v>17</v>
      </c>
      <c r="F11">
        <v>3</v>
      </c>
      <c r="G11" t="s">
        <v>17</v>
      </c>
      <c r="H11" t="s">
        <v>17</v>
      </c>
      <c r="I11">
        <v>3.2500000000000001E-2</v>
      </c>
      <c r="J11">
        <v>50</v>
      </c>
      <c r="K11">
        <f t="shared" si="0"/>
        <v>1.6250000000000001E-2</v>
      </c>
      <c r="L11" t="s">
        <v>17</v>
      </c>
      <c r="M11">
        <v>296</v>
      </c>
      <c r="N11" t="s">
        <v>17</v>
      </c>
      <c r="O11" t="s">
        <v>823</v>
      </c>
    </row>
    <row r="12" spans="1:15" x14ac:dyDescent="0.2">
      <c r="A12" t="s">
        <v>818</v>
      </c>
      <c r="B12" t="s">
        <v>239</v>
      </c>
      <c r="C12">
        <v>3</v>
      </c>
      <c r="D12" t="s">
        <v>17</v>
      </c>
      <c r="E12" t="s">
        <v>17</v>
      </c>
      <c r="F12">
        <v>4</v>
      </c>
      <c r="G12" t="s">
        <v>17</v>
      </c>
      <c r="H12" t="s">
        <v>17</v>
      </c>
      <c r="I12">
        <v>4.8599999999999997E-2</v>
      </c>
      <c r="J12">
        <v>50</v>
      </c>
      <c r="K12">
        <f t="shared" si="0"/>
        <v>2.4299999999999999E-2</v>
      </c>
      <c r="L12" t="s">
        <v>17</v>
      </c>
      <c r="M12">
        <v>296</v>
      </c>
      <c r="N12" t="s">
        <v>17</v>
      </c>
      <c r="O12" t="s">
        <v>824</v>
      </c>
    </row>
    <row r="13" spans="1:15" x14ac:dyDescent="0.2">
      <c r="A13" t="s">
        <v>818</v>
      </c>
      <c r="B13" t="s">
        <v>191</v>
      </c>
      <c r="C13">
        <v>3</v>
      </c>
      <c r="D13" t="s">
        <v>17</v>
      </c>
      <c r="E13" t="s">
        <v>17</v>
      </c>
      <c r="F13">
        <v>4</v>
      </c>
      <c r="G13" t="s">
        <v>17</v>
      </c>
      <c r="H13" t="s">
        <v>17</v>
      </c>
      <c r="I13">
        <v>2.9899999999999999E-2</v>
      </c>
      <c r="J13">
        <v>50</v>
      </c>
      <c r="K13">
        <f t="shared" si="0"/>
        <v>1.4949999999999998E-2</v>
      </c>
      <c r="L13" t="s">
        <v>17</v>
      </c>
      <c r="M13">
        <v>296</v>
      </c>
      <c r="N13" t="s">
        <v>17</v>
      </c>
      <c r="O13" t="s">
        <v>824</v>
      </c>
    </row>
    <row r="14" spans="1:15" x14ac:dyDescent="0.2">
      <c r="A14" t="s">
        <v>818</v>
      </c>
      <c r="B14" t="s">
        <v>239</v>
      </c>
      <c r="C14">
        <v>3</v>
      </c>
      <c r="D14" t="s">
        <v>17</v>
      </c>
      <c r="E14" t="s">
        <v>17</v>
      </c>
      <c r="F14">
        <v>4</v>
      </c>
      <c r="G14" t="s">
        <v>17</v>
      </c>
      <c r="H14" t="s">
        <v>17</v>
      </c>
      <c r="I14">
        <v>5.0299999999999997E-2</v>
      </c>
      <c r="J14">
        <v>50</v>
      </c>
      <c r="K14">
        <f t="shared" si="0"/>
        <v>2.5149999999999995E-2</v>
      </c>
      <c r="L14" t="s">
        <v>17</v>
      </c>
      <c r="M14">
        <v>296</v>
      </c>
      <c r="N14" t="s">
        <v>17</v>
      </c>
      <c r="O14" t="s">
        <v>825</v>
      </c>
    </row>
    <row r="15" spans="1:15" x14ac:dyDescent="0.2">
      <c r="A15" t="s">
        <v>818</v>
      </c>
      <c r="B15" t="s">
        <v>191</v>
      </c>
      <c r="C15">
        <v>3</v>
      </c>
      <c r="D15" t="s">
        <v>17</v>
      </c>
      <c r="E15" t="s">
        <v>17</v>
      </c>
      <c r="F15">
        <v>4</v>
      </c>
      <c r="G15" t="s">
        <v>17</v>
      </c>
      <c r="H15" t="s">
        <v>17</v>
      </c>
      <c r="I15">
        <v>3.1199999999999999E-2</v>
      </c>
      <c r="J15">
        <v>50</v>
      </c>
      <c r="K15">
        <f t="shared" si="0"/>
        <v>1.5599999999999998E-2</v>
      </c>
      <c r="L15" t="s">
        <v>17</v>
      </c>
      <c r="M15">
        <v>296</v>
      </c>
      <c r="N15" t="s">
        <v>17</v>
      </c>
      <c r="O15" t="s">
        <v>825</v>
      </c>
    </row>
    <row r="16" spans="1:15" x14ac:dyDescent="0.2">
      <c r="A16" t="s">
        <v>818</v>
      </c>
      <c r="B16" t="s">
        <v>239</v>
      </c>
      <c r="C16">
        <v>3</v>
      </c>
      <c r="D16" t="s">
        <v>17</v>
      </c>
      <c r="E16" t="s">
        <v>17</v>
      </c>
      <c r="F16">
        <v>4</v>
      </c>
      <c r="G16" t="s">
        <v>17</v>
      </c>
      <c r="H16" t="s">
        <v>17</v>
      </c>
      <c r="I16">
        <v>5.3900000000000003E-2</v>
      </c>
      <c r="J16">
        <v>50</v>
      </c>
      <c r="K16">
        <f t="shared" si="0"/>
        <v>2.6950000000000002E-2</v>
      </c>
      <c r="L16" t="s">
        <v>17</v>
      </c>
      <c r="M16">
        <v>296</v>
      </c>
      <c r="N16" t="s">
        <v>17</v>
      </c>
      <c r="O16" t="s">
        <v>826</v>
      </c>
    </row>
    <row r="17" spans="1:15" x14ac:dyDescent="0.2">
      <c r="A17" t="s">
        <v>818</v>
      </c>
      <c r="B17" t="s">
        <v>191</v>
      </c>
      <c r="C17">
        <v>3</v>
      </c>
      <c r="D17" t="s">
        <v>17</v>
      </c>
      <c r="E17" t="s">
        <v>17</v>
      </c>
      <c r="F17">
        <v>4</v>
      </c>
      <c r="G17" t="s">
        <v>17</v>
      </c>
      <c r="H17" t="s">
        <v>17</v>
      </c>
      <c r="I17">
        <v>3.4099999999999998E-2</v>
      </c>
      <c r="J17">
        <v>50</v>
      </c>
      <c r="K17">
        <f t="shared" si="0"/>
        <v>1.7049999999999999E-2</v>
      </c>
      <c r="L17" t="s">
        <v>17</v>
      </c>
      <c r="M17">
        <v>296</v>
      </c>
      <c r="N17" t="s">
        <v>17</v>
      </c>
      <c r="O17" t="s">
        <v>826</v>
      </c>
    </row>
    <row r="18" spans="1:15" x14ac:dyDescent="0.2">
      <c r="A18" t="s">
        <v>818</v>
      </c>
      <c r="B18" t="s">
        <v>239</v>
      </c>
      <c r="C18">
        <v>3</v>
      </c>
      <c r="D18" t="s">
        <v>17</v>
      </c>
      <c r="E18" t="s">
        <v>17</v>
      </c>
      <c r="F18">
        <v>4</v>
      </c>
      <c r="G18" t="s">
        <v>17</v>
      </c>
      <c r="H18" t="s">
        <v>17</v>
      </c>
      <c r="I18">
        <v>5.4699999999999999E-2</v>
      </c>
      <c r="J18">
        <v>50</v>
      </c>
      <c r="K18">
        <f t="shared" si="0"/>
        <v>2.7349999999999999E-2</v>
      </c>
      <c r="L18" t="s">
        <v>17</v>
      </c>
      <c r="M18">
        <v>296</v>
      </c>
      <c r="N18" t="s">
        <v>17</v>
      </c>
      <c r="O18" t="s">
        <v>827</v>
      </c>
    </row>
    <row r="19" spans="1:15" x14ac:dyDescent="0.2">
      <c r="A19" t="s">
        <v>818</v>
      </c>
      <c r="B19" t="s">
        <v>191</v>
      </c>
      <c r="C19">
        <v>3</v>
      </c>
      <c r="D19" t="s">
        <v>17</v>
      </c>
      <c r="E19" t="s">
        <v>17</v>
      </c>
      <c r="F19">
        <v>4</v>
      </c>
      <c r="G19" t="s">
        <v>17</v>
      </c>
      <c r="H19" t="s">
        <v>17</v>
      </c>
      <c r="I19">
        <v>3.1800000000000002E-2</v>
      </c>
      <c r="J19">
        <v>50</v>
      </c>
      <c r="K19">
        <f t="shared" si="0"/>
        <v>1.5900000000000001E-2</v>
      </c>
      <c r="L19" t="s">
        <v>17</v>
      </c>
      <c r="M19">
        <v>296</v>
      </c>
      <c r="N19" t="s">
        <v>17</v>
      </c>
      <c r="O19" t="s">
        <v>827</v>
      </c>
    </row>
    <row r="20" spans="1:15" x14ac:dyDescent="0.2">
      <c r="A20" t="s">
        <v>818</v>
      </c>
      <c r="B20" t="s">
        <v>239</v>
      </c>
      <c r="C20">
        <v>4</v>
      </c>
      <c r="D20" t="s">
        <v>17</v>
      </c>
      <c r="E20" t="s">
        <v>17</v>
      </c>
      <c r="F20">
        <v>5</v>
      </c>
      <c r="G20" t="s">
        <v>17</v>
      </c>
      <c r="H20" t="s">
        <v>17</v>
      </c>
      <c r="I20">
        <v>4.7E-2</v>
      </c>
      <c r="J20">
        <v>50</v>
      </c>
      <c r="K20">
        <f t="shared" si="0"/>
        <v>2.35E-2</v>
      </c>
      <c r="L20" t="s">
        <v>17</v>
      </c>
      <c r="M20">
        <v>296</v>
      </c>
      <c r="N20" t="s">
        <v>17</v>
      </c>
      <c r="O20" t="s">
        <v>828</v>
      </c>
    </row>
    <row r="21" spans="1:15" x14ac:dyDescent="0.2">
      <c r="A21" t="s">
        <v>818</v>
      </c>
      <c r="B21" t="s">
        <v>191</v>
      </c>
      <c r="C21">
        <v>4</v>
      </c>
      <c r="D21" t="s">
        <v>17</v>
      </c>
      <c r="E21" t="s">
        <v>17</v>
      </c>
      <c r="F21">
        <v>5</v>
      </c>
      <c r="G21" t="s">
        <v>17</v>
      </c>
      <c r="H21" t="s">
        <v>17</v>
      </c>
      <c r="I21">
        <v>2.8899999999999999E-2</v>
      </c>
      <c r="J21">
        <v>50</v>
      </c>
      <c r="K21">
        <f t="shared" si="0"/>
        <v>1.4449999999999998E-2</v>
      </c>
      <c r="L21" t="s">
        <v>17</v>
      </c>
      <c r="M21">
        <v>296</v>
      </c>
      <c r="N21" t="s">
        <v>17</v>
      </c>
      <c r="O21" t="s">
        <v>828</v>
      </c>
    </row>
    <row r="22" spans="1:15" x14ac:dyDescent="0.2">
      <c r="A22" t="s">
        <v>818</v>
      </c>
      <c r="B22" t="s">
        <v>239</v>
      </c>
      <c r="C22">
        <v>4</v>
      </c>
      <c r="D22" t="s">
        <v>17</v>
      </c>
      <c r="E22" t="s">
        <v>17</v>
      </c>
      <c r="F22">
        <v>5</v>
      </c>
      <c r="G22" t="s">
        <v>17</v>
      </c>
      <c r="H22" t="s">
        <v>17</v>
      </c>
      <c r="I22">
        <v>4.8800000000000003E-2</v>
      </c>
      <c r="J22">
        <v>50</v>
      </c>
      <c r="K22">
        <f t="shared" si="0"/>
        <v>2.4399999999999998E-2</v>
      </c>
      <c r="L22" t="s">
        <v>17</v>
      </c>
      <c r="M22">
        <v>296</v>
      </c>
      <c r="N22" t="s">
        <v>17</v>
      </c>
      <c r="O22" t="s">
        <v>829</v>
      </c>
    </row>
    <row r="23" spans="1:15" x14ac:dyDescent="0.2">
      <c r="A23" t="s">
        <v>818</v>
      </c>
      <c r="B23" t="s">
        <v>191</v>
      </c>
      <c r="C23">
        <v>4</v>
      </c>
      <c r="D23" t="s">
        <v>17</v>
      </c>
      <c r="E23" t="s">
        <v>17</v>
      </c>
      <c r="F23">
        <v>5</v>
      </c>
      <c r="G23" t="s">
        <v>17</v>
      </c>
      <c r="H23" t="s">
        <v>17</v>
      </c>
      <c r="I23">
        <v>2.9100000000000001E-2</v>
      </c>
      <c r="J23">
        <v>50</v>
      </c>
      <c r="K23">
        <f t="shared" si="0"/>
        <v>1.455E-2</v>
      </c>
      <c r="L23" t="s">
        <v>17</v>
      </c>
      <c r="M23">
        <v>296</v>
      </c>
      <c r="N23" t="s">
        <v>17</v>
      </c>
      <c r="O23" t="s">
        <v>829</v>
      </c>
    </row>
    <row r="24" spans="1:15" x14ac:dyDescent="0.2">
      <c r="A24" t="s">
        <v>818</v>
      </c>
      <c r="B24" t="s">
        <v>239</v>
      </c>
      <c r="C24">
        <v>4</v>
      </c>
      <c r="D24" t="s">
        <v>17</v>
      </c>
      <c r="E24" t="s">
        <v>17</v>
      </c>
      <c r="F24">
        <v>5</v>
      </c>
      <c r="G24" t="s">
        <v>17</v>
      </c>
      <c r="H24" t="s">
        <v>17</v>
      </c>
      <c r="I24">
        <v>4.9799999999999997E-2</v>
      </c>
      <c r="J24">
        <v>50</v>
      </c>
      <c r="K24">
        <f t="shared" si="0"/>
        <v>2.4899999999999999E-2</v>
      </c>
      <c r="L24" t="s">
        <v>17</v>
      </c>
      <c r="M24">
        <v>296</v>
      </c>
      <c r="N24" t="s">
        <v>17</v>
      </c>
      <c r="O24" t="s">
        <v>830</v>
      </c>
    </row>
    <row r="25" spans="1:15" x14ac:dyDescent="0.2">
      <c r="A25" t="s">
        <v>818</v>
      </c>
      <c r="B25" t="s">
        <v>191</v>
      </c>
      <c r="C25">
        <v>4</v>
      </c>
      <c r="D25" t="s">
        <v>17</v>
      </c>
      <c r="E25" t="s">
        <v>17</v>
      </c>
      <c r="F25">
        <v>5</v>
      </c>
      <c r="G25" t="s">
        <v>17</v>
      </c>
      <c r="H25" t="s">
        <v>17</v>
      </c>
      <c r="I25">
        <v>3.1E-2</v>
      </c>
      <c r="J25">
        <v>50</v>
      </c>
      <c r="K25">
        <f t="shared" si="0"/>
        <v>1.55E-2</v>
      </c>
      <c r="L25" t="s">
        <v>17</v>
      </c>
      <c r="M25">
        <v>296</v>
      </c>
      <c r="N25" t="s">
        <v>17</v>
      </c>
      <c r="O25" t="s">
        <v>830</v>
      </c>
    </row>
    <row r="26" spans="1:15" x14ac:dyDescent="0.2">
      <c r="A26" t="s">
        <v>818</v>
      </c>
      <c r="B26" t="s">
        <v>239</v>
      </c>
      <c r="C26">
        <v>4</v>
      </c>
      <c r="D26" t="s">
        <v>17</v>
      </c>
      <c r="E26" t="s">
        <v>17</v>
      </c>
      <c r="F26">
        <v>5</v>
      </c>
      <c r="G26" t="s">
        <v>17</v>
      </c>
      <c r="H26" t="s">
        <v>17</v>
      </c>
      <c r="I26">
        <v>4.9700000000000001E-2</v>
      </c>
      <c r="J26">
        <v>50</v>
      </c>
      <c r="K26">
        <f t="shared" si="0"/>
        <v>2.4849999999999997E-2</v>
      </c>
      <c r="L26" t="s">
        <v>17</v>
      </c>
      <c r="M26">
        <v>296</v>
      </c>
      <c r="N26" t="s">
        <v>17</v>
      </c>
      <c r="O26" t="s">
        <v>831</v>
      </c>
    </row>
    <row r="27" spans="1:15" x14ac:dyDescent="0.2">
      <c r="A27" t="s">
        <v>818</v>
      </c>
      <c r="B27" t="s">
        <v>191</v>
      </c>
      <c r="C27">
        <v>4</v>
      </c>
      <c r="D27" t="s">
        <v>17</v>
      </c>
      <c r="E27" t="s">
        <v>17</v>
      </c>
      <c r="F27">
        <v>5</v>
      </c>
      <c r="G27" t="s">
        <v>17</v>
      </c>
      <c r="H27" t="s">
        <v>17</v>
      </c>
      <c r="I27">
        <v>3.15E-2</v>
      </c>
      <c r="J27">
        <v>50</v>
      </c>
      <c r="K27">
        <f t="shared" si="0"/>
        <v>1.575E-2</v>
      </c>
      <c r="L27" t="s">
        <v>17</v>
      </c>
      <c r="M27">
        <v>296</v>
      </c>
      <c r="N27" t="s">
        <v>17</v>
      </c>
      <c r="O27" t="s">
        <v>831</v>
      </c>
    </row>
    <row r="28" spans="1:15" x14ac:dyDescent="0.2">
      <c r="A28" t="s">
        <v>818</v>
      </c>
      <c r="B28" t="s">
        <v>239</v>
      </c>
      <c r="C28">
        <v>4</v>
      </c>
      <c r="D28" t="s">
        <v>17</v>
      </c>
      <c r="E28" t="s">
        <v>17</v>
      </c>
      <c r="F28">
        <v>5</v>
      </c>
      <c r="G28" t="s">
        <v>17</v>
      </c>
      <c r="H28" t="s">
        <v>17</v>
      </c>
      <c r="I28">
        <v>5.4399999999999997E-2</v>
      </c>
      <c r="J28">
        <v>50</v>
      </c>
      <c r="K28">
        <f t="shared" si="0"/>
        <v>2.7199999999999998E-2</v>
      </c>
      <c r="L28" t="s">
        <v>17</v>
      </c>
      <c r="M28">
        <v>296</v>
      </c>
      <c r="N28" t="s">
        <v>17</v>
      </c>
      <c r="O28" t="s">
        <v>832</v>
      </c>
    </row>
    <row r="29" spans="1:15" x14ac:dyDescent="0.2">
      <c r="A29" t="s">
        <v>818</v>
      </c>
      <c r="B29" t="s">
        <v>191</v>
      </c>
      <c r="C29">
        <v>4</v>
      </c>
      <c r="D29" t="s">
        <v>17</v>
      </c>
      <c r="E29" t="s">
        <v>17</v>
      </c>
      <c r="F29">
        <v>5</v>
      </c>
      <c r="G29" t="s">
        <v>17</v>
      </c>
      <c r="H29" t="s">
        <v>17</v>
      </c>
      <c r="I29">
        <v>0.03</v>
      </c>
      <c r="J29">
        <v>50</v>
      </c>
      <c r="K29">
        <f t="shared" si="0"/>
        <v>1.4999999999999999E-2</v>
      </c>
      <c r="L29" t="s">
        <v>17</v>
      </c>
      <c r="M29">
        <v>296</v>
      </c>
      <c r="N29" t="s">
        <v>17</v>
      </c>
      <c r="O29" t="s">
        <v>832</v>
      </c>
    </row>
    <row r="30" spans="1:15" x14ac:dyDescent="0.2">
      <c r="A30" t="s">
        <v>818</v>
      </c>
      <c r="B30" t="s">
        <v>239</v>
      </c>
      <c r="C30">
        <v>5</v>
      </c>
      <c r="D30" t="s">
        <v>17</v>
      </c>
      <c r="E30" t="s">
        <v>17</v>
      </c>
      <c r="F30">
        <v>6</v>
      </c>
      <c r="G30" t="s">
        <v>17</v>
      </c>
      <c r="H30" t="s">
        <v>17</v>
      </c>
      <c r="I30">
        <v>4.3200000000000002E-2</v>
      </c>
      <c r="J30">
        <v>50</v>
      </c>
      <c r="K30">
        <f t="shared" si="0"/>
        <v>2.1600000000000001E-2</v>
      </c>
      <c r="L30" t="s">
        <v>17</v>
      </c>
      <c r="M30">
        <v>296</v>
      </c>
      <c r="N30" t="s">
        <v>17</v>
      </c>
      <c r="O30" t="s">
        <v>833</v>
      </c>
    </row>
    <row r="31" spans="1:15" x14ac:dyDescent="0.2">
      <c r="A31" t="s">
        <v>818</v>
      </c>
      <c r="B31" t="s">
        <v>191</v>
      </c>
      <c r="C31">
        <v>5</v>
      </c>
      <c r="D31" t="s">
        <v>17</v>
      </c>
      <c r="E31" t="s">
        <v>17</v>
      </c>
      <c r="F31">
        <v>6</v>
      </c>
      <c r="G31" t="s">
        <v>17</v>
      </c>
      <c r="H31" t="s">
        <v>17</v>
      </c>
      <c r="I31">
        <v>2.6200000000000001E-2</v>
      </c>
      <c r="J31">
        <v>50</v>
      </c>
      <c r="K31">
        <f t="shared" si="0"/>
        <v>1.3100000000000001E-2</v>
      </c>
      <c r="L31" t="s">
        <v>17</v>
      </c>
      <c r="M31">
        <v>296</v>
      </c>
      <c r="N31" t="s">
        <v>17</v>
      </c>
      <c r="O31" t="s">
        <v>833</v>
      </c>
    </row>
    <row r="32" spans="1:15" x14ac:dyDescent="0.2">
      <c r="A32" t="s">
        <v>818</v>
      </c>
      <c r="B32" t="s">
        <v>239</v>
      </c>
      <c r="C32">
        <v>5</v>
      </c>
      <c r="D32" t="s">
        <v>17</v>
      </c>
      <c r="E32" t="s">
        <v>17</v>
      </c>
      <c r="F32">
        <v>6</v>
      </c>
      <c r="G32" t="s">
        <v>17</v>
      </c>
      <c r="H32" t="s">
        <v>17</v>
      </c>
      <c r="I32">
        <v>4.4400000000000002E-2</v>
      </c>
      <c r="J32">
        <v>50</v>
      </c>
      <c r="K32">
        <f t="shared" si="0"/>
        <v>2.2200000000000001E-2</v>
      </c>
      <c r="L32" t="s">
        <v>17</v>
      </c>
      <c r="M32">
        <v>296</v>
      </c>
      <c r="N32" t="s">
        <v>17</v>
      </c>
      <c r="O32" t="s">
        <v>834</v>
      </c>
    </row>
    <row r="33" spans="1:15" x14ac:dyDescent="0.2">
      <c r="A33" t="s">
        <v>818</v>
      </c>
      <c r="B33" t="s">
        <v>191</v>
      </c>
      <c r="C33">
        <v>5</v>
      </c>
      <c r="D33" t="s">
        <v>17</v>
      </c>
      <c r="E33" t="s">
        <v>17</v>
      </c>
      <c r="F33">
        <v>6</v>
      </c>
      <c r="G33" t="s">
        <v>17</v>
      </c>
      <c r="H33" t="s">
        <v>17</v>
      </c>
      <c r="I33">
        <v>2.6499999999999999E-2</v>
      </c>
      <c r="J33">
        <v>50</v>
      </c>
      <c r="K33">
        <f t="shared" si="0"/>
        <v>1.325E-2</v>
      </c>
      <c r="L33" t="s">
        <v>17</v>
      </c>
      <c r="M33">
        <v>296</v>
      </c>
      <c r="N33" t="s">
        <v>17</v>
      </c>
      <c r="O33" t="s">
        <v>834</v>
      </c>
    </row>
    <row r="34" spans="1:15" x14ac:dyDescent="0.2">
      <c r="A34" t="s">
        <v>818</v>
      </c>
      <c r="B34" t="s">
        <v>239</v>
      </c>
      <c r="C34">
        <v>5</v>
      </c>
      <c r="D34" t="s">
        <v>17</v>
      </c>
      <c r="E34" t="s">
        <v>17</v>
      </c>
      <c r="F34">
        <v>6</v>
      </c>
      <c r="G34" t="s">
        <v>17</v>
      </c>
      <c r="H34" t="s">
        <v>17</v>
      </c>
      <c r="I34">
        <v>4.4499999999999998E-2</v>
      </c>
      <c r="J34">
        <v>50</v>
      </c>
      <c r="K34">
        <f t="shared" si="0"/>
        <v>2.2250000000000002E-2</v>
      </c>
      <c r="L34" t="s">
        <v>17</v>
      </c>
      <c r="M34">
        <v>296</v>
      </c>
      <c r="N34" t="s">
        <v>17</v>
      </c>
      <c r="O34" t="s">
        <v>835</v>
      </c>
    </row>
    <row r="35" spans="1:15" x14ac:dyDescent="0.2">
      <c r="A35" t="s">
        <v>818</v>
      </c>
      <c r="B35" t="s">
        <v>191</v>
      </c>
      <c r="C35">
        <v>5</v>
      </c>
      <c r="D35" t="s">
        <v>17</v>
      </c>
      <c r="E35" t="s">
        <v>17</v>
      </c>
      <c r="F35">
        <v>6</v>
      </c>
      <c r="G35" t="s">
        <v>17</v>
      </c>
      <c r="H35" t="s">
        <v>17</v>
      </c>
      <c r="I35">
        <v>2.7799999999999998E-2</v>
      </c>
      <c r="J35">
        <v>50</v>
      </c>
      <c r="K35">
        <f t="shared" si="0"/>
        <v>1.3899999999999999E-2</v>
      </c>
      <c r="L35" t="s">
        <v>17</v>
      </c>
      <c r="M35">
        <v>296</v>
      </c>
      <c r="N35" t="s">
        <v>17</v>
      </c>
      <c r="O35" t="s">
        <v>835</v>
      </c>
    </row>
    <row r="36" spans="1:15" x14ac:dyDescent="0.2">
      <c r="A36" t="s">
        <v>818</v>
      </c>
      <c r="B36" t="s">
        <v>239</v>
      </c>
      <c r="C36">
        <v>5</v>
      </c>
      <c r="D36" t="s">
        <v>17</v>
      </c>
      <c r="E36" t="s">
        <v>17</v>
      </c>
      <c r="F36">
        <v>6</v>
      </c>
      <c r="G36" t="s">
        <v>17</v>
      </c>
      <c r="H36" t="s">
        <v>17</v>
      </c>
      <c r="I36">
        <v>4.4699999999999997E-2</v>
      </c>
      <c r="J36">
        <v>50</v>
      </c>
      <c r="K36">
        <f t="shared" si="0"/>
        <v>2.2349999999999998E-2</v>
      </c>
      <c r="L36" t="s">
        <v>17</v>
      </c>
      <c r="M36">
        <v>296</v>
      </c>
      <c r="N36" t="s">
        <v>17</v>
      </c>
      <c r="O36" t="s">
        <v>836</v>
      </c>
    </row>
    <row r="37" spans="1:15" x14ac:dyDescent="0.2">
      <c r="A37" t="s">
        <v>818</v>
      </c>
      <c r="B37" t="s">
        <v>191</v>
      </c>
      <c r="C37">
        <v>5</v>
      </c>
      <c r="D37" t="s">
        <v>17</v>
      </c>
      <c r="E37" t="s">
        <v>17</v>
      </c>
      <c r="F37">
        <v>6</v>
      </c>
      <c r="G37" t="s">
        <v>17</v>
      </c>
      <c r="H37" t="s">
        <v>17</v>
      </c>
      <c r="I37">
        <v>2.9700000000000001E-2</v>
      </c>
      <c r="J37">
        <v>50</v>
      </c>
      <c r="K37">
        <f t="shared" si="0"/>
        <v>1.485E-2</v>
      </c>
      <c r="L37" t="s">
        <v>17</v>
      </c>
      <c r="M37">
        <v>296</v>
      </c>
      <c r="N37" t="s">
        <v>17</v>
      </c>
      <c r="O37" t="s">
        <v>836</v>
      </c>
    </row>
    <row r="38" spans="1:15" x14ac:dyDescent="0.2">
      <c r="A38" t="s">
        <v>818</v>
      </c>
      <c r="B38" t="s">
        <v>239</v>
      </c>
      <c r="C38">
        <v>5</v>
      </c>
      <c r="D38" t="s">
        <v>17</v>
      </c>
      <c r="E38" t="s">
        <v>17</v>
      </c>
      <c r="F38">
        <v>6</v>
      </c>
      <c r="G38" t="s">
        <v>17</v>
      </c>
      <c r="H38" t="s">
        <v>17</v>
      </c>
      <c r="I38">
        <v>4.7800000000000002E-2</v>
      </c>
      <c r="J38">
        <v>50</v>
      </c>
      <c r="K38">
        <f t="shared" si="0"/>
        <v>2.3900000000000001E-2</v>
      </c>
      <c r="L38" t="s">
        <v>17</v>
      </c>
      <c r="M38">
        <v>296</v>
      </c>
      <c r="N38" t="s">
        <v>17</v>
      </c>
      <c r="O38" t="s">
        <v>837</v>
      </c>
    </row>
    <row r="39" spans="1:15" x14ac:dyDescent="0.2">
      <c r="A39" t="s">
        <v>818</v>
      </c>
      <c r="B39" t="s">
        <v>191</v>
      </c>
      <c r="C39">
        <v>5</v>
      </c>
      <c r="D39" t="s">
        <v>17</v>
      </c>
      <c r="E39" t="s">
        <v>17</v>
      </c>
      <c r="F39">
        <v>6</v>
      </c>
      <c r="G39" t="s">
        <v>17</v>
      </c>
      <c r="H39" t="s">
        <v>17</v>
      </c>
      <c r="I39">
        <v>3.0099999999999998E-2</v>
      </c>
      <c r="J39">
        <v>50</v>
      </c>
      <c r="K39">
        <f t="shared" si="0"/>
        <v>1.5049999999999999E-2</v>
      </c>
      <c r="L39" t="s">
        <v>17</v>
      </c>
      <c r="M39">
        <v>296</v>
      </c>
      <c r="N39" t="s">
        <v>17</v>
      </c>
      <c r="O39" t="s">
        <v>837</v>
      </c>
    </row>
    <row r="40" spans="1:15" x14ac:dyDescent="0.2">
      <c r="A40" t="s">
        <v>818</v>
      </c>
      <c r="B40" t="s">
        <v>239</v>
      </c>
      <c r="C40">
        <v>5</v>
      </c>
      <c r="D40" t="s">
        <v>17</v>
      </c>
      <c r="E40" t="s">
        <v>17</v>
      </c>
      <c r="F40">
        <v>6</v>
      </c>
      <c r="G40" t="s">
        <v>17</v>
      </c>
      <c r="H40" t="s">
        <v>17</v>
      </c>
      <c r="I40">
        <v>5.1400000000000001E-2</v>
      </c>
      <c r="J40">
        <v>50</v>
      </c>
      <c r="K40">
        <f t="shared" si="0"/>
        <v>2.5700000000000004E-2</v>
      </c>
      <c r="L40" t="s">
        <v>17</v>
      </c>
      <c r="M40">
        <v>296</v>
      </c>
      <c r="N40" t="s">
        <v>17</v>
      </c>
      <c r="O40" t="s">
        <v>838</v>
      </c>
    </row>
    <row r="41" spans="1:15" x14ac:dyDescent="0.2">
      <c r="A41" t="s">
        <v>818</v>
      </c>
      <c r="B41" t="s">
        <v>191</v>
      </c>
      <c r="C41">
        <v>5</v>
      </c>
      <c r="D41" t="s">
        <v>17</v>
      </c>
      <c r="E41" t="s">
        <v>17</v>
      </c>
      <c r="F41">
        <v>6</v>
      </c>
      <c r="G41" t="s">
        <v>17</v>
      </c>
      <c r="H41" t="s">
        <v>17</v>
      </c>
      <c r="I41">
        <v>3.0599999999999999E-2</v>
      </c>
      <c r="J41">
        <v>50</v>
      </c>
      <c r="K41">
        <f t="shared" si="0"/>
        <v>1.5300000000000001E-2</v>
      </c>
      <c r="L41" t="s">
        <v>17</v>
      </c>
      <c r="M41">
        <v>296</v>
      </c>
      <c r="N41" t="s">
        <v>17</v>
      </c>
      <c r="O41" t="s">
        <v>838</v>
      </c>
    </row>
    <row r="42" spans="1:15" x14ac:dyDescent="0.2">
      <c r="A42" t="s">
        <v>818</v>
      </c>
      <c r="B42" t="s">
        <v>239</v>
      </c>
      <c r="C42">
        <v>6</v>
      </c>
      <c r="D42" t="s">
        <v>17</v>
      </c>
      <c r="E42" t="s">
        <v>17</v>
      </c>
      <c r="F42">
        <v>7</v>
      </c>
      <c r="G42" t="s">
        <v>17</v>
      </c>
      <c r="H42" t="s">
        <v>17</v>
      </c>
      <c r="I42">
        <v>4.1700000000000001E-2</v>
      </c>
      <c r="J42">
        <v>50</v>
      </c>
      <c r="K42">
        <f t="shared" si="0"/>
        <v>2.085E-2</v>
      </c>
      <c r="L42" t="s">
        <v>17</v>
      </c>
      <c r="M42">
        <v>296</v>
      </c>
      <c r="N42" t="s">
        <v>17</v>
      </c>
      <c r="O42" t="s">
        <v>839</v>
      </c>
    </row>
    <row r="43" spans="1:15" x14ac:dyDescent="0.2">
      <c r="A43" t="s">
        <v>818</v>
      </c>
      <c r="B43" t="s">
        <v>191</v>
      </c>
      <c r="C43">
        <v>6</v>
      </c>
      <c r="D43" t="s">
        <v>17</v>
      </c>
      <c r="E43" t="s">
        <v>17</v>
      </c>
      <c r="F43">
        <v>7</v>
      </c>
      <c r="G43" t="s">
        <v>17</v>
      </c>
      <c r="H43" t="s">
        <v>17</v>
      </c>
      <c r="I43">
        <v>2.5000000000000001E-2</v>
      </c>
      <c r="J43">
        <v>50</v>
      </c>
      <c r="K43">
        <f t="shared" si="0"/>
        <v>1.2500000000000001E-2</v>
      </c>
      <c r="L43" t="s">
        <v>17</v>
      </c>
      <c r="M43">
        <v>296</v>
      </c>
      <c r="N43" t="s">
        <v>17</v>
      </c>
      <c r="O43" t="s">
        <v>839</v>
      </c>
    </row>
    <row r="44" spans="1:15" x14ac:dyDescent="0.2">
      <c r="A44" t="s">
        <v>818</v>
      </c>
      <c r="B44" t="s">
        <v>239</v>
      </c>
      <c r="C44">
        <v>6</v>
      </c>
      <c r="D44" t="s">
        <v>17</v>
      </c>
      <c r="E44" t="s">
        <v>17</v>
      </c>
      <c r="F44">
        <v>7</v>
      </c>
      <c r="G44" t="s">
        <v>17</v>
      </c>
      <c r="H44" t="s">
        <v>17</v>
      </c>
      <c r="I44">
        <v>4.19E-2</v>
      </c>
      <c r="J44">
        <v>50</v>
      </c>
      <c r="K44">
        <f t="shared" si="0"/>
        <v>2.0950000000000003E-2</v>
      </c>
      <c r="L44" t="s">
        <v>17</v>
      </c>
      <c r="M44">
        <v>296</v>
      </c>
      <c r="N44" t="s">
        <v>17</v>
      </c>
      <c r="O44" t="s">
        <v>840</v>
      </c>
    </row>
    <row r="45" spans="1:15" x14ac:dyDescent="0.2">
      <c r="A45" t="s">
        <v>818</v>
      </c>
      <c r="B45" t="s">
        <v>191</v>
      </c>
      <c r="C45">
        <v>6</v>
      </c>
      <c r="D45" t="s">
        <v>17</v>
      </c>
      <c r="E45" t="s">
        <v>17</v>
      </c>
      <c r="F45">
        <v>7</v>
      </c>
      <c r="G45" t="s">
        <v>17</v>
      </c>
      <c r="H45" t="s">
        <v>17</v>
      </c>
      <c r="I45">
        <v>2.5399999999999999E-2</v>
      </c>
      <c r="J45">
        <v>50</v>
      </c>
      <c r="K45">
        <f t="shared" si="0"/>
        <v>1.2699999999999999E-2</v>
      </c>
      <c r="L45" t="s">
        <v>17</v>
      </c>
      <c r="M45">
        <v>296</v>
      </c>
      <c r="N45" t="s">
        <v>17</v>
      </c>
      <c r="O45" t="s">
        <v>840</v>
      </c>
    </row>
    <row r="46" spans="1:15" x14ac:dyDescent="0.2">
      <c r="A46" t="s">
        <v>818</v>
      </c>
      <c r="B46" t="s">
        <v>239</v>
      </c>
      <c r="C46">
        <v>6</v>
      </c>
      <c r="D46" t="s">
        <v>17</v>
      </c>
      <c r="E46" t="s">
        <v>17</v>
      </c>
      <c r="F46">
        <v>7</v>
      </c>
      <c r="G46" t="s">
        <v>17</v>
      </c>
      <c r="H46" t="s">
        <v>17</v>
      </c>
      <c r="I46">
        <v>4.2599999999999999E-2</v>
      </c>
      <c r="J46">
        <v>50</v>
      </c>
      <c r="K46">
        <f t="shared" si="0"/>
        <v>2.1299999999999999E-2</v>
      </c>
      <c r="L46" t="s">
        <v>17</v>
      </c>
      <c r="M46">
        <v>296</v>
      </c>
      <c r="N46" t="s">
        <v>17</v>
      </c>
      <c r="O46" t="s">
        <v>841</v>
      </c>
    </row>
    <row r="47" spans="1:15" x14ac:dyDescent="0.2">
      <c r="A47" t="s">
        <v>818</v>
      </c>
      <c r="B47" t="s">
        <v>191</v>
      </c>
      <c r="C47">
        <v>6</v>
      </c>
      <c r="D47" t="s">
        <v>17</v>
      </c>
      <c r="E47" t="s">
        <v>17</v>
      </c>
      <c r="F47">
        <v>7</v>
      </c>
      <c r="G47" t="s">
        <v>17</v>
      </c>
      <c r="H47" t="s">
        <v>17</v>
      </c>
      <c r="I47">
        <v>2.58E-2</v>
      </c>
      <c r="J47">
        <v>50</v>
      </c>
      <c r="K47">
        <f t="shared" si="0"/>
        <v>1.29E-2</v>
      </c>
      <c r="L47" t="s">
        <v>17</v>
      </c>
      <c r="M47">
        <v>296</v>
      </c>
      <c r="N47" t="s">
        <v>17</v>
      </c>
      <c r="O47" t="s">
        <v>841</v>
      </c>
    </row>
    <row r="48" spans="1:15" x14ac:dyDescent="0.2">
      <c r="A48" t="s">
        <v>818</v>
      </c>
      <c r="B48" t="s">
        <v>239</v>
      </c>
      <c r="C48">
        <v>6</v>
      </c>
      <c r="D48" t="s">
        <v>17</v>
      </c>
      <c r="E48" t="s">
        <v>17</v>
      </c>
      <c r="F48">
        <v>7</v>
      </c>
      <c r="G48" t="s">
        <v>17</v>
      </c>
      <c r="H48" t="s">
        <v>17</v>
      </c>
      <c r="I48">
        <v>4.1000000000000002E-2</v>
      </c>
      <c r="J48">
        <v>50</v>
      </c>
      <c r="K48">
        <f t="shared" si="0"/>
        <v>2.0500000000000004E-2</v>
      </c>
      <c r="L48" t="s">
        <v>17</v>
      </c>
      <c r="M48">
        <v>296</v>
      </c>
      <c r="N48" t="s">
        <v>17</v>
      </c>
      <c r="O48" t="s">
        <v>842</v>
      </c>
    </row>
    <row r="49" spans="1:15" x14ac:dyDescent="0.2">
      <c r="A49" t="s">
        <v>818</v>
      </c>
      <c r="B49" t="s">
        <v>191</v>
      </c>
      <c r="C49">
        <v>6</v>
      </c>
      <c r="D49" t="s">
        <v>17</v>
      </c>
      <c r="E49" t="s">
        <v>17</v>
      </c>
      <c r="F49">
        <v>7</v>
      </c>
      <c r="G49" t="s">
        <v>17</v>
      </c>
      <c r="H49" t="s">
        <v>17</v>
      </c>
      <c r="I49">
        <v>2.5600000000000001E-2</v>
      </c>
      <c r="J49">
        <v>50</v>
      </c>
      <c r="K49">
        <f t="shared" si="0"/>
        <v>1.2800000000000001E-2</v>
      </c>
      <c r="L49" t="s">
        <v>17</v>
      </c>
      <c r="M49">
        <v>296</v>
      </c>
      <c r="N49" t="s">
        <v>17</v>
      </c>
      <c r="O49" t="s">
        <v>842</v>
      </c>
    </row>
    <row r="50" spans="1:15" x14ac:dyDescent="0.2">
      <c r="A50" t="s">
        <v>818</v>
      </c>
      <c r="B50" t="s">
        <v>239</v>
      </c>
      <c r="C50">
        <v>6</v>
      </c>
      <c r="D50" t="s">
        <v>17</v>
      </c>
      <c r="E50" t="s">
        <v>17</v>
      </c>
      <c r="F50">
        <v>7</v>
      </c>
      <c r="G50" t="s">
        <v>17</v>
      </c>
      <c r="H50" t="s">
        <v>17</v>
      </c>
      <c r="I50">
        <v>4.3499999999999997E-2</v>
      </c>
      <c r="J50">
        <v>50</v>
      </c>
      <c r="K50">
        <f t="shared" si="0"/>
        <v>2.1749999999999999E-2</v>
      </c>
      <c r="L50" t="s">
        <v>17</v>
      </c>
      <c r="M50">
        <v>296</v>
      </c>
      <c r="N50" t="s">
        <v>17</v>
      </c>
      <c r="O50" t="s">
        <v>843</v>
      </c>
    </row>
    <row r="51" spans="1:15" x14ac:dyDescent="0.2">
      <c r="A51" t="s">
        <v>818</v>
      </c>
      <c r="B51" t="s">
        <v>191</v>
      </c>
      <c r="C51">
        <v>6</v>
      </c>
      <c r="D51" t="s">
        <v>17</v>
      </c>
      <c r="E51" t="s">
        <v>17</v>
      </c>
      <c r="F51">
        <v>7</v>
      </c>
      <c r="G51" t="s">
        <v>17</v>
      </c>
      <c r="H51" t="s">
        <v>17</v>
      </c>
      <c r="I51">
        <v>2.6700000000000002E-2</v>
      </c>
      <c r="J51">
        <v>50</v>
      </c>
      <c r="K51">
        <f t="shared" si="0"/>
        <v>1.3349999999999999E-2</v>
      </c>
      <c r="L51" t="s">
        <v>17</v>
      </c>
      <c r="M51">
        <v>296</v>
      </c>
      <c r="N51" t="s">
        <v>17</v>
      </c>
      <c r="O51" t="s">
        <v>843</v>
      </c>
    </row>
    <row r="52" spans="1:15" x14ac:dyDescent="0.2">
      <c r="A52" t="s">
        <v>818</v>
      </c>
      <c r="B52" t="s">
        <v>239</v>
      </c>
      <c r="C52">
        <v>6</v>
      </c>
      <c r="D52" t="s">
        <v>17</v>
      </c>
      <c r="E52" t="s">
        <v>17</v>
      </c>
      <c r="F52">
        <v>7</v>
      </c>
      <c r="G52" t="s">
        <v>17</v>
      </c>
      <c r="H52" t="s">
        <v>17</v>
      </c>
      <c r="I52">
        <v>4.4200000000000003E-2</v>
      </c>
      <c r="J52">
        <v>50</v>
      </c>
      <c r="K52">
        <f t="shared" si="0"/>
        <v>2.2099999999999998E-2</v>
      </c>
      <c r="L52" t="s">
        <v>17</v>
      </c>
      <c r="M52">
        <v>296</v>
      </c>
      <c r="N52" t="s">
        <v>17</v>
      </c>
      <c r="O52" t="s">
        <v>844</v>
      </c>
    </row>
    <row r="53" spans="1:15" x14ac:dyDescent="0.2">
      <c r="A53" t="s">
        <v>818</v>
      </c>
      <c r="B53" t="s">
        <v>191</v>
      </c>
      <c r="C53">
        <v>6</v>
      </c>
      <c r="D53" t="s">
        <v>17</v>
      </c>
      <c r="E53" t="s">
        <v>17</v>
      </c>
      <c r="F53">
        <v>7</v>
      </c>
      <c r="G53" t="s">
        <v>17</v>
      </c>
      <c r="H53" t="s">
        <v>17</v>
      </c>
      <c r="I53">
        <v>2.6200000000000001E-2</v>
      </c>
      <c r="J53">
        <v>50</v>
      </c>
      <c r="K53">
        <f t="shared" si="0"/>
        <v>1.3100000000000001E-2</v>
      </c>
      <c r="L53" t="s">
        <v>17</v>
      </c>
      <c r="M53">
        <v>296</v>
      </c>
      <c r="N53" t="s">
        <v>17</v>
      </c>
      <c r="O53" t="s">
        <v>844</v>
      </c>
    </row>
    <row r="54" spans="1:15" x14ac:dyDescent="0.2">
      <c r="A54" t="s">
        <v>818</v>
      </c>
      <c r="B54" t="s">
        <v>239</v>
      </c>
      <c r="C54">
        <v>6</v>
      </c>
      <c r="D54" t="s">
        <v>17</v>
      </c>
      <c r="E54" t="s">
        <v>17</v>
      </c>
      <c r="F54">
        <v>7</v>
      </c>
      <c r="G54" t="s">
        <v>17</v>
      </c>
      <c r="H54" t="s">
        <v>17</v>
      </c>
      <c r="I54">
        <v>4.5600000000000002E-2</v>
      </c>
      <c r="J54">
        <v>50</v>
      </c>
      <c r="K54">
        <f t="shared" si="0"/>
        <v>2.2800000000000001E-2</v>
      </c>
      <c r="L54" t="s">
        <v>17</v>
      </c>
      <c r="M54">
        <v>296</v>
      </c>
      <c r="N54" t="s">
        <v>17</v>
      </c>
      <c r="O54" t="s">
        <v>845</v>
      </c>
    </row>
    <row r="55" spans="1:15" x14ac:dyDescent="0.2">
      <c r="A55" t="s">
        <v>818</v>
      </c>
      <c r="B55" t="s">
        <v>191</v>
      </c>
      <c r="C55">
        <v>6</v>
      </c>
      <c r="D55" t="s">
        <v>17</v>
      </c>
      <c r="E55" t="s">
        <v>17</v>
      </c>
      <c r="F55">
        <v>7</v>
      </c>
      <c r="G55" t="s">
        <v>17</v>
      </c>
      <c r="H55" t="s">
        <v>17</v>
      </c>
      <c r="I55">
        <v>2.7E-2</v>
      </c>
      <c r="J55">
        <v>50</v>
      </c>
      <c r="K55">
        <f t="shared" si="0"/>
        <v>1.3500000000000002E-2</v>
      </c>
      <c r="L55" t="s">
        <v>17</v>
      </c>
      <c r="M55">
        <v>296</v>
      </c>
      <c r="N55" t="s">
        <v>17</v>
      </c>
      <c r="O55" t="s">
        <v>845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3155-6CB0-D740-824A-FA14BD6BCFB5}">
  <dimension ref="A1:O622"/>
  <sheetViews>
    <sheetView zoomScale="93" workbookViewId="0">
      <selection activeCell="Q614" sqref="Q614"/>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624</v>
      </c>
      <c r="B2" t="s">
        <v>191</v>
      </c>
      <c r="C2">
        <v>1</v>
      </c>
      <c r="D2">
        <v>1</v>
      </c>
      <c r="E2">
        <v>0</v>
      </c>
      <c r="F2">
        <v>1</v>
      </c>
      <c r="G2">
        <v>0</v>
      </c>
      <c r="H2">
        <v>1</v>
      </c>
      <c r="I2">
        <v>0.03</v>
      </c>
      <c r="J2">
        <v>50</v>
      </c>
      <c r="K2">
        <f>J2*I2/100</f>
        <v>1.4999999999999999E-2</v>
      </c>
      <c r="L2" t="s">
        <v>17</v>
      </c>
      <c r="M2">
        <v>623</v>
      </c>
      <c r="N2" t="s">
        <v>201</v>
      </c>
      <c r="O2" t="s">
        <v>846</v>
      </c>
    </row>
    <row r="3" spans="1:15" x14ac:dyDescent="0.2">
      <c r="A3" t="s">
        <v>624</v>
      </c>
      <c r="B3" t="s">
        <v>191</v>
      </c>
      <c r="C3">
        <v>2</v>
      </c>
      <c r="D3">
        <v>0</v>
      </c>
      <c r="E3">
        <v>2</v>
      </c>
      <c r="F3">
        <v>2</v>
      </c>
      <c r="G3">
        <v>1</v>
      </c>
      <c r="H3">
        <v>1</v>
      </c>
      <c r="I3">
        <v>3.2000000000000001E-2</v>
      </c>
      <c r="J3">
        <v>50</v>
      </c>
      <c r="K3">
        <f>J3*I3/100</f>
        <v>1.6E-2</v>
      </c>
      <c r="L3" t="s">
        <v>17</v>
      </c>
      <c r="M3">
        <v>602</v>
      </c>
      <c r="N3" t="s">
        <v>201</v>
      </c>
      <c r="O3" t="s">
        <v>847</v>
      </c>
    </row>
    <row r="4" spans="1:15" x14ac:dyDescent="0.2">
      <c r="A4" t="s">
        <v>624</v>
      </c>
      <c r="B4" t="s">
        <v>191</v>
      </c>
      <c r="C4">
        <v>1</v>
      </c>
      <c r="D4">
        <v>1</v>
      </c>
      <c r="E4">
        <v>0</v>
      </c>
      <c r="F4">
        <v>1</v>
      </c>
      <c r="G4">
        <v>0</v>
      </c>
      <c r="H4">
        <v>1</v>
      </c>
      <c r="I4">
        <v>3.4000000000000002E-2</v>
      </c>
      <c r="J4">
        <v>50</v>
      </c>
      <c r="K4">
        <f t="shared" ref="K4:K67" si="0">J4*I4/100</f>
        <v>1.7000000000000001E-2</v>
      </c>
      <c r="L4" t="s">
        <v>17</v>
      </c>
      <c r="M4">
        <v>505</v>
      </c>
      <c r="N4" t="s">
        <v>201</v>
      </c>
      <c r="O4" t="s">
        <v>848</v>
      </c>
    </row>
    <row r="5" spans="1:15" x14ac:dyDescent="0.2">
      <c r="A5" t="s">
        <v>624</v>
      </c>
      <c r="B5" t="s">
        <v>191</v>
      </c>
      <c r="C5">
        <v>2</v>
      </c>
      <c r="D5">
        <v>0</v>
      </c>
      <c r="E5">
        <v>2</v>
      </c>
      <c r="F5">
        <v>2</v>
      </c>
      <c r="G5">
        <v>1</v>
      </c>
      <c r="H5">
        <v>1</v>
      </c>
      <c r="I5">
        <v>3.5999999999999997E-2</v>
      </c>
      <c r="J5">
        <v>50</v>
      </c>
      <c r="K5">
        <f t="shared" si="0"/>
        <v>1.7999999999999999E-2</v>
      </c>
      <c r="L5" t="s">
        <v>17</v>
      </c>
      <c r="M5">
        <v>492</v>
      </c>
      <c r="N5" t="s">
        <v>201</v>
      </c>
      <c r="O5" t="s">
        <v>849</v>
      </c>
    </row>
    <row r="6" spans="1:15" x14ac:dyDescent="0.2">
      <c r="A6" t="s">
        <v>624</v>
      </c>
      <c r="B6" t="s">
        <v>191</v>
      </c>
      <c r="C6">
        <v>1</v>
      </c>
      <c r="D6">
        <v>1</v>
      </c>
      <c r="E6">
        <v>0</v>
      </c>
      <c r="F6">
        <v>1</v>
      </c>
      <c r="G6">
        <v>0</v>
      </c>
      <c r="H6">
        <v>1</v>
      </c>
      <c r="I6">
        <v>3.7999999999999999E-2</v>
      </c>
      <c r="J6">
        <v>50</v>
      </c>
      <c r="K6">
        <f t="shared" si="0"/>
        <v>1.9E-2</v>
      </c>
      <c r="L6" t="s">
        <v>17</v>
      </c>
      <c r="M6">
        <v>430</v>
      </c>
      <c r="N6" t="s">
        <v>201</v>
      </c>
      <c r="O6" t="s">
        <v>850</v>
      </c>
    </row>
    <row r="7" spans="1:15" x14ac:dyDescent="0.2">
      <c r="A7" t="s">
        <v>624</v>
      </c>
      <c r="B7" t="s">
        <v>191</v>
      </c>
      <c r="C7">
        <v>2</v>
      </c>
      <c r="D7">
        <v>0</v>
      </c>
      <c r="E7">
        <v>2</v>
      </c>
      <c r="F7">
        <v>2</v>
      </c>
      <c r="G7">
        <v>1</v>
      </c>
      <c r="H7">
        <v>1</v>
      </c>
      <c r="I7">
        <v>4.1000000000000002E-2</v>
      </c>
      <c r="J7">
        <v>50</v>
      </c>
      <c r="K7">
        <f t="shared" si="0"/>
        <v>2.0500000000000004E-2</v>
      </c>
      <c r="L7" t="s">
        <v>17</v>
      </c>
      <c r="M7">
        <v>395</v>
      </c>
      <c r="N7" t="s">
        <v>201</v>
      </c>
      <c r="O7" t="s">
        <v>851</v>
      </c>
    </row>
    <row r="8" spans="1:15" x14ac:dyDescent="0.2">
      <c r="A8" t="s">
        <v>624</v>
      </c>
      <c r="B8" t="s">
        <v>191</v>
      </c>
      <c r="C8">
        <v>1</v>
      </c>
      <c r="D8">
        <v>1</v>
      </c>
      <c r="E8">
        <v>0</v>
      </c>
      <c r="F8">
        <v>1</v>
      </c>
      <c r="G8">
        <v>0</v>
      </c>
      <c r="H8">
        <v>1</v>
      </c>
      <c r="I8">
        <v>3.9E-2</v>
      </c>
      <c r="J8">
        <v>50</v>
      </c>
      <c r="K8">
        <f t="shared" si="0"/>
        <v>1.95E-2</v>
      </c>
      <c r="L8" t="s">
        <v>17</v>
      </c>
      <c r="M8">
        <v>380</v>
      </c>
      <c r="N8" t="s">
        <v>201</v>
      </c>
      <c r="O8" t="s">
        <v>852</v>
      </c>
    </row>
    <row r="9" spans="1:15" x14ac:dyDescent="0.2">
      <c r="A9" t="s">
        <v>624</v>
      </c>
      <c r="B9" t="s">
        <v>191</v>
      </c>
      <c r="C9">
        <v>2</v>
      </c>
      <c r="D9">
        <v>0</v>
      </c>
      <c r="E9">
        <v>2</v>
      </c>
      <c r="F9">
        <v>2</v>
      </c>
      <c r="G9">
        <v>1</v>
      </c>
      <c r="H9">
        <v>1</v>
      </c>
      <c r="I9">
        <v>4.2000000000000003E-2</v>
      </c>
      <c r="J9">
        <v>50</v>
      </c>
      <c r="K9">
        <f t="shared" si="0"/>
        <v>2.1000000000000001E-2</v>
      </c>
      <c r="L9" t="s">
        <v>17</v>
      </c>
      <c r="M9">
        <v>365</v>
      </c>
      <c r="N9" t="s">
        <v>201</v>
      </c>
      <c r="O9" t="s">
        <v>853</v>
      </c>
    </row>
    <row r="10" spans="1:15" x14ac:dyDescent="0.2">
      <c r="A10" t="s">
        <v>624</v>
      </c>
      <c r="B10" t="s">
        <v>191</v>
      </c>
      <c r="C10">
        <v>1</v>
      </c>
      <c r="D10">
        <v>1</v>
      </c>
      <c r="E10">
        <v>0</v>
      </c>
      <c r="F10">
        <v>1</v>
      </c>
      <c r="G10">
        <v>0</v>
      </c>
      <c r="H10">
        <v>1</v>
      </c>
      <c r="I10">
        <v>4.3999999999999997E-2</v>
      </c>
      <c r="J10">
        <v>50</v>
      </c>
      <c r="K10">
        <f t="shared" si="0"/>
        <v>2.1999999999999999E-2</v>
      </c>
      <c r="L10" t="s">
        <v>17</v>
      </c>
      <c r="M10">
        <v>300</v>
      </c>
      <c r="N10" t="s">
        <v>201</v>
      </c>
      <c r="O10" t="s">
        <v>854</v>
      </c>
    </row>
    <row r="11" spans="1:15" x14ac:dyDescent="0.2">
      <c r="A11" t="s">
        <v>624</v>
      </c>
      <c r="B11" t="s">
        <v>191</v>
      </c>
      <c r="C11">
        <v>2</v>
      </c>
      <c r="D11">
        <v>0</v>
      </c>
      <c r="E11">
        <v>2</v>
      </c>
      <c r="F11">
        <v>2</v>
      </c>
      <c r="G11">
        <v>1</v>
      </c>
      <c r="H11">
        <v>1</v>
      </c>
      <c r="I11">
        <v>4.7E-2</v>
      </c>
      <c r="J11">
        <v>50</v>
      </c>
      <c r="K11">
        <f t="shared" si="0"/>
        <v>2.35E-2</v>
      </c>
      <c r="L11" t="s">
        <v>17</v>
      </c>
      <c r="M11">
        <v>295</v>
      </c>
      <c r="N11" t="s">
        <v>201</v>
      </c>
      <c r="O11" t="s">
        <v>855</v>
      </c>
    </row>
    <row r="12" spans="1:15" x14ac:dyDescent="0.2">
      <c r="A12" t="s">
        <v>624</v>
      </c>
      <c r="B12" t="s">
        <v>191</v>
      </c>
      <c r="C12">
        <v>1</v>
      </c>
      <c r="D12">
        <v>1</v>
      </c>
      <c r="E12">
        <v>0</v>
      </c>
      <c r="F12">
        <v>1</v>
      </c>
      <c r="G12">
        <v>0</v>
      </c>
      <c r="H12">
        <v>1</v>
      </c>
      <c r="I12">
        <v>4.3999999999999997E-2</v>
      </c>
      <c r="J12">
        <v>50</v>
      </c>
      <c r="K12">
        <f t="shared" si="0"/>
        <v>2.1999999999999999E-2</v>
      </c>
      <c r="L12" t="s">
        <v>17</v>
      </c>
      <c r="M12">
        <v>295</v>
      </c>
      <c r="N12" t="s">
        <v>201</v>
      </c>
      <c r="O12" t="s">
        <v>856</v>
      </c>
    </row>
    <row r="13" spans="1:15" x14ac:dyDescent="0.2">
      <c r="A13" t="s">
        <v>624</v>
      </c>
      <c r="B13" t="s">
        <v>191</v>
      </c>
      <c r="C13">
        <v>2</v>
      </c>
      <c r="D13">
        <v>0</v>
      </c>
      <c r="E13">
        <v>2</v>
      </c>
      <c r="F13">
        <v>2</v>
      </c>
      <c r="G13">
        <v>1</v>
      </c>
      <c r="H13">
        <v>1</v>
      </c>
      <c r="I13">
        <v>0.05</v>
      </c>
      <c r="J13">
        <v>50</v>
      </c>
      <c r="K13">
        <f t="shared" si="0"/>
        <v>2.5000000000000001E-2</v>
      </c>
      <c r="L13" t="s">
        <v>17</v>
      </c>
      <c r="M13">
        <v>252</v>
      </c>
      <c r="N13" t="s">
        <v>201</v>
      </c>
      <c r="O13" t="s">
        <v>857</v>
      </c>
    </row>
    <row r="14" spans="1:15" x14ac:dyDescent="0.2">
      <c r="A14" t="s">
        <v>624</v>
      </c>
      <c r="B14" t="s">
        <v>191</v>
      </c>
      <c r="C14">
        <v>1</v>
      </c>
      <c r="D14">
        <v>1</v>
      </c>
      <c r="E14">
        <v>0</v>
      </c>
      <c r="F14">
        <v>1</v>
      </c>
      <c r="G14">
        <v>0</v>
      </c>
      <c r="H14">
        <v>1</v>
      </c>
      <c r="I14">
        <v>4.9000000000000002E-2</v>
      </c>
      <c r="J14">
        <v>50</v>
      </c>
      <c r="K14">
        <f t="shared" si="0"/>
        <v>2.4500000000000001E-2</v>
      </c>
      <c r="L14" t="s">
        <v>17</v>
      </c>
      <c r="M14">
        <v>227</v>
      </c>
      <c r="N14" t="s">
        <v>201</v>
      </c>
      <c r="O14" t="s">
        <v>858</v>
      </c>
    </row>
    <row r="15" spans="1:15" x14ac:dyDescent="0.2">
      <c r="A15" t="s">
        <v>624</v>
      </c>
      <c r="B15" t="s">
        <v>191</v>
      </c>
      <c r="C15">
        <v>2</v>
      </c>
      <c r="D15">
        <v>0</v>
      </c>
      <c r="E15">
        <v>2</v>
      </c>
      <c r="F15">
        <v>2</v>
      </c>
      <c r="G15">
        <v>1</v>
      </c>
      <c r="H15">
        <v>1</v>
      </c>
      <c r="I15">
        <v>5.0999999999999997E-2</v>
      </c>
      <c r="J15">
        <v>50</v>
      </c>
      <c r="K15">
        <f t="shared" si="0"/>
        <v>2.5499999999999998E-2</v>
      </c>
      <c r="L15" t="s">
        <v>17</v>
      </c>
      <c r="M15">
        <v>201</v>
      </c>
      <c r="N15" t="s">
        <v>201</v>
      </c>
      <c r="O15" t="s">
        <v>859</v>
      </c>
    </row>
    <row r="16" spans="1:15" x14ac:dyDescent="0.2">
      <c r="A16" t="s">
        <v>624</v>
      </c>
      <c r="B16" t="s">
        <v>191</v>
      </c>
      <c r="C16">
        <v>1</v>
      </c>
      <c r="D16">
        <v>1</v>
      </c>
      <c r="E16">
        <v>0</v>
      </c>
      <c r="F16">
        <v>1</v>
      </c>
      <c r="G16">
        <v>0</v>
      </c>
      <c r="H16">
        <v>1</v>
      </c>
      <c r="I16">
        <v>5.2999999999999999E-2</v>
      </c>
      <c r="J16">
        <v>50</v>
      </c>
      <c r="K16">
        <f t="shared" si="0"/>
        <v>2.6499999999999999E-2</v>
      </c>
      <c r="L16" t="s">
        <v>17</v>
      </c>
      <c r="M16">
        <v>182</v>
      </c>
      <c r="N16" t="s">
        <v>201</v>
      </c>
      <c r="O16" t="s">
        <v>860</v>
      </c>
    </row>
    <row r="17" spans="1:15" x14ac:dyDescent="0.2">
      <c r="A17" t="s">
        <v>624</v>
      </c>
      <c r="B17" t="s">
        <v>191</v>
      </c>
      <c r="C17">
        <v>2</v>
      </c>
      <c r="D17">
        <v>0</v>
      </c>
      <c r="E17">
        <v>2</v>
      </c>
      <c r="F17">
        <v>2</v>
      </c>
      <c r="G17">
        <v>1</v>
      </c>
      <c r="H17">
        <v>1</v>
      </c>
      <c r="I17">
        <v>5.8000000000000003E-2</v>
      </c>
      <c r="J17">
        <v>50</v>
      </c>
      <c r="K17">
        <f t="shared" si="0"/>
        <v>2.9000000000000005E-2</v>
      </c>
      <c r="L17" t="s">
        <v>17</v>
      </c>
      <c r="M17">
        <v>151</v>
      </c>
      <c r="N17" t="s">
        <v>201</v>
      </c>
      <c r="O17" t="s">
        <v>861</v>
      </c>
    </row>
    <row r="18" spans="1:15" x14ac:dyDescent="0.2">
      <c r="A18" t="s">
        <v>624</v>
      </c>
      <c r="B18" t="s">
        <v>191</v>
      </c>
      <c r="C18">
        <v>1</v>
      </c>
      <c r="D18">
        <v>1</v>
      </c>
      <c r="E18">
        <v>0</v>
      </c>
      <c r="F18">
        <v>1</v>
      </c>
      <c r="G18">
        <v>0</v>
      </c>
      <c r="H18">
        <v>1</v>
      </c>
      <c r="I18">
        <v>5.5E-2</v>
      </c>
      <c r="J18">
        <v>50</v>
      </c>
      <c r="K18">
        <f t="shared" si="0"/>
        <v>2.75E-2</v>
      </c>
      <c r="L18" t="s">
        <v>17</v>
      </c>
      <c r="M18">
        <v>151</v>
      </c>
      <c r="N18" t="s">
        <v>201</v>
      </c>
      <c r="O18" t="s">
        <v>862</v>
      </c>
    </row>
    <row r="19" spans="1:15" x14ac:dyDescent="0.2">
      <c r="A19" t="s">
        <v>624</v>
      </c>
      <c r="B19" t="s">
        <v>191</v>
      </c>
      <c r="C19">
        <v>2</v>
      </c>
      <c r="D19">
        <v>0</v>
      </c>
      <c r="E19">
        <v>2</v>
      </c>
      <c r="F19">
        <v>2</v>
      </c>
      <c r="G19">
        <v>1</v>
      </c>
      <c r="H19">
        <v>1</v>
      </c>
      <c r="I19">
        <v>6.2E-2</v>
      </c>
      <c r="J19">
        <v>50</v>
      </c>
      <c r="K19">
        <f t="shared" si="0"/>
        <v>3.1E-2</v>
      </c>
      <c r="L19" t="s">
        <v>17</v>
      </c>
      <c r="M19">
        <v>123</v>
      </c>
      <c r="N19" t="s">
        <v>201</v>
      </c>
      <c r="O19" t="s">
        <v>863</v>
      </c>
    </row>
    <row r="20" spans="1:15" x14ac:dyDescent="0.2">
      <c r="A20" t="s">
        <v>624</v>
      </c>
      <c r="B20" t="s">
        <v>191</v>
      </c>
      <c r="C20">
        <v>1</v>
      </c>
      <c r="D20">
        <v>1</v>
      </c>
      <c r="E20">
        <v>0</v>
      </c>
      <c r="F20">
        <v>1</v>
      </c>
      <c r="G20">
        <v>0</v>
      </c>
      <c r="H20">
        <v>1</v>
      </c>
      <c r="I20">
        <v>5.8000000000000003E-2</v>
      </c>
      <c r="J20">
        <v>50</v>
      </c>
      <c r="K20">
        <f t="shared" si="0"/>
        <v>2.9000000000000005E-2</v>
      </c>
      <c r="L20" t="s">
        <v>17</v>
      </c>
      <c r="M20">
        <v>124</v>
      </c>
      <c r="N20" t="s">
        <v>201</v>
      </c>
      <c r="O20" t="s">
        <v>864</v>
      </c>
    </row>
    <row r="21" spans="1:15" x14ac:dyDescent="0.2">
      <c r="A21" t="s">
        <v>624</v>
      </c>
      <c r="B21" t="s">
        <v>191</v>
      </c>
      <c r="C21">
        <v>2</v>
      </c>
      <c r="D21">
        <v>0</v>
      </c>
      <c r="E21">
        <v>2</v>
      </c>
      <c r="F21">
        <v>2</v>
      </c>
      <c r="G21">
        <v>1</v>
      </c>
      <c r="H21">
        <v>1</v>
      </c>
      <c r="I21">
        <v>6.4000000000000001E-2</v>
      </c>
      <c r="J21">
        <v>50</v>
      </c>
      <c r="K21">
        <f t="shared" si="0"/>
        <v>3.2000000000000001E-2</v>
      </c>
      <c r="L21" t="s">
        <v>17</v>
      </c>
      <c r="M21">
        <v>108</v>
      </c>
      <c r="N21" t="s">
        <v>201</v>
      </c>
      <c r="O21" t="s">
        <v>865</v>
      </c>
    </row>
    <row r="22" spans="1:15" x14ac:dyDescent="0.2">
      <c r="A22" t="s">
        <v>624</v>
      </c>
      <c r="B22" t="s">
        <v>191</v>
      </c>
      <c r="C22">
        <v>1</v>
      </c>
      <c r="D22">
        <v>1</v>
      </c>
      <c r="E22">
        <v>0</v>
      </c>
      <c r="F22">
        <v>1</v>
      </c>
      <c r="G22">
        <v>0</v>
      </c>
      <c r="H22">
        <v>1</v>
      </c>
      <c r="I22">
        <v>6.2E-2</v>
      </c>
      <c r="J22">
        <v>50</v>
      </c>
      <c r="K22">
        <f t="shared" si="0"/>
        <v>3.1E-2</v>
      </c>
      <c r="L22" t="s">
        <v>17</v>
      </c>
      <c r="M22">
        <v>100</v>
      </c>
      <c r="N22" t="s">
        <v>201</v>
      </c>
      <c r="O22" t="s">
        <v>866</v>
      </c>
    </row>
    <row r="23" spans="1:15" x14ac:dyDescent="0.2">
      <c r="A23" t="s">
        <v>624</v>
      </c>
      <c r="B23" t="s">
        <v>191</v>
      </c>
      <c r="C23">
        <v>2</v>
      </c>
      <c r="D23">
        <v>0</v>
      </c>
      <c r="E23">
        <v>2</v>
      </c>
      <c r="F23">
        <v>2</v>
      </c>
      <c r="G23">
        <v>1</v>
      </c>
      <c r="H23">
        <v>1</v>
      </c>
      <c r="I23">
        <v>6.9000000000000006E-2</v>
      </c>
      <c r="J23">
        <v>50</v>
      </c>
      <c r="K23">
        <f t="shared" si="0"/>
        <v>3.4500000000000003E-2</v>
      </c>
      <c r="L23" t="s">
        <v>17</v>
      </c>
      <c r="M23">
        <v>59.88</v>
      </c>
      <c r="N23" t="s">
        <v>201</v>
      </c>
      <c r="O23" t="s">
        <v>867</v>
      </c>
    </row>
    <row r="24" spans="1:15" x14ac:dyDescent="0.2">
      <c r="A24" t="s">
        <v>624</v>
      </c>
      <c r="B24" t="s">
        <v>191</v>
      </c>
      <c r="C24">
        <v>1</v>
      </c>
      <c r="D24">
        <v>1</v>
      </c>
      <c r="E24">
        <v>0</v>
      </c>
      <c r="F24">
        <v>1</v>
      </c>
      <c r="G24">
        <v>0</v>
      </c>
      <c r="H24">
        <v>1</v>
      </c>
      <c r="I24">
        <v>6.5000000000000002E-2</v>
      </c>
      <c r="J24">
        <v>50</v>
      </c>
      <c r="K24">
        <f t="shared" si="0"/>
        <v>3.2500000000000001E-2</v>
      </c>
      <c r="L24" t="s">
        <v>17</v>
      </c>
      <c r="M24">
        <v>97.12</v>
      </c>
      <c r="N24" t="s">
        <v>201</v>
      </c>
      <c r="O24" t="s">
        <v>868</v>
      </c>
    </row>
    <row r="25" spans="1:15" x14ac:dyDescent="0.2">
      <c r="A25" t="s">
        <v>624</v>
      </c>
      <c r="B25" t="s">
        <v>191</v>
      </c>
      <c r="C25">
        <v>2</v>
      </c>
      <c r="D25">
        <v>0</v>
      </c>
      <c r="E25">
        <v>2</v>
      </c>
      <c r="F25">
        <v>2</v>
      </c>
      <c r="G25">
        <v>1</v>
      </c>
      <c r="H25">
        <v>1</v>
      </c>
      <c r="I25">
        <v>7.1999999999999995E-2</v>
      </c>
      <c r="J25">
        <v>50</v>
      </c>
      <c r="K25">
        <f t="shared" si="0"/>
        <v>3.5999999999999997E-2</v>
      </c>
      <c r="L25" t="s">
        <v>17</v>
      </c>
      <c r="M25">
        <v>49.85</v>
      </c>
      <c r="N25" t="s">
        <v>201</v>
      </c>
      <c r="O25" t="s">
        <v>869</v>
      </c>
    </row>
    <row r="26" spans="1:15" x14ac:dyDescent="0.2">
      <c r="A26" t="s">
        <v>624</v>
      </c>
      <c r="B26" t="s">
        <v>191</v>
      </c>
      <c r="C26">
        <v>1</v>
      </c>
      <c r="D26">
        <v>1</v>
      </c>
      <c r="E26">
        <v>0</v>
      </c>
      <c r="F26">
        <v>1</v>
      </c>
      <c r="G26">
        <v>0</v>
      </c>
      <c r="H26">
        <v>1</v>
      </c>
      <c r="I26">
        <v>6.2E-2</v>
      </c>
      <c r="J26">
        <v>50</v>
      </c>
      <c r="K26">
        <f t="shared" si="0"/>
        <v>3.1E-2</v>
      </c>
      <c r="L26" t="s">
        <v>17</v>
      </c>
      <c r="M26">
        <v>61.56</v>
      </c>
      <c r="N26" t="s">
        <v>201</v>
      </c>
      <c r="O26" t="s">
        <v>870</v>
      </c>
    </row>
    <row r="27" spans="1:15" x14ac:dyDescent="0.2">
      <c r="A27" t="s">
        <v>624</v>
      </c>
      <c r="B27" t="s">
        <v>191</v>
      </c>
      <c r="C27">
        <v>2</v>
      </c>
      <c r="D27">
        <v>0</v>
      </c>
      <c r="E27">
        <v>2</v>
      </c>
      <c r="F27">
        <v>2</v>
      </c>
      <c r="G27">
        <v>1</v>
      </c>
      <c r="H27">
        <v>1</v>
      </c>
      <c r="I27">
        <v>7.3999999999999996E-2</v>
      </c>
      <c r="J27">
        <v>50</v>
      </c>
      <c r="K27">
        <f t="shared" si="0"/>
        <v>3.6999999999999998E-2</v>
      </c>
      <c r="L27" t="s">
        <v>17</v>
      </c>
      <c r="M27">
        <v>44.95</v>
      </c>
      <c r="N27" t="s">
        <v>201</v>
      </c>
      <c r="O27" t="s">
        <v>871</v>
      </c>
    </row>
    <row r="28" spans="1:15" x14ac:dyDescent="0.2">
      <c r="A28" t="s">
        <v>624</v>
      </c>
      <c r="B28" t="s">
        <v>191</v>
      </c>
      <c r="C28">
        <v>1</v>
      </c>
      <c r="D28">
        <v>1</v>
      </c>
      <c r="E28">
        <v>0</v>
      </c>
      <c r="F28">
        <v>1</v>
      </c>
      <c r="G28">
        <v>0</v>
      </c>
      <c r="H28">
        <v>1</v>
      </c>
      <c r="I28">
        <v>0.06</v>
      </c>
      <c r="J28">
        <v>50</v>
      </c>
      <c r="K28">
        <f t="shared" si="0"/>
        <v>0.03</v>
      </c>
      <c r="L28" t="s">
        <v>17</v>
      </c>
      <c r="M28">
        <v>53.01</v>
      </c>
      <c r="N28" t="s">
        <v>201</v>
      </c>
      <c r="O28" t="s">
        <v>872</v>
      </c>
    </row>
    <row r="29" spans="1:15" x14ac:dyDescent="0.2">
      <c r="A29" t="s">
        <v>624</v>
      </c>
      <c r="B29" t="s">
        <v>191</v>
      </c>
      <c r="C29">
        <v>2</v>
      </c>
      <c r="D29">
        <v>0</v>
      </c>
      <c r="E29">
        <v>2</v>
      </c>
      <c r="F29">
        <v>2</v>
      </c>
      <c r="G29">
        <v>1</v>
      </c>
      <c r="H29">
        <v>1</v>
      </c>
      <c r="I29">
        <v>8.5999999999999993E-2</v>
      </c>
      <c r="J29">
        <v>50</v>
      </c>
      <c r="K29">
        <f t="shared" si="0"/>
        <v>4.2999999999999997E-2</v>
      </c>
      <c r="L29" t="s">
        <v>17</v>
      </c>
      <c r="M29">
        <v>39.96</v>
      </c>
      <c r="N29" t="s">
        <v>201</v>
      </c>
      <c r="O29" t="s">
        <v>873</v>
      </c>
    </row>
    <row r="30" spans="1:15" x14ac:dyDescent="0.2">
      <c r="A30" t="s">
        <v>624</v>
      </c>
      <c r="B30" t="s">
        <v>191</v>
      </c>
      <c r="C30">
        <v>1</v>
      </c>
      <c r="D30">
        <v>1</v>
      </c>
      <c r="E30">
        <v>0</v>
      </c>
      <c r="F30">
        <v>1</v>
      </c>
      <c r="G30">
        <v>0</v>
      </c>
      <c r="H30">
        <v>1</v>
      </c>
      <c r="I30">
        <v>6.9000000000000006E-2</v>
      </c>
      <c r="J30">
        <v>50</v>
      </c>
      <c r="K30">
        <f t="shared" si="0"/>
        <v>3.4500000000000003E-2</v>
      </c>
      <c r="L30" t="s">
        <v>17</v>
      </c>
      <c r="M30">
        <v>46.98</v>
      </c>
      <c r="N30" t="s">
        <v>201</v>
      </c>
      <c r="O30" t="s">
        <v>874</v>
      </c>
    </row>
    <row r="31" spans="1:15" x14ac:dyDescent="0.2">
      <c r="A31" t="s">
        <v>624</v>
      </c>
      <c r="B31" t="s">
        <v>191</v>
      </c>
      <c r="C31">
        <v>2</v>
      </c>
      <c r="D31">
        <v>0</v>
      </c>
      <c r="E31">
        <v>2</v>
      </c>
      <c r="F31">
        <v>2</v>
      </c>
      <c r="G31">
        <v>1</v>
      </c>
      <c r="H31">
        <v>1</v>
      </c>
      <c r="I31">
        <v>8.5999999999999993E-2</v>
      </c>
      <c r="J31">
        <v>50</v>
      </c>
      <c r="K31">
        <f t="shared" si="0"/>
        <v>4.2999999999999997E-2</v>
      </c>
      <c r="L31" t="s">
        <v>17</v>
      </c>
      <c r="M31">
        <v>34.97</v>
      </c>
      <c r="N31" t="s">
        <v>201</v>
      </c>
      <c r="O31" t="s">
        <v>875</v>
      </c>
    </row>
    <row r="32" spans="1:15" x14ac:dyDescent="0.2">
      <c r="A32" t="s">
        <v>624</v>
      </c>
      <c r="B32" t="s">
        <v>191</v>
      </c>
      <c r="C32">
        <v>1</v>
      </c>
      <c r="D32">
        <v>1</v>
      </c>
      <c r="E32">
        <v>0</v>
      </c>
      <c r="F32">
        <v>1</v>
      </c>
      <c r="G32">
        <v>0</v>
      </c>
      <c r="H32">
        <v>1</v>
      </c>
      <c r="I32">
        <v>6.2399999999999997E-2</v>
      </c>
      <c r="J32">
        <v>50</v>
      </c>
      <c r="K32">
        <f t="shared" si="0"/>
        <v>3.1199999999999995E-2</v>
      </c>
      <c r="L32" t="s">
        <v>17</v>
      </c>
      <c r="M32">
        <v>42.8</v>
      </c>
      <c r="N32" t="s">
        <v>201</v>
      </c>
      <c r="O32" t="s">
        <v>876</v>
      </c>
    </row>
    <row r="33" spans="1:15" x14ac:dyDescent="0.2">
      <c r="A33" t="s">
        <v>624</v>
      </c>
      <c r="B33" t="s">
        <v>191</v>
      </c>
      <c r="C33">
        <v>2</v>
      </c>
      <c r="D33">
        <v>0</v>
      </c>
      <c r="E33">
        <v>2</v>
      </c>
      <c r="F33">
        <v>2</v>
      </c>
      <c r="G33">
        <v>1</v>
      </c>
      <c r="H33">
        <v>1</v>
      </c>
      <c r="I33">
        <v>8.5000000000000006E-2</v>
      </c>
      <c r="J33">
        <v>50</v>
      </c>
      <c r="K33">
        <f t="shared" si="0"/>
        <v>4.2500000000000003E-2</v>
      </c>
      <c r="L33" t="s">
        <v>17</v>
      </c>
      <c r="M33">
        <v>29.95</v>
      </c>
      <c r="N33" t="s">
        <v>201</v>
      </c>
      <c r="O33" t="s">
        <v>877</v>
      </c>
    </row>
    <row r="34" spans="1:15" x14ac:dyDescent="0.2">
      <c r="A34" t="s">
        <v>624</v>
      </c>
      <c r="B34" t="s">
        <v>191</v>
      </c>
      <c r="C34">
        <v>1</v>
      </c>
      <c r="D34">
        <v>1</v>
      </c>
      <c r="E34">
        <v>0</v>
      </c>
      <c r="F34">
        <v>1</v>
      </c>
      <c r="G34">
        <v>0</v>
      </c>
      <c r="H34">
        <v>1</v>
      </c>
      <c r="I34">
        <v>6.4000000000000001E-2</v>
      </c>
      <c r="J34">
        <v>50</v>
      </c>
      <c r="K34">
        <f t="shared" si="0"/>
        <v>3.2000000000000001E-2</v>
      </c>
      <c r="L34" t="s">
        <v>17</v>
      </c>
      <c r="M34">
        <v>32.54</v>
      </c>
      <c r="N34" t="s">
        <v>201</v>
      </c>
      <c r="O34" t="s">
        <v>878</v>
      </c>
    </row>
    <row r="35" spans="1:15" x14ac:dyDescent="0.2">
      <c r="A35" t="s">
        <v>624</v>
      </c>
      <c r="B35" t="s">
        <v>191</v>
      </c>
      <c r="C35">
        <v>2</v>
      </c>
      <c r="D35">
        <v>0</v>
      </c>
      <c r="E35">
        <v>2</v>
      </c>
      <c r="F35">
        <v>2</v>
      </c>
      <c r="G35">
        <v>1</v>
      </c>
      <c r="H35">
        <v>1</v>
      </c>
      <c r="I35">
        <v>9.0999999999999998E-2</v>
      </c>
      <c r="J35">
        <v>50</v>
      </c>
      <c r="K35">
        <f t="shared" si="0"/>
        <v>4.5499999999999999E-2</v>
      </c>
      <c r="L35" t="s">
        <v>17</v>
      </c>
      <c r="M35">
        <v>24.94</v>
      </c>
      <c r="N35" t="s">
        <v>201</v>
      </c>
      <c r="O35" t="s">
        <v>879</v>
      </c>
    </row>
    <row r="36" spans="1:15" x14ac:dyDescent="0.2">
      <c r="A36" t="s">
        <v>624</v>
      </c>
      <c r="B36" t="s">
        <v>191</v>
      </c>
      <c r="C36">
        <v>1</v>
      </c>
      <c r="D36">
        <v>1</v>
      </c>
      <c r="E36">
        <v>0</v>
      </c>
      <c r="F36">
        <v>1</v>
      </c>
      <c r="G36">
        <v>0</v>
      </c>
      <c r="H36">
        <v>1</v>
      </c>
      <c r="I36">
        <v>7.0999999999999994E-2</v>
      </c>
      <c r="J36">
        <v>50</v>
      </c>
      <c r="K36">
        <f t="shared" si="0"/>
        <v>3.5499999999999997E-2</v>
      </c>
      <c r="L36" t="s">
        <v>17</v>
      </c>
      <c r="M36">
        <v>31</v>
      </c>
      <c r="N36" t="s">
        <v>201</v>
      </c>
      <c r="O36" t="s">
        <v>880</v>
      </c>
    </row>
    <row r="37" spans="1:15" x14ac:dyDescent="0.2">
      <c r="A37" t="s">
        <v>624</v>
      </c>
      <c r="B37" t="s">
        <v>191</v>
      </c>
      <c r="C37">
        <v>2</v>
      </c>
      <c r="D37">
        <v>0</v>
      </c>
      <c r="E37">
        <v>2</v>
      </c>
      <c r="F37">
        <v>2</v>
      </c>
      <c r="G37">
        <v>1</v>
      </c>
      <c r="H37">
        <v>1</v>
      </c>
      <c r="I37">
        <v>0.109</v>
      </c>
      <c r="J37">
        <v>50</v>
      </c>
      <c r="K37">
        <f t="shared" si="0"/>
        <v>5.45E-2</v>
      </c>
      <c r="L37" t="s">
        <v>17</v>
      </c>
      <c r="M37">
        <v>19.940000000000001</v>
      </c>
      <c r="N37" t="s">
        <v>201</v>
      </c>
      <c r="O37" t="s">
        <v>881</v>
      </c>
    </row>
    <row r="38" spans="1:15" x14ac:dyDescent="0.2">
      <c r="A38" t="s">
        <v>624</v>
      </c>
      <c r="B38" t="s">
        <v>191</v>
      </c>
      <c r="C38">
        <v>3</v>
      </c>
      <c r="D38">
        <v>3</v>
      </c>
      <c r="E38">
        <v>1</v>
      </c>
      <c r="F38">
        <v>2</v>
      </c>
      <c r="G38">
        <v>0</v>
      </c>
      <c r="H38">
        <v>2</v>
      </c>
      <c r="I38">
        <v>4.6100000000000002E-2</v>
      </c>
      <c r="J38">
        <v>50</v>
      </c>
      <c r="K38">
        <f t="shared" si="0"/>
        <v>2.3050000000000001E-2</v>
      </c>
      <c r="L38" t="s">
        <v>17</v>
      </c>
      <c r="M38">
        <v>296</v>
      </c>
      <c r="N38" t="s">
        <v>18</v>
      </c>
      <c r="O38" t="s">
        <v>907</v>
      </c>
    </row>
    <row r="39" spans="1:15" x14ac:dyDescent="0.2">
      <c r="A39" t="s">
        <v>624</v>
      </c>
      <c r="B39" t="s">
        <v>191</v>
      </c>
      <c r="C39">
        <v>2</v>
      </c>
      <c r="D39">
        <v>1</v>
      </c>
      <c r="E39">
        <v>2</v>
      </c>
      <c r="F39">
        <v>3</v>
      </c>
      <c r="G39">
        <v>0</v>
      </c>
      <c r="H39">
        <v>3</v>
      </c>
      <c r="I39">
        <v>3.8299999999999994E-2</v>
      </c>
      <c r="J39">
        <v>50</v>
      </c>
      <c r="K39">
        <f t="shared" si="0"/>
        <v>1.9149999999999997E-2</v>
      </c>
      <c r="L39" t="s">
        <v>17</v>
      </c>
      <c r="M39">
        <v>296</v>
      </c>
      <c r="N39" t="s">
        <v>18</v>
      </c>
      <c r="O39" t="s">
        <v>907</v>
      </c>
    </row>
    <row r="40" spans="1:15" x14ac:dyDescent="0.2">
      <c r="A40" t="s">
        <v>624</v>
      </c>
      <c r="B40" t="s">
        <v>191</v>
      </c>
      <c r="C40">
        <v>2</v>
      </c>
      <c r="D40">
        <v>0</v>
      </c>
      <c r="E40">
        <v>2</v>
      </c>
      <c r="F40">
        <v>3</v>
      </c>
      <c r="G40">
        <v>1</v>
      </c>
      <c r="H40">
        <v>3</v>
      </c>
      <c r="I40">
        <v>4.0600000000000004E-2</v>
      </c>
      <c r="J40">
        <v>50</v>
      </c>
      <c r="K40">
        <f t="shared" si="0"/>
        <v>2.0300000000000002E-2</v>
      </c>
      <c r="L40" t="s">
        <v>17</v>
      </c>
      <c r="M40">
        <v>296</v>
      </c>
      <c r="N40" t="s">
        <v>18</v>
      </c>
      <c r="O40" t="s">
        <v>907</v>
      </c>
    </row>
    <row r="41" spans="1:15" x14ac:dyDescent="0.2">
      <c r="A41" t="s">
        <v>624</v>
      </c>
      <c r="B41" t="s">
        <v>191</v>
      </c>
      <c r="C41">
        <v>2</v>
      </c>
      <c r="D41">
        <v>2</v>
      </c>
      <c r="E41">
        <v>1</v>
      </c>
      <c r="F41">
        <v>3</v>
      </c>
      <c r="G41">
        <v>1</v>
      </c>
      <c r="H41">
        <v>2</v>
      </c>
      <c r="I41">
        <v>4.0500000000000001E-2</v>
      </c>
      <c r="J41">
        <v>50</v>
      </c>
      <c r="K41">
        <f t="shared" si="0"/>
        <v>2.0250000000000001E-2</v>
      </c>
      <c r="L41" t="s">
        <v>17</v>
      </c>
      <c r="M41">
        <v>296</v>
      </c>
      <c r="N41" t="s">
        <v>18</v>
      </c>
      <c r="O41" t="s">
        <v>907</v>
      </c>
    </row>
    <row r="42" spans="1:15" x14ac:dyDescent="0.2">
      <c r="A42" t="s">
        <v>624</v>
      </c>
      <c r="B42" t="s">
        <v>191</v>
      </c>
      <c r="C42">
        <v>4</v>
      </c>
      <c r="D42">
        <v>3</v>
      </c>
      <c r="E42">
        <v>2</v>
      </c>
      <c r="F42">
        <v>3</v>
      </c>
      <c r="G42">
        <v>2</v>
      </c>
      <c r="H42">
        <v>1</v>
      </c>
      <c r="I42">
        <v>3.9100000000000003E-2</v>
      </c>
      <c r="J42">
        <v>50</v>
      </c>
      <c r="K42">
        <f t="shared" si="0"/>
        <v>1.9550000000000001E-2</v>
      </c>
      <c r="L42" t="s">
        <v>17</v>
      </c>
      <c r="M42">
        <v>296</v>
      </c>
      <c r="N42" t="s">
        <v>18</v>
      </c>
      <c r="O42" t="s">
        <v>907</v>
      </c>
    </row>
    <row r="43" spans="1:15" x14ac:dyDescent="0.2">
      <c r="A43" t="s">
        <v>624</v>
      </c>
      <c r="B43" t="s">
        <v>191</v>
      </c>
      <c r="C43">
        <v>4</v>
      </c>
      <c r="D43">
        <v>4</v>
      </c>
      <c r="E43">
        <v>1</v>
      </c>
      <c r="F43">
        <v>3</v>
      </c>
      <c r="G43">
        <v>3</v>
      </c>
      <c r="H43">
        <v>0</v>
      </c>
      <c r="I43">
        <v>3.73E-2</v>
      </c>
      <c r="J43">
        <v>50</v>
      </c>
      <c r="K43">
        <f t="shared" si="0"/>
        <v>1.865E-2</v>
      </c>
      <c r="L43" t="s">
        <v>17</v>
      </c>
      <c r="M43">
        <v>296</v>
      </c>
      <c r="N43" t="s">
        <v>18</v>
      </c>
      <c r="O43" t="s">
        <v>907</v>
      </c>
    </row>
    <row r="44" spans="1:15" x14ac:dyDescent="0.2">
      <c r="A44" t="s">
        <v>624</v>
      </c>
      <c r="B44" t="s">
        <v>191</v>
      </c>
      <c r="C44">
        <v>5</v>
      </c>
      <c r="D44">
        <v>3</v>
      </c>
      <c r="E44">
        <v>2</v>
      </c>
      <c r="F44">
        <v>4</v>
      </c>
      <c r="G44">
        <v>2</v>
      </c>
      <c r="H44">
        <v>3</v>
      </c>
      <c r="I44">
        <v>3.9799999999999995E-2</v>
      </c>
      <c r="J44">
        <v>50</v>
      </c>
      <c r="K44">
        <f t="shared" si="0"/>
        <v>1.9899999999999998E-2</v>
      </c>
      <c r="L44" t="s">
        <v>17</v>
      </c>
      <c r="M44">
        <v>296</v>
      </c>
      <c r="N44" t="s">
        <v>18</v>
      </c>
      <c r="O44" t="s">
        <v>907</v>
      </c>
    </row>
    <row r="45" spans="1:15" x14ac:dyDescent="0.2">
      <c r="A45" t="s">
        <v>624</v>
      </c>
      <c r="B45" t="s">
        <v>191</v>
      </c>
      <c r="C45">
        <v>4</v>
      </c>
      <c r="D45">
        <v>1</v>
      </c>
      <c r="E45">
        <v>3</v>
      </c>
      <c r="F45">
        <v>5</v>
      </c>
      <c r="G45">
        <v>2</v>
      </c>
      <c r="H45">
        <v>4</v>
      </c>
      <c r="I45">
        <v>3.6499999999999998E-2</v>
      </c>
      <c r="J45">
        <v>50</v>
      </c>
      <c r="K45">
        <f t="shared" si="0"/>
        <v>1.8249999999999999E-2</v>
      </c>
      <c r="L45" t="s">
        <v>17</v>
      </c>
      <c r="M45">
        <v>296</v>
      </c>
      <c r="N45" t="s">
        <v>18</v>
      </c>
      <c r="O45" t="s">
        <v>907</v>
      </c>
    </row>
    <row r="46" spans="1:15" x14ac:dyDescent="0.2">
      <c r="A46" t="s">
        <v>624</v>
      </c>
      <c r="B46" t="s">
        <v>191</v>
      </c>
      <c r="C46">
        <v>4</v>
      </c>
      <c r="D46">
        <v>3</v>
      </c>
      <c r="E46">
        <v>2</v>
      </c>
      <c r="F46">
        <v>5</v>
      </c>
      <c r="G46">
        <v>2</v>
      </c>
      <c r="H46">
        <v>3</v>
      </c>
      <c r="I46">
        <v>3.8600000000000002E-2</v>
      </c>
      <c r="J46">
        <v>50</v>
      </c>
      <c r="K46">
        <f t="shared" si="0"/>
        <v>1.9300000000000001E-2</v>
      </c>
      <c r="L46" t="s">
        <v>17</v>
      </c>
      <c r="M46">
        <v>296</v>
      </c>
      <c r="N46" t="s">
        <v>18</v>
      </c>
      <c r="O46" t="s">
        <v>907</v>
      </c>
    </row>
    <row r="47" spans="1:15" x14ac:dyDescent="0.2">
      <c r="A47" t="s">
        <v>624</v>
      </c>
      <c r="B47" t="s">
        <v>191</v>
      </c>
      <c r="C47">
        <v>6</v>
      </c>
      <c r="D47">
        <v>4</v>
      </c>
      <c r="E47">
        <v>2</v>
      </c>
      <c r="F47">
        <v>5</v>
      </c>
      <c r="G47">
        <v>3</v>
      </c>
      <c r="H47">
        <v>3</v>
      </c>
      <c r="I47">
        <v>3.6999999999999998E-2</v>
      </c>
      <c r="J47">
        <v>50</v>
      </c>
      <c r="K47">
        <f t="shared" si="0"/>
        <v>1.8499999999999999E-2</v>
      </c>
      <c r="L47" t="s">
        <v>17</v>
      </c>
      <c r="M47">
        <v>296</v>
      </c>
      <c r="N47" t="s">
        <v>18</v>
      </c>
      <c r="O47" t="s">
        <v>907</v>
      </c>
    </row>
    <row r="48" spans="1:15" x14ac:dyDescent="0.2">
      <c r="A48" t="s">
        <v>624</v>
      </c>
      <c r="B48" t="s">
        <v>191</v>
      </c>
      <c r="C48">
        <v>6</v>
      </c>
      <c r="D48">
        <v>4</v>
      </c>
      <c r="E48">
        <v>3</v>
      </c>
      <c r="F48">
        <v>5</v>
      </c>
      <c r="G48">
        <v>3</v>
      </c>
      <c r="H48">
        <v>2</v>
      </c>
      <c r="I48">
        <v>3.7100000000000001E-2</v>
      </c>
      <c r="J48">
        <v>50</v>
      </c>
      <c r="K48">
        <f t="shared" si="0"/>
        <v>1.8550000000000001E-2</v>
      </c>
      <c r="L48" t="s">
        <v>17</v>
      </c>
      <c r="M48">
        <v>296</v>
      </c>
      <c r="N48" t="s">
        <v>18</v>
      </c>
      <c r="O48" t="s">
        <v>907</v>
      </c>
    </row>
    <row r="49" spans="1:15" x14ac:dyDescent="0.2">
      <c r="A49" t="s">
        <v>624</v>
      </c>
      <c r="B49" t="s">
        <v>191</v>
      </c>
      <c r="C49">
        <v>6</v>
      </c>
      <c r="D49">
        <v>5</v>
      </c>
      <c r="E49">
        <v>2</v>
      </c>
      <c r="F49">
        <v>5</v>
      </c>
      <c r="G49">
        <v>4</v>
      </c>
      <c r="H49">
        <v>1</v>
      </c>
      <c r="I49">
        <v>3.5799999999999998E-2</v>
      </c>
      <c r="J49">
        <v>50</v>
      </c>
      <c r="K49">
        <f t="shared" si="0"/>
        <v>1.7899999999999999E-2</v>
      </c>
      <c r="L49" t="s">
        <v>17</v>
      </c>
      <c r="M49">
        <v>296</v>
      </c>
      <c r="N49" t="s">
        <v>18</v>
      </c>
      <c r="O49" t="s">
        <v>907</v>
      </c>
    </row>
    <row r="50" spans="1:15" x14ac:dyDescent="0.2">
      <c r="A50" t="s">
        <v>624</v>
      </c>
      <c r="B50" t="s">
        <v>191</v>
      </c>
      <c r="C50">
        <v>5</v>
      </c>
      <c r="D50">
        <v>2</v>
      </c>
      <c r="E50">
        <v>3</v>
      </c>
      <c r="F50">
        <v>6</v>
      </c>
      <c r="G50">
        <v>3</v>
      </c>
      <c r="H50">
        <v>4</v>
      </c>
      <c r="I50">
        <v>3.9600000000000003E-2</v>
      </c>
      <c r="J50">
        <v>50</v>
      </c>
      <c r="K50">
        <f t="shared" si="0"/>
        <v>1.9800000000000002E-2</v>
      </c>
      <c r="L50" t="s">
        <v>17</v>
      </c>
      <c r="M50">
        <v>296</v>
      </c>
      <c r="N50" t="s">
        <v>18</v>
      </c>
      <c r="O50" t="s">
        <v>907</v>
      </c>
    </row>
    <row r="51" spans="1:15" x14ac:dyDescent="0.2">
      <c r="A51" t="s">
        <v>624</v>
      </c>
      <c r="B51" t="s">
        <v>191</v>
      </c>
      <c r="C51">
        <v>7</v>
      </c>
      <c r="D51">
        <v>2</v>
      </c>
      <c r="E51">
        <v>5</v>
      </c>
      <c r="F51">
        <v>6</v>
      </c>
      <c r="G51">
        <v>3</v>
      </c>
      <c r="H51">
        <v>4</v>
      </c>
      <c r="I51">
        <v>3.6899999999999995E-2</v>
      </c>
      <c r="J51">
        <v>50</v>
      </c>
      <c r="K51">
        <f t="shared" si="0"/>
        <v>1.8449999999999998E-2</v>
      </c>
      <c r="L51" t="s">
        <v>17</v>
      </c>
      <c r="M51">
        <v>296</v>
      </c>
      <c r="N51" t="s">
        <v>18</v>
      </c>
      <c r="O51" t="s">
        <v>907</v>
      </c>
    </row>
    <row r="52" spans="1:15" x14ac:dyDescent="0.2">
      <c r="A52" t="s">
        <v>624</v>
      </c>
      <c r="B52" t="s">
        <v>191</v>
      </c>
      <c r="C52">
        <v>6</v>
      </c>
      <c r="D52">
        <v>1</v>
      </c>
      <c r="E52">
        <v>6</v>
      </c>
      <c r="F52">
        <v>7</v>
      </c>
      <c r="G52">
        <v>0</v>
      </c>
      <c r="H52">
        <v>7</v>
      </c>
      <c r="I52">
        <v>3.3600000000000005E-2</v>
      </c>
      <c r="J52">
        <v>50</v>
      </c>
      <c r="K52">
        <f t="shared" si="0"/>
        <v>1.6800000000000002E-2</v>
      </c>
      <c r="L52" t="s">
        <v>17</v>
      </c>
      <c r="M52">
        <v>296</v>
      </c>
      <c r="N52" t="s">
        <v>18</v>
      </c>
      <c r="O52" t="s">
        <v>907</v>
      </c>
    </row>
    <row r="53" spans="1:15" x14ac:dyDescent="0.2">
      <c r="A53" t="s">
        <v>624</v>
      </c>
      <c r="B53" t="s">
        <v>191</v>
      </c>
      <c r="C53">
        <v>6</v>
      </c>
      <c r="D53">
        <v>0</v>
      </c>
      <c r="E53">
        <v>6</v>
      </c>
      <c r="F53">
        <v>7</v>
      </c>
      <c r="G53">
        <v>1</v>
      </c>
      <c r="H53">
        <v>7</v>
      </c>
      <c r="I53">
        <v>3.3600000000000005E-2</v>
      </c>
      <c r="J53">
        <v>50</v>
      </c>
      <c r="K53">
        <f t="shared" si="0"/>
        <v>1.6800000000000002E-2</v>
      </c>
      <c r="L53" t="s">
        <v>17</v>
      </c>
      <c r="M53">
        <v>296</v>
      </c>
      <c r="N53" t="s">
        <v>18</v>
      </c>
      <c r="O53" t="s">
        <v>907</v>
      </c>
    </row>
    <row r="54" spans="1:15" x14ac:dyDescent="0.2">
      <c r="A54" t="s">
        <v>624</v>
      </c>
      <c r="B54" t="s">
        <v>191</v>
      </c>
      <c r="C54">
        <v>7</v>
      </c>
      <c r="D54">
        <v>2</v>
      </c>
      <c r="E54">
        <v>6</v>
      </c>
      <c r="F54">
        <v>7</v>
      </c>
      <c r="G54">
        <v>1</v>
      </c>
      <c r="H54">
        <v>7</v>
      </c>
      <c r="I54">
        <v>3.6600000000000001E-2</v>
      </c>
      <c r="J54">
        <v>50</v>
      </c>
      <c r="K54">
        <f t="shared" si="0"/>
        <v>1.83E-2</v>
      </c>
      <c r="L54" t="s">
        <v>17</v>
      </c>
      <c r="M54">
        <v>296</v>
      </c>
      <c r="N54" t="s">
        <v>18</v>
      </c>
      <c r="O54" t="s">
        <v>907</v>
      </c>
    </row>
    <row r="55" spans="1:15" x14ac:dyDescent="0.2">
      <c r="A55" t="s">
        <v>624</v>
      </c>
      <c r="B55" t="s">
        <v>191</v>
      </c>
      <c r="C55">
        <v>8</v>
      </c>
      <c r="D55">
        <v>3</v>
      </c>
      <c r="E55">
        <v>6</v>
      </c>
      <c r="F55">
        <v>7</v>
      </c>
      <c r="G55">
        <v>2</v>
      </c>
      <c r="H55">
        <v>5</v>
      </c>
      <c r="I55">
        <v>3.6200000000000003E-2</v>
      </c>
      <c r="J55">
        <v>50</v>
      </c>
      <c r="K55">
        <f t="shared" si="0"/>
        <v>1.8100000000000002E-2</v>
      </c>
      <c r="L55" t="s">
        <v>17</v>
      </c>
      <c r="M55">
        <v>296</v>
      </c>
      <c r="N55" t="s">
        <v>18</v>
      </c>
      <c r="O55" t="s">
        <v>907</v>
      </c>
    </row>
    <row r="56" spans="1:15" x14ac:dyDescent="0.2">
      <c r="A56" t="s">
        <v>624</v>
      </c>
      <c r="B56" t="s">
        <v>191</v>
      </c>
      <c r="C56">
        <v>8</v>
      </c>
      <c r="D56">
        <v>2</v>
      </c>
      <c r="E56">
        <v>6</v>
      </c>
      <c r="F56">
        <v>7</v>
      </c>
      <c r="G56">
        <v>3</v>
      </c>
      <c r="H56">
        <v>5</v>
      </c>
      <c r="I56">
        <v>3.9299999999999995E-2</v>
      </c>
      <c r="J56">
        <v>50</v>
      </c>
      <c r="K56">
        <f t="shared" si="0"/>
        <v>1.9649999999999997E-2</v>
      </c>
      <c r="L56" t="s">
        <v>17</v>
      </c>
      <c r="M56">
        <v>296</v>
      </c>
      <c r="N56" t="s">
        <v>18</v>
      </c>
      <c r="O56" t="s">
        <v>907</v>
      </c>
    </row>
    <row r="57" spans="1:15" x14ac:dyDescent="0.2">
      <c r="A57" t="s">
        <v>624</v>
      </c>
      <c r="B57" t="s">
        <v>191</v>
      </c>
      <c r="C57">
        <v>7</v>
      </c>
      <c r="D57">
        <v>1</v>
      </c>
      <c r="E57">
        <v>7</v>
      </c>
      <c r="F57">
        <v>8</v>
      </c>
      <c r="G57">
        <v>0</v>
      </c>
      <c r="H57">
        <v>8</v>
      </c>
      <c r="I57">
        <v>3.1699999999999999E-2</v>
      </c>
      <c r="J57">
        <v>50</v>
      </c>
      <c r="K57">
        <f t="shared" si="0"/>
        <v>1.585E-2</v>
      </c>
      <c r="L57" t="s">
        <v>17</v>
      </c>
      <c r="M57">
        <v>296</v>
      </c>
      <c r="N57" t="s">
        <v>18</v>
      </c>
      <c r="O57" t="s">
        <v>907</v>
      </c>
    </row>
    <row r="58" spans="1:15" x14ac:dyDescent="0.2">
      <c r="A58" t="s">
        <v>624</v>
      </c>
      <c r="B58" t="s">
        <v>191</v>
      </c>
      <c r="C58">
        <v>7</v>
      </c>
      <c r="D58">
        <v>0</v>
      </c>
      <c r="E58">
        <v>7</v>
      </c>
      <c r="F58">
        <v>8</v>
      </c>
      <c r="G58">
        <v>1</v>
      </c>
      <c r="H58">
        <v>8</v>
      </c>
      <c r="I58">
        <v>3.1699999999999999E-2</v>
      </c>
      <c r="J58">
        <v>50</v>
      </c>
      <c r="K58">
        <f t="shared" si="0"/>
        <v>1.585E-2</v>
      </c>
      <c r="L58" t="s">
        <v>17</v>
      </c>
      <c r="M58">
        <v>296</v>
      </c>
      <c r="N58" t="s">
        <v>18</v>
      </c>
      <c r="O58" t="s">
        <v>907</v>
      </c>
    </row>
    <row r="59" spans="1:15" x14ac:dyDescent="0.2">
      <c r="A59" t="s">
        <v>624</v>
      </c>
      <c r="B59" t="s">
        <v>191</v>
      </c>
      <c r="C59">
        <v>7</v>
      </c>
      <c r="D59">
        <v>2</v>
      </c>
      <c r="E59">
        <v>6</v>
      </c>
      <c r="F59">
        <v>8</v>
      </c>
      <c r="G59">
        <v>1</v>
      </c>
      <c r="H59">
        <v>7</v>
      </c>
      <c r="I59">
        <v>3.61E-2</v>
      </c>
      <c r="J59">
        <v>50</v>
      </c>
      <c r="K59">
        <f t="shared" si="0"/>
        <v>1.805E-2</v>
      </c>
      <c r="L59" t="s">
        <v>17</v>
      </c>
      <c r="M59">
        <v>296</v>
      </c>
      <c r="N59" t="s">
        <v>18</v>
      </c>
      <c r="O59" t="s">
        <v>907</v>
      </c>
    </row>
    <row r="60" spans="1:15" x14ac:dyDescent="0.2">
      <c r="A60" t="s">
        <v>624</v>
      </c>
      <c r="B60" t="s">
        <v>191</v>
      </c>
      <c r="C60">
        <v>8</v>
      </c>
      <c r="D60">
        <v>2</v>
      </c>
      <c r="E60">
        <v>6</v>
      </c>
      <c r="F60">
        <v>8</v>
      </c>
      <c r="G60">
        <v>1</v>
      </c>
      <c r="H60">
        <v>7</v>
      </c>
      <c r="I60">
        <v>3.32E-2</v>
      </c>
      <c r="J60">
        <v>50</v>
      </c>
      <c r="K60">
        <f t="shared" si="0"/>
        <v>1.66E-2</v>
      </c>
      <c r="L60" t="s">
        <v>17</v>
      </c>
      <c r="M60">
        <v>296</v>
      </c>
      <c r="N60" t="s">
        <v>18</v>
      </c>
      <c r="O60" t="s">
        <v>907</v>
      </c>
    </row>
    <row r="61" spans="1:15" x14ac:dyDescent="0.2">
      <c r="A61" t="s">
        <v>624</v>
      </c>
      <c r="B61" t="s">
        <v>191</v>
      </c>
      <c r="C61">
        <v>7</v>
      </c>
      <c r="D61">
        <v>1</v>
      </c>
      <c r="E61">
        <v>6</v>
      </c>
      <c r="F61">
        <v>8</v>
      </c>
      <c r="G61">
        <v>2</v>
      </c>
      <c r="H61">
        <v>7</v>
      </c>
      <c r="I61">
        <v>3.61E-2</v>
      </c>
      <c r="J61">
        <v>50</v>
      </c>
      <c r="K61">
        <f t="shared" si="0"/>
        <v>1.805E-2</v>
      </c>
      <c r="L61" t="s">
        <v>17</v>
      </c>
      <c r="M61">
        <v>296</v>
      </c>
      <c r="N61" t="s">
        <v>18</v>
      </c>
      <c r="O61" t="s">
        <v>907</v>
      </c>
    </row>
    <row r="62" spans="1:15" x14ac:dyDescent="0.2">
      <c r="A62" t="s">
        <v>624</v>
      </c>
      <c r="B62" t="s">
        <v>191</v>
      </c>
      <c r="C62">
        <v>8</v>
      </c>
      <c r="D62">
        <v>3</v>
      </c>
      <c r="E62">
        <v>6</v>
      </c>
      <c r="F62">
        <v>8</v>
      </c>
      <c r="G62">
        <v>2</v>
      </c>
      <c r="H62">
        <v>7</v>
      </c>
      <c r="I62">
        <v>3.73E-2</v>
      </c>
      <c r="J62">
        <v>50</v>
      </c>
      <c r="K62">
        <f t="shared" si="0"/>
        <v>1.865E-2</v>
      </c>
      <c r="L62" t="s">
        <v>17</v>
      </c>
      <c r="M62">
        <v>296</v>
      </c>
      <c r="N62" t="s">
        <v>18</v>
      </c>
      <c r="O62" t="s">
        <v>907</v>
      </c>
    </row>
    <row r="63" spans="1:15" x14ac:dyDescent="0.2">
      <c r="A63" t="s">
        <v>624</v>
      </c>
      <c r="B63" t="s">
        <v>191</v>
      </c>
      <c r="C63">
        <v>7</v>
      </c>
      <c r="D63">
        <v>3</v>
      </c>
      <c r="E63">
        <v>5</v>
      </c>
      <c r="F63">
        <v>8</v>
      </c>
      <c r="G63">
        <v>2</v>
      </c>
      <c r="H63">
        <v>6</v>
      </c>
      <c r="I63">
        <v>3.6200000000000003E-2</v>
      </c>
      <c r="J63">
        <v>50</v>
      </c>
      <c r="K63">
        <f t="shared" si="0"/>
        <v>1.8100000000000002E-2</v>
      </c>
      <c r="L63" t="s">
        <v>17</v>
      </c>
      <c r="M63">
        <v>296</v>
      </c>
      <c r="N63" t="s">
        <v>18</v>
      </c>
      <c r="O63" t="s">
        <v>907</v>
      </c>
    </row>
    <row r="64" spans="1:15" x14ac:dyDescent="0.2">
      <c r="A64" t="s">
        <v>624</v>
      </c>
      <c r="B64" t="s">
        <v>191</v>
      </c>
      <c r="C64">
        <v>9</v>
      </c>
      <c r="D64">
        <v>3</v>
      </c>
      <c r="E64">
        <v>7</v>
      </c>
      <c r="F64">
        <v>8</v>
      </c>
      <c r="G64">
        <v>2</v>
      </c>
      <c r="H64">
        <v>6</v>
      </c>
      <c r="I64">
        <v>3.6299999999999999E-2</v>
      </c>
      <c r="J64">
        <v>50</v>
      </c>
      <c r="K64">
        <f t="shared" si="0"/>
        <v>1.8149999999999999E-2</v>
      </c>
      <c r="L64" t="s">
        <v>17</v>
      </c>
      <c r="M64">
        <v>296</v>
      </c>
      <c r="N64" t="s">
        <v>18</v>
      </c>
      <c r="O64" t="s">
        <v>907</v>
      </c>
    </row>
    <row r="65" spans="1:15" x14ac:dyDescent="0.2">
      <c r="A65" t="s">
        <v>624</v>
      </c>
      <c r="B65" t="s">
        <v>191</v>
      </c>
      <c r="C65">
        <v>7</v>
      </c>
      <c r="D65">
        <v>2</v>
      </c>
      <c r="E65">
        <v>5</v>
      </c>
      <c r="F65">
        <v>8</v>
      </c>
      <c r="G65">
        <v>3</v>
      </c>
      <c r="H65">
        <v>6</v>
      </c>
      <c r="I65">
        <v>3.6600000000000001E-2</v>
      </c>
      <c r="J65">
        <v>50</v>
      </c>
      <c r="K65">
        <f t="shared" si="0"/>
        <v>1.83E-2</v>
      </c>
      <c r="L65" t="s">
        <v>17</v>
      </c>
      <c r="M65">
        <v>296</v>
      </c>
      <c r="N65" t="s">
        <v>18</v>
      </c>
      <c r="O65" t="s">
        <v>907</v>
      </c>
    </row>
    <row r="66" spans="1:15" x14ac:dyDescent="0.2">
      <c r="A66" t="s">
        <v>624</v>
      </c>
      <c r="B66" t="s">
        <v>191</v>
      </c>
      <c r="C66">
        <v>9</v>
      </c>
      <c r="D66">
        <v>2</v>
      </c>
      <c r="E66">
        <v>7</v>
      </c>
      <c r="F66">
        <v>8</v>
      </c>
      <c r="G66">
        <v>3</v>
      </c>
      <c r="H66">
        <v>6</v>
      </c>
      <c r="I66">
        <v>3.56E-2</v>
      </c>
      <c r="J66">
        <v>50</v>
      </c>
      <c r="K66">
        <f t="shared" si="0"/>
        <v>1.78E-2</v>
      </c>
      <c r="L66" t="s">
        <v>17</v>
      </c>
      <c r="M66">
        <v>296</v>
      </c>
      <c r="N66" t="s">
        <v>18</v>
      </c>
      <c r="O66" t="s">
        <v>907</v>
      </c>
    </row>
    <row r="67" spans="1:15" x14ac:dyDescent="0.2">
      <c r="A67" t="s">
        <v>624</v>
      </c>
      <c r="B67" t="s">
        <v>191</v>
      </c>
      <c r="C67">
        <v>9</v>
      </c>
      <c r="D67">
        <v>3</v>
      </c>
      <c r="E67">
        <v>6</v>
      </c>
      <c r="F67">
        <v>8</v>
      </c>
      <c r="G67">
        <v>4</v>
      </c>
      <c r="H67">
        <v>5</v>
      </c>
      <c r="I67">
        <v>3.5499999999999997E-2</v>
      </c>
      <c r="J67">
        <v>50</v>
      </c>
      <c r="K67">
        <f t="shared" si="0"/>
        <v>1.7749999999999998E-2</v>
      </c>
      <c r="L67" t="s">
        <v>17</v>
      </c>
      <c r="M67">
        <v>296</v>
      </c>
      <c r="N67" t="s">
        <v>18</v>
      </c>
      <c r="O67" t="s">
        <v>907</v>
      </c>
    </row>
    <row r="68" spans="1:15" x14ac:dyDescent="0.2">
      <c r="A68" t="s">
        <v>624</v>
      </c>
      <c r="B68" t="s">
        <v>191</v>
      </c>
      <c r="C68">
        <v>9</v>
      </c>
      <c r="D68">
        <v>2</v>
      </c>
      <c r="E68">
        <v>7</v>
      </c>
      <c r="F68">
        <v>9</v>
      </c>
      <c r="G68">
        <v>1</v>
      </c>
      <c r="H68">
        <v>8</v>
      </c>
      <c r="I68">
        <v>3.3799999999999997E-2</v>
      </c>
      <c r="J68">
        <v>50</v>
      </c>
      <c r="K68">
        <f t="shared" ref="K68:K131" si="1">J68*I68/100</f>
        <v>1.6899999999999998E-2</v>
      </c>
      <c r="L68" t="s">
        <v>17</v>
      </c>
      <c r="M68">
        <v>296</v>
      </c>
      <c r="N68" t="s">
        <v>18</v>
      </c>
      <c r="O68" t="s">
        <v>907</v>
      </c>
    </row>
    <row r="69" spans="1:15" x14ac:dyDescent="0.2">
      <c r="A69" t="s">
        <v>624</v>
      </c>
      <c r="B69" t="s">
        <v>191</v>
      </c>
      <c r="C69">
        <v>10</v>
      </c>
      <c r="D69">
        <v>2</v>
      </c>
      <c r="E69">
        <v>9</v>
      </c>
      <c r="F69">
        <v>9</v>
      </c>
      <c r="G69">
        <v>1</v>
      </c>
      <c r="H69">
        <v>8</v>
      </c>
      <c r="I69">
        <v>3.3600000000000005E-2</v>
      </c>
      <c r="J69">
        <v>50</v>
      </c>
      <c r="K69">
        <f t="shared" si="1"/>
        <v>1.6800000000000002E-2</v>
      </c>
      <c r="L69" t="s">
        <v>17</v>
      </c>
      <c r="M69">
        <v>296</v>
      </c>
      <c r="N69" t="s">
        <v>18</v>
      </c>
      <c r="O69" t="s">
        <v>907</v>
      </c>
    </row>
    <row r="70" spans="1:15" x14ac:dyDescent="0.2">
      <c r="A70" t="s">
        <v>624</v>
      </c>
      <c r="B70" t="s">
        <v>191</v>
      </c>
      <c r="C70">
        <v>9</v>
      </c>
      <c r="D70">
        <v>3</v>
      </c>
      <c r="E70">
        <v>7</v>
      </c>
      <c r="F70">
        <v>9</v>
      </c>
      <c r="G70">
        <v>2</v>
      </c>
      <c r="H70">
        <v>8</v>
      </c>
      <c r="I70">
        <v>3.3799999999999997E-2</v>
      </c>
      <c r="J70">
        <v>50</v>
      </c>
      <c r="K70">
        <f t="shared" si="1"/>
        <v>1.6899999999999998E-2</v>
      </c>
      <c r="L70" t="s">
        <v>17</v>
      </c>
      <c r="M70">
        <v>296</v>
      </c>
      <c r="N70" t="s">
        <v>18</v>
      </c>
      <c r="O70" t="s">
        <v>907</v>
      </c>
    </row>
    <row r="71" spans="1:15" x14ac:dyDescent="0.2">
      <c r="A71" t="s">
        <v>624</v>
      </c>
      <c r="B71" t="s">
        <v>191</v>
      </c>
      <c r="C71">
        <v>10</v>
      </c>
      <c r="D71">
        <v>1</v>
      </c>
      <c r="E71">
        <v>9</v>
      </c>
      <c r="F71">
        <v>9</v>
      </c>
      <c r="G71">
        <v>2</v>
      </c>
      <c r="H71">
        <v>8</v>
      </c>
      <c r="I71">
        <v>3.3600000000000005E-2</v>
      </c>
      <c r="J71">
        <v>50</v>
      </c>
      <c r="K71">
        <f t="shared" si="1"/>
        <v>1.6800000000000002E-2</v>
      </c>
      <c r="L71" t="s">
        <v>17</v>
      </c>
      <c r="M71">
        <v>296</v>
      </c>
      <c r="N71" t="s">
        <v>18</v>
      </c>
      <c r="O71" t="s">
        <v>907</v>
      </c>
    </row>
    <row r="72" spans="1:15" x14ac:dyDescent="0.2">
      <c r="A72" t="s">
        <v>624</v>
      </c>
      <c r="B72" t="s">
        <v>191</v>
      </c>
      <c r="C72">
        <v>11</v>
      </c>
      <c r="D72">
        <v>1</v>
      </c>
      <c r="E72">
        <v>11</v>
      </c>
      <c r="F72">
        <v>10</v>
      </c>
      <c r="G72">
        <v>0</v>
      </c>
      <c r="H72">
        <v>10</v>
      </c>
      <c r="I72">
        <v>2.92E-2</v>
      </c>
      <c r="J72">
        <v>50</v>
      </c>
      <c r="K72">
        <f t="shared" si="1"/>
        <v>1.46E-2</v>
      </c>
      <c r="L72" t="s">
        <v>17</v>
      </c>
      <c r="M72">
        <v>296</v>
      </c>
      <c r="N72" t="s">
        <v>18</v>
      </c>
      <c r="O72" t="s">
        <v>907</v>
      </c>
    </row>
    <row r="73" spans="1:15" x14ac:dyDescent="0.2">
      <c r="A73" t="s">
        <v>624</v>
      </c>
      <c r="B73" t="s">
        <v>191</v>
      </c>
      <c r="C73">
        <v>10</v>
      </c>
      <c r="D73">
        <v>2</v>
      </c>
      <c r="E73">
        <v>8</v>
      </c>
      <c r="F73">
        <v>10</v>
      </c>
      <c r="G73">
        <v>1</v>
      </c>
      <c r="H73">
        <v>9</v>
      </c>
      <c r="I73">
        <v>3.3600000000000005E-2</v>
      </c>
      <c r="J73">
        <v>50</v>
      </c>
      <c r="K73">
        <f t="shared" si="1"/>
        <v>1.6800000000000002E-2</v>
      </c>
      <c r="L73" t="s">
        <v>17</v>
      </c>
      <c r="M73">
        <v>296</v>
      </c>
      <c r="N73" t="s">
        <v>18</v>
      </c>
      <c r="O73" t="s">
        <v>907</v>
      </c>
    </row>
    <row r="74" spans="1:15" x14ac:dyDescent="0.2">
      <c r="A74" t="s">
        <v>624</v>
      </c>
      <c r="B74" t="s">
        <v>191</v>
      </c>
      <c r="C74">
        <v>10</v>
      </c>
      <c r="D74">
        <v>3</v>
      </c>
      <c r="E74">
        <v>8</v>
      </c>
      <c r="F74">
        <v>10</v>
      </c>
      <c r="G74">
        <v>2</v>
      </c>
      <c r="H74">
        <v>9</v>
      </c>
      <c r="I74">
        <v>3.3600000000000005E-2</v>
      </c>
      <c r="J74">
        <v>50</v>
      </c>
      <c r="K74">
        <f t="shared" si="1"/>
        <v>1.6800000000000002E-2</v>
      </c>
      <c r="L74" t="s">
        <v>17</v>
      </c>
      <c r="M74">
        <v>296</v>
      </c>
      <c r="N74" t="s">
        <v>18</v>
      </c>
      <c r="O74" t="s">
        <v>907</v>
      </c>
    </row>
    <row r="75" spans="1:15" x14ac:dyDescent="0.2">
      <c r="A75" t="s">
        <v>624</v>
      </c>
      <c r="B75" t="s">
        <v>191</v>
      </c>
      <c r="C75">
        <v>12</v>
      </c>
      <c r="D75">
        <v>1</v>
      </c>
      <c r="E75">
        <v>12</v>
      </c>
      <c r="F75">
        <v>11</v>
      </c>
      <c r="G75">
        <v>0</v>
      </c>
      <c r="H75">
        <v>11</v>
      </c>
      <c r="I75">
        <v>2.6800000000000001E-2</v>
      </c>
      <c r="J75">
        <v>50</v>
      </c>
      <c r="K75">
        <f t="shared" si="1"/>
        <v>1.34E-2</v>
      </c>
      <c r="L75" t="s">
        <v>17</v>
      </c>
      <c r="M75">
        <v>296</v>
      </c>
      <c r="N75" t="s">
        <v>18</v>
      </c>
      <c r="O75" t="s">
        <v>907</v>
      </c>
    </row>
    <row r="76" spans="1:15" x14ac:dyDescent="0.2">
      <c r="A76" t="s">
        <v>624</v>
      </c>
      <c r="B76" t="s">
        <v>191</v>
      </c>
      <c r="C76">
        <v>12</v>
      </c>
      <c r="D76">
        <v>0</v>
      </c>
      <c r="E76">
        <v>12</v>
      </c>
      <c r="F76">
        <v>11</v>
      </c>
      <c r="G76">
        <v>1</v>
      </c>
      <c r="H76">
        <v>11</v>
      </c>
      <c r="I76">
        <v>2.6800000000000001E-2</v>
      </c>
      <c r="J76">
        <v>50</v>
      </c>
      <c r="K76">
        <f t="shared" si="1"/>
        <v>1.34E-2</v>
      </c>
      <c r="L76" t="s">
        <v>17</v>
      </c>
      <c r="M76">
        <v>296</v>
      </c>
      <c r="N76" t="s">
        <v>18</v>
      </c>
      <c r="O76" t="s">
        <v>907</v>
      </c>
    </row>
    <row r="77" spans="1:15" x14ac:dyDescent="0.2">
      <c r="A77" t="s">
        <v>624</v>
      </c>
      <c r="B77" t="s">
        <v>191</v>
      </c>
      <c r="C77">
        <v>3</v>
      </c>
      <c r="D77">
        <v>3</v>
      </c>
      <c r="E77">
        <v>1</v>
      </c>
      <c r="F77">
        <v>2</v>
      </c>
      <c r="G77">
        <v>0</v>
      </c>
      <c r="H77">
        <v>2</v>
      </c>
      <c r="I77">
        <v>4.3200000000000002E-2</v>
      </c>
      <c r="J77">
        <v>50</v>
      </c>
      <c r="K77">
        <f t="shared" si="1"/>
        <v>2.1600000000000001E-2</v>
      </c>
      <c r="L77" t="s">
        <v>17</v>
      </c>
      <c r="M77">
        <v>296</v>
      </c>
      <c r="N77" t="s">
        <v>18</v>
      </c>
      <c r="O77" t="s">
        <v>907</v>
      </c>
    </row>
    <row r="78" spans="1:15" x14ac:dyDescent="0.2">
      <c r="A78" t="s">
        <v>624</v>
      </c>
      <c r="B78" t="s">
        <v>191</v>
      </c>
      <c r="C78">
        <v>2</v>
      </c>
      <c r="D78">
        <v>1</v>
      </c>
      <c r="E78">
        <v>2</v>
      </c>
      <c r="F78">
        <v>3</v>
      </c>
      <c r="G78">
        <v>0</v>
      </c>
      <c r="H78">
        <v>3</v>
      </c>
      <c r="I78">
        <v>3.95E-2</v>
      </c>
      <c r="J78">
        <v>50</v>
      </c>
      <c r="K78">
        <f t="shared" si="1"/>
        <v>1.975E-2</v>
      </c>
      <c r="L78" t="s">
        <v>17</v>
      </c>
      <c r="M78">
        <v>296</v>
      </c>
      <c r="N78" t="s">
        <v>18</v>
      </c>
      <c r="O78" t="s">
        <v>907</v>
      </c>
    </row>
    <row r="79" spans="1:15" x14ac:dyDescent="0.2">
      <c r="A79" t="s">
        <v>624</v>
      </c>
      <c r="B79" t="s">
        <v>191</v>
      </c>
      <c r="C79">
        <v>2</v>
      </c>
      <c r="D79">
        <v>0</v>
      </c>
      <c r="E79">
        <v>2</v>
      </c>
      <c r="F79">
        <v>3</v>
      </c>
      <c r="G79">
        <v>1</v>
      </c>
      <c r="H79">
        <v>3</v>
      </c>
      <c r="I79">
        <v>3.95E-2</v>
      </c>
      <c r="J79">
        <v>50</v>
      </c>
      <c r="K79">
        <f t="shared" si="1"/>
        <v>1.975E-2</v>
      </c>
      <c r="L79" t="s">
        <v>17</v>
      </c>
      <c r="M79">
        <v>296</v>
      </c>
      <c r="N79" t="s">
        <v>18</v>
      </c>
      <c r="O79" t="s">
        <v>907</v>
      </c>
    </row>
    <row r="80" spans="1:15" x14ac:dyDescent="0.2">
      <c r="A80" t="s">
        <v>624</v>
      </c>
      <c r="B80" t="s">
        <v>191</v>
      </c>
      <c r="C80">
        <v>2</v>
      </c>
      <c r="D80">
        <v>2</v>
      </c>
      <c r="E80">
        <v>1</v>
      </c>
      <c r="F80">
        <v>3</v>
      </c>
      <c r="G80">
        <v>1</v>
      </c>
      <c r="H80">
        <v>2</v>
      </c>
      <c r="I80">
        <v>4.1100000000000005E-2</v>
      </c>
      <c r="J80">
        <v>50</v>
      </c>
      <c r="K80">
        <f t="shared" si="1"/>
        <v>2.0550000000000002E-2</v>
      </c>
      <c r="L80" t="s">
        <v>17</v>
      </c>
      <c r="M80">
        <v>296</v>
      </c>
      <c r="N80" t="s">
        <v>18</v>
      </c>
      <c r="O80" t="s">
        <v>907</v>
      </c>
    </row>
    <row r="81" spans="1:15" x14ac:dyDescent="0.2">
      <c r="A81" t="s">
        <v>624</v>
      </c>
      <c r="B81" t="s">
        <v>191</v>
      </c>
      <c r="C81">
        <v>4</v>
      </c>
      <c r="D81">
        <v>3</v>
      </c>
      <c r="E81">
        <v>2</v>
      </c>
      <c r="F81">
        <v>3</v>
      </c>
      <c r="G81">
        <v>2</v>
      </c>
      <c r="H81">
        <v>1</v>
      </c>
      <c r="I81">
        <v>3.9200000000000006E-2</v>
      </c>
      <c r="J81">
        <v>50</v>
      </c>
      <c r="K81">
        <f t="shared" si="1"/>
        <v>1.9600000000000003E-2</v>
      </c>
      <c r="L81" t="s">
        <v>17</v>
      </c>
      <c r="M81">
        <v>296</v>
      </c>
      <c r="N81" t="s">
        <v>18</v>
      </c>
      <c r="O81" t="s">
        <v>907</v>
      </c>
    </row>
    <row r="82" spans="1:15" x14ac:dyDescent="0.2">
      <c r="A82" t="s">
        <v>624</v>
      </c>
      <c r="B82" t="s">
        <v>191</v>
      </c>
      <c r="C82">
        <v>4</v>
      </c>
      <c r="D82">
        <v>4</v>
      </c>
      <c r="E82">
        <v>1</v>
      </c>
      <c r="F82">
        <v>3</v>
      </c>
      <c r="G82">
        <v>3</v>
      </c>
      <c r="H82">
        <v>0</v>
      </c>
      <c r="I82">
        <v>3.6799999999999999E-2</v>
      </c>
      <c r="J82">
        <v>50</v>
      </c>
      <c r="K82">
        <f t="shared" si="1"/>
        <v>1.84E-2</v>
      </c>
      <c r="L82" t="s">
        <v>17</v>
      </c>
      <c r="M82">
        <v>296</v>
      </c>
      <c r="N82" t="s">
        <v>18</v>
      </c>
      <c r="O82" t="s">
        <v>907</v>
      </c>
    </row>
    <row r="83" spans="1:15" x14ac:dyDescent="0.2">
      <c r="A83" t="s">
        <v>624</v>
      </c>
      <c r="B83" t="s">
        <v>191</v>
      </c>
      <c r="C83">
        <v>5</v>
      </c>
      <c r="D83">
        <v>3</v>
      </c>
      <c r="E83">
        <v>2</v>
      </c>
      <c r="F83">
        <v>4</v>
      </c>
      <c r="G83">
        <v>2</v>
      </c>
      <c r="H83">
        <v>3</v>
      </c>
      <c r="I83">
        <v>3.9899999999999998E-2</v>
      </c>
      <c r="J83">
        <v>50</v>
      </c>
      <c r="K83">
        <f t="shared" si="1"/>
        <v>1.9949999999999999E-2</v>
      </c>
      <c r="L83" t="s">
        <v>17</v>
      </c>
      <c r="M83">
        <v>296</v>
      </c>
      <c r="N83" t="s">
        <v>18</v>
      </c>
      <c r="O83" t="s">
        <v>907</v>
      </c>
    </row>
    <row r="84" spans="1:15" x14ac:dyDescent="0.2">
      <c r="A84" t="s">
        <v>624</v>
      </c>
      <c r="B84" t="s">
        <v>191</v>
      </c>
      <c r="C84">
        <v>4</v>
      </c>
      <c r="D84">
        <v>1</v>
      </c>
      <c r="E84">
        <v>3</v>
      </c>
      <c r="F84">
        <v>5</v>
      </c>
      <c r="G84">
        <v>2</v>
      </c>
      <c r="H84">
        <v>4</v>
      </c>
      <c r="I84">
        <v>3.9200000000000006E-2</v>
      </c>
      <c r="J84">
        <v>50</v>
      </c>
      <c r="K84">
        <f t="shared" si="1"/>
        <v>1.9600000000000003E-2</v>
      </c>
      <c r="L84" t="s">
        <v>17</v>
      </c>
      <c r="M84">
        <v>296</v>
      </c>
      <c r="N84" t="s">
        <v>18</v>
      </c>
      <c r="O84" t="s">
        <v>907</v>
      </c>
    </row>
    <row r="85" spans="1:15" x14ac:dyDescent="0.2">
      <c r="A85" t="s">
        <v>624</v>
      </c>
      <c r="B85" t="s">
        <v>191</v>
      </c>
      <c r="C85">
        <v>4</v>
      </c>
      <c r="D85">
        <v>3</v>
      </c>
      <c r="E85">
        <v>2</v>
      </c>
      <c r="F85">
        <v>5</v>
      </c>
      <c r="G85">
        <v>2</v>
      </c>
      <c r="H85">
        <v>3</v>
      </c>
      <c r="I85">
        <v>3.8799999999999994E-2</v>
      </c>
      <c r="J85">
        <v>50</v>
      </c>
      <c r="K85">
        <f t="shared" si="1"/>
        <v>1.9399999999999997E-2</v>
      </c>
      <c r="L85" t="s">
        <v>17</v>
      </c>
      <c r="M85">
        <v>296</v>
      </c>
      <c r="N85" t="s">
        <v>18</v>
      </c>
      <c r="O85" t="s">
        <v>907</v>
      </c>
    </row>
    <row r="86" spans="1:15" x14ac:dyDescent="0.2">
      <c r="A86" t="s">
        <v>624</v>
      </c>
      <c r="B86" t="s">
        <v>191</v>
      </c>
      <c r="C86">
        <v>6</v>
      </c>
      <c r="D86">
        <v>4</v>
      </c>
      <c r="E86">
        <v>2</v>
      </c>
      <c r="F86">
        <v>5</v>
      </c>
      <c r="G86">
        <v>3</v>
      </c>
      <c r="H86">
        <v>3</v>
      </c>
      <c r="I86">
        <v>3.78E-2</v>
      </c>
      <c r="J86">
        <v>50</v>
      </c>
      <c r="K86">
        <f t="shared" si="1"/>
        <v>1.89E-2</v>
      </c>
      <c r="L86" t="s">
        <v>17</v>
      </c>
      <c r="M86">
        <v>296</v>
      </c>
      <c r="N86" t="s">
        <v>18</v>
      </c>
      <c r="O86" t="s">
        <v>907</v>
      </c>
    </row>
    <row r="87" spans="1:15" x14ac:dyDescent="0.2">
      <c r="A87" t="s">
        <v>624</v>
      </c>
      <c r="B87" t="s">
        <v>191</v>
      </c>
      <c r="C87">
        <v>6</v>
      </c>
      <c r="D87">
        <v>4</v>
      </c>
      <c r="E87">
        <v>3</v>
      </c>
      <c r="F87">
        <v>5</v>
      </c>
      <c r="G87">
        <v>3</v>
      </c>
      <c r="H87">
        <v>2</v>
      </c>
      <c r="I87">
        <v>3.6999999999999998E-2</v>
      </c>
      <c r="J87">
        <v>50</v>
      </c>
      <c r="K87">
        <f t="shared" si="1"/>
        <v>1.8499999999999999E-2</v>
      </c>
      <c r="L87" t="s">
        <v>17</v>
      </c>
      <c r="M87">
        <v>296</v>
      </c>
      <c r="N87" t="s">
        <v>18</v>
      </c>
      <c r="O87" t="s">
        <v>907</v>
      </c>
    </row>
    <row r="88" spans="1:15" x14ac:dyDescent="0.2">
      <c r="A88" t="s">
        <v>624</v>
      </c>
      <c r="B88" t="s">
        <v>191</v>
      </c>
      <c r="C88">
        <v>6</v>
      </c>
      <c r="D88">
        <v>5</v>
      </c>
      <c r="E88">
        <v>2</v>
      </c>
      <c r="F88">
        <v>5</v>
      </c>
      <c r="G88">
        <v>4</v>
      </c>
      <c r="H88">
        <v>1</v>
      </c>
      <c r="I88">
        <v>3.56E-2</v>
      </c>
      <c r="J88">
        <v>50</v>
      </c>
      <c r="K88">
        <f t="shared" si="1"/>
        <v>1.78E-2</v>
      </c>
      <c r="L88" t="s">
        <v>17</v>
      </c>
      <c r="M88">
        <v>296</v>
      </c>
      <c r="N88" t="s">
        <v>18</v>
      </c>
      <c r="O88" t="s">
        <v>907</v>
      </c>
    </row>
    <row r="89" spans="1:15" x14ac:dyDescent="0.2">
      <c r="A89" t="s">
        <v>624</v>
      </c>
      <c r="B89" t="s">
        <v>191</v>
      </c>
      <c r="C89">
        <v>5</v>
      </c>
      <c r="D89">
        <v>2</v>
      </c>
      <c r="E89">
        <v>3</v>
      </c>
      <c r="F89">
        <v>6</v>
      </c>
      <c r="G89">
        <v>3</v>
      </c>
      <c r="H89">
        <v>4</v>
      </c>
      <c r="I89">
        <v>3.7999999999999999E-2</v>
      </c>
      <c r="J89">
        <v>50</v>
      </c>
      <c r="K89">
        <f t="shared" si="1"/>
        <v>1.9E-2</v>
      </c>
      <c r="L89" t="s">
        <v>17</v>
      </c>
      <c r="M89">
        <v>296</v>
      </c>
      <c r="N89" t="s">
        <v>18</v>
      </c>
      <c r="O89" t="s">
        <v>907</v>
      </c>
    </row>
    <row r="90" spans="1:15" x14ac:dyDescent="0.2">
      <c r="A90" t="s">
        <v>624</v>
      </c>
      <c r="B90" t="s">
        <v>191</v>
      </c>
      <c r="C90">
        <v>7</v>
      </c>
      <c r="D90">
        <v>2</v>
      </c>
      <c r="E90">
        <v>5</v>
      </c>
      <c r="F90">
        <v>6</v>
      </c>
      <c r="G90">
        <v>3</v>
      </c>
      <c r="H90">
        <v>4</v>
      </c>
      <c r="I90">
        <v>3.6999999999999998E-2</v>
      </c>
      <c r="J90">
        <v>50</v>
      </c>
      <c r="K90">
        <f t="shared" si="1"/>
        <v>1.8499999999999999E-2</v>
      </c>
      <c r="L90" t="s">
        <v>17</v>
      </c>
      <c r="M90">
        <v>296</v>
      </c>
      <c r="N90" t="s">
        <v>18</v>
      </c>
      <c r="O90" t="s">
        <v>907</v>
      </c>
    </row>
    <row r="91" spans="1:15" x14ac:dyDescent="0.2">
      <c r="A91" t="s">
        <v>624</v>
      </c>
      <c r="B91" t="s">
        <v>191</v>
      </c>
      <c r="C91">
        <v>6</v>
      </c>
      <c r="D91">
        <v>1</v>
      </c>
      <c r="E91">
        <v>6</v>
      </c>
      <c r="F91">
        <v>7</v>
      </c>
      <c r="G91">
        <v>0</v>
      </c>
      <c r="H91">
        <v>7</v>
      </c>
      <c r="I91">
        <v>3.32E-2</v>
      </c>
      <c r="J91">
        <v>50</v>
      </c>
      <c r="K91">
        <f t="shared" si="1"/>
        <v>1.66E-2</v>
      </c>
      <c r="L91" t="s">
        <v>17</v>
      </c>
      <c r="M91">
        <v>296</v>
      </c>
      <c r="N91" t="s">
        <v>18</v>
      </c>
      <c r="O91" t="s">
        <v>907</v>
      </c>
    </row>
    <row r="92" spans="1:15" x14ac:dyDescent="0.2">
      <c r="A92" t="s">
        <v>624</v>
      </c>
      <c r="B92" t="s">
        <v>191</v>
      </c>
      <c r="C92">
        <v>6</v>
      </c>
      <c r="D92">
        <v>0</v>
      </c>
      <c r="E92">
        <v>6</v>
      </c>
      <c r="F92">
        <v>7</v>
      </c>
      <c r="G92">
        <v>1</v>
      </c>
      <c r="H92">
        <v>7</v>
      </c>
      <c r="I92">
        <v>3.32E-2</v>
      </c>
      <c r="J92">
        <v>50</v>
      </c>
      <c r="K92">
        <f t="shared" si="1"/>
        <v>1.66E-2</v>
      </c>
      <c r="L92" t="s">
        <v>17</v>
      </c>
      <c r="M92">
        <v>296</v>
      </c>
      <c r="N92" t="s">
        <v>18</v>
      </c>
      <c r="O92" t="s">
        <v>907</v>
      </c>
    </row>
    <row r="93" spans="1:15" x14ac:dyDescent="0.2">
      <c r="A93" t="s">
        <v>624</v>
      </c>
      <c r="B93" t="s">
        <v>191</v>
      </c>
      <c r="C93">
        <v>7</v>
      </c>
      <c r="D93">
        <v>2</v>
      </c>
      <c r="E93">
        <v>6</v>
      </c>
      <c r="F93">
        <v>7</v>
      </c>
      <c r="G93">
        <v>1</v>
      </c>
      <c r="H93">
        <v>7</v>
      </c>
      <c r="I93">
        <v>3.5999999999999997E-2</v>
      </c>
      <c r="J93">
        <v>50</v>
      </c>
      <c r="K93">
        <f t="shared" si="1"/>
        <v>1.7999999999999999E-2</v>
      </c>
      <c r="L93" t="s">
        <v>17</v>
      </c>
      <c r="M93">
        <v>296</v>
      </c>
      <c r="N93" t="s">
        <v>18</v>
      </c>
      <c r="O93" t="s">
        <v>907</v>
      </c>
    </row>
    <row r="94" spans="1:15" x14ac:dyDescent="0.2">
      <c r="A94" t="s">
        <v>624</v>
      </c>
      <c r="B94" t="s">
        <v>191</v>
      </c>
      <c r="C94">
        <v>8</v>
      </c>
      <c r="D94">
        <v>3</v>
      </c>
      <c r="E94">
        <v>6</v>
      </c>
      <c r="F94">
        <v>7</v>
      </c>
      <c r="G94">
        <v>2</v>
      </c>
      <c r="H94">
        <v>5</v>
      </c>
      <c r="I94">
        <v>3.5900000000000001E-2</v>
      </c>
      <c r="J94">
        <v>50</v>
      </c>
      <c r="K94">
        <f t="shared" si="1"/>
        <v>1.7950000000000001E-2</v>
      </c>
      <c r="L94" t="s">
        <v>17</v>
      </c>
      <c r="M94">
        <v>296</v>
      </c>
      <c r="N94" t="s">
        <v>18</v>
      </c>
      <c r="O94" t="s">
        <v>907</v>
      </c>
    </row>
    <row r="95" spans="1:15" x14ac:dyDescent="0.2">
      <c r="A95" t="s">
        <v>624</v>
      </c>
      <c r="B95" t="s">
        <v>191</v>
      </c>
      <c r="C95">
        <v>8</v>
      </c>
      <c r="D95">
        <v>2</v>
      </c>
      <c r="E95">
        <v>6</v>
      </c>
      <c r="F95">
        <v>7</v>
      </c>
      <c r="G95">
        <v>3</v>
      </c>
      <c r="H95">
        <v>5</v>
      </c>
      <c r="I95">
        <v>3.5900000000000001E-2</v>
      </c>
      <c r="J95">
        <v>50</v>
      </c>
      <c r="K95">
        <f t="shared" si="1"/>
        <v>1.7950000000000001E-2</v>
      </c>
      <c r="L95" t="s">
        <v>17</v>
      </c>
      <c r="M95">
        <v>296</v>
      </c>
      <c r="N95" t="s">
        <v>18</v>
      </c>
      <c r="O95" t="s">
        <v>907</v>
      </c>
    </row>
    <row r="96" spans="1:15" x14ac:dyDescent="0.2">
      <c r="A96" t="s">
        <v>624</v>
      </c>
      <c r="B96" t="s">
        <v>191</v>
      </c>
      <c r="C96">
        <v>7</v>
      </c>
      <c r="D96">
        <v>1</v>
      </c>
      <c r="E96">
        <v>7</v>
      </c>
      <c r="F96">
        <v>8</v>
      </c>
      <c r="G96">
        <v>0</v>
      </c>
      <c r="H96">
        <v>8</v>
      </c>
      <c r="I96">
        <v>3.2000000000000001E-2</v>
      </c>
      <c r="J96">
        <v>50</v>
      </c>
      <c r="K96">
        <f t="shared" si="1"/>
        <v>1.6E-2</v>
      </c>
      <c r="L96" t="s">
        <v>17</v>
      </c>
      <c r="M96">
        <v>296</v>
      </c>
      <c r="N96" t="s">
        <v>18</v>
      </c>
      <c r="O96" t="s">
        <v>907</v>
      </c>
    </row>
    <row r="97" spans="1:15" x14ac:dyDescent="0.2">
      <c r="A97" t="s">
        <v>624</v>
      </c>
      <c r="B97" t="s">
        <v>191</v>
      </c>
      <c r="C97">
        <v>7</v>
      </c>
      <c r="D97">
        <v>0</v>
      </c>
      <c r="E97">
        <v>7</v>
      </c>
      <c r="F97">
        <v>8</v>
      </c>
      <c r="G97">
        <v>1</v>
      </c>
      <c r="H97">
        <v>8</v>
      </c>
      <c r="I97">
        <v>3.2000000000000001E-2</v>
      </c>
      <c r="J97">
        <v>50</v>
      </c>
      <c r="K97">
        <f t="shared" si="1"/>
        <v>1.6E-2</v>
      </c>
      <c r="L97" t="s">
        <v>17</v>
      </c>
      <c r="M97">
        <v>296</v>
      </c>
      <c r="N97" t="s">
        <v>18</v>
      </c>
      <c r="O97" t="s">
        <v>907</v>
      </c>
    </row>
    <row r="98" spans="1:15" x14ac:dyDescent="0.2">
      <c r="A98" t="s">
        <v>624</v>
      </c>
      <c r="B98" t="s">
        <v>191</v>
      </c>
      <c r="C98">
        <v>7</v>
      </c>
      <c r="D98">
        <v>2</v>
      </c>
      <c r="E98">
        <v>6</v>
      </c>
      <c r="F98">
        <v>8</v>
      </c>
      <c r="G98">
        <v>1</v>
      </c>
      <c r="H98">
        <v>7</v>
      </c>
      <c r="I98">
        <v>3.5200000000000002E-2</v>
      </c>
      <c r="J98">
        <v>50</v>
      </c>
      <c r="K98">
        <f t="shared" si="1"/>
        <v>1.7600000000000001E-2</v>
      </c>
      <c r="L98" t="s">
        <v>17</v>
      </c>
      <c r="M98">
        <v>296</v>
      </c>
      <c r="N98" t="s">
        <v>18</v>
      </c>
      <c r="O98" t="s">
        <v>907</v>
      </c>
    </row>
    <row r="99" spans="1:15" x14ac:dyDescent="0.2">
      <c r="A99" t="s">
        <v>624</v>
      </c>
      <c r="B99" t="s">
        <v>191</v>
      </c>
      <c r="C99">
        <v>8</v>
      </c>
      <c r="D99">
        <v>2</v>
      </c>
      <c r="E99">
        <v>6</v>
      </c>
      <c r="F99">
        <v>8</v>
      </c>
      <c r="G99">
        <v>1</v>
      </c>
      <c r="H99">
        <v>7</v>
      </c>
      <c r="I99">
        <v>3.5700000000000003E-2</v>
      </c>
      <c r="J99">
        <v>50</v>
      </c>
      <c r="K99">
        <f t="shared" si="1"/>
        <v>1.7850000000000001E-2</v>
      </c>
      <c r="L99" t="s">
        <v>17</v>
      </c>
      <c r="M99">
        <v>296</v>
      </c>
      <c r="N99" t="s">
        <v>18</v>
      </c>
      <c r="O99" t="s">
        <v>907</v>
      </c>
    </row>
    <row r="100" spans="1:15" x14ac:dyDescent="0.2">
      <c r="A100" t="s">
        <v>624</v>
      </c>
      <c r="B100" t="s">
        <v>191</v>
      </c>
      <c r="C100">
        <v>7</v>
      </c>
      <c r="D100">
        <v>1</v>
      </c>
      <c r="E100">
        <v>6</v>
      </c>
      <c r="F100">
        <v>8</v>
      </c>
      <c r="G100">
        <v>2</v>
      </c>
      <c r="H100">
        <v>7</v>
      </c>
      <c r="I100">
        <v>3.5200000000000002E-2</v>
      </c>
      <c r="J100">
        <v>50</v>
      </c>
      <c r="K100">
        <f t="shared" si="1"/>
        <v>1.7600000000000001E-2</v>
      </c>
      <c r="L100" t="s">
        <v>17</v>
      </c>
      <c r="M100">
        <v>296</v>
      </c>
      <c r="N100" t="s">
        <v>18</v>
      </c>
      <c r="O100" t="s">
        <v>907</v>
      </c>
    </row>
    <row r="101" spans="1:15" x14ac:dyDescent="0.2">
      <c r="A101" t="s">
        <v>624</v>
      </c>
      <c r="B101" t="s">
        <v>191</v>
      </c>
      <c r="C101">
        <v>8</v>
      </c>
      <c r="D101">
        <v>3</v>
      </c>
      <c r="E101">
        <v>6</v>
      </c>
      <c r="F101">
        <v>8</v>
      </c>
      <c r="G101">
        <v>2</v>
      </c>
      <c r="H101">
        <v>7</v>
      </c>
      <c r="I101">
        <v>3.5700000000000003E-2</v>
      </c>
      <c r="J101">
        <v>50</v>
      </c>
      <c r="K101">
        <f t="shared" si="1"/>
        <v>1.7850000000000001E-2</v>
      </c>
      <c r="L101" t="s">
        <v>17</v>
      </c>
      <c r="M101">
        <v>296</v>
      </c>
      <c r="N101" t="s">
        <v>18</v>
      </c>
      <c r="O101" t="s">
        <v>907</v>
      </c>
    </row>
    <row r="102" spans="1:15" x14ac:dyDescent="0.2">
      <c r="A102" t="s">
        <v>624</v>
      </c>
      <c r="B102" t="s">
        <v>191</v>
      </c>
      <c r="C102">
        <v>7</v>
      </c>
      <c r="D102">
        <v>3</v>
      </c>
      <c r="E102">
        <v>5</v>
      </c>
      <c r="F102">
        <v>8</v>
      </c>
      <c r="G102">
        <v>2</v>
      </c>
      <c r="H102">
        <v>6</v>
      </c>
      <c r="I102">
        <v>3.5900000000000001E-2</v>
      </c>
      <c r="J102">
        <v>50</v>
      </c>
      <c r="K102">
        <f t="shared" si="1"/>
        <v>1.7950000000000001E-2</v>
      </c>
      <c r="L102" t="s">
        <v>17</v>
      </c>
      <c r="M102">
        <v>296</v>
      </c>
      <c r="N102" t="s">
        <v>18</v>
      </c>
      <c r="O102" t="s">
        <v>907</v>
      </c>
    </row>
    <row r="103" spans="1:15" x14ac:dyDescent="0.2">
      <c r="A103" t="s">
        <v>624</v>
      </c>
      <c r="B103" t="s">
        <v>191</v>
      </c>
      <c r="C103">
        <v>9</v>
      </c>
      <c r="D103">
        <v>3</v>
      </c>
      <c r="E103">
        <v>7</v>
      </c>
      <c r="F103">
        <v>8</v>
      </c>
      <c r="G103">
        <v>2</v>
      </c>
      <c r="H103">
        <v>6</v>
      </c>
      <c r="I103">
        <v>3.4799999999999998E-2</v>
      </c>
      <c r="J103">
        <v>50</v>
      </c>
      <c r="K103">
        <f t="shared" si="1"/>
        <v>1.7399999999999999E-2</v>
      </c>
      <c r="L103" t="s">
        <v>17</v>
      </c>
      <c r="M103">
        <v>296</v>
      </c>
      <c r="N103" t="s">
        <v>18</v>
      </c>
      <c r="O103" t="s">
        <v>907</v>
      </c>
    </row>
    <row r="104" spans="1:15" x14ac:dyDescent="0.2">
      <c r="A104" t="s">
        <v>624</v>
      </c>
      <c r="B104" t="s">
        <v>191</v>
      </c>
      <c r="C104">
        <v>7</v>
      </c>
      <c r="D104">
        <v>2</v>
      </c>
      <c r="E104">
        <v>5</v>
      </c>
      <c r="F104">
        <v>8</v>
      </c>
      <c r="G104">
        <v>3</v>
      </c>
      <c r="H104">
        <v>6</v>
      </c>
      <c r="I104">
        <v>3.5900000000000001E-2</v>
      </c>
      <c r="J104">
        <v>50</v>
      </c>
      <c r="K104">
        <f t="shared" si="1"/>
        <v>1.7950000000000001E-2</v>
      </c>
      <c r="L104" t="s">
        <v>17</v>
      </c>
      <c r="M104">
        <v>296</v>
      </c>
      <c r="N104" t="s">
        <v>18</v>
      </c>
      <c r="O104" t="s">
        <v>907</v>
      </c>
    </row>
    <row r="105" spans="1:15" x14ac:dyDescent="0.2">
      <c r="A105" t="s">
        <v>624</v>
      </c>
      <c r="B105" t="s">
        <v>191</v>
      </c>
      <c r="C105">
        <v>9</v>
      </c>
      <c r="D105">
        <v>2</v>
      </c>
      <c r="E105">
        <v>7</v>
      </c>
      <c r="F105">
        <v>8</v>
      </c>
      <c r="G105">
        <v>3</v>
      </c>
      <c r="H105">
        <v>6</v>
      </c>
      <c r="I105">
        <v>3.4799999999999998E-2</v>
      </c>
      <c r="J105">
        <v>50</v>
      </c>
      <c r="K105">
        <f t="shared" si="1"/>
        <v>1.7399999999999999E-2</v>
      </c>
      <c r="L105" t="s">
        <v>17</v>
      </c>
      <c r="M105">
        <v>296</v>
      </c>
      <c r="N105" t="s">
        <v>18</v>
      </c>
      <c r="O105" t="s">
        <v>907</v>
      </c>
    </row>
    <row r="106" spans="1:15" x14ac:dyDescent="0.2">
      <c r="A106" t="s">
        <v>624</v>
      </c>
      <c r="B106" t="s">
        <v>191</v>
      </c>
      <c r="C106">
        <v>9</v>
      </c>
      <c r="D106">
        <v>3</v>
      </c>
      <c r="E106">
        <v>6</v>
      </c>
      <c r="F106">
        <v>8</v>
      </c>
      <c r="G106">
        <v>4</v>
      </c>
      <c r="H106">
        <v>5</v>
      </c>
      <c r="I106">
        <v>3.4700000000000002E-2</v>
      </c>
      <c r="J106">
        <v>50</v>
      </c>
      <c r="K106">
        <f t="shared" si="1"/>
        <v>1.7350000000000001E-2</v>
      </c>
      <c r="L106" t="s">
        <v>17</v>
      </c>
      <c r="M106">
        <v>296</v>
      </c>
      <c r="N106" t="s">
        <v>18</v>
      </c>
      <c r="O106" t="s">
        <v>907</v>
      </c>
    </row>
    <row r="107" spans="1:15" x14ac:dyDescent="0.2">
      <c r="A107" t="s">
        <v>624</v>
      </c>
      <c r="B107" t="s">
        <v>191</v>
      </c>
      <c r="C107">
        <v>9</v>
      </c>
      <c r="D107">
        <v>2</v>
      </c>
      <c r="E107">
        <v>7</v>
      </c>
      <c r="F107">
        <v>9</v>
      </c>
      <c r="G107">
        <v>1</v>
      </c>
      <c r="H107">
        <v>8</v>
      </c>
      <c r="I107">
        <v>3.4500000000000003E-2</v>
      </c>
      <c r="J107">
        <v>50</v>
      </c>
      <c r="K107">
        <f t="shared" si="1"/>
        <v>1.7250000000000001E-2</v>
      </c>
      <c r="L107" t="s">
        <v>17</v>
      </c>
      <c r="M107">
        <v>296</v>
      </c>
      <c r="N107" t="s">
        <v>18</v>
      </c>
      <c r="O107" t="s">
        <v>907</v>
      </c>
    </row>
    <row r="108" spans="1:15" x14ac:dyDescent="0.2">
      <c r="A108" t="s">
        <v>624</v>
      </c>
      <c r="B108" t="s">
        <v>191</v>
      </c>
      <c r="C108">
        <v>10</v>
      </c>
      <c r="D108">
        <v>2</v>
      </c>
      <c r="E108">
        <v>9</v>
      </c>
      <c r="F108">
        <v>9</v>
      </c>
      <c r="G108">
        <v>1</v>
      </c>
      <c r="H108">
        <v>8</v>
      </c>
      <c r="I108">
        <v>3.2500000000000001E-2</v>
      </c>
      <c r="J108">
        <v>50</v>
      </c>
      <c r="K108">
        <f t="shared" si="1"/>
        <v>1.6250000000000001E-2</v>
      </c>
      <c r="L108" t="s">
        <v>17</v>
      </c>
      <c r="M108">
        <v>296</v>
      </c>
      <c r="N108" t="s">
        <v>18</v>
      </c>
      <c r="O108" t="s">
        <v>907</v>
      </c>
    </row>
    <row r="109" spans="1:15" x14ac:dyDescent="0.2">
      <c r="A109" t="s">
        <v>624</v>
      </c>
      <c r="B109" t="s">
        <v>191</v>
      </c>
      <c r="C109">
        <v>9</v>
      </c>
      <c r="D109">
        <v>3</v>
      </c>
      <c r="E109">
        <v>7</v>
      </c>
      <c r="F109">
        <v>9</v>
      </c>
      <c r="G109">
        <v>2</v>
      </c>
      <c r="H109">
        <v>8</v>
      </c>
      <c r="I109">
        <v>3.4500000000000003E-2</v>
      </c>
      <c r="J109">
        <v>50</v>
      </c>
      <c r="K109">
        <f t="shared" si="1"/>
        <v>1.7250000000000001E-2</v>
      </c>
      <c r="L109" t="s">
        <v>17</v>
      </c>
      <c r="M109">
        <v>296</v>
      </c>
      <c r="N109" t="s">
        <v>18</v>
      </c>
      <c r="O109" t="s">
        <v>907</v>
      </c>
    </row>
    <row r="110" spans="1:15" x14ac:dyDescent="0.2">
      <c r="A110" t="s">
        <v>624</v>
      </c>
      <c r="B110" t="s">
        <v>191</v>
      </c>
      <c r="C110">
        <v>10</v>
      </c>
      <c r="D110">
        <v>1</v>
      </c>
      <c r="E110">
        <v>9</v>
      </c>
      <c r="F110">
        <v>9</v>
      </c>
      <c r="G110">
        <v>2</v>
      </c>
      <c r="H110">
        <v>8</v>
      </c>
      <c r="I110">
        <v>3.2500000000000001E-2</v>
      </c>
      <c r="J110">
        <v>50</v>
      </c>
      <c r="K110">
        <f t="shared" si="1"/>
        <v>1.6250000000000001E-2</v>
      </c>
      <c r="L110" t="s">
        <v>17</v>
      </c>
      <c r="M110">
        <v>296</v>
      </c>
      <c r="N110" t="s">
        <v>18</v>
      </c>
      <c r="O110" t="s">
        <v>907</v>
      </c>
    </row>
    <row r="111" spans="1:15" x14ac:dyDescent="0.2">
      <c r="A111" t="s">
        <v>624</v>
      </c>
      <c r="B111" t="s">
        <v>191</v>
      </c>
      <c r="C111">
        <v>11</v>
      </c>
      <c r="D111">
        <v>1</v>
      </c>
      <c r="E111">
        <v>11</v>
      </c>
      <c r="F111">
        <v>10</v>
      </c>
      <c r="G111">
        <v>0</v>
      </c>
      <c r="H111">
        <v>10</v>
      </c>
      <c r="I111">
        <v>2.87E-2</v>
      </c>
      <c r="J111">
        <v>50</v>
      </c>
      <c r="K111">
        <f t="shared" si="1"/>
        <v>1.435E-2</v>
      </c>
      <c r="L111" t="s">
        <v>17</v>
      </c>
      <c r="M111">
        <v>296</v>
      </c>
      <c r="N111" t="s">
        <v>18</v>
      </c>
      <c r="O111" t="s">
        <v>907</v>
      </c>
    </row>
    <row r="112" spans="1:15" x14ac:dyDescent="0.2">
      <c r="A112" t="s">
        <v>624</v>
      </c>
      <c r="B112" t="s">
        <v>191</v>
      </c>
      <c r="C112">
        <v>10</v>
      </c>
      <c r="D112">
        <v>2</v>
      </c>
      <c r="E112">
        <v>8</v>
      </c>
      <c r="F112">
        <v>10</v>
      </c>
      <c r="G112">
        <v>1</v>
      </c>
      <c r="H112">
        <v>9</v>
      </c>
      <c r="I112">
        <v>3.3299999999999996E-2</v>
      </c>
      <c r="J112">
        <v>50</v>
      </c>
      <c r="K112">
        <f t="shared" si="1"/>
        <v>1.6649999999999998E-2</v>
      </c>
      <c r="L112" t="s">
        <v>17</v>
      </c>
      <c r="M112">
        <v>296</v>
      </c>
      <c r="N112" t="s">
        <v>18</v>
      </c>
      <c r="O112" t="s">
        <v>907</v>
      </c>
    </row>
    <row r="113" spans="1:15" x14ac:dyDescent="0.2">
      <c r="A113" t="s">
        <v>624</v>
      </c>
      <c r="B113" t="s">
        <v>191</v>
      </c>
      <c r="C113">
        <v>10</v>
      </c>
      <c r="D113">
        <v>3</v>
      </c>
      <c r="E113">
        <v>8</v>
      </c>
      <c r="F113">
        <v>10</v>
      </c>
      <c r="G113">
        <v>2</v>
      </c>
      <c r="H113">
        <v>9</v>
      </c>
      <c r="I113">
        <v>3.3299999999999996E-2</v>
      </c>
      <c r="J113">
        <v>50</v>
      </c>
      <c r="K113">
        <f t="shared" si="1"/>
        <v>1.6649999999999998E-2</v>
      </c>
      <c r="L113" t="s">
        <v>17</v>
      </c>
      <c r="M113">
        <v>296</v>
      </c>
      <c r="N113" t="s">
        <v>18</v>
      </c>
      <c r="O113" t="s">
        <v>907</v>
      </c>
    </row>
    <row r="114" spans="1:15" x14ac:dyDescent="0.2">
      <c r="A114" t="s">
        <v>624</v>
      </c>
      <c r="B114" t="s">
        <v>191</v>
      </c>
      <c r="C114">
        <v>12</v>
      </c>
      <c r="D114">
        <v>1</v>
      </c>
      <c r="E114">
        <v>12</v>
      </c>
      <c r="F114">
        <v>11</v>
      </c>
      <c r="G114">
        <v>0</v>
      </c>
      <c r="H114">
        <v>11</v>
      </c>
      <c r="I114">
        <v>2.7699999999999999E-2</v>
      </c>
      <c r="J114">
        <v>50</v>
      </c>
      <c r="K114">
        <f t="shared" si="1"/>
        <v>1.3849999999999999E-2</v>
      </c>
      <c r="L114" t="s">
        <v>17</v>
      </c>
      <c r="M114">
        <v>296</v>
      </c>
      <c r="N114" t="s">
        <v>18</v>
      </c>
      <c r="O114" t="s">
        <v>907</v>
      </c>
    </row>
    <row r="115" spans="1:15" x14ac:dyDescent="0.2">
      <c r="A115" t="s">
        <v>624</v>
      </c>
      <c r="B115" t="s">
        <v>191</v>
      </c>
      <c r="C115">
        <v>12</v>
      </c>
      <c r="D115">
        <v>0</v>
      </c>
      <c r="E115">
        <v>12</v>
      </c>
      <c r="F115">
        <v>11</v>
      </c>
      <c r="G115">
        <v>1</v>
      </c>
      <c r="H115">
        <v>11</v>
      </c>
      <c r="I115">
        <v>2.7699999999999999E-2</v>
      </c>
      <c r="J115">
        <v>50</v>
      </c>
      <c r="K115">
        <f t="shared" si="1"/>
        <v>1.3849999999999999E-2</v>
      </c>
      <c r="L115" t="s">
        <v>17</v>
      </c>
      <c r="M115">
        <v>296</v>
      </c>
      <c r="N115" t="s">
        <v>18</v>
      </c>
      <c r="O115" t="s">
        <v>907</v>
      </c>
    </row>
    <row r="116" spans="1:15" x14ac:dyDescent="0.2">
      <c r="A116" t="s">
        <v>624</v>
      </c>
      <c r="B116" t="s">
        <v>191</v>
      </c>
      <c r="C116">
        <v>3</v>
      </c>
      <c r="D116">
        <v>3</v>
      </c>
      <c r="E116">
        <v>1</v>
      </c>
      <c r="F116">
        <v>2</v>
      </c>
      <c r="G116">
        <v>0</v>
      </c>
      <c r="H116">
        <v>2</v>
      </c>
      <c r="I116">
        <v>4.1399999999999999E-2</v>
      </c>
      <c r="J116">
        <v>50</v>
      </c>
      <c r="K116">
        <f t="shared" si="1"/>
        <v>2.07E-2</v>
      </c>
      <c r="L116" t="s">
        <v>17</v>
      </c>
      <c r="M116">
        <v>296</v>
      </c>
      <c r="N116" t="s">
        <v>18</v>
      </c>
      <c r="O116" t="s">
        <v>907</v>
      </c>
    </row>
    <row r="117" spans="1:15" x14ac:dyDescent="0.2">
      <c r="A117" t="s">
        <v>624</v>
      </c>
      <c r="B117" t="s">
        <v>191</v>
      </c>
      <c r="C117">
        <v>2</v>
      </c>
      <c r="D117">
        <v>1</v>
      </c>
      <c r="E117">
        <v>2</v>
      </c>
      <c r="F117">
        <v>3</v>
      </c>
      <c r="G117">
        <v>0</v>
      </c>
      <c r="H117">
        <v>3</v>
      </c>
      <c r="I117">
        <v>4.1399999999999999E-2</v>
      </c>
      <c r="J117">
        <v>50</v>
      </c>
      <c r="K117">
        <f t="shared" si="1"/>
        <v>2.07E-2</v>
      </c>
      <c r="L117" t="s">
        <v>17</v>
      </c>
      <c r="M117">
        <v>296</v>
      </c>
      <c r="N117" t="s">
        <v>18</v>
      </c>
      <c r="O117" t="s">
        <v>907</v>
      </c>
    </row>
    <row r="118" spans="1:15" x14ac:dyDescent="0.2">
      <c r="A118" t="s">
        <v>624</v>
      </c>
      <c r="B118" t="s">
        <v>191</v>
      </c>
      <c r="C118">
        <v>2</v>
      </c>
      <c r="D118">
        <v>0</v>
      </c>
      <c r="E118">
        <v>2</v>
      </c>
      <c r="F118">
        <v>3</v>
      </c>
      <c r="G118">
        <v>1</v>
      </c>
      <c r="H118">
        <v>3</v>
      </c>
      <c r="I118">
        <v>4.1399999999999999E-2</v>
      </c>
      <c r="J118">
        <v>50</v>
      </c>
      <c r="K118">
        <f t="shared" si="1"/>
        <v>2.07E-2</v>
      </c>
      <c r="L118" t="s">
        <v>17</v>
      </c>
      <c r="M118">
        <v>296</v>
      </c>
      <c r="N118" t="s">
        <v>18</v>
      </c>
      <c r="O118" t="s">
        <v>907</v>
      </c>
    </row>
    <row r="119" spans="1:15" x14ac:dyDescent="0.2">
      <c r="A119" t="s">
        <v>624</v>
      </c>
      <c r="B119" t="s">
        <v>191</v>
      </c>
      <c r="C119">
        <v>2</v>
      </c>
      <c r="D119">
        <v>2</v>
      </c>
      <c r="E119">
        <v>1</v>
      </c>
      <c r="F119">
        <v>3</v>
      </c>
      <c r="G119">
        <v>1</v>
      </c>
      <c r="H119">
        <v>2</v>
      </c>
      <c r="I119">
        <v>4.1399999999999999E-2</v>
      </c>
      <c r="J119">
        <v>50</v>
      </c>
      <c r="K119">
        <f t="shared" si="1"/>
        <v>2.07E-2</v>
      </c>
      <c r="L119" t="s">
        <v>17</v>
      </c>
      <c r="M119">
        <v>296</v>
      </c>
      <c r="N119" t="s">
        <v>18</v>
      </c>
      <c r="O119" t="s">
        <v>907</v>
      </c>
    </row>
    <row r="120" spans="1:15" x14ac:dyDescent="0.2">
      <c r="A120" t="s">
        <v>624</v>
      </c>
      <c r="B120" t="s">
        <v>191</v>
      </c>
      <c r="C120">
        <v>4</v>
      </c>
      <c r="D120">
        <v>3</v>
      </c>
      <c r="E120">
        <v>2</v>
      </c>
      <c r="F120">
        <v>3</v>
      </c>
      <c r="G120">
        <v>2</v>
      </c>
      <c r="H120">
        <v>1</v>
      </c>
      <c r="I120">
        <v>3.9899999999999998E-2</v>
      </c>
      <c r="J120">
        <v>50</v>
      </c>
      <c r="K120">
        <f t="shared" si="1"/>
        <v>1.9949999999999999E-2</v>
      </c>
      <c r="L120" t="s">
        <v>17</v>
      </c>
      <c r="M120">
        <v>296</v>
      </c>
      <c r="N120" t="s">
        <v>18</v>
      </c>
      <c r="O120" t="s">
        <v>907</v>
      </c>
    </row>
    <row r="121" spans="1:15" x14ac:dyDescent="0.2">
      <c r="A121" t="s">
        <v>624</v>
      </c>
      <c r="B121" t="s">
        <v>191</v>
      </c>
      <c r="C121">
        <v>4</v>
      </c>
      <c r="D121">
        <v>4</v>
      </c>
      <c r="E121">
        <v>1</v>
      </c>
      <c r="F121">
        <v>3</v>
      </c>
      <c r="G121">
        <v>3</v>
      </c>
      <c r="H121">
        <v>0</v>
      </c>
      <c r="I121">
        <v>3.78E-2</v>
      </c>
      <c r="J121">
        <v>50</v>
      </c>
      <c r="K121">
        <f t="shared" si="1"/>
        <v>1.89E-2</v>
      </c>
      <c r="L121" t="s">
        <v>17</v>
      </c>
      <c r="M121">
        <v>296</v>
      </c>
      <c r="N121" t="s">
        <v>18</v>
      </c>
      <c r="O121" t="s">
        <v>907</v>
      </c>
    </row>
    <row r="122" spans="1:15" x14ac:dyDescent="0.2">
      <c r="A122" t="s">
        <v>624</v>
      </c>
      <c r="B122" t="s">
        <v>191</v>
      </c>
      <c r="C122">
        <v>5</v>
      </c>
      <c r="D122">
        <v>3</v>
      </c>
      <c r="E122">
        <v>2</v>
      </c>
      <c r="F122">
        <v>4</v>
      </c>
      <c r="G122">
        <v>2</v>
      </c>
      <c r="H122">
        <v>3</v>
      </c>
      <c r="I122">
        <v>3.95E-2</v>
      </c>
      <c r="J122">
        <v>50</v>
      </c>
      <c r="K122">
        <f t="shared" si="1"/>
        <v>1.975E-2</v>
      </c>
      <c r="L122" t="s">
        <v>17</v>
      </c>
      <c r="M122">
        <v>296</v>
      </c>
      <c r="N122" t="s">
        <v>18</v>
      </c>
      <c r="O122" t="s">
        <v>907</v>
      </c>
    </row>
    <row r="123" spans="1:15" x14ac:dyDescent="0.2">
      <c r="A123" t="s">
        <v>624</v>
      </c>
      <c r="B123" t="s">
        <v>191</v>
      </c>
      <c r="C123">
        <v>4</v>
      </c>
      <c r="D123">
        <v>1</v>
      </c>
      <c r="E123">
        <v>3</v>
      </c>
      <c r="F123">
        <v>5</v>
      </c>
      <c r="G123">
        <v>2</v>
      </c>
      <c r="H123">
        <v>4</v>
      </c>
      <c r="I123">
        <v>3.9799999999999995E-2</v>
      </c>
      <c r="J123">
        <v>50</v>
      </c>
      <c r="K123">
        <f t="shared" si="1"/>
        <v>1.9899999999999998E-2</v>
      </c>
      <c r="L123" t="s">
        <v>17</v>
      </c>
      <c r="M123">
        <v>296</v>
      </c>
      <c r="N123" t="s">
        <v>18</v>
      </c>
      <c r="O123" t="s">
        <v>907</v>
      </c>
    </row>
    <row r="124" spans="1:15" x14ac:dyDescent="0.2">
      <c r="A124" t="s">
        <v>624</v>
      </c>
      <c r="B124" t="s">
        <v>191</v>
      </c>
      <c r="C124">
        <v>4</v>
      </c>
      <c r="D124">
        <v>3</v>
      </c>
      <c r="E124">
        <v>2</v>
      </c>
      <c r="F124">
        <v>5</v>
      </c>
      <c r="G124">
        <v>2</v>
      </c>
      <c r="H124">
        <v>3</v>
      </c>
      <c r="I124">
        <v>3.95E-2</v>
      </c>
      <c r="J124">
        <v>50</v>
      </c>
      <c r="K124">
        <f t="shared" si="1"/>
        <v>1.975E-2</v>
      </c>
      <c r="L124" t="s">
        <v>17</v>
      </c>
      <c r="M124">
        <v>296</v>
      </c>
      <c r="N124" t="s">
        <v>18</v>
      </c>
      <c r="O124" t="s">
        <v>907</v>
      </c>
    </row>
    <row r="125" spans="1:15" x14ac:dyDescent="0.2">
      <c r="A125" t="s">
        <v>624</v>
      </c>
      <c r="B125" t="s">
        <v>191</v>
      </c>
      <c r="C125">
        <v>6</v>
      </c>
      <c r="D125">
        <v>4</v>
      </c>
      <c r="E125">
        <v>2</v>
      </c>
      <c r="F125">
        <v>5</v>
      </c>
      <c r="G125">
        <v>3</v>
      </c>
      <c r="H125">
        <v>3</v>
      </c>
      <c r="I125">
        <v>3.7899999999999996E-2</v>
      </c>
      <c r="J125">
        <v>50</v>
      </c>
      <c r="K125">
        <f t="shared" si="1"/>
        <v>1.8949999999999998E-2</v>
      </c>
      <c r="L125" t="s">
        <v>17</v>
      </c>
      <c r="M125">
        <v>296</v>
      </c>
      <c r="N125" t="s">
        <v>18</v>
      </c>
      <c r="O125" t="s">
        <v>907</v>
      </c>
    </row>
    <row r="126" spans="1:15" x14ac:dyDescent="0.2">
      <c r="A126" t="s">
        <v>624</v>
      </c>
      <c r="B126" t="s">
        <v>191</v>
      </c>
      <c r="C126">
        <v>6</v>
      </c>
      <c r="D126">
        <v>4</v>
      </c>
      <c r="E126">
        <v>3</v>
      </c>
      <c r="F126">
        <v>5</v>
      </c>
      <c r="G126">
        <v>3</v>
      </c>
      <c r="H126">
        <v>2</v>
      </c>
      <c r="I126">
        <v>3.7899999999999996E-2</v>
      </c>
      <c r="J126">
        <v>50</v>
      </c>
      <c r="K126">
        <f t="shared" si="1"/>
        <v>1.8949999999999998E-2</v>
      </c>
      <c r="L126" t="s">
        <v>17</v>
      </c>
      <c r="M126">
        <v>296</v>
      </c>
      <c r="N126" t="s">
        <v>18</v>
      </c>
      <c r="O126" t="s">
        <v>907</v>
      </c>
    </row>
    <row r="127" spans="1:15" x14ac:dyDescent="0.2">
      <c r="A127" t="s">
        <v>624</v>
      </c>
      <c r="B127" t="s">
        <v>191</v>
      </c>
      <c r="C127">
        <v>6</v>
      </c>
      <c r="D127">
        <v>5</v>
      </c>
      <c r="E127">
        <v>2</v>
      </c>
      <c r="F127">
        <v>5</v>
      </c>
      <c r="G127">
        <v>4</v>
      </c>
      <c r="H127">
        <v>1</v>
      </c>
      <c r="I127">
        <v>3.5900000000000001E-2</v>
      </c>
      <c r="J127">
        <v>50</v>
      </c>
      <c r="K127">
        <f t="shared" si="1"/>
        <v>1.7950000000000001E-2</v>
      </c>
      <c r="L127" t="s">
        <v>17</v>
      </c>
      <c r="M127">
        <v>296</v>
      </c>
      <c r="N127" t="s">
        <v>18</v>
      </c>
      <c r="O127" t="s">
        <v>907</v>
      </c>
    </row>
    <row r="128" spans="1:15" x14ac:dyDescent="0.2">
      <c r="A128" t="s">
        <v>624</v>
      </c>
      <c r="B128" t="s">
        <v>191</v>
      </c>
      <c r="C128">
        <v>5</v>
      </c>
      <c r="D128">
        <v>2</v>
      </c>
      <c r="E128">
        <v>3</v>
      </c>
      <c r="F128">
        <v>6</v>
      </c>
      <c r="G128">
        <v>3</v>
      </c>
      <c r="H128">
        <v>4</v>
      </c>
      <c r="I128">
        <v>3.8799999999999994E-2</v>
      </c>
      <c r="J128">
        <v>50</v>
      </c>
      <c r="K128">
        <f t="shared" si="1"/>
        <v>1.9399999999999997E-2</v>
      </c>
      <c r="L128" t="s">
        <v>17</v>
      </c>
      <c r="M128">
        <v>296</v>
      </c>
      <c r="N128" t="s">
        <v>18</v>
      </c>
      <c r="O128" t="s">
        <v>907</v>
      </c>
    </row>
    <row r="129" spans="1:15" x14ac:dyDescent="0.2">
      <c r="A129" t="s">
        <v>624</v>
      </c>
      <c r="B129" t="s">
        <v>191</v>
      </c>
      <c r="C129">
        <v>7</v>
      </c>
      <c r="D129">
        <v>2</v>
      </c>
      <c r="E129">
        <v>5</v>
      </c>
      <c r="F129">
        <v>6</v>
      </c>
      <c r="G129">
        <v>3</v>
      </c>
      <c r="H129">
        <v>4</v>
      </c>
      <c r="I129">
        <v>3.7999999999999999E-2</v>
      </c>
      <c r="J129">
        <v>50</v>
      </c>
      <c r="K129">
        <f t="shared" si="1"/>
        <v>1.9E-2</v>
      </c>
      <c r="L129" t="s">
        <v>17</v>
      </c>
      <c r="M129">
        <v>296</v>
      </c>
      <c r="N129" t="s">
        <v>18</v>
      </c>
      <c r="O129" t="s">
        <v>907</v>
      </c>
    </row>
    <row r="130" spans="1:15" x14ac:dyDescent="0.2">
      <c r="A130" t="s">
        <v>624</v>
      </c>
      <c r="B130" t="s">
        <v>191</v>
      </c>
      <c r="C130">
        <v>6</v>
      </c>
      <c r="D130">
        <v>1</v>
      </c>
      <c r="E130">
        <v>6</v>
      </c>
      <c r="F130">
        <v>7</v>
      </c>
      <c r="G130">
        <v>0</v>
      </c>
      <c r="H130">
        <v>7</v>
      </c>
      <c r="I130">
        <v>3.5900000000000001E-2</v>
      </c>
      <c r="J130">
        <v>50</v>
      </c>
      <c r="K130">
        <f t="shared" si="1"/>
        <v>1.7950000000000001E-2</v>
      </c>
      <c r="L130" t="s">
        <v>17</v>
      </c>
      <c r="M130">
        <v>296</v>
      </c>
      <c r="N130" t="s">
        <v>18</v>
      </c>
      <c r="O130" t="s">
        <v>907</v>
      </c>
    </row>
    <row r="131" spans="1:15" x14ac:dyDescent="0.2">
      <c r="A131" t="s">
        <v>624</v>
      </c>
      <c r="B131" t="s">
        <v>191</v>
      </c>
      <c r="C131">
        <v>6</v>
      </c>
      <c r="D131">
        <v>0</v>
      </c>
      <c r="E131">
        <v>6</v>
      </c>
      <c r="F131">
        <v>7</v>
      </c>
      <c r="G131">
        <v>1</v>
      </c>
      <c r="H131">
        <v>7</v>
      </c>
      <c r="I131">
        <v>3.5900000000000001E-2</v>
      </c>
      <c r="J131">
        <v>50</v>
      </c>
      <c r="K131">
        <f t="shared" si="1"/>
        <v>1.7950000000000001E-2</v>
      </c>
      <c r="L131" t="s">
        <v>17</v>
      </c>
      <c r="M131">
        <v>296</v>
      </c>
      <c r="N131" t="s">
        <v>18</v>
      </c>
      <c r="O131" t="s">
        <v>907</v>
      </c>
    </row>
    <row r="132" spans="1:15" x14ac:dyDescent="0.2">
      <c r="A132" t="s">
        <v>624</v>
      </c>
      <c r="B132" t="s">
        <v>191</v>
      </c>
      <c r="C132">
        <v>7</v>
      </c>
      <c r="D132">
        <v>2</v>
      </c>
      <c r="E132">
        <v>6</v>
      </c>
      <c r="F132">
        <v>7</v>
      </c>
      <c r="G132">
        <v>1</v>
      </c>
      <c r="H132">
        <v>7</v>
      </c>
      <c r="I132">
        <v>3.6799999999999999E-2</v>
      </c>
      <c r="J132">
        <v>50</v>
      </c>
      <c r="K132">
        <f t="shared" ref="K132:K195" si="2">J132*I132/100</f>
        <v>1.84E-2</v>
      </c>
      <c r="L132" t="s">
        <v>17</v>
      </c>
      <c r="M132">
        <v>296</v>
      </c>
      <c r="N132" t="s">
        <v>18</v>
      </c>
      <c r="O132" t="s">
        <v>907</v>
      </c>
    </row>
    <row r="133" spans="1:15" x14ac:dyDescent="0.2">
      <c r="A133" t="s">
        <v>624</v>
      </c>
      <c r="B133" t="s">
        <v>191</v>
      </c>
      <c r="C133">
        <v>8</v>
      </c>
      <c r="D133">
        <v>3</v>
      </c>
      <c r="E133">
        <v>6</v>
      </c>
      <c r="F133">
        <v>7</v>
      </c>
      <c r="G133">
        <v>2</v>
      </c>
      <c r="H133">
        <v>5</v>
      </c>
      <c r="I133">
        <v>3.6999999999999998E-2</v>
      </c>
      <c r="J133">
        <v>50</v>
      </c>
      <c r="K133">
        <f t="shared" si="2"/>
        <v>1.8499999999999999E-2</v>
      </c>
      <c r="L133" t="s">
        <v>17</v>
      </c>
      <c r="M133">
        <v>296</v>
      </c>
      <c r="N133" t="s">
        <v>18</v>
      </c>
      <c r="O133" t="s">
        <v>907</v>
      </c>
    </row>
    <row r="134" spans="1:15" x14ac:dyDescent="0.2">
      <c r="A134" t="s">
        <v>624</v>
      </c>
      <c r="B134" t="s">
        <v>191</v>
      </c>
      <c r="C134">
        <v>8</v>
      </c>
      <c r="D134">
        <v>2</v>
      </c>
      <c r="E134">
        <v>6</v>
      </c>
      <c r="F134">
        <v>7</v>
      </c>
      <c r="G134">
        <v>3</v>
      </c>
      <c r="H134">
        <v>5</v>
      </c>
      <c r="I134">
        <v>3.6999999999999998E-2</v>
      </c>
      <c r="J134">
        <v>50</v>
      </c>
      <c r="K134">
        <f t="shared" si="2"/>
        <v>1.8499999999999999E-2</v>
      </c>
      <c r="L134" t="s">
        <v>17</v>
      </c>
      <c r="M134">
        <v>296</v>
      </c>
      <c r="N134" t="s">
        <v>18</v>
      </c>
      <c r="O134" t="s">
        <v>907</v>
      </c>
    </row>
    <row r="135" spans="1:15" x14ac:dyDescent="0.2">
      <c r="A135" t="s">
        <v>624</v>
      </c>
      <c r="B135" t="s">
        <v>191</v>
      </c>
      <c r="C135">
        <v>7</v>
      </c>
      <c r="D135">
        <v>1</v>
      </c>
      <c r="E135">
        <v>7</v>
      </c>
      <c r="F135">
        <v>8</v>
      </c>
      <c r="G135">
        <v>0</v>
      </c>
      <c r="H135">
        <v>8</v>
      </c>
      <c r="I135">
        <v>3.4599999999999999E-2</v>
      </c>
      <c r="J135">
        <v>50</v>
      </c>
      <c r="K135">
        <f t="shared" si="2"/>
        <v>1.7299999999999999E-2</v>
      </c>
      <c r="L135" t="s">
        <v>17</v>
      </c>
      <c r="M135">
        <v>296</v>
      </c>
      <c r="N135" t="s">
        <v>18</v>
      </c>
      <c r="O135" t="s">
        <v>907</v>
      </c>
    </row>
    <row r="136" spans="1:15" x14ac:dyDescent="0.2">
      <c r="A136" t="s">
        <v>624</v>
      </c>
      <c r="B136" t="s">
        <v>191</v>
      </c>
      <c r="C136">
        <v>7</v>
      </c>
      <c r="D136">
        <v>0</v>
      </c>
      <c r="E136">
        <v>7</v>
      </c>
      <c r="F136">
        <v>8</v>
      </c>
      <c r="G136">
        <v>1</v>
      </c>
      <c r="H136">
        <v>8</v>
      </c>
      <c r="I136">
        <v>3.4599999999999999E-2</v>
      </c>
      <c r="J136">
        <v>50</v>
      </c>
      <c r="K136">
        <f t="shared" si="2"/>
        <v>1.7299999999999999E-2</v>
      </c>
      <c r="L136" t="s">
        <v>17</v>
      </c>
      <c r="M136">
        <v>296</v>
      </c>
      <c r="N136" t="s">
        <v>18</v>
      </c>
      <c r="O136" t="s">
        <v>907</v>
      </c>
    </row>
    <row r="137" spans="1:15" x14ac:dyDescent="0.2">
      <c r="A137" t="s">
        <v>624</v>
      </c>
      <c r="B137" t="s">
        <v>191</v>
      </c>
      <c r="C137">
        <v>7</v>
      </c>
      <c r="D137">
        <v>2</v>
      </c>
      <c r="E137">
        <v>6</v>
      </c>
      <c r="F137">
        <v>8</v>
      </c>
      <c r="G137">
        <v>1</v>
      </c>
      <c r="H137">
        <v>7</v>
      </c>
      <c r="I137">
        <v>3.6200000000000003E-2</v>
      </c>
      <c r="J137">
        <v>50</v>
      </c>
      <c r="K137">
        <f t="shared" si="2"/>
        <v>1.8100000000000002E-2</v>
      </c>
      <c r="L137" t="s">
        <v>17</v>
      </c>
      <c r="M137">
        <v>296</v>
      </c>
      <c r="N137" t="s">
        <v>18</v>
      </c>
      <c r="O137" t="s">
        <v>907</v>
      </c>
    </row>
    <row r="138" spans="1:15" x14ac:dyDescent="0.2">
      <c r="A138" t="s">
        <v>624</v>
      </c>
      <c r="B138" t="s">
        <v>191</v>
      </c>
      <c r="C138">
        <v>8</v>
      </c>
      <c r="D138">
        <v>2</v>
      </c>
      <c r="E138">
        <v>6</v>
      </c>
      <c r="F138">
        <v>8</v>
      </c>
      <c r="G138">
        <v>1</v>
      </c>
      <c r="H138">
        <v>7</v>
      </c>
      <c r="I138">
        <v>3.56E-2</v>
      </c>
      <c r="J138">
        <v>50</v>
      </c>
      <c r="K138">
        <f t="shared" si="2"/>
        <v>1.78E-2</v>
      </c>
      <c r="L138" t="s">
        <v>17</v>
      </c>
      <c r="M138">
        <v>296</v>
      </c>
      <c r="N138" t="s">
        <v>18</v>
      </c>
      <c r="O138" t="s">
        <v>907</v>
      </c>
    </row>
    <row r="139" spans="1:15" x14ac:dyDescent="0.2">
      <c r="A139" t="s">
        <v>624</v>
      </c>
      <c r="B139" t="s">
        <v>191</v>
      </c>
      <c r="C139">
        <v>7</v>
      </c>
      <c r="D139">
        <v>1</v>
      </c>
      <c r="E139">
        <v>6</v>
      </c>
      <c r="F139">
        <v>8</v>
      </c>
      <c r="G139">
        <v>2</v>
      </c>
      <c r="H139">
        <v>7</v>
      </c>
      <c r="I139">
        <v>3.6200000000000003E-2</v>
      </c>
      <c r="J139">
        <v>50</v>
      </c>
      <c r="K139">
        <f t="shared" si="2"/>
        <v>1.8100000000000002E-2</v>
      </c>
      <c r="L139" t="s">
        <v>17</v>
      </c>
      <c r="M139">
        <v>296</v>
      </c>
      <c r="N139" t="s">
        <v>18</v>
      </c>
      <c r="O139" t="s">
        <v>907</v>
      </c>
    </row>
    <row r="140" spans="1:15" x14ac:dyDescent="0.2">
      <c r="A140" t="s">
        <v>624</v>
      </c>
      <c r="B140" t="s">
        <v>191</v>
      </c>
      <c r="C140">
        <v>8</v>
      </c>
      <c r="D140">
        <v>3</v>
      </c>
      <c r="E140">
        <v>6</v>
      </c>
      <c r="F140">
        <v>8</v>
      </c>
      <c r="G140">
        <v>2</v>
      </c>
      <c r="H140">
        <v>7</v>
      </c>
      <c r="I140">
        <v>3.6400000000000002E-2</v>
      </c>
      <c r="J140">
        <v>50</v>
      </c>
      <c r="K140">
        <f t="shared" si="2"/>
        <v>1.8200000000000001E-2</v>
      </c>
      <c r="L140" t="s">
        <v>17</v>
      </c>
      <c r="M140">
        <v>296</v>
      </c>
      <c r="N140" t="s">
        <v>18</v>
      </c>
      <c r="O140" t="s">
        <v>907</v>
      </c>
    </row>
    <row r="141" spans="1:15" x14ac:dyDescent="0.2">
      <c r="A141" t="s">
        <v>624</v>
      </c>
      <c r="B141" t="s">
        <v>191</v>
      </c>
      <c r="C141">
        <v>7</v>
      </c>
      <c r="D141">
        <v>3</v>
      </c>
      <c r="E141">
        <v>5</v>
      </c>
      <c r="F141">
        <v>8</v>
      </c>
      <c r="G141">
        <v>2</v>
      </c>
      <c r="H141">
        <v>6</v>
      </c>
      <c r="I141">
        <v>3.6999999999999998E-2</v>
      </c>
      <c r="J141">
        <v>50</v>
      </c>
      <c r="K141">
        <f t="shared" si="2"/>
        <v>1.8499999999999999E-2</v>
      </c>
      <c r="L141" t="s">
        <v>17</v>
      </c>
      <c r="M141">
        <v>296</v>
      </c>
      <c r="N141" t="s">
        <v>18</v>
      </c>
      <c r="O141" t="s">
        <v>907</v>
      </c>
    </row>
    <row r="142" spans="1:15" x14ac:dyDescent="0.2">
      <c r="A142" t="s">
        <v>624</v>
      </c>
      <c r="B142" t="s">
        <v>191</v>
      </c>
      <c r="C142">
        <v>9</v>
      </c>
      <c r="D142">
        <v>3</v>
      </c>
      <c r="E142">
        <v>7</v>
      </c>
      <c r="F142">
        <v>8</v>
      </c>
      <c r="G142">
        <v>2</v>
      </c>
      <c r="H142">
        <v>6</v>
      </c>
      <c r="I142">
        <v>3.5900000000000001E-2</v>
      </c>
      <c r="J142">
        <v>50</v>
      </c>
      <c r="K142">
        <f t="shared" si="2"/>
        <v>1.7950000000000001E-2</v>
      </c>
      <c r="L142" t="s">
        <v>17</v>
      </c>
      <c r="M142">
        <v>296</v>
      </c>
      <c r="N142" t="s">
        <v>18</v>
      </c>
      <c r="O142" t="s">
        <v>907</v>
      </c>
    </row>
    <row r="143" spans="1:15" x14ac:dyDescent="0.2">
      <c r="A143" t="s">
        <v>624</v>
      </c>
      <c r="B143" t="s">
        <v>191</v>
      </c>
      <c r="C143">
        <v>7</v>
      </c>
      <c r="D143">
        <v>2</v>
      </c>
      <c r="E143">
        <v>5</v>
      </c>
      <c r="F143">
        <v>8</v>
      </c>
      <c r="G143">
        <v>3</v>
      </c>
      <c r="H143">
        <v>6</v>
      </c>
      <c r="I143">
        <v>3.6999999999999998E-2</v>
      </c>
      <c r="J143">
        <v>50</v>
      </c>
      <c r="K143">
        <f t="shared" si="2"/>
        <v>1.8499999999999999E-2</v>
      </c>
      <c r="L143" t="s">
        <v>17</v>
      </c>
      <c r="M143">
        <v>296</v>
      </c>
      <c r="N143" t="s">
        <v>18</v>
      </c>
      <c r="O143" t="s">
        <v>907</v>
      </c>
    </row>
    <row r="144" spans="1:15" x14ac:dyDescent="0.2">
      <c r="A144" t="s">
        <v>624</v>
      </c>
      <c r="B144" t="s">
        <v>191</v>
      </c>
      <c r="C144">
        <v>9</v>
      </c>
      <c r="D144">
        <v>2</v>
      </c>
      <c r="E144">
        <v>7</v>
      </c>
      <c r="F144">
        <v>8</v>
      </c>
      <c r="G144">
        <v>3</v>
      </c>
      <c r="H144">
        <v>6</v>
      </c>
      <c r="I144">
        <v>3.5900000000000001E-2</v>
      </c>
      <c r="J144">
        <v>50</v>
      </c>
      <c r="K144">
        <f t="shared" si="2"/>
        <v>1.7950000000000001E-2</v>
      </c>
      <c r="L144" t="s">
        <v>17</v>
      </c>
      <c r="M144">
        <v>296</v>
      </c>
      <c r="N144" t="s">
        <v>18</v>
      </c>
      <c r="O144" t="s">
        <v>907</v>
      </c>
    </row>
    <row r="145" spans="1:15" x14ac:dyDescent="0.2">
      <c r="A145" t="s">
        <v>624</v>
      </c>
      <c r="B145" t="s">
        <v>191</v>
      </c>
      <c r="C145">
        <v>9</v>
      </c>
      <c r="D145">
        <v>3</v>
      </c>
      <c r="E145">
        <v>6</v>
      </c>
      <c r="F145">
        <v>8</v>
      </c>
      <c r="G145">
        <v>4</v>
      </c>
      <c r="H145">
        <v>5</v>
      </c>
      <c r="I145">
        <v>3.61E-2</v>
      </c>
      <c r="J145">
        <v>50</v>
      </c>
      <c r="K145">
        <f t="shared" si="2"/>
        <v>1.805E-2</v>
      </c>
      <c r="L145" t="s">
        <v>17</v>
      </c>
      <c r="M145">
        <v>296</v>
      </c>
      <c r="N145" t="s">
        <v>18</v>
      </c>
      <c r="O145" t="s">
        <v>907</v>
      </c>
    </row>
    <row r="146" spans="1:15" x14ac:dyDescent="0.2">
      <c r="A146" t="s">
        <v>624</v>
      </c>
      <c r="B146" t="s">
        <v>191</v>
      </c>
      <c r="C146">
        <v>9</v>
      </c>
      <c r="D146">
        <v>2</v>
      </c>
      <c r="E146">
        <v>7</v>
      </c>
      <c r="F146">
        <v>9</v>
      </c>
      <c r="G146">
        <v>1</v>
      </c>
      <c r="H146">
        <v>8</v>
      </c>
      <c r="I146">
        <v>3.4299999999999997E-2</v>
      </c>
      <c r="J146">
        <v>50</v>
      </c>
      <c r="K146">
        <f t="shared" si="2"/>
        <v>1.7149999999999999E-2</v>
      </c>
      <c r="L146" t="s">
        <v>17</v>
      </c>
      <c r="M146">
        <v>296</v>
      </c>
      <c r="N146" t="s">
        <v>18</v>
      </c>
      <c r="O146" t="s">
        <v>907</v>
      </c>
    </row>
    <row r="147" spans="1:15" x14ac:dyDescent="0.2">
      <c r="A147" t="s">
        <v>624</v>
      </c>
      <c r="B147" t="s">
        <v>191</v>
      </c>
      <c r="C147">
        <v>10</v>
      </c>
      <c r="D147">
        <v>2</v>
      </c>
      <c r="E147">
        <v>9</v>
      </c>
      <c r="F147">
        <v>9</v>
      </c>
      <c r="G147">
        <v>1</v>
      </c>
      <c r="H147">
        <v>8</v>
      </c>
      <c r="I147">
        <v>3.3700000000000001E-2</v>
      </c>
      <c r="J147">
        <v>50</v>
      </c>
      <c r="K147">
        <f t="shared" si="2"/>
        <v>1.685E-2</v>
      </c>
      <c r="L147" t="s">
        <v>17</v>
      </c>
      <c r="M147">
        <v>296</v>
      </c>
      <c r="N147" t="s">
        <v>18</v>
      </c>
      <c r="O147" t="s">
        <v>907</v>
      </c>
    </row>
    <row r="148" spans="1:15" x14ac:dyDescent="0.2">
      <c r="A148" t="s">
        <v>624</v>
      </c>
      <c r="B148" t="s">
        <v>191</v>
      </c>
      <c r="C148">
        <v>9</v>
      </c>
      <c r="D148">
        <v>3</v>
      </c>
      <c r="E148">
        <v>7</v>
      </c>
      <c r="F148">
        <v>9</v>
      </c>
      <c r="G148">
        <v>2</v>
      </c>
      <c r="H148">
        <v>8</v>
      </c>
      <c r="I148">
        <v>3.5299999999999998E-2</v>
      </c>
      <c r="J148">
        <v>50</v>
      </c>
      <c r="K148">
        <f t="shared" si="2"/>
        <v>1.7649999999999999E-2</v>
      </c>
      <c r="L148" t="s">
        <v>17</v>
      </c>
      <c r="M148">
        <v>296</v>
      </c>
      <c r="N148" t="s">
        <v>18</v>
      </c>
      <c r="O148" t="s">
        <v>907</v>
      </c>
    </row>
    <row r="149" spans="1:15" x14ac:dyDescent="0.2">
      <c r="A149" t="s">
        <v>624</v>
      </c>
      <c r="B149" t="s">
        <v>191</v>
      </c>
      <c r="C149">
        <v>10</v>
      </c>
      <c r="D149">
        <v>1</v>
      </c>
      <c r="E149">
        <v>9</v>
      </c>
      <c r="F149">
        <v>9</v>
      </c>
      <c r="G149">
        <v>2</v>
      </c>
      <c r="H149">
        <v>8</v>
      </c>
      <c r="I149">
        <v>3.3700000000000001E-2</v>
      </c>
      <c r="J149">
        <v>50</v>
      </c>
      <c r="K149">
        <f t="shared" si="2"/>
        <v>1.685E-2</v>
      </c>
      <c r="L149" t="s">
        <v>17</v>
      </c>
      <c r="M149">
        <v>296</v>
      </c>
      <c r="N149" t="s">
        <v>18</v>
      </c>
      <c r="O149" t="s">
        <v>907</v>
      </c>
    </row>
    <row r="150" spans="1:15" x14ac:dyDescent="0.2">
      <c r="A150" t="s">
        <v>624</v>
      </c>
      <c r="B150" t="s">
        <v>191</v>
      </c>
      <c r="C150">
        <v>11</v>
      </c>
      <c r="D150">
        <v>1</v>
      </c>
      <c r="E150">
        <v>11</v>
      </c>
      <c r="F150">
        <v>10</v>
      </c>
      <c r="G150">
        <v>0</v>
      </c>
      <c r="H150">
        <v>10</v>
      </c>
      <c r="I150">
        <v>3.1E-2</v>
      </c>
      <c r="J150">
        <v>50</v>
      </c>
      <c r="K150">
        <f t="shared" si="2"/>
        <v>1.55E-2</v>
      </c>
      <c r="L150" t="s">
        <v>17</v>
      </c>
      <c r="M150">
        <v>296</v>
      </c>
      <c r="N150" t="s">
        <v>18</v>
      </c>
      <c r="O150" t="s">
        <v>907</v>
      </c>
    </row>
    <row r="151" spans="1:15" x14ac:dyDescent="0.2">
      <c r="A151" t="s">
        <v>624</v>
      </c>
      <c r="B151" t="s">
        <v>191</v>
      </c>
      <c r="C151">
        <v>10</v>
      </c>
      <c r="D151">
        <v>2</v>
      </c>
      <c r="E151">
        <v>8</v>
      </c>
      <c r="F151">
        <v>10</v>
      </c>
      <c r="G151">
        <v>1</v>
      </c>
      <c r="H151">
        <v>9</v>
      </c>
      <c r="I151">
        <v>3.3100000000000004E-2</v>
      </c>
      <c r="J151">
        <v>50</v>
      </c>
      <c r="K151">
        <f t="shared" si="2"/>
        <v>1.6550000000000002E-2</v>
      </c>
      <c r="L151" t="s">
        <v>17</v>
      </c>
      <c r="M151">
        <v>296</v>
      </c>
      <c r="N151" t="s">
        <v>18</v>
      </c>
      <c r="O151" t="s">
        <v>907</v>
      </c>
    </row>
    <row r="152" spans="1:15" x14ac:dyDescent="0.2">
      <c r="A152" t="s">
        <v>624</v>
      </c>
      <c r="B152" t="s">
        <v>191</v>
      </c>
      <c r="C152">
        <v>10</v>
      </c>
      <c r="D152">
        <v>3</v>
      </c>
      <c r="E152">
        <v>8</v>
      </c>
      <c r="F152">
        <v>10</v>
      </c>
      <c r="G152">
        <v>2</v>
      </c>
      <c r="H152">
        <v>9</v>
      </c>
      <c r="I152">
        <v>3.4200000000000001E-2</v>
      </c>
      <c r="J152">
        <v>50</v>
      </c>
      <c r="K152">
        <f t="shared" si="2"/>
        <v>1.7100000000000001E-2</v>
      </c>
      <c r="L152" t="s">
        <v>17</v>
      </c>
      <c r="M152">
        <v>296</v>
      </c>
      <c r="N152" t="s">
        <v>18</v>
      </c>
      <c r="O152" t="s">
        <v>907</v>
      </c>
    </row>
    <row r="153" spans="1:15" x14ac:dyDescent="0.2">
      <c r="A153" t="s">
        <v>624</v>
      </c>
      <c r="B153" t="s">
        <v>191</v>
      </c>
      <c r="C153">
        <v>12</v>
      </c>
      <c r="D153">
        <v>1</v>
      </c>
      <c r="E153">
        <v>12</v>
      </c>
      <c r="F153">
        <v>11</v>
      </c>
      <c r="G153">
        <v>0</v>
      </c>
      <c r="H153">
        <v>11</v>
      </c>
      <c r="I153">
        <v>3.0100000000000002E-2</v>
      </c>
      <c r="J153">
        <v>50</v>
      </c>
      <c r="K153">
        <f t="shared" si="2"/>
        <v>1.5050000000000001E-2</v>
      </c>
      <c r="L153" t="s">
        <v>17</v>
      </c>
      <c r="M153">
        <v>296</v>
      </c>
      <c r="N153" t="s">
        <v>18</v>
      </c>
      <c r="O153" t="s">
        <v>907</v>
      </c>
    </row>
    <row r="154" spans="1:15" x14ac:dyDescent="0.2">
      <c r="A154" t="s">
        <v>624</v>
      </c>
      <c r="B154" t="s">
        <v>191</v>
      </c>
      <c r="C154">
        <v>12</v>
      </c>
      <c r="D154">
        <v>0</v>
      </c>
      <c r="E154">
        <v>12</v>
      </c>
      <c r="F154">
        <v>11</v>
      </c>
      <c r="G154">
        <v>1</v>
      </c>
      <c r="H154">
        <v>11</v>
      </c>
      <c r="I154">
        <v>3.0100000000000002E-2</v>
      </c>
      <c r="J154">
        <v>50</v>
      </c>
      <c r="K154">
        <f t="shared" si="2"/>
        <v>1.5050000000000001E-2</v>
      </c>
      <c r="L154" t="s">
        <v>17</v>
      </c>
      <c r="M154">
        <v>296</v>
      </c>
      <c r="N154" t="s">
        <v>18</v>
      </c>
      <c r="O154" t="s">
        <v>907</v>
      </c>
    </row>
    <row r="155" spans="1:15" x14ac:dyDescent="0.2">
      <c r="A155" t="s">
        <v>624</v>
      </c>
      <c r="B155" t="s">
        <v>403</v>
      </c>
      <c r="C155">
        <v>3</v>
      </c>
      <c r="D155">
        <v>3</v>
      </c>
      <c r="E155">
        <v>1</v>
      </c>
      <c r="F155">
        <v>2</v>
      </c>
      <c r="G155">
        <v>0</v>
      </c>
      <c r="H155">
        <v>2</v>
      </c>
      <c r="I155">
        <v>4.24E-2</v>
      </c>
      <c r="J155">
        <v>50</v>
      </c>
      <c r="K155">
        <f t="shared" si="2"/>
        <v>2.12E-2</v>
      </c>
      <c r="L155" t="s">
        <v>17</v>
      </c>
      <c r="M155">
        <v>296</v>
      </c>
      <c r="N155" t="s">
        <v>18</v>
      </c>
      <c r="O155" t="s">
        <v>907</v>
      </c>
    </row>
    <row r="156" spans="1:15" x14ac:dyDescent="0.2">
      <c r="A156" t="s">
        <v>624</v>
      </c>
      <c r="B156" t="s">
        <v>403</v>
      </c>
      <c r="C156">
        <v>2</v>
      </c>
      <c r="D156">
        <v>1</v>
      </c>
      <c r="E156">
        <v>2</v>
      </c>
      <c r="F156">
        <v>3</v>
      </c>
      <c r="G156">
        <v>0</v>
      </c>
      <c r="H156">
        <v>3</v>
      </c>
      <c r="I156">
        <v>3.3399999999999999E-2</v>
      </c>
      <c r="J156">
        <v>50</v>
      </c>
      <c r="K156">
        <f t="shared" si="2"/>
        <v>1.67E-2</v>
      </c>
      <c r="L156" t="s">
        <v>17</v>
      </c>
      <c r="M156">
        <v>296</v>
      </c>
      <c r="N156" t="s">
        <v>18</v>
      </c>
      <c r="O156" t="s">
        <v>907</v>
      </c>
    </row>
    <row r="157" spans="1:15" x14ac:dyDescent="0.2">
      <c r="A157" t="s">
        <v>624</v>
      </c>
      <c r="B157" t="s">
        <v>403</v>
      </c>
      <c r="C157">
        <v>2</v>
      </c>
      <c r="D157">
        <v>0</v>
      </c>
      <c r="E157">
        <v>2</v>
      </c>
      <c r="F157">
        <v>3</v>
      </c>
      <c r="G157">
        <v>1</v>
      </c>
      <c r="H157">
        <v>3</v>
      </c>
      <c r="I157">
        <v>3.5499999999999997E-2</v>
      </c>
      <c r="J157">
        <v>50</v>
      </c>
      <c r="K157">
        <f t="shared" si="2"/>
        <v>1.7749999999999998E-2</v>
      </c>
      <c r="L157" t="s">
        <v>17</v>
      </c>
      <c r="M157">
        <v>296</v>
      </c>
      <c r="N157" t="s">
        <v>18</v>
      </c>
      <c r="O157" t="s">
        <v>907</v>
      </c>
    </row>
    <row r="158" spans="1:15" x14ac:dyDescent="0.2">
      <c r="A158" t="s">
        <v>624</v>
      </c>
      <c r="B158" t="s">
        <v>403</v>
      </c>
      <c r="C158">
        <v>2</v>
      </c>
      <c r="D158">
        <v>2</v>
      </c>
      <c r="E158">
        <v>1</v>
      </c>
      <c r="F158">
        <v>3</v>
      </c>
      <c r="G158">
        <v>1</v>
      </c>
      <c r="H158">
        <v>2</v>
      </c>
      <c r="I158">
        <v>3.6700000000000003E-2</v>
      </c>
      <c r="J158">
        <v>50</v>
      </c>
      <c r="K158">
        <f t="shared" si="2"/>
        <v>1.8350000000000002E-2</v>
      </c>
      <c r="L158" t="s">
        <v>17</v>
      </c>
      <c r="M158">
        <v>296</v>
      </c>
      <c r="N158" t="s">
        <v>18</v>
      </c>
      <c r="O158" t="s">
        <v>907</v>
      </c>
    </row>
    <row r="159" spans="1:15" x14ac:dyDescent="0.2">
      <c r="A159" t="s">
        <v>624</v>
      </c>
      <c r="B159" t="s">
        <v>403</v>
      </c>
      <c r="C159">
        <v>4</v>
      </c>
      <c r="D159">
        <v>3</v>
      </c>
      <c r="E159">
        <v>2</v>
      </c>
      <c r="F159">
        <v>3</v>
      </c>
      <c r="G159">
        <v>2</v>
      </c>
      <c r="H159">
        <v>1</v>
      </c>
      <c r="I159">
        <v>3.3600000000000005E-2</v>
      </c>
      <c r="J159">
        <v>50</v>
      </c>
      <c r="K159">
        <f t="shared" si="2"/>
        <v>1.6800000000000002E-2</v>
      </c>
      <c r="L159" t="s">
        <v>17</v>
      </c>
      <c r="M159">
        <v>296</v>
      </c>
      <c r="N159" t="s">
        <v>18</v>
      </c>
      <c r="O159" t="s">
        <v>907</v>
      </c>
    </row>
    <row r="160" spans="1:15" x14ac:dyDescent="0.2">
      <c r="A160" t="s">
        <v>624</v>
      </c>
      <c r="B160" t="s">
        <v>403</v>
      </c>
      <c r="C160">
        <v>4</v>
      </c>
      <c r="D160">
        <v>4</v>
      </c>
      <c r="E160">
        <v>1</v>
      </c>
      <c r="F160">
        <v>3</v>
      </c>
      <c r="G160">
        <v>3</v>
      </c>
      <c r="H160">
        <v>0</v>
      </c>
      <c r="I160">
        <v>3.3799999999999997E-2</v>
      </c>
      <c r="J160">
        <v>50</v>
      </c>
      <c r="K160">
        <f t="shared" si="2"/>
        <v>1.6899999999999998E-2</v>
      </c>
      <c r="L160" t="s">
        <v>17</v>
      </c>
      <c r="M160">
        <v>296</v>
      </c>
      <c r="N160" t="s">
        <v>18</v>
      </c>
      <c r="O160" t="s">
        <v>907</v>
      </c>
    </row>
    <row r="161" spans="1:15" x14ac:dyDescent="0.2">
      <c r="A161" t="s">
        <v>624</v>
      </c>
      <c r="B161" t="s">
        <v>403</v>
      </c>
      <c r="C161">
        <v>5</v>
      </c>
      <c r="D161">
        <v>3</v>
      </c>
      <c r="E161">
        <v>2</v>
      </c>
      <c r="F161">
        <v>4</v>
      </c>
      <c r="G161">
        <v>2</v>
      </c>
      <c r="H161">
        <v>3</v>
      </c>
      <c r="I161">
        <v>3.5700000000000003E-2</v>
      </c>
      <c r="J161">
        <v>50</v>
      </c>
      <c r="K161">
        <f t="shared" si="2"/>
        <v>1.7850000000000001E-2</v>
      </c>
      <c r="L161" t="s">
        <v>17</v>
      </c>
      <c r="M161">
        <v>296</v>
      </c>
      <c r="N161" t="s">
        <v>18</v>
      </c>
      <c r="O161" t="s">
        <v>907</v>
      </c>
    </row>
    <row r="162" spans="1:15" x14ac:dyDescent="0.2">
      <c r="A162" t="s">
        <v>624</v>
      </c>
      <c r="B162" t="s">
        <v>403</v>
      </c>
      <c r="C162">
        <v>4</v>
      </c>
      <c r="D162">
        <v>1</v>
      </c>
      <c r="E162">
        <v>3</v>
      </c>
      <c r="F162">
        <v>5</v>
      </c>
      <c r="G162">
        <v>2</v>
      </c>
      <c r="H162">
        <v>4</v>
      </c>
      <c r="I162">
        <v>3.3399999999999999E-2</v>
      </c>
      <c r="J162">
        <v>50</v>
      </c>
      <c r="K162">
        <f t="shared" si="2"/>
        <v>1.67E-2</v>
      </c>
      <c r="L162" t="s">
        <v>17</v>
      </c>
      <c r="M162">
        <v>296</v>
      </c>
      <c r="N162" t="s">
        <v>18</v>
      </c>
      <c r="O162" t="s">
        <v>907</v>
      </c>
    </row>
    <row r="163" spans="1:15" x14ac:dyDescent="0.2">
      <c r="A163" t="s">
        <v>624</v>
      </c>
      <c r="B163" t="s">
        <v>403</v>
      </c>
      <c r="C163">
        <v>4</v>
      </c>
      <c r="D163">
        <v>3</v>
      </c>
      <c r="E163">
        <v>2</v>
      </c>
      <c r="F163">
        <v>5</v>
      </c>
      <c r="G163">
        <v>2</v>
      </c>
      <c r="H163">
        <v>3</v>
      </c>
      <c r="I163">
        <v>3.4799999999999998E-2</v>
      </c>
      <c r="J163">
        <v>50</v>
      </c>
      <c r="K163">
        <f t="shared" si="2"/>
        <v>1.7399999999999999E-2</v>
      </c>
      <c r="L163" t="s">
        <v>17</v>
      </c>
      <c r="M163">
        <v>296</v>
      </c>
      <c r="N163" t="s">
        <v>18</v>
      </c>
      <c r="O163" t="s">
        <v>907</v>
      </c>
    </row>
    <row r="164" spans="1:15" x14ac:dyDescent="0.2">
      <c r="A164" t="s">
        <v>624</v>
      </c>
      <c r="B164" t="s">
        <v>403</v>
      </c>
      <c r="C164">
        <v>6</v>
      </c>
      <c r="D164">
        <v>4</v>
      </c>
      <c r="E164">
        <v>2</v>
      </c>
      <c r="F164">
        <v>5</v>
      </c>
      <c r="G164">
        <v>3</v>
      </c>
      <c r="H164">
        <v>3</v>
      </c>
      <c r="I164">
        <v>3.3799999999999997E-2</v>
      </c>
      <c r="J164">
        <v>50</v>
      </c>
      <c r="K164">
        <f t="shared" si="2"/>
        <v>1.6899999999999998E-2</v>
      </c>
      <c r="L164" t="s">
        <v>17</v>
      </c>
      <c r="M164">
        <v>296</v>
      </c>
      <c r="N164" t="s">
        <v>18</v>
      </c>
      <c r="O164" t="s">
        <v>907</v>
      </c>
    </row>
    <row r="165" spans="1:15" x14ac:dyDescent="0.2">
      <c r="A165" t="s">
        <v>624</v>
      </c>
      <c r="B165" t="s">
        <v>403</v>
      </c>
      <c r="C165">
        <v>6</v>
      </c>
      <c r="D165">
        <v>4</v>
      </c>
      <c r="E165">
        <v>3</v>
      </c>
      <c r="F165">
        <v>5</v>
      </c>
      <c r="G165">
        <v>3</v>
      </c>
      <c r="H165">
        <v>2</v>
      </c>
      <c r="I165">
        <v>3.4200000000000001E-2</v>
      </c>
      <c r="J165">
        <v>50</v>
      </c>
      <c r="K165">
        <f t="shared" si="2"/>
        <v>1.7100000000000001E-2</v>
      </c>
      <c r="L165" t="s">
        <v>17</v>
      </c>
      <c r="M165">
        <v>296</v>
      </c>
      <c r="N165" t="s">
        <v>18</v>
      </c>
      <c r="O165" t="s">
        <v>907</v>
      </c>
    </row>
    <row r="166" spans="1:15" x14ac:dyDescent="0.2">
      <c r="A166" t="s">
        <v>624</v>
      </c>
      <c r="B166" t="s">
        <v>403</v>
      </c>
      <c r="C166">
        <v>6</v>
      </c>
      <c r="D166">
        <v>5</v>
      </c>
      <c r="E166">
        <v>2</v>
      </c>
      <c r="F166">
        <v>5</v>
      </c>
      <c r="G166">
        <v>4</v>
      </c>
      <c r="H166">
        <v>1</v>
      </c>
      <c r="I166">
        <v>3.1399999999999997E-2</v>
      </c>
      <c r="J166">
        <v>50</v>
      </c>
      <c r="K166">
        <f t="shared" si="2"/>
        <v>1.5699999999999999E-2</v>
      </c>
      <c r="L166" t="s">
        <v>17</v>
      </c>
      <c r="M166">
        <v>296</v>
      </c>
      <c r="N166" t="s">
        <v>18</v>
      </c>
      <c r="O166" t="s">
        <v>907</v>
      </c>
    </row>
    <row r="167" spans="1:15" x14ac:dyDescent="0.2">
      <c r="A167" t="s">
        <v>624</v>
      </c>
      <c r="B167" t="s">
        <v>403</v>
      </c>
      <c r="C167">
        <v>5</v>
      </c>
      <c r="D167">
        <v>2</v>
      </c>
      <c r="E167">
        <v>3</v>
      </c>
      <c r="F167">
        <v>6</v>
      </c>
      <c r="G167">
        <v>3</v>
      </c>
      <c r="H167">
        <v>4</v>
      </c>
      <c r="I167">
        <v>3.4200000000000001E-2</v>
      </c>
      <c r="J167">
        <v>50</v>
      </c>
      <c r="K167">
        <f t="shared" si="2"/>
        <v>1.7100000000000001E-2</v>
      </c>
      <c r="L167" t="s">
        <v>17</v>
      </c>
      <c r="M167">
        <v>296</v>
      </c>
      <c r="N167" t="s">
        <v>18</v>
      </c>
      <c r="O167" t="s">
        <v>907</v>
      </c>
    </row>
    <row r="168" spans="1:15" x14ac:dyDescent="0.2">
      <c r="A168" t="s">
        <v>624</v>
      </c>
      <c r="B168" t="s">
        <v>403</v>
      </c>
      <c r="C168">
        <v>7</v>
      </c>
      <c r="D168">
        <v>2</v>
      </c>
      <c r="E168">
        <v>5</v>
      </c>
      <c r="F168">
        <v>6</v>
      </c>
      <c r="G168">
        <v>3</v>
      </c>
      <c r="H168">
        <v>4</v>
      </c>
      <c r="I168">
        <v>3.2600000000000004E-2</v>
      </c>
      <c r="J168">
        <v>50</v>
      </c>
      <c r="K168">
        <f t="shared" si="2"/>
        <v>1.6300000000000002E-2</v>
      </c>
      <c r="L168" t="s">
        <v>17</v>
      </c>
      <c r="M168">
        <v>296</v>
      </c>
      <c r="N168" t="s">
        <v>18</v>
      </c>
      <c r="O168" t="s">
        <v>907</v>
      </c>
    </row>
    <row r="169" spans="1:15" x14ac:dyDescent="0.2">
      <c r="A169" t="s">
        <v>624</v>
      </c>
      <c r="B169" t="s">
        <v>403</v>
      </c>
      <c r="C169">
        <v>6</v>
      </c>
      <c r="D169">
        <v>1</v>
      </c>
      <c r="E169">
        <v>6</v>
      </c>
      <c r="F169">
        <v>7</v>
      </c>
      <c r="G169">
        <v>0</v>
      </c>
      <c r="H169">
        <v>7</v>
      </c>
      <c r="I169">
        <v>2.8799999999999999E-2</v>
      </c>
      <c r="J169">
        <v>50</v>
      </c>
      <c r="K169">
        <f t="shared" si="2"/>
        <v>1.44E-2</v>
      </c>
      <c r="L169" t="s">
        <v>17</v>
      </c>
      <c r="M169">
        <v>296</v>
      </c>
      <c r="N169" t="s">
        <v>18</v>
      </c>
      <c r="O169" t="s">
        <v>907</v>
      </c>
    </row>
    <row r="170" spans="1:15" x14ac:dyDescent="0.2">
      <c r="A170" t="s">
        <v>624</v>
      </c>
      <c r="B170" t="s">
        <v>403</v>
      </c>
      <c r="C170">
        <v>6</v>
      </c>
      <c r="D170">
        <v>0</v>
      </c>
      <c r="E170">
        <v>6</v>
      </c>
      <c r="F170">
        <v>7</v>
      </c>
      <c r="G170">
        <v>1</v>
      </c>
      <c r="H170">
        <v>7</v>
      </c>
      <c r="I170">
        <v>2.8799999999999999E-2</v>
      </c>
      <c r="J170">
        <v>50</v>
      </c>
      <c r="K170">
        <f t="shared" si="2"/>
        <v>1.44E-2</v>
      </c>
      <c r="L170" t="s">
        <v>17</v>
      </c>
      <c r="M170">
        <v>296</v>
      </c>
      <c r="N170" t="s">
        <v>18</v>
      </c>
      <c r="O170" t="s">
        <v>907</v>
      </c>
    </row>
    <row r="171" spans="1:15" x14ac:dyDescent="0.2">
      <c r="A171" t="s">
        <v>624</v>
      </c>
      <c r="B171" t="s">
        <v>403</v>
      </c>
      <c r="C171">
        <v>7</v>
      </c>
      <c r="D171">
        <v>2</v>
      </c>
      <c r="E171">
        <v>6</v>
      </c>
      <c r="F171">
        <v>7</v>
      </c>
      <c r="G171">
        <v>1</v>
      </c>
      <c r="H171">
        <v>7</v>
      </c>
      <c r="I171">
        <v>3.04E-2</v>
      </c>
      <c r="J171">
        <v>50</v>
      </c>
      <c r="K171">
        <f t="shared" si="2"/>
        <v>1.52E-2</v>
      </c>
      <c r="L171" t="s">
        <v>17</v>
      </c>
      <c r="M171">
        <v>296</v>
      </c>
      <c r="N171" t="s">
        <v>18</v>
      </c>
      <c r="O171" t="s">
        <v>907</v>
      </c>
    </row>
    <row r="172" spans="1:15" x14ac:dyDescent="0.2">
      <c r="A172" t="s">
        <v>624</v>
      </c>
      <c r="B172" t="s">
        <v>403</v>
      </c>
      <c r="C172">
        <v>8</v>
      </c>
      <c r="D172">
        <v>3</v>
      </c>
      <c r="E172">
        <v>6</v>
      </c>
      <c r="F172">
        <v>7</v>
      </c>
      <c r="G172">
        <v>2</v>
      </c>
      <c r="H172">
        <v>5</v>
      </c>
      <c r="I172">
        <v>3.2100000000000004E-2</v>
      </c>
      <c r="J172">
        <v>50</v>
      </c>
      <c r="K172">
        <f t="shared" si="2"/>
        <v>1.6050000000000002E-2</v>
      </c>
      <c r="L172" t="s">
        <v>17</v>
      </c>
      <c r="M172">
        <v>296</v>
      </c>
      <c r="N172" t="s">
        <v>18</v>
      </c>
      <c r="O172" t="s">
        <v>907</v>
      </c>
    </row>
    <row r="173" spans="1:15" x14ac:dyDescent="0.2">
      <c r="A173" t="s">
        <v>624</v>
      </c>
      <c r="B173" t="s">
        <v>403</v>
      </c>
      <c r="C173">
        <v>8</v>
      </c>
      <c r="D173">
        <v>2</v>
      </c>
      <c r="E173">
        <v>6</v>
      </c>
      <c r="F173">
        <v>7</v>
      </c>
      <c r="G173">
        <v>3</v>
      </c>
      <c r="H173">
        <v>5</v>
      </c>
      <c r="I173">
        <v>3.1800000000000002E-2</v>
      </c>
      <c r="J173">
        <v>50</v>
      </c>
      <c r="K173">
        <f t="shared" si="2"/>
        <v>1.5900000000000001E-2</v>
      </c>
      <c r="L173" t="s">
        <v>17</v>
      </c>
      <c r="M173">
        <v>296</v>
      </c>
      <c r="N173" t="s">
        <v>18</v>
      </c>
      <c r="O173" t="s">
        <v>907</v>
      </c>
    </row>
    <row r="174" spans="1:15" x14ac:dyDescent="0.2">
      <c r="A174" t="s">
        <v>624</v>
      </c>
      <c r="B174" t="s">
        <v>403</v>
      </c>
      <c r="C174">
        <v>7</v>
      </c>
      <c r="D174">
        <v>1</v>
      </c>
      <c r="E174">
        <v>7</v>
      </c>
      <c r="F174">
        <v>8</v>
      </c>
      <c r="G174">
        <v>0</v>
      </c>
      <c r="H174">
        <v>8</v>
      </c>
      <c r="I174">
        <v>2.5499999999999998E-2</v>
      </c>
      <c r="J174">
        <v>50</v>
      </c>
      <c r="K174">
        <f t="shared" si="2"/>
        <v>1.2749999999999999E-2</v>
      </c>
      <c r="L174" t="s">
        <v>17</v>
      </c>
      <c r="M174">
        <v>296</v>
      </c>
      <c r="N174" t="s">
        <v>18</v>
      </c>
      <c r="O174" t="s">
        <v>907</v>
      </c>
    </row>
    <row r="175" spans="1:15" x14ac:dyDescent="0.2">
      <c r="A175" t="s">
        <v>624</v>
      </c>
      <c r="B175" t="s">
        <v>403</v>
      </c>
      <c r="C175">
        <v>7</v>
      </c>
      <c r="D175">
        <v>0</v>
      </c>
      <c r="E175">
        <v>7</v>
      </c>
      <c r="F175">
        <v>8</v>
      </c>
      <c r="G175">
        <v>1</v>
      </c>
      <c r="H175">
        <v>8</v>
      </c>
      <c r="I175">
        <v>2.5499999999999998E-2</v>
      </c>
      <c r="J175">
        <v>50</v>
      </c>
      <c r="K175">
        <f t="shared" si="2"/>
        <v>1.2749999999999999E-2</v>
      </c>
      <c r="L175" t="s">
        <v>17</v>
      </c>
      <c r="M175">
        <v>296</v>
      </c>
      <c r="N175" t="s">
        <v>18</v>
      </c>
      <c r="O175" t="s">
        <v>907</v>
      </c>
    </row>
    <row r="176" spans="1:15" x14ac:dyDescent="0.2">
      <c r="A176" t="s">
        <v>624</v>
      </c>
      <c r="B176" t="s">
        <v>403</v>
      </c>
      <c r="C176">
        <v>7</v>
      </c>
      <c r="D176">
        <v>2</v>
      </c>
      <c r="E176">
        <v>6</v>
      </c>
      <c r="F176">
        <v>8</v>
      </c>
      <c r="G176">
        <v>1</v>
      </c>
      <c r="H176">
        <v>7</v>
      </c>
      <c r="I176">
        <v>3.15E-2</v>
      </c>
      <c r="J176">
        <v>50</v>
      </c>
      <c r="K176">
        <f t="shared" si="2"/>
        <v>1.575E-2</v>
      </c>
      <c r="L176" t="s">
        <v>17</v>
      </c>
      <c r="M176">
        <v>296</v>
      </c>
      <c r="N176" t="s">
        <v>18</v>
      </c>
      <c r="O176" t="s">
        <v>907</v>
      </c>
    </row>
    <row r="177" spans="1:15" x14ac:dyDescent="0.2">
      <c r="A177" t="s">
        <v>624</v>
      </c>
      <c r="B177" t="s">
        <v>403</v>
      </c>
      <c r="C177">
        <v>8</v>
      </c>
      <c r="D177">
        <v>2</v>
      </c>
      <c r="E177">
        <v>6</v>
      </c>
      <c r="F177">
        <v>8</v>
      </c>
      <c r="G177">
        <v>1</v>
      </c>
      <c r="H177">
        <v>7</v>
      </c>
      <c r="I177">
        <v>2.8300000000000002E-2</v>
      </c>
      <c r="J177">
        <v>50</v>
      </c>
      <c r="K177">
        <f t="shared" si="2"/>
        <v>1.4150000000000001E-2</v>
      </c>
      <c r="L177" t="s">
        <v>17</v>
      </c>
      <c r="M177">
        <v>296</v>
      </c>
      <c r="N177" t="s">
        <v>18</v>
      </c>
      <c r="O177" t="s">
        <v>907</v>
      </c>
    </row>
    <row r="178" spans="1:15" x14ac:dyDescent="0.2">
      <c r="A178" t="s">
        <v>624</v>
      </c>
      <c r="B178" t="s">
        <v>403</v>
      </c>
      <c r="C178">
        <v>7</v>
      </c>
      <c r="D178">
        <v>1</v>
      </c>
      <c r="E178">
        <v>6</v>
      </c>
      <c r="F178">
        <v>8</v>
      </c>
      <c r="G178">
        <v>2</v>
      </c>
      <c r="H178">
        <v>7</v>
      </c>
      <c r="I178">
        <v>3.15E-2</v>
      </c>
      <c r="J178">
        <v>50</v>
      </c>
      <c r="K178">
        <f t="shared" si="2"/>
        <v>1.575E-2</v>
      </c>
      <c r="L178" t="s">
        <v>17</v>
      </c>
      <c r="M178">
        <v>296</v>
      </c>
      <c r="N178" t="s">
        <v>18</v>
      </c>
      <c r="O178" t="s">
        <v>907</v>
      </c>
    </row>
    <row r="179" spans="1:15" x14ac:dyDescent="0.2">
      <c r="A179" t="s">
        <v>624</v>
      </c>
      <c r="B179" t="s">
        <v>403</v>
      </c>
      <c r="C179">
        <v>8</v>
      </c>
      <c r="D179">
        <v>3</v>
      </c>
      <c r="E179">
        <v>6</v>
      </c>
      <c r="F179">
        <v>8</v>
      </c>
      <c r="G179">
        <v>2</v>
      </c>
      <c r="H179">
        <v>7</v>
      </c>
      <c r="I179">
        <v>3.1899999999999998E-2</v>
      </c>
      <c r="J179">
        <v>50</v>
      </c>
      <c r="K179">
        <f t="shared" si="2"/>
        <v>1.5949999999999999E-2</v>
      </c>
      <c r="L179" t="s">
        <v>17</v>
      </c>
      <c r="M179">
        <v>296</v>
      </c>
      <c r="N179" t="s">
        <v>18</v>
      </c>
      <c r="O179" t="s">
        <v>907</v>
      </c>
    </row>
    <row r="180" spans="1:15" x14ac:dyDescent="0.2">
      <c r="A180" t="s">
        <v>624</v>
      </c>
      <c r="B180" t="s">
        <v>403</v>
      </c>
      <c r="C180">
        <v>7</v>
      </c>
      <c r="D180">
        <v>3</v>
      </c>
      <c r="E180">
        <v>5</v>
      </c>
      <c r="F180">
        <v>8</v>
      </c>
      <c r="G180">
        <v>2</v>
      </c>
      <c r="H180">
        <v>6</v>
      </c>
      <c r="I180">
        <v>3.3500000000000002E-2</v>
      </c>
      <c r="J180">
        <v>50</v>
      </c>
      <c r="K180">
        <f t="shared" si="2"/>
        <v>1.6750000000000001E-2</v>
      </c>
      <c r="L180" t="s">
        <v>17</v>
      </c>
      <c r="M180">
        <v>296</v>
      </c>
      <c r="N180" t="s">
        <v>18</v>
      </c>
      <c r="O180" t="s">
        <v>907</v>
      </c>
    </row>
    <row r="181" spans="1:15" x14ac:dyDescent="0.2">
      <c r="A181" t="s">
        <v>624</v>
      </c>
      <c r="B181" t="s">
        <v>403</v>
      </c>
      <c r="C181">
        <v>9</v>
      </c>
      <c r="D181">
        <v>3</v>
      </c>
      <c r="E181">
        <v>7</v>
      </c>
      <c r="F181">
        <v>8</v>
      </c>
      <c r="G181">
        <v>2</v>
      </c>
      <c r="H181">
        <v>6</v>
      </c>
      <c r="I181">
        <v>3.1E-2</v>
      </c>
      <c r="J181">
        <v>50</v>
      </c>
      <c r="K181">
        <f t="shared" si="2"/>
        <v>1.55E-2</v>
      </c>
      <c r="L181" t="s">
        <v>17</v>
      </c>
      <c r="M181">
        <v>296</v>
      </c>
      <c r="N181" t="s">
        <v>18</v>
      </c>
      <c r="O181" t="s">
        <v>907</v>
      </c>
    </row>
    <row r="182" spans="1:15" x14ac:dyDescent="0.2">
      <c r="A182" t="s">
        <v>624</v>
      </c>
      <c r="B182" t="s">
        <v>403</v>
      </c>
      <c r="C182">
        <v>7</v>
      </c>
      <c r="D182">
        <v>2</v>
      </c>
      <c r="E182">
        <v>5</v>
      </c>
      <c r="F182">
        <v>8</v>
      </c>
      <c r="G182">
        <v>3</v>
      </c>
      <c r="H182">
        <v>6</v>
      </c>
      <c r="I182">
        <v>3.2600000000000004E-2</v>
      </c>
      <c r="J182">
        <v>50</v>
      </c>
      <c r="K182">
        <f t="shared" si="2"/>
        <v>1.6300000000000002E-2</v>
      </c>
      <c r="L182" t="s">
        <v>17</v>
      </c>
      <c r="M182">
        <v>296</v>
      </c>
      <c r="N182" t="s">
        <v>18</v>
      </c>
      <c r="O182" t="s">
        <v>907</v>
      </c>
    </row>
    <row r="183" spans="1:15" x14ac:dyDescent="0.2">
      <c r="A183" t="s">
        <v>624</v>
      </c>
      <c r="B183" t="s">
        <v>403</v>
      </c>
      <c r="C183">
        <v>9</v>
      </c>
      <c r="D183">
        <v>2</v>
      </c>
      <c r="E183">
        <v>7</v>
      </c>
      <c r="F183">
        <v>8</v>
      </c>
      <c r="G183">
        <v>3</v>
      </c>
      <c r="H183">
        <v>6</v>
      </c>
      <c r="I183">
        <v>2.8199999999999999E-2</v>
      </c>
      <c r="J183">
        <v>50</v>
      </c>
      <c r="K183">
        <f t="shared" si="2"/>
        <v>1.41E-2</v>
      </c>
      <c r="L183" t="s">
        <v>17</v>
      </c>
      <c r="M183">
        <v>296</v>
      </c>
      <c r="N183" t="s">
        <v>18</v>
      </c>
      <c r="O183" t="s">
        <v>907</v>
      </c>
    </row>
    <row r="184" spans="1:15" x14ac:dyDescent="0.2">
      <c r="A184" t="s">
        <v>624</v>
      </c>
      <c r="B184" t="s">
        <v>403</v>
      </c>
      <c r="C184">
        <v>9</v>
      </c>
      <c r="D184">
        <v>3</v>
      </c>
      <c r="E184">
        <v>6</v>
      </c>
      <c r="F184">
        <v>8</v>
      </c>
      <c r="G184">
        <v>4</v>
      </c>
      <c r="H184">
        <v>5</v>
      </c>
      <c r="I184">
        <v>3.1199999999999999E-2</v>
      </c>
      <c r="J184">
        <v>50</v>
      </c>
      <c r="K184">
        <f t="shared" si="2"/>
        <v>1.5599999999999998E-2</v>
      </c>
      <c r="L184" t="s">
        <v>17</v>
      </c>
      <c r="M184">
        <v>296</v>
      </c>
      <c r="N184" t="s">
        <v>18</v>
      </c>
      <c r="O184" t="s">
        <v>907</v>
      </c>
    </row>
    <row r="185" spans="1:15" x14ac:dyDescent="0.2">
      <c r="A185" t="s">
        <v>624</v>
      </c>
      <c r="B185" t="s">
        <v>403</v>
      </c>
      <c r="C185">
        <v>9</v>
      </c>
      <c r="D185">
        <v>2</v>
      </c>
      <c r="E185">
        <v>7</v>
      </c>
      <c r="F185">
        <v>9</v>
      </c>
      <c r="G185">
        <v>1</v>
      </c>
      <c r="H185">
        <v>8</v>
      </c>
      <c r="I185">
        <v>2.8199999999999999E-2</v>
      </c>
      <c r="J185">
        <v>50</v>
      </c>
      <c r="K185">
        <f t="shared" si="2"/>
        <v>1.41E-2</v>
      </c>
      <c r="L185" t="s">
        <v>17</v>
      </c>
      <c r="M185">
        <v>296</v>
      </c>
      <c r="N185" t="s">
        <v>18</v>
      </c>
      <c r="O185" t="s">
        <v>907</v>
      </c>
    </row>
    <row r="186" spans="1:15" x14ac:dyDescent="0.2">
      <c r="A186" t="s">
        <v>624</v>
      </c>
      <c r="B186" t="s">
        <v>403</v>
      </c>
      <c r="C186">
        <v>10</v>
      </c>
      <c r="D186">
        <v>2</v>
      </c>
      <c r="E186">
        <v>9</v>
      </c>
      <c r="F186">
        <v>9</v>
      </c>
      <c r="G186">
        <v>1</v>
      </c>
      <c r="H186">
        <v>8</v>
      </c>
      <c r="I186">
        <v>2.5600000000000001E-2</v>
      </c>
      <c r="J186">
        <v>50</v>
      </c>
      <c r="K186">
        <f t="shared" si="2"/>
        <v>1.2800000000000001E-2</v>
      </c>
      <c r="L186" t="s">
        <v>17</v>
      </c>
      <c r="M186">
        <v>296</v>
      </c>
      <c r="N186" t="s">
        <v>18</v>
      </c>
      <c r="O186" t="s">
        <v>907</v>
      </c>
    </row>
    <row r="187" spans="1:15" x14ac:dyDescent="0.2">
      <c r="A187" t="s">
        <v>624</v>
      </c>
      <c r="B187" t="s">
        <v>403</v>
      </c>
      <c r="C187">
        <v>9</v>
      </c>
      <c r="D187">
        <v>3</v>
      </c>
      <c r="E187">
        <v>7</v>
      </c>
      <c r="F187">
        <v>9</v>
      </c>
      <c r="G187">
        <v>2</v>
      </c>
      <c r="H187">
        <v>8</v>
      </c>
      <c r="I187">
        <v>2.8199999999999999E-2</v>
      </c>
      <c r="J187">
        <v>50</v>
      </c>
      <c r="K187">
        <f t="shared" si="2"/>
        <v>1.41E-2</v>
      </c>
      <c r="L187" t="s">
        <v>17</v>
      </c>
      <c r="M187">
        <v>296</v>
      </c>
      <c r="N187" t="s">
        <v>18</v>
      </c>
      <c r="O187" t="s">
        <v>907</v>
      </c>
    </row>
    <row r="188" spans="1:15" x14ac:dyDescent="0.2">
      <c r="A188" t="s">
        <v>624</v>
      </c>
      <c r="B188" t="s">
        <v>403</v>
      </c>
      <c r="C188">
        <v>10</v>
      </c>
      <c r="D188">
        <v>1</v>
      </c>
      <c r="E188">
        <v>9</v>
      </c>
      <c r="F188">
        <v>9</v>
      </c>
      <c r="G188">
        <v>2</v>
      </c>
      <c r="H188">
        <v>8</v>
      </c>
      <c r="I188">
        <v>2.5600000000000001E-2</v>
      </c>
      <c r="J188">
        <v>50</v>
      </c>
      <c r="K188">
        <f t="shared" si="2"/>
        <v>1.2800000000000001E-2</v>
      </c>
      <c r="L188" t="s">
        <v>17</v>
      </c>
      <c r="M188">
        <v>296</v>
      </c>
      <c r="N188" t="s">
        <v>18</v>
      </c>
      <c r="O188" t="s">
        <v>907</v>
      </c>
    </row>
    <row r="189" spans="1:15" x14ac:dyDescent="0.2">
      <c r="A189" t="s">
        <v>624</v>
      </c>
      <c r="B189" t="s">
        <v>403</v>
      </c>
      <c r="C189">
        <v>11</v>
      </c>
      <c r="D189">
        <v>1</v>
      </c>
      <c r="E189">
        <v>11</v>
      </c>
      <c r="F189">
        <v>10</v>
      </c>
      <c r="G189">
        <v>0</v>
      </c>
      <c r="H189">
        <v>10</v>
      </c>
      <c r="I189">
        <v>2.0799999999999999E-2</v>
      </c>
      <c r="J189">
        <v>50</v>
      </c>
      <c r="K189">
        <f t="shared" si="2"/>
        <v>1.04E-2</v>
      </c>
      <c r="L189" t="s">
        <v>17</v>
      </c>
      <c r="M189">
        <v>296</v>
      </c>
      <c r="N189" t="s">
        <v>18</v>
      </c>
      <c r="O189" t="s">
        <v>907</v>
      </c>
    </row>
    <row r="190" spans="1:15" x14ac:dyDescent="0.2">
      <c r="A190" t="s">
        <v>624</v>
      </c>
      <c r="B190" t="s">
        <v>403</v>
      </c>
      <c r="C190">
        <v>10</v>
      </c>
      <c r="D190">
        <v>2</v>
      </c>
      <c r="E190">
        <v>8</v>
      </c>
      <c r="F190">
        <v>10</v>
      </c>
      <c r="G190">
        <v>1</v>
      </c>
      <c r="H190">
        <v>9</v>
      </c>
      <c r="I190">
        <v>2.6600000000000002E-2</v>
      </c>
      <c r="J190">
        <v>50</v>
      </c>
      <c r="K190">
        <f t="shared" si="2"/>
        <v>1.3300000000000001E-2</v>
      </c>
      <c r="L190" t="s">
        <v>17</v>
      </c>
      <c r="M190">
        <v>296</v>
      </c>
      <c r="N190" t="s">
        <v>18</v>
      </c>
      <c r="O190" t="s">
        <v>907</v>
      </c>
    </row>
    <row r="191" spans="1:15" x14ac:dyDescent="0.2">
      <c r="A191" t="s">
        <v>624</v>
      </c>
      <c r="B191" t="s">
        <v>403</v>
      </c>
      <c r="C191">
        <v>10</v>
      </c>
      <c r="D191">
        <v>3</v>
      </c>
      <c r="E191">
        <v>8</v>
      </c>
      <c r="F191">
        <v>10</v>
      </c>
      <c r="G191">
        <v>2</v>
      </c>
      <c r="H191">
        <v>9</v>
      </c>
      <c r="I191">
        <v>2.6600000000000002E-2</v>
      </c>
      <c r="J191">
        <v>50</v>
      </c>
      <c r="K191">
        <f t="shared" si="2"/>
        <v>1.3300000000000001E-2</v>
      </c>
      <c r="L191" t="s">
        <v>17</v>
      </c>
      <c r="M191">
        <v>296</v>
      </c>
      <c r="N191" t="s">
        <v>18</v>
      </c>
      <c r="O191" t="s">
        <v>907</v>
      </c>
    </row>
    <row r="192" spans="1:15" x14ac:dyDescent="0.2">
      <c r="A192" t="s">
        <v>624</v>
      </c>
      <c r="B192" t="s">
        <v>403</v>
      </c>
      <c r="C192">
        <v>12</v>
      </c>
      <c r="D192">
        <v>1</v>
      </c>
      <c r="E192">
        <v>12</v>
      </c>
      <c r="F192">
        <v>11</v>
      </c>
      <c r="G192">
        <v>0</v>
      </c>
      <c r="H192">
        <v>11</v>
      </c>
      <c r="I192">
        <v>1.9399999999999997E-2</v>
      </c>
      <c r="J192">
        <v>50</v>
      </c>
      <c r="K192">
        <f t="shared" si="2"/>
        <v>9.6999999999999986E-3</v>
      </c>
      <c r="L192" t="s">
        <v>17</v>
      </c>
      <c r="M192">
        <v>296</v>
      </c>
      <c r="N192" t="s">
        <v>18</v>
      </c>
      <c r="O192" t="s">
        <v>907</v>
      </c>
    </row>
    <row r="193" spans="1:15" x14ac:dyDescent="0.2">
      <c r="A193" t="s">
        <v>624</v>
      </c>
      <c r="B193" t="s">
        <v>403</v>
      </c>
      <c r="C193">
        <v>12</v>
      </c>
      <c r="D193">
        <v>0</v>
      </c>
      <c r="E193">
        <v>12</v>
      </c>
      <c r="F193">
        <v>11</v>
      </c>
      <c r="G193">
        <v>1</v>
      </c>
      <c r="H193">
        <v>11</v>
      </c>
      <c r="I193">
        <v>1.9399999999999997E-2</v>
      </c>
      <c r="J193">
        <v>50</v>
      </c>
      <c r="K193">
        <f t="shared" si="2"/>
        <v>9.6999999999999986E-3</v>
      </c>
      <c r="L193" t="s">
        <v>17</v>
      </c>
      <c r="M193">
        <v>296</v>
      </c>
      <c r="N193" t="s">
        <v>18</v>
      </c>
      <c r="O193" t="s">
        <v>907</v>
      </c>
    </row>
    <row r="194" spans="1:15" x14ac:dyDescent="0.2">
      <c r="A194" t="s">
        <v>624</v>
      </c>
      <c r="B194" t="s">
        <v>403</v>
      </c>
      <c r="C194">
        <v>3</v>
      </c>
      <c r="D194">
        <v>3</v>
      </c>
      <c r="E194">
        <v>1</v>
      </c>
      <c r="F194">
        <v>2</v>
      </c>
      <c r="G194">
        <v>0</v>
      </c>
      <c r="H194">
        <v>2</v>
      </c>
      <c r="I194">
        <v>4.19E-2</v>
      </c>
      <c r="J194">
        <v>50</v>
      </c>
      <c r="K194">
        <f t="shared" si="2"/>
        <v>2.0950000000000003E-2</v>
      </c>
      <c r="L194" t="s">
        <v>17</v>
      </c>
      <c r="M194">
        <v>296</v>
      </c>
      <c r="N194" t="s">
        <v>18</v>
      </c>
      <c r="O194" t="s">
        <v>907</v>
      </c>
    </row>
    <row r="195" spans="1:15" x14ac:dyDescent="0.2">
      <c r="A195" t="s">
        <v>624</v>
      </c>
      <c r="B195" t="s">
        <v>403</v>
      </c>
      <c r="C195">
        <v>2</v>
      </c>
      <c r="D195">
        <v>1</v>
      </c>
      <c r="E195">
        <v>2</v>
      </c>
      <c r="F195">
        <v>3</v>
      </c>
      <c r="G195">
        <v>0</v>
      </c>
      <c r="H195">
        <v>3</v>
      </c>
      <c r="I195">
        <v>3.9E-2</v>
      </c>
      <c r="J195">
        <v>50</v>
      </c>
      <c r="K195">
        <f t="shared" si="2"/>
        <v>1.95E-2</v>
      </c>
      <c r="L195" t="s">
        <v>17</v>
      </c>
      <c r="M195">
        <v>296</v>
      </c>
      <c r="N195" t="s">
        <v>18</v>
      </c>
      <c r="O195" t="s">
        <v>907</v>
      </c>
    </row>
    <row r="196" spans="1:15" x14ac:dyDescent="0.2">
      <c r="A196" t="s">
        <v>624</v>
      </c>
      <c r="B196" t="s">
        <v>403</v>
      </c>
      <c r="C196">
        <v>2</v>
      </c>
      <c r="D196">
        <v>0</v>
      </c>
      <c r="E196">
        <v>2</v>
      </c>
      <c r="F196">
        <v>3</v>
      </c>
      <c r="G196">
        <v>1</v>
      </c>
      <c r="H196">
        <v>3</v>
      </c>
      <c r="I196">
        <v>3.9200000000000006E-2</v>
      </c>
      <c r="J196">
        <v>50</v>
      </c>
      <c r="K196">
        <f t="shared" ref="K196:K259" si="3">J196*I196/100</f>
        <v>1.9600000000000003E-2</v>
      </c>
      <c r="L196" t="s">
        <v>17</v>
      </c>
      <c r="M196">
        <v>296</v>
      </c>
      <c r="N196" t="s">
        <v>18</v>
      </c>
      <c r="O196" t="s">
        <v>907</v>
      </c>
    </row>
    <row r="197" spans="1:15" x14ac:dyDescent="0.2">
      <c r="A197" t="s">
        <v>624</v>
      </c>
      <c r="B197" t="s">
        <v>403</v>
      </c>
      <c r="C197">
        <v>2</v>
      </c>
      <c r="D197">
        <v>2</v>
      </c>
      <c r="E197">
        <v>1</v>
      </c>
      <c r="F197">
        <v>3</v>
      </c>
      <c r="G197">
        <v>1</v>
      </c>
      <c r="H197">
        <v>2</v>
      </c>
      <c r="I197">
        <v>3.9E-2</v>
      </c>
      <c r="J197">
        <v>50</v>
      </c>
      <c r="K197">
        <f t="shared" si="3"/>
        <v>1.95E-2</v>
      </c>
      <c r="L197" t="s">
        <v>17</v>
      </c>
      <c r="M197">
        <v>296</v>
      </c>
      <c r="N197" t="s">
        <v>18</v>
      </c>
      <c r="O197" t="s">
        <v>907</v>
      </c>
    </row>
    <row r="198" spans="1:15" x14ac:dyDescent="0.2">
      <c r="A198" t="s">
        <v>624</v>
      </c>
      <c r="B198" t="s">
        <v>403</v>
      </c>
      <c r="C198">
        <v>4</v>
      </c>
      <c r="D198">
        <v>3</v>
      </c>
      <c r="E198">
        <v>2</v>
      </c>
      <c r="F198">
        <v>3</v>
      </c>
      <c r="G198">
        <v>2</v>
      </c>
      <c r="H198">
        <v>1</v>
      </c>
      <c r="I198">
        <v>3.7499999999999999E-2</v>
      </c>
      <c r="J198">
        <v>50</v>
      </c>
      <c r="K198">
        <f t="shared" si="3"/>
        <v>1.8749999999999999E-2</v>
      </c>
      <c r="L198" t="s">
        <v>17</v>
      </c>
      <c r="M198">
        <v>296</v>
      </c>
      <c r="N198" t="s">
        <v>18</v>
      </c>
      <c r="O198" t="s">
        <v>907</v>
      </c>
    </row>
    <row r="199" spans="1:15" x14ac:dyDescent="0.2">
      <c r="A199" t="s">
        <v>624</v>
      </c>
      <c r="B199" t="s">
        <v>403</v>
      </c>
      <c r="C199">
        <v>4</v>
      </c>
      <c r="D199">
        <v>4</v>
      </c>
      <c r="E199">
        <v>1</v>
      </c>
      <c r="F199">
        <v>3</v>
      </c>
      <c r="G199">
        <v>3</v>
      </c>
      <c r="H199">
        <v>0</v>
      </c>
      <c r="I199">
        <v>3.39E-2</v>
      </c>
      <c r="J199">
        <v>50</v>
      </c>
      <c r="K199">
        <f t="shared" si="3"/>
        <v>1.695E-2</v>
      </c>
      <c r="L199" t="s">
        <v>17</v>
      </c>
      <c r="M199">
        <v>296</v>
      </c>
      <c r="N199" t="s">
        <v>18</v>
      </c>
      <c r="O199" t="s">
        <v>907</v>
      </c>
    </row>
    <row r="200" spans="1:15" x14ac:dyDescent="0.2">
      <c r="A200" t="s">
        <v>624</v>
      </c>
      <c r="B200" t="s">
        <v>403</v>
      </c>
      <c r="C200">
        <v>5</v>
      </c>
      <c r="D200">
        <v>3</v>
      </c>
      <c r="E200">
        <v>2</v>
      </c>
      <c r="F200">
        <v>4</v>
      </c>
      <c r="G200">
        <v>2</v>
      </c>
      <c r="H200">
        <v>3</v>
      </c>
      <c r="I200">
        <v>3.8799999999999994E-2</v>
      </c>
      <c r="J200">
        <v>50</v>
      </c>
      <c r="K200">
        <f t="shared" si="3"/>
        <v>1.9399999999999997E-2</v>
      </c>
      <c r="L200" t="s">
        <v>17</v>
      </c>
      <c r="M200">
        <v>296</v>
      </c>
      <c r="N200" t="s">
        <v>18</v>
      </c>
      <c r="O200" t="s">
        <v>907</v>
      </c>
    </row>
    <row r="201" spans="1:15" x14ac:dyDescent="0.2">
      <c r="A201" t="s">
        <v>624</v>
      </c>
      <c r="B201" t="s">
        <v>403</v>
      </c>
      <c r="C201">
        <v>4</v>
      </c>
      <c r="D201">
        <v>1</v>
      </c>
      <c r="E201">
        <v>3</v>
      </c>
      <c r="F201">
        <v>5</v>
      </c>
      <c r="G201">
        <v>2</v>
      </c>
      <c r="H201">
        <v>4</v>
      </c>
      <c r="I201">
        <v>3.6400000000000002E-2</v>
      </c>
      <c r="J201">
        <v>50</v>
      </c>
      <c r="K201">
        <f t="shared" si="3"/>
        <v>1.8200000000000001E-2</v>
      </c>
      <c r="L201" t="s">
        <v>17</v>
      </c>
      <c r="M201">
        <v>296</v>
      </c>
      <c r="N201" t="s">
        <v>18</v>
      </c>
      <c r="O201" t="s">
        <v>907</v>
      </c>
    </row>
    <row r="202" spans="1:15" x14ac:dyDescent="0.2">
      <c r="A202" t="s">
        <v>624</v>
      </c>
      <c r="B202" t="s">
        <v>403</v>
      </c>
      <c r="C202">
        <v>4</v>
      </c>
      <c r="D202">
        <v>3</v>
      </c>
      <c r="E202">
        <v>2</v>
      </c>
      <c r="F202">
        <v>5</v>
      </c>
      <c r="G202">
        <v>2</v>
      </c>
      <c r="H202">
        <v>3</v>
      </c>
      <c r="I202">
        <v>3.5999999999999997E-2</v>
      </c>
      <c r="J202">
        <v>50</v>
      </c>
      <c r="K202">
        <f t="shared" si="3"/>
        <v>1.7999999999999999E-2</v>
      </c>
      <c r="L202" t="s">
        <v>17</v>
      </c>
      <c r="M202">
        <v>296</v>
      </c>
      <c r="N202" t="s">
        <v>18</v>
      </c>
      <c r="O202" t="s">
        <v>907</v>
      </c>
    </row>
    <row r="203" spans="1:15" x14ac:dyDescent="0.2">
      <c r="A203" t="s">
        <v>624</v>
      </c>
      <c r="B203" t="s">
        <v>403</v>
      </c>
      <c r="C203">
        <v>6</v>
      </c>
      <c r="D203">
        <v>4</v>
      </c>
      <c r="E203">
        <v>2</v>
      </c>
      <c r="F203">
        <v>5</v>
      </c>
      <c r="G203">
        <v>3</v>
      </c>
      <c r="H203">
        <v>3</v>
      </c>
      <c r="I203">
        <v>3.6600000000000001E-2</v>
      </c>
      <c r="J203">
        <v>50</v>
      </c>
      <c r="K203">
        <f t="shared" si="3"/>
        <v>1.83E-2</v>
      </c>
      <c r="L203" t="s">
        <v>17</v>
      </c>
      <c r="M203">
        <v>296</v>
      </c>
      <c r="N203" t="s">
        <v>18</v>
      </c>
      <c r="O203" t="s">
        <v>907</v>
      </c>
    </row>
    <row r="204" spans="1:15" x14ac:dyDescent="0.2">
      <c r="A204" t="s">
        <v>624</v>
      </c>
      <c r="B204" t="s">
        <v>403</v>
      </c>
      <c r="C204">
        <v>6</v>
      </c>
      <c r="D204">
        <v>4</v>
      </c>
      <c r="E204">
        <v>3</v>
      </c>
      <c r="F204">
        <v>5</v>
      </c>
      <c r="G204">
        <v>3</v>
      </c>
      <c r="H204">
        <v>2</v>
      </c>
      <c r="I204">
        <v>3.56E-2</v>
      </c>
      <c r="J204">
        <v>50</v>
      </c>
      <c r="K204">
        <f t="shared" si="3"/>
        <v>1.78E-2</v>
      </c>
      <c r="L204" t="s">
        <v>17</v>
      </c>
      <c r="M204">
        <v>296</v>
      </c>
      <c r="N204" t="s">
        <v>18</v>
      </c>
      <c r="O204" t="s">
        <v>907</v>
      </c>
    </row>
    <row r="205" spans="1:15" x14ac:dyDescent="0.2">
      <c r="A205" t="s">
        <v>624</v>
      </c>
      <c r="B205" t="s">
        <v>403</v>
      </c>
      <c r="C205">
        <v>6</v>
      </c>
      <c r="D205">
        <v>5</v>
      </c>
      <c r="E205">
        <v>2</v>
      </c>
      <c r="F205">
        <v>5</v>
      </c>
      <c r="G205">
        <v>4</v>
      </c>
      <c r="H205">
        <v>1</v>
      </c>
      <c r="I205">
        <v>3.3600000000000005E-2</v>
      </c>
      <c r="J205">
        <v>50</v>
      </c>
      <c r="K205">
        <f t="shared" si="3"/>
        <v>1.6800000000000002E-2</v>
      </c>
      <c r="L205" t="s">
        <v>17</v>
      </c>
      <c r="M205">
        <v>296</v>
      </c>
      <c r="N205" t="s">
        <v>18</v>
      </c>
      <c r="O205" t="s">
        <v>907</v>
      </c>
    </row>
    <row r="206" spans="1:15" x14ac:dyDescent="0.2">
      <c r="A206" t="s">
        <v>624</v>
      </c>
      <c r="B206" t="s">
        <v>403</v>
      </c>
      <c r="C206">
        <v>5</v>
      </c>
      <c r="D206">
        <v>2</v>
      </c>
      <c r="E206">
        <v>3</v>
      </c>
      <c r="F206">
        <v>6</v>
      </c>
      <c r="G206">
        <v>3</v>
      </c>
      <c r="H206">
        <v>4</v>
      </c>
      <c r="I206">
        <v>3.5099999999999999E-2</v>
      </c>
      <c r="J206">
        <v>50</v>
      </c>
      <c r="K206">
        <f t="shared" si="3"/>
        <v>1.755E-2</v>
      </c>
      <c r="L206" t="s">
        <v>17</v>
      </c>
      <c r="M206">
        <v>296</v>
      </c>
      <c r="N206" t="s">
        <v>18</v>
      </c>
      <c r="O206" t="s">
        <v>907</v>
      </c>
    </row>
    <row r="207" spans="1:15" x14ac:dyDescent="0.2">
      <c r="A207" t="s">
        <v>624</v>
      </c>
      <c r="B207" t="s">
        <v>403</v>
      </c>
      <c r="C207">
        <v>7</v>
      </c>
      <c r="D207">
        <v>2</v>
      </c>
      <c r="E207">
        <v>5</v>
      </c>
      <c r="F207">
        <v>6</v>
      </c>
      <c r="G207">
        <v>3</v>
      </c>
      <c r="H207">
        <v>4</v>
      </c>
      <c r="I207">
        <v>3.2799999999999996E-2</v>
      </c>
      <c r="J207">
        <v>50</v>
      </c>
      <c r="K207">
        <f t="shared" si="3"/>
        <v>1.6399999999999998E-2</v>
      </c>
      <c r="L207" t="s">
        <v>17</v>
      </c>
      <c r="M207">
        <v>296</v>
      </c>
      <c r="N207" t="s">
        <v>18</v>
      </c>
      <c r="O207" t="s">
        <v>907</v>
      </c>
    </row>
    <row r="208" spans="1:15" x14ac:dyDescent="0.2">
      <c r="A208" t="s">
        <v>624</v>
      </c>
      <c r="B208" t="s">
        <v>403</v>
      </c>
      <c r="C208">
        <v>6</v>
      </c>
      <c r="D208">
        <v>1</v>
      </c>
      <c r="E208">
        <v>6</v>
      </c>
      <c r="F208">
        <v>7</v>
      </c>
      <c r="G208">
        <v>0</v>
      </c>
      <c r="H208">
        <v>7</v>
      </c>
      <c r="I208">
        <v>3.0800000000000001E-2</v>
      </c>
      <c r="J208">
        <v>50</v>
      </c>
      <c r="K208">
        <f t="shared" si="3"/>
        <v>1.54E-2</v>
      </c>
      <c r="L208" t="s">
        <v>17</v>
      </c>
      <c r="M208">
        <v>296</v>
      </c>
      <c r="N208" t="s">
        <v>18</v>
      </c>
      <c r="O208" t="s">
        <v>907</v>
      </c>
    </row>
    <row r="209" spans="1:15" x14ac:dyDescent="0.2">
      <c r="A209" t="s">
        <v>624</v>
      </c>
      <c r="B209" t="s">
        <v>403</v>
      </c>
      <c r="C209">
        <v>6</v>
      </c>
      <c r="D209">
        <v>0</v>
      </c>
      <c r="E209">
        <v>6</v>
      </c>
      <c r="F209">
        <v>7</v>
      </c>
      <c r="G209">
        <v>1</v>
      </c>
      <c r="H209">
        <v>7</v>
      </c>
      <c r="I209">
        <v>3.0800000000000001E-2</v>
      </c>
      <c r="J209">
        <v>50</v>
      </c>
      <c r="K209">
        <f t="shared" si="3"/>
        <v>1.54E-2</v>
      </c>
      <c r="L209" t="s">
        <v>17</v>
      </c>
      <c r="M209">
        <v>296</v>
      </c>
      <c r="N209" t="s">
        <v>18</v>
      </c>
      <c r="O209" t="s">
        <v>907</v>
      </c>
    </row>
    <row r="210" spans="1:15" x14ac:dyDescent="0.2">
      <c r="A210" t="s">
        <v>624</v>
      </c>
      <c r="B210" t="s">
        <v>403</v>
      </c>
      <c r="C210">
        <v>7</v>
      </c>
      <c r="D210">
        <v>2</v>
      </c>
      <c r="E210">
        <v>6</v>
      </c>
      <c r="F210">
        <v>7</v>
      </c>
      <c r="G210">
        <v>1</v>
      </c>
      <c r="H210">
        <v>7</v>
      </c>
      <c r="I210">
        <v>3.1699999999999999E-2</v>
      </c>
      <c r="J210">
        <v>50</v>
      </c>
      <c r="K210">
        <f t="shared" si="3"/>
        <v>1.585E-2</v>
      </c>
      <c r="L210" t="s">
        <v>17</v>
      </c>
      <c r="M210">
        <v>296</v>
      </c>
      <c r="N210" t="s">
        <v>18</v>
      </c>
      <c r="O210" t="s">
        <v>907</v>
      </c>
    </row>
    <row r="211" spans="1:15" x14ac:dyDescent="0.2">
      <c r="A211" t="s">
        <v>624</v>
      </c>
      <c r="B211" t="s">
        <v>403</v>
      </c>
      <c r="C211">
        <v>8</v>
      </c>
      <c r="D211">
        <v>3</v>
      </c>
      <c r="E211">
        <v>6</v>
      </c>
      <c r="F211">
        <v>7</v>
      </c>
      <c r="G211">
        <v>2</v>
      </c>
      <c r="H211">
        <v>5</v>
      </c>
      <c r="I211">
        <v>3.0699999999999998E-2</v>
      </c>
      <c r="J211">
        <v>50</v>
      </c>
      <c r="K211">
        <f t="shared" si="3"/>
        <v>1.5349999999999999E-2</v>
      </c>
      <c r="L211" t="s">
        <v>17</v>
      </c>
      <c r="M211">
        <v>296</v>
      </c>
      <c r="N211" t="s">
        <v>18</v>
      </c>
      <c r="O211" t="s">
        <v>907</v>
      </c>
    </row>
    <row r="212" spans="1:15" x14ac:dyDescent="0.2">
      <c r="A212" t="s">
        <v>624</v>
      </c>
      <c r="B212" t="s">
        <v>403</v>
      </c>
      <c r="C212">
        <v>8</v>
      </c>
      <c r="D212">
        <v>2</v>
      </c>
      <c r="E212">
        <v>6</v>
      </c>
      <c r="F212">
        <v>7</v>
      </c>
      <c r="G212">
        <v>3</v>
      </c>
      <c r="H212">
        <v>5</v>
      </c>
      <c r="I212">
        <v>3.0600000000000002E-2</v>
      </c>
      <c r="J212">
        <v>50</v>
      </c>
      <c r="K212">
        <f t="shared" si="3"/>
        <v>1.5300000000000001E-2</v>
      </c>
      <c r="L212" t="s">
        <v>17</v>
      </c>
      <c r="M212">
        <v>296</v>
      </c>
      <c r="N212" t="s">
        <v>18</v>
      </c>
      <c r="O212" t="s">
        <v>907</v>
      </c>
    </row>
    <row r="213" spans="1:15" x14ac:dyDescent="0.2">
      <c r="A213" t="s">
        <v>624</v>
      </c>
      <c r="B213" t="s">
        <v>403</v>
      </c>
      <c r="C213">
        <v>7</v>
      </c>
      <c r="D213">
        <v>1</v>
      </c>
      <c r="E213">
        <v>7</v>
      </c>
      <c r="F213">
        <v>8</v>
      </c>
      <c r="G213">
        <v>0</v>
      </c>
      <c r="H213">
        <v>8</v>
      </c>
      <c r="I213">
        <v>2.8500000000000001E-2</v>
      </c>
      <c r="J213">
        <v>50</v>
      </c>
      <c r="K213">
        <f t="shared" si="3"/>
        <v>1.4250000000000001E-2</v>
      </c>
      <c r="L213" t="s">
        <v>17</v>
      </c>
      <c r="M213">
        <v>296</v>
      </c>
      <c r="N213" t="s">
        <v>18</v>
      </c>
      <c r="O213" t="s">
        <v>907</v>
      </c>
    </row>
    <row r="214" spans="1:15" x14ac:dyDescent="0.2">
      <c r="A214" t="s">
        <v>624</v>
      </c>
      <c r="B214" t="s">
        <v>403</v>
      </c>
      <c r="C214">
        <v>7</v>
      </c>
      <c r="D214">
        <v>0</v>
      </c>
      <c r="E214">
        <v>7</v>
      </c>
      <c r="F214">
        <v>8</v>
      </c>
      <c r="G214">
        <v>1</v>
      </c>
      <c r="H214">
        <v>8</v>
      </c>
      <c r="I214">
        <v>2.8500000000000001E-2</v>
      </c>
      <c r="J214">
        <v>50</v>
      </c>
      <c r="K214">
        <f t="shared" si="3"/>
        <v>1.4250000000000001E-2</v>
      </c>
      <c r="L214" t="s">
        <v>17</v>
      </c>
      <c r="M214">
        <v>296</v>
      </c>
      <c r="N214" t="s">
        <v>18</v>
      </c>
      <c r="O214" t="s">
        <v>907</v>
      </c>
    </row>
    <row r="215" spans="1:15" x14ac:dyDescent="0.2">
      <c r="A215" t="s">
        <v>624</v>
      </c>
      <c r="B215" t="s">
        <v>403</v>
      </c>
      <c r="C215">
        <v>7</v>
      </c>
      <c r="D215">
        <v>2</v>
      </c>
      <c r="E215">
        <v>6</v>
      </c>
      <c r="F215">
        <v>8</v>
      </c>
      <c r="G215">
        <v>1</v>
      </c>
      <c r="H215">
        <v>7</v>
      </c>
      <c r="I215">
        <v>2.9899999999999999E-2</v>
      </c>
      <c r="J215">
        <v>50</v>
      </c>
      <c r="K215">
        <f t="shared" si="3"/>
        <v>1.4949999999999998E-2</v>
      </c>
      <c r="L215" t="s">
        <v>17</v>
      </c>
      <c r="M215">
        <v>296</v>
      </c>
      <c r="N215" t="s">
        <v>18</v>
      </c>
      <c r="O215" t="s">
        <v>907</v>
      </c>
    </row>
    <row r="216" spans="1:15" x14ac:dyDescent="0.2">
      <c r="A216" t="s">
        <v>624</v>
      </c>
      <c r="B216" t="s">
        <v>403</v>
      </c>
      <c r="C216">
        <v>8</v>
      </c>
      <c r="D216">
        <v>2</v>
      </c>
      <c r="E216">
        <v>6</v>
      </c>
      <c r="F216">
        <v>8</v>
      </c>
      <c r="G216">
        <v>1</v>
      </c>
      <c r="H216">
        <v>7</v>
      </c>
      <c r="I216">
        <v>2.9700000000000001E-2</v>
      </c>
      <c r="J216">
        <v>50</v>
      </c>
      <c r="K216">
        <f t="shared" si="3"/>
        <v>1.485E-2</v>
      </c>
      <c r="L216" t="s">
        <v>17</v>
      </c>
      <c r="M216">
        <v>296</v>
      </c>
      <c r="N216" t="s">
        <v>18</v>
      </c>
      <c r="O216" t="s">
        <v>907</v>
      </c>
    </row>
    <row r="217" spans="1:15" x14ac:dyDescent="0.2">
      <c r="A217" t="s">
        <v>624</v>
      </c>
      <c r="B217" t="s">
        <v>403</v>
      </c>
      <c r="C217">
        <v>7</v>
      </c>
      <c r="D217">
        <v>1</v>
      </c>
      <c r="E217">
        <v>6</v>
      </c>
      <c r="F217">
        <v>8</v>
      </c>
      <c r="G217">
        <v>2</v>
      </c>
      <c r="H217">
        <v>7</v>
      </c>
      <c r="I217">
        <v>2.9899999999999999E-2</v>
      </c>
      <c r="J217">
        <v>50</v>
      </c>
      <c r="K217">
        <f t="shared" si="3"/>
        <v>1.4949999999999998E-2</v>
      </c>
      <c r="L217" t="s">
        <v>17</v>
      </c>
      <c r="M217">
        <v>296</v>
      </c>
      <c r="N217" t="s">
        <v>18</v>
      </c>
      <c r="O217" t="s">
        <v>907</v>
      </c>
    </row>
    <row r="218" spans="1:15" x14ac:dyDescent="0.2">
      <c r="A218" t="s">
        <v>624</v>
      </c>
      <c r="B218" t="s">
        <v>403</v>
      </c>
      <c r="C218">
        <v>8</v>
      </c>
      <c r="D218">
        <v>3</v>
      </c>
      <c r="E218">
        <v>6</v>
      </c>
      <c r="F218">
        <v>8</v>
      </c>
      <c r="G218">
        <v>2</v>
      </c>
      <c r="H218">
        <v>7</v>
      </c>
      <c r="I218">
        <v>2.9700000000000001E-2</v>
      </c>
      <c r="J218">
        <v>50</v>
      </c>
      <c r="K218">
        <f t="shared" si="3"/>
        <v>1.485E-2</v>
      </c>
      <c r="L218" t="s">
        <v>17</v>
      </c>
      <c r="M218">
        <v>296</v>
      </c>
      <c r="N218" t="s">
        <v>18</v>
      </c>
      <c r="O218" t="s">
        <v>907</v>
      </c>
    </row>
    <row r="219" spans="1:15" x14ac:dyDescent="0.2">
      <c r="A219" t="s">
        <v>624</v>
      </c>
      <c r="B219" t="s">
        <v>403</v>
      </c>
      <c r="C219">
        <v>7</v>
      </c>
      <c r="D219">
        <v>3</v>
      </c>
      <c r="E219">
        <v>5</v>
      </c>
      <c r="F219">
        <v>8</v>
      </c>
      <c r="G219">
        <v>2</v>
      </c>
      <c r="H219">
        <v>6</v>
      </c>
      <c r="I219">
        <v>3.0600000000000002E-2</v>
      </c>
      <c r="J219">
        <v>50</v>
      </c>
      <c r="K219">
        <f t="shared" si="3"/>
        <v>1.5300000000000001E-2</v>
      </c>
      <c r="L219" t="s">
        <v>17</v>
      </c>
      <c r="M219">
        <v>296</v>
      </c>
      <c r="N219" t="s">
        <v>18</v>
      </c>
      <c r="O219" t="s">
        <v>907</v>
      </c>
    </row>
    <row r="220" spans="1:15" x14ac:dyDescent="0.2">
      <c r="A220" t="s">
        <v>624</v>
      </c>
      <c r="B220" t="s">
        <v>403</v>
      </c>
      <c r="C220">
        <v>9</v>
      </c>
      <c r="D220">
        <v>3</v>
      </c>
      <c r="E220">
        <v>7</v>
      </c>
      <c r="F220">
        <v>8</v>
      </c>
      <c r="G220">
        <v>2</v>
      </c>
      <c r="H220">
        <v>6</v>
      </c>
      <c r="I220">
        <v>2.8300000000000002E-2</v>
      </c>
      <c r="J220">
        <v>50</v>
      </c>
      <c r="K220">
        <f t="shared" si="3"/>
        <v>1.4150000000000001E-2</v>
      </c>
      <c r="L220" t="s">
        <v>17</v>
      </c>
      <c r="M220">
        <v>296</v>
      </c>
      <c r="N220" t="s">
        <v>18</v>
      </c>
      <c r="O220" t="s">
        <v>907</v>
      </c>
    </row>
    <row r="221" spans="1:15" x14ac:dyDescent="0.2">
      <c r="A221" t="s">
        <v>624</v>
      </c>
      <c r="B221" t="s">
        <v>403</v>
      </c>
      <c r="C221">
        <v>7</v>
      </c>
      <c r="D221">
        <v>2</v>
      </c>
      <c r="E221">
        <v>5</v>
      </c>
      <c r="F221">
        <v>8</v>
      </c>
      <c r="G221">
        <v>3</v>
      </c>
      <c r="H221">
        <v>6</v>
      </c>
      <c r="I221">
        <v>3.0699999999999998E-2</v>
      </c>
      <c r="J221">
        <v>50</v>
      </c>
      <c r="K221">
        <f t="shared" si="3"/>
        <v>1.5349999999999999E-2</v>
      </c>
      <c r="L221" t="s">
        <v>17</v>
      </c>
      <c r="M221">
        <v>296</v>
      </c>
      <c r="N221" t="s">
        <v>18</v>
      </c>
      <c r="O221" t="s">
        <v>907</v>
      </c>
    </row>
    <row r="222" spans="1:15" x14ac:dyDescent="0.2">
      <c r="A222" t="s">
        <v>624</v>
      </c>
      <c r="B222" t="s">
        <v>403</v>
      </c>
      <c r="C222">
        <v>9</v>
      </c>
      <c r="D222">
        <v>2</v>
      </c>
      <c r="E222">
        <v>7</v>
      </c>
      <c r="F222">
        <v>8</v>
      </c>
      <c r="G222">
        <v>3</v>
      </c>
      <c r="H222">
        <v>6</v>
      </c>
      <c r="I222">
        <v>2.8300000000000002E-2</v>
      </c>
      <c r="J222">
        <v>50</v>
      </c>
      <c r="K222">
        <f t="shared" si="3"/>
        <v>1.4150000000000001E-2</v>
      </c>
      <c r="L222" t="s">
        <v>17</v>
      </c>
      <c r="M222">
        <v>296</v>
      </c>
      <c r="N222" t="s">
        <v>18</v>
      </c>
      <c r="O222" t="s">
        <v>907</v>
      </c>
    </row>
    <row r="223" spans="1:15" x14ac:dyDescent="0.2">
      <c r="A223" t="s">
        <v>624</v>
      </c>
      <c r="B223" t="s">
        <v>403</v>
      </c>
      <c r="C223">
        <v>9</v>
      </c>
      <c r="D223">
        <v>3</v>
      </c>
      <c r="E223">
        <v>6</v>
      </c>
      <c r="F223">
        <v>8</v>
      </c>
      <c r="G223">
        <v>4</v>
      </c>
      <c r="H223">
        <v>5</v>
      </c>
      <c r="I223">
        <v>2.9399999999999999E-2</v>
      </c>
      <c r="J223">
        <v>50</v>
      </c>
      <c r="K223">
        <f t="shared" si="3"/>
        <v>1.47E-2</v>
      </c>
      <c r="L223" t="s">
        <v>17</v>
      </c>
      <c r="M223">
        <v>296</v>
      </c>
      <c r="N223" t="s">
        <v>18</v>
      </c>
      <c r="O223" t="s">
        <v>907</v>
      </c>
    </row>
    <row r="224" spans="1:15" x14ac:dyDescent="0.2">
      <c r="A224" t="s">
        <v>624</v>
      </c>
      <c r="B224" t="s">
        <v>403</v>
      </c>
      <c r="C224">
        <v>9</v>
      </c>
      <c r="D224">
        <v>2</v>
      </c>
      <c r="E224">
        <v>7</v>
      </c>
      <c r="F224">
        <v>9</v>
      </c>
      <c r="G224">
        <v>1</v>
      </c>
      <c r="H224">
        <v>8</v>
      </c>
      <c r="I224">
        <v>2.7300000000000001E-2</v>
      </c>
      <c r="J224">
        <v>50</v>
      </c>
      <c r="K224">
        <f t="shared" si="3"/>
        <v>1.3650000000000001E-2</v>
      </c>
      <c r="L224" t="s">
        <v>17</v>
      </c>
      <c r="M224">
        <v>296</v>
      </c>
      <c r="N224" t="s">
        <v>18</v>
      </c>
      <c r="O224" t="s">
        <v>907</v>
      </c>
    </row>
    <row r="225" spans="1:15" x14ac:dyDescent="0.2">
      <c r="A225" t="s">
        <v>624</v>
      </c>
      <c r="B225" t="s">
        <v>403</v>
      </c>
      <c r="C225">
        <v>10</v>
      </c>
      <c r="D225">
        <v>2</v>
      </c>
      <c r="E225">
        <v>9</v>
      </c>
      <c r="F225">
        <v>9</v>
      </c>
      <c r="G225">
        <v>1</v>
      </c>
      <c r="H225">
        <v>8</v>
      </c>
      <c r="I225">
        <v>2.52E-2</v>
      </c>
      <c r="J225">
        <v>50</v>
      </c>
      <c r="K225">
        <f t="shared" si="3"/>
        <v>1.26E-2</v>
      </c>
      <c r="L225" t="s">
        <v>17</v>
      </c>
      <c r="M225">
        <v>296</v>
      </c>
      <c r="N225" t="s">
        <v>18</v>
      </c>
      <c r="O225" t="s">
        <v>907</v>
      </c>
    </row>
    <row r="226" spans="1:15" x14ac:dyDescent="0.2">
      <c r="A226" t="s">
        <v>624</v>
      </c>
      <c r="B226" t="s">
        <v>403</v>
      </c>
      <c r="C226">
        <v>9</v>
      </c>
      <c r="D226">
        <v>3</v>
      </c>
      <c r="E226">
        <v>7</v>
      </c>
      <c r="F226">
        <v>9</v>
      </c>
      <c r="G226">
        <v>2</v>
      </c>
      <c r="H226">
        <v>8</v>
      </c>
      <c r="I226">
        <v>2.7300000000000001E-2</v>
      </c>
      <c r="J226">
        <v>50</v>
      </c>
      <c r="K226">
        <f t="shared" si="3"/>
        <v>1.3650000000000001E-2</v>
      </c>
      <c r="L226" t="s">
        <v>17</v>
      </c>
      <c r="M226">
        <v>296</v>
      </c>
      <c r="N226" t="s">
        <v>18</v>
      </c>
      <c r="O226" t="s">
        <v>907</v>
      </c>
    </row>
    <row r="227" spans="1:15" x14ac:dyDescent="0.2">
      <c r="A227" t="s">
        <v>624</v>
      </c>
      <c r="B227" t="s">
        <v>403</v>
      </c>
      <c r="C227">
        <v>10</v>
      </c>
      <c r="D227">
        <v>1</v>
      </c>
      <c r="E227">
        <v>9</v>
      </c>
      <c r="F227">
        <v>9</v>
      </c>
      <c r="G227">
        <v>2</v>
      </c>
      <c r="H227">
        <v>8</v>
      </c>
      <c r="I227">
        <v>2.52E-2</v>
      </c>
      <c r="J227">
        <v>50</v>
      </c>
      <c r="K227">
        <f t="shared" si="3"/>
        <v>1.26E-2</v>
      </c>
      <c r="L227" t="s">
        <v>17</v>
      </c>
      <c r="M227">
        <v>296</v>
      </c>
      <c r="N227" t="s">
        <v>18</v>
      </c>
      <c r="O227" t="s">
        <v>907</v>
      </c>
    </row>
    <row r="228" spans="1:15" x14ac:dyDescent="0.2">
      <c r="A228" t="s">
        <v>624</v>
      </c>
      <c r="B228" t="s">
        <v>403</v>
      </c>
      <c r="C228">
        <v>11</v>
      </c>
      <c r="D228">
        <v>1</v>
      </c>
      <c r="E228">
        <v>11</v>
      </c>
      <c r="F228">
        <v>10</v>
      </c>
      <c r="G228">
        <v>0</v>
      </c>
      <c r="H228">
        <v>10</v>
      </c>
      <c r="I228">
        <v>2.1700000000000001E-2</v>
      </c>
      <c r="J228">
        <v>50</v>
      </c>
      <c r="K228">
        <f t="shared" si="3"/>
        <v>1.085E-2</v>
      </c>
      <c r="L228" t="s">
        <v>17</v>
      </c>
      <c r="M228">
        <v>296</v>
      </c>
      <c r="N228" t="s">
        <v>18</v>
      </c>
      <c r="O228" t="s">
        <v>907</v>
      </c>
    </row>
    <row r="229" spans="1:15" x14ac:dyDescent="0.2">
      <c r="A229" t="s">
        <v>624</v>
      </c>
      <c r="B229" t="s">
        <v>403</v>
      </c>
      <c r="C229">
        <v>10</v>
      </c>
      <c r="D229">
        <v>2</v>
      </c>
      <c r="E229">
        <v>8</v>
      </c>
      <c r="F229">
        <v>10</v>
      </c>
      <c r="G229">
        <v>1</v>
      </c>
      <c r="H229">
        <v>9</v>
      </c>
      <c r="I229">
        <v>2.4899999999999999E-2</v>
      </c>
      <c r="J229">
        <v>50</v>
      </c>
      <c r="K229">
        <f t="shared" si="3"/>
        <v>1.2449999999999999E-2</v>
      </c>
      <c r="L229" t="s">
        <v>17</v>
      </c>
      <c r="M229">
        <v>296</v>
      </c>
      <c r="N229" t="s">
        <v>18</v>
      </c>
      <c r="O229" t="s">
        <v>907</v>
      </c>
    </row>
    <row r="230" spans="1:15" x14ac:dyDescent="0.2">
      <c r="A230" t="s">
        <v>624</v>
      </c>
      <c r="B230" t="s">
        <v>403</v>
      </c>
      <c r="C230">
        <v>10</v>
      </c>
      <c r="D230">
        <v>3</v>
      </c>
      <c r="E230">
        <v>8</v>
      </c>
      <c r="F230">
        <v>10</v>
      </c>
      <c r="G230">
        <v>2</v>
      </c>
      <c r="H230">
        <v>9</v>
      </c>
      <c r="I230">
        <v>2.4899999999999999E-2</v>
      </c>
      <c r="J230">
        <v>50</v>
      </c>
      <c r="K230">
        <f t="shared" si="3"/>
        <v>1.2449999999999999E-2</v>
      </c>
      <c r="L230" t="s">
        <v>17</v>
      </c>
      <c r="M230">
        <v>296</v>
      </c>
      <c r="N230" t="s">
        <v>18</v>
      </c>
      <c r="O230" t="s">
        <v>907</v>
      </c>
    </row>
    <row r="231" spans="1:15" x14ac:dyDescent="0.2">
      <c r="A231" t="s">
        <v>624</v>
      </c>
      <c r="B231" t="s">
        <v>403</v>
      </c>
      <c r="C231">
        <v>12</v>
      </c>
      <c r="D231">
        <v>1</v>
      </c>
      <c r="E231">
        <v>12</v>
      </c>
      <c r="F231">
        <v>11</v>
      </c>
      <c r="G231">
        <v>0</v>
      </c>
      <c r="H231">
        <v>11</v>
      </c>
      <c r="I231">
        <v>1.95E-2</v>
      </c>
      <c r="J231">
        <v>50</v>
      </c>
      <c r="K231">
        <f t="shared" si="3"/>
        <v>9.75E-3</v>
      </c>
      <c r="L231" t="s">
        <v>17</v>
      </c>
      <c r="M231">
        <v>296</v>
      </c>
      <c r="N231" t="s">
        <v>18</v>
      </c>
      <c r="O231" t="s">
        <v>907</v>
      </c>
    </row>
    <row r="232" spans="1:15" x14ac:dyDescent="0.2">
      <c r="A232" t="s">
        <v>624</v>
      </c>
      <c r="B232" t="s">
        <v>403</v>
      </c>
      <c r="C232">
        <v>12</v>
      </c>
      <c r="D232">
        <v>0</v>
      </c>
      <c r="E232">
        <v>12</v>
      </c>
      <c r="F232">
        <v>11</v>
      </c>
      <c r="G232">
        <v>1</v>
      </c>
      <c r="H232">
        <v>11</v>
      </c>
      <c r="I232">
        <v>1.95E-2</v>
      </c>
      <c r="J232">
        <v>50</v>
      </c>
      <c r="K232">
        <f t="shared" si="3"/>
        <v>9.75E-3</v>
      </c>
      <c r="L232" t="s">
        <v>17</v>
      </c>
      <c r="M232">
        <v>296</v>
      </c>
      <c r="N232" t="s">
        <v>18</v>
      </c>
      <c r="O232" t="s">
        <v>907</v>
      </c>
    </row>
    <row r="233" spans="1:15" x14ac:dyDescent="0.2">
      <c r="A233" t="s">
        <v>624</v>
      </c>
      <c r="B233" t="s">
        <v>403</v>
      </c>
      <c r="C233">
        <v>3</v>
      </c>
      <c r="D233">
        <v>3</v>
      </c>
      <c r="E233">
        <v>1</v>
      </c>
      <c r="F233">
        <v>2</v>
      </c>
      <c r="G233">
        <v>0</v>
      </c>
      <c r="H233">
        <v>2</v>
      </c>
      <c r="I233">
        <v>3.9700000000000006E-2</v>
      </c>
      <c r="J233">
        <v>50</v>
      </c>
      <c r="K233">
        <f t="shared" si="3"/>
        <v>1.9850000000000003E-2</v>
      </c>
      <c r="L233" t="s">
        <v>17</v>
      </c>
      <c r="M233">
        <v>296</v>
      </c>
      <c r="N233" t="s">
        <v>18</v>
      </c>
      <c r="O233" t="s">
        <v>907</v>
      </c>
    </row>
    <row r="234" spans="1:15" x14ac:dyDescent="0.2">
      <c r="A234" t="s">
        <v>624</v>
      </c>
      <c r="B234" t="s">
        <v>403</v>
      </c>
      <c r="C234">
        <v>2</v>
      </c>
      <c r="D234">
        <v>1</v>
      </c>
      <c r="E234">
        <v>2</v>
      </c>
      <c r="F234">
        <v>3</v>
      </c>
      <c r="G234">
        <v>0</v>
      </c>
      <c r="H234">
        <v>3</v>
      </c>
      <c r="I234">
        <v>3.8899999999999997E-2</v>
      </c>
      <c r="J234">
        <v>50</v>
      </c>
      <c r="K234">
        <f t="shared" si="3"/>
        <v>1.9449999999999999E-2</v>
      </c>
      <c r="L234" t="s">
        <v>17</v>
      </c>
      <c r="M234">
        <v>296</v>
      </c>
      <c r="N234" t="s">
        <v>18</v>
      </c>
      <c r="O234" t="s">
        <v>907</v>
      </c>
    </row>
    <row r="235" spans="1:15" x14ac:dyDescent="0.2">
      <c r="A235" t="s">
        <v>624</v>
      </c>
      <c r="B235" t="s">
        <v>403</v>
      </c>
      <c r="C235">
        <v>2</v>
      </c>
      <c r="D235">
        <v>0</v>
      </c>
      <c r="E235">
        <v>2</v>
      </c>
      <c r="F235">
        <v>3</v>
      </c>
      <c r="G235">
        <v>1</v>
      </c>
      <c r="H235">
        <v>3</v>
      </c>
      <c r="I235">
        <v>3.8899999999999997E-2</v>
      </c>
      <c r="J235">
        <v>50</v>
      </c>
      <c r="K235">
        <f t="shared" si="3"/>
        <v>1.9449999999999999E-2</v>
      </c>
      <c r="L235" t="s">
        <v>17</v>
      </c>
      <c r="M235">
        <v>296</v>
      </c>
      <c r="N235" t="s">
        <v>18</v>
      </c>
      <c r="O235" t="s">
        <v>907</v>
      </c>
    </row>
    <row r="236" spans="1:15" x14ac:dyDescent="0.2">
      <c r="A236" t="s">
        <v>624</v>
      </c>
      <c r="B236" t="s">
        <v>403</v>
      </c>
      <c r="C236">
        <v>2</v>
      </c>
      <c r="D236">
        <v>2</v>
      </c>
      <c r="E236">
        <v>1</v>
      </c>
      <c r="F236">
        <v>3</v>
      </c>
      <c r="G236">
        <v>1</v>
      </c>
      <c r="H236">
        <v>2</v>
      </c>
      <c r="I236">
        <v>3.95E-2</v>
      </c>
      <c r="J236">
        <v>50</v>
      </c>
      <c r="K236">
        <f t="shared" si="3"/>
        <v>1.975E-2</v>
      </c>
      <c r="L236" t="s">
        <v>17</v>
      </c>
      <c r="M236">
        <v>296</v>
      </c>
      <c r="N236" t="s">
        <v>18</v>
      </c>
      <c r="O236" t="s">
        <v>907</v>
      </c>
    </row>
    <row r="237" spans="1:15" x14ac:dyDescent="0.2">
      <c r="A237" t="s">
        <v>624</v>
      </c>
      <c r="B237" t="s">
        <v>403</v>
      </c>
      <c r="C237">
        <v>4</v>
      </c>
      <c r="D237">
        <v>3</v>
      </c>
      <c r="E237">
        <v>2</v>
      </c>
      <c r="F237">
        <v>3</v>
      </c>
      <c r="G237">
        <v>2</v>
      </c>
      <c r="H237">
        <v>1</v>
      </c>
      <c r="I237">
        <v>3.73E-2</v>
      </c>
      <c r="J237">
        <v>50</v>
      </c>
      <c r="K237">
        <f t="shared" si="3"/>
        <v>1.865E-2</v>
      </c>
      <c r="L237" t="s">
        <v>17</v>
      </c>
      <c r="M237">
        <v>296</v>
      </c>
      <c r="N237" t="s">
        <v>18</v>
      </c>
      <c r="O237" t="s">
        <v>907</v>
      </c>
    </row>
    <row r="238" spans="1:15" x14ac:dyDescent="0.2">
      <c r="A238" t="s">
        <v>624</v>
      </c>
      <c r="B238" t="s">
        <v>403</v>
      </c>
      <c r="C238">
        <v>4</v>
      </c>
      <c r="D238">
        <v>4</v>
      </c>
      <c r="E238">
        <v>1</v>
      </c>
      <c r="F238">
        <v>3</v>
      </c>
      <c r="G238">
        <v>3</v>
      </c>
      <c r="H238">
        <v>0</v>
      </c>
      <c r="I238">
        <v>3.4500000000000003E-2</v>
      </c>
      <c r="J238">
        <v>50</v>
      </c>
      <c r="K238">
        <f t="shared" si="3"/>
        <v>1.7250000000000001E-2</v>
      </c>
      <c r="L238" t="s">
        <v>17</v>
      </c>
      <c r="M238">
        <v>296</v>
      </c>
      <c r="N238" t="s">
        <v>18</v>
      </c>
      <c r="O238" t="s">
        <v>907</v>
      </c>
    </row>
    <row r="239" spans="1:15" x14ac:dyDescent="0.2">
      <c r="A239" t="s">
        <v>624</v>
      </c>
      <c r="B239" t="s">
        <v>403</v>
      </c>
      <c r="C239">
        <v>5</v>
      </c>
      <c r="D239">
        <v>3</v>
      </c>
      <c r="E239">
        <v>2</v>
      </c>
      <c r="F239">
        <v>4</v>
      </c>
      <c r="G239">
        <v>2</v>
      </c>
      <c r="H239">
        <v>3</v>
      </c>
      <c r="I239">
        <v>3.6600000000000001E-2</v>
      </c>
      <c r="J239">
        <v>50</v>
      </c>
      <c r="K239">
        <f t="shared" si="3"/>
        <v>1.83E-2</v>
      </c>
      <c r="L239" t="s">
        <v>17</v>
      </c>
      <c r="M239">
        <v>296</v>
      </c>
      <c r="N239" t="s">
        <v>18</v>
      </c>
      <c r="O239" t="s">
        <v>907</v>
      </c>
    </row>
    <row r="240" spans="1:15" x14ac:dyDescent="0.2">
      <c r="A240" t="s">
        <v>624</v>
      </c>
      <c r="B240" t="s">
        <v>403</v>
      </c>
      <c r="C240">
        <v>4</v>
      </c>
      <c r="D240">
        <v>1</v>
      </c>
      <c r="E240">
        <v>3</v>
      </c>
      <c r="F240">
        <v>5</v>
      </c>
      <c r="G240">
        <v>2</v>
      </c>
      <c r="H240">
        <v>4</v>
      </c>
      <c r="I240">
        <v>3.6999999999999998E-2</v>
      </c>
      <c r="J240">
        <v>50</v>
      </c>
      <c r="K240">
        <f t="shared" si="3"/>
        <v>1.8499999999999999E-2</v>
      </c>
      <c r="L240" t="s">
        <v>17</v>
      </c>
      <c r="M240">
        <v>296</v>
      </c>
      <c r="N240" t="s">
        <v>18</v>
      </c>
      <c r="O240" t="s">
        <v>907</v>
      </c>
    </row>
    <row r="241" spans="1:15" x14ac:dyDescent="0.2">
      <c r="A241" t="s">
        <v>624</v>
      </c>
      <c r="B241" t="s">
        <v>403</v>
      </c>
      <c r="C241">
        <v>4</v>
      </c>
      <c r="D241">
        <v>3</v>
      </c>
      <c r="E241">
        <v>2</v>
      </c>
      <c r="F241">
        <v>5</v>
      </c>
      <c r="G241">
        <v>2</v>
      </c>
      <c r="H241">
        <v>3</v>
      </c>
      <c r="I241">
        <v>3.6600000000000001E-2</v>
      </c>
      <c r="J241">
        <v>50</v>
      </c>
      <c r="K241">
        <f t="shared" si="3"/>
        <v>1.83E-2</v>
      </c>
      <c r="L241" t="s">
        <v>17</v>
      </c>
      <c r="M241">
        <v>296</v>
      </c>
      <c r="N241" t="s">
        <v>18</v>
      </c>
      <c r="O241" t="s">
        <v>907</v>
      </c>
    </row>
    <row r="242" spans="1:15" x14ac:dyDescent="0.2">
      <c r="A242" t="s">
        <v>624</v>
      </c>
      <c r="B242" t="s">
        <v>403</v>
      </c>
      <c r="C242">
        <v>6</v>
      </c>
      <c r="D242">
        <v>4</v>
      </c>
      <c r="E242">
        <v>2</v>
      </c>
      <c r="F242">
        <v>5</v>
      </c>
      <c r="G242">
        <v>3</v>
      </c>
      <c r="H242">
        <v>3</v>
      </c>
      <c r="I242">
        <v>3.4500000000000003E-2</v>
      </c>
      <c r="J242">
        <v>50</v>
      </c>
      <c r="K242">
        <f t="shared" si="3"/>
        <v>1.7250000000000001E-2</v>
      </c>
      <c r="L242" t="s">
        <v>17</v>
      </c>
      <c r="M242">
        <v>296</v>
      </c>
      <c r="N242" t="s">
        <v>18</v>
      </c>
      <c r="O242" t="s">
        <v>907</v>
      </c>
    </row>
    <row r="243" spans="1:15" x14ac:dyDescent="0.2">
      <c r="A243" t="s">
        <v>624</v>
      </c>
      <c r="B243" t="s">
        <v>403</v>
      </c>
      <c r="C243">
        <v>6</v>
      </c>
      <c r="D243">
        <v>4</v>
      </c>
      <c r="E243">
        <v>3</v>
      </c>
      <c r="F243">
        <v>5</v>
      </c>
      <c r="G243">
        <v>3</v>
      </c>
      <c r="H243">
        <v>2</v>
      </c>
      <c r="I243">
        <v>3.4500000000000003E-2</v>
      </c>
      <c r="J243">
        <v>50</v>
      </c>
      <c r="K243">
        <f t="shared" si="3"/>
        <v>1.7250000000000001E-2</v>
      </c>
      <c r="L243" t="s">
        <v>17</v>
      </c>
      <c r="M243">
        <v>296</v>
      </c>
      <c r="N243" t="s">
        <v>18</v>
      </c>
      <c r="O243" t="s">
        <v>907</v>
      </c>
    </row>
    <row r="244" spans="1:15" x14ac:dyDescent="0.2">
      <c r="A244" t="s">
        <v>624</v>
      </c>
      <c r="B244" t="s">
        <v>403</v>
      </c>
      <c r="C244">
        <v>6</v>
      </c>
      <c r="D244">
        <v>5</v>
      </c>
      <c r="E244">
        <v>2</v>
      </c>
      <c r="F244">
        <v>5</v>
      </c>
      <c r="G244">
        <v>4</v>
      </c>
      <c r="H244">
        <v>1</v>
      </c>
      <c r="I244">
        <v>3.1800000000000002E-2</v>
      </c>
      <c r="J244">
        <v>50</v>
      </c>
      <c r="K244">
        <f t="shared" si="3"/>
        <v>1.5900000000000001E-2</v>
      </c>
      <c r="L244" t="s">
        <v>17</v>
      </c>
      <c r="M244">
        <v>296</v>
      </c>
      <c r="N244" t="s">
        <v>18</v>
      </c>
      <c r="O244" t="s">
        <v>907</v>
      </c>
    </row>
    <row r="245" spans="1:15" x14ac:dyDescent="0.2">
      <c r="A245" t="s">
        <v>624</v>
      </c>
      <c r="B245" t="s">
        <v>403</v>
      </c>
      <c r="C245">
        <v>5</v>
      </c>
      <c r="D245">
        <v>2</v>
      </c>
      <c r="E245">
        <v>3</v>
      </c>
      <c r="F245">
        <v>6</v>
      </c>
      <c r="G245">
        <v>3</v>
      </c>
      <c r="H245">
        <v>4</v>
      </c>
      <c r="I245">
        <v>3.5799999999999998E-2</v>
      </c>
      <c r="J245">
        <v>50</v>
      </c>
      <c r="K245">
        <f t="shared" si="3"/>
        <v>1.7899999999999999E-2</v>
      </c>
      <c r="L245" t="s">
        <v>17</v>
      </c>
      <c r="M245">
        <v>296</v>
      </c>
      <c r="N245" t="s">
        <v>18</v>
      </c>
      <c r="O245" t="s">
        <v>907</v>
      </c>
    </row>
    <row r="246" spans="1:15" x14ac:dyDescent="0.2">
      <c r="A246" t="s">
        <v>624</v>
      </c>
      <c r="B246" t="s">
        <v>403</v>
      </c>
      <c r="C246">
        <v>7</v>
      </c>
      <c r="D246">
        <v>2</v>
      </c>
      <c r="E246">
        <v>5</v>
      </c>
      <c r="F246">
        <v>6</v>
      </c>
      <c r="G246">
        <v>3</v>
      </c>
      <c r="H246">
        <v>4</v>
      </c>
      <c r="I246">
        <v>3.4700000000000002E-2</v>
      </c>
      <c r="J246">
        <v>50</v>
      </c>
      <c r="K246">
        <f t="shared" si="3"/>
        <v>1.7350000000000001E-2</v>
      </c>
      <c r="L246" t="s">
        <v>17</v>
      </c>
      <c r="M246">
        <v>296</v>
      </c>
      <c r="N246" t="s">
        <v>18</v>
      </c>
      <c r="O246" t="s">
        <v>907</v>
      </c>
    </row>
    <row r="247" spans="1:15" x14ac:dyDescent="0.2">
      <c r="A247" t="s">
        <v>624</v>
      </c>
      <c r="B247" t="s">
        <v>403</v>
      </c>
      <c r="C247">
        <v>6</v>
      </c>
      <c r="D247">
        <v>1</v>
      </c>
      <c r="E247">
        <v>6</v>
      </c>
      <c r="F247">
        <v>7</v>
      </c>
      <c r="G247">
        <v>0</v>
      </c>
      <c r="H247">
        <v>7</v>
      </c>
      <c r="I247">
        <v>3.1100000000000003E-2</v>
      </c>
      <c r="J247">
        <v>50</v>
      </c>
      <c r="K247">
        <f t="shared" si="3"/>
        <v>1.5550000000000001E-2</v>
      </c>
      <c r="L247" t="s">
        <v>17</v>
      </c>
      <c r="M247">
        <v>296</v>
      </c>
      <c r="N247" t="s">
        <v>18</v>
      </c>
      <c r="O247" t="s">
        <v>907</v>
      </c>
    </row>
    <row r="248" spans="1:15" x14ac:dyDescent="0.2">
      <c r="A248" t="s">
        <v>624</v>
      </c>
      <c r="B248" t="s">
        <v>403</v>
      </c>
      <c r="C248">
        <v>6</v>
      </c>
      <c r="D248">
        <v>0</v>
      </c>
      <c r="E248">
        <v>6</v>
      </c>
      <c r="F248">
        <v>7</v>
      </c>
      <c r="G248">
        <v>1</v>
      </c>
      <c r="H248">
        <v>7</v>
      </c>
      <c r="I248">
        <v>3.1100000000000003E-2</v>
      </c>
      <c r="J248">
        <v>50</v>
      </c>
      <c r="K248">
        <f t="shared" si="3"/>
        <v>1.5550000000000001E-2</v>
      </c>
      <c r="L248" t="s">
        <v>17</v>
      </c>
      <c r="M248">
        <v>296</v>
      </c>
      <c r="N248" t="s">
        <v>18</v>
      </c>
      <c r="O248" t="s">
        <v>907</v>
      </c>
    </row>
    <row r="249" spans="1:15" x14ac:dyDescent="0.2">
      <c r="A249" t="s">
        <v>624</v>
      </c>
      <c r="B249" t="s">
        <v>403</v>
      </c>
      <c r="C249">
        <v>7</v>
      </c>
      <c r="D249">
        <v>2</v>
      </c>
      <c r="E249">
        <v>6</v>
      </c>
      <c r="F249">
        <v>7</v>
      </c>
      <c r="G249">
        <v>1</v>
      </c>
      <c r="H249">
        <v>7</v>
      </c>
      <c r="I249">
        <v>3.2600000000000004E-2</v>
      </c>
      <c r="J249">
        <v>50</v>
      </c>
      <c r="K249">
        <f t="shared" si="3"/>
        <v>1.6300000000000002E-2</v>
      </c>
      <c r="L249" t="s">
        <v>17</v>
      </c>
      <c r="M249">
        <v>296</v>
      </c>
      <c r="N249" t="s">
        <v>18</v>
      </c>
      <c r="O249" t="s">
        <v>907</v>
      </c>
    </row>
    <row r="250" spans="1:15" x14ac:dyDescent="0.2">
      <c r="A250" t="s">
        <v>624</v>
      </c>
      <c r="B250" t="s">
        <v>403</v>
      </c>
      <c r="C250">
        <v>8</v>
      </c>
      <c r="D250">
        <v>3</v>
      </c>
      <c r="E250">
        <v>6</v>
      </c>
      <c r="F250">
        <v>7</v>
      </c>
      <c r="G250">
        <v>2</v>
      </c>
      <c r="H250">
        <v>5</v>
      </c>
      <c r="I250">
        <v>3.32E-2</v>
      </c>
      <c r="J250">
        <v>50</v>
      </c>
      <c r="K250">
        <f t="shared" si="3"/>
        <v>1.66E-2</v>
      </c>
      <c r="L250" t="s">
        <v>17</v>
      </c>
      <c r="M250">
        <v>296</v>
      </c>
      <c r="N250" t="s">
        <v>18</v>
      </c>
      <c r="O250" t="s">
        <v>907</v>
      </c>
    </row>
    <row r="251" spans="1:15" x14ac:dyDescent="0.2">
      <c r="A251" t="s">
        <v>624</v>
      </c>
      <c r="B251" t="s">
        <v>403</v>
      </c>
      <c r="C251">
        <v>8</v>
      </c>
      <c r="D251">
        <v>2</v>
      </c>
      <c r="E251">
        <v>6</v>
      </c>
      <c r="F251">
        <v>7</v>
      </c>
      <c r="G251">
        <v>3</v>
      </c>
      <c r="H251">
        <v>5</v>
      </c>
      <c r="I251">
        <v>3.32E-2</v>
      </c>
      <c r="J251">
        <v>50</v>
      </c>
      <c r="K251">
        <f t="shared" si="3"/>
        <v>1.66E-2</v>
      </c>
      <c r="L251" t="s">
        <v>17</v>
      </c>
      <c r="M251">
        <v>296</v>
      </c>
      <c r="N251" t="s">
        <v>18</v>
      </c>
      <c r="O251" t="s">
        <v>907</v>
      </c>
    </row>
    <row r="252" spans="1:15" x14ac:dyDescent="0.2">
      <c r="A252" t="s">
        <v>624</v>
      </c>
      <c r="B252" t="s">
        <v>403</v>
      </c>
      <c r="C252">
        <v>7</v>
      </c>
      <c r="D252">
        <v>1</v>
      </c>
      <c r="E252">
        <v>7</v>
      </c>
      <c r="F252">
        <v>8</v>
      </c>
      <c r="G252">
        <v>0</v>
      </c>
      <c r="H252">
        <v>8</v>
      </c>
      <c r="I252">
        <v>2.87E-2</v>
      </c>
      <c r="J252">
        <v>50</v>
      </c>
      <c r="K252">
        <f t="shared" si="3"/>
        <v>1.435E-2</v>
      </c>
      <c r="L252" t="s">
        <v>17</v>
      </c>
      <c r="M252">
        <v>296</v>
      </c>
      <c r="N252" t="s">
        <v>18</v>
      </c>
      <c r="O252" t="s">
        <v>907</v>
      </c>
    </row>
    <row r="253" spans="1:15" x14ac:dyDescent="0.2">
      <c r="A253" t="s">
        <v>624</v>
      </c>
      <c r="B253" t="s">
        <v>403</v>
      </c>
      <c r="C253">
        <v>7</v>
      </c>
      <c r="D253">
        <v>0</v>
      </c>
      <c r="E253">
        <v>7</v>
      </c>
      <c r="F253">
        <v>8</v>
      </c>
      <c r="G253">
        <v>1</v>
      </c>
      <c r="H253">
        <v>8</v>
      </c>
      <c r="I253">
        <v>2.87E-2</v>
      </c>
      <c r="J253">
        <v>50</v>
      </c>
      <c r="K253">
        <f t="shared" si="3"/>
        <v>1.435E-2</v>
      </c>
      <c r="L253" t="s">
        <v>17</v>
      </c>
      <c r="M253">
        <v>296</v>
      </c>
      <c r="N253" t="s">
        <v>18</v>
      </c>
      <c r="O253" t="s">
        <v>907</v>
      </c>
    </row>
    <row r="254" spans="1:15" x14ac:dyDescent="0.2">
      <c r="A254" t="s">
        <v>624</v>
      </c>
      <c r="B254" t="s">
        <v>403</v>
      </c>
      <c r="C254">
        <v>7</v>
      </c>
      <c r="D254">
        <v>2</v>
      </c>
      <c r="E254">
        <v>6</v>
      </c>
      <c r="F254">
        <v>8</v>
      </c>
      <c r="G254">
        <v>1</v>
      </c>
      <c r="H254">
        <v>7</v>
      </c>
      <c r="I254">
        <v>3.1399999999999997E-2</v>
      </c>
      <c r="J254">
        <v>50</v>
      </c>
      <c r="K254">
        <f t="shared" si="3"/>
        <v>1.5699999999999999E-2</v>
      </c>
      <c r="L254" t="s">
        <v>17</v>
      </c>
      <c r="M254">
        <v>296</v>
      </c>
      <c r="N254" t="s">
        <v>18</v>
      </c>
      <c r="O254" t="s">
        <v>907</v>
      </c>
    </row>
    <row r="255" spans="1:15" x14ac:dyDescent="0.2">
      <c r="A255" t="s">
        <v>624</v>
      </c>
      <c r="B255" t="s">
        <v>403</v>
      </c>
      <c r="C255">
        <v>8</v>
      </c>
      <c r="D255">
        <v>2</v>
      </c>
      <c r="E255">
        <v>6</v>
      </c>
      <c r="F255">
        <v>8</v>
      </c>
      <c r="G255">
        <v>1</v>
      </c>
      <c r="H255">
        <v>7</v>
      </c>
      <c r="I255">
        <v>3.0300000000000001E-2</v>
      </c>
      <c r="J255">
        <v>50</v>
      </c>
      <c r="K255">
        <f t="shared" si="3"/>
        <v>1.5150000000000002E-2</v>
      </c>
      <c r="L255" t="s">
        <v>17</v>
      </c>
      <c r="M255">
        <v>296</v>
      </c>
      <c r="N255" t="s">
        <v>18</v>
      </c>
      <c r="O255" t="s">
        <v>907</v>
      </c>
    </row>
    <row r="256" spans="1:15" x14ac:dyDescent="0.2">
      <c r="A256" t="s">
        <v>624</v>
      </c>
      <c r="B256" t="s">
        <v>403</v>
      </c>
      <c r="C256">
        <v>7</v>
      </c>
      <c r="D256">
        <v>1</v>
      </c>
      <c r="E256">
        <v>6</v>
      </c>
      <c r="F256">
        <v>8</v>
      </c>
      <c r="G256">
        <v>2</v>
      </c>
      <c r="H256">
        <v>7</v>
      </c>
      <c r="I256">
        <v>3.1399999999999997E-2</v>
      </c>
      <c r="J256">
        <v>50</v>
      </c>
      <c r="K256">
        <f t="shared" si="3"/>
        <v>1.5699999999999999E-2</v>
      </c>
      <c r="L256" t="s">
        <v>17</v>
      </c>
      <c r="M256">
        <v>296</v>
      </c>
      <c r="N256" t="s">
        <v>18</v>
      </c>
      <c r="O256" t="s">
        <v>907</v>
      </c>
    </row>
    <row r="257" spans="1:15" x14ac:dyDescent="0.2">
      <c r="A257" t="s">
        <v>624</v>
      </c>
      <c r="B257" t="s">
        <v>403</v>
      </c>
      <c r="C257">
        <v>8</v>
      </c>
      <c r="D257">
        <v>3</v>
      </c>
      <c r="E257">
        <v>6</v>
      </c>
      <c r="F257">
        <v>8</v>
      </c>
      <c r="G257">
        <v>2</v>
      </c>
      <c r="H257">
        <v>7</v>
      </c>
      <c r="I257">
        <v>3.2299999999999995E-2</v>
      </c>
      <c r="J257">
        <v>50</v>
      </c>
      <c r="K257">
        <f t="shared" si="3"/>
        <v>1.6149999999999998E-2</v>
      </c>
      <c r="L257" t="s">
        <v>17</v>
      </c>
      <c r="M257">
        <v>296</v>
      </c>
      <c r="N257" t="s">
        <v>18</v>
      </c>
      <c r="O257" t="s">
        <v>907</v>
      </c>
    </row>
    <row r="258" spans="1:15" x14ac:dyDescent="0.2">
      <c r="A258" t="s">
        <v>624</v>
      </c>
      <c r="B258" t="s">
        <v>403</v>
      </c>
      <c r="C258">
        <v>7</v>
      </c>
      <c r="D258">
        <v>3</v>
      </c>
      <c r="E258">
        <v>5</v>
      </c>
      <c r="F258">
        <v>8</v>
      </c>
      <c r="G258">
        <v>2</v>
      </c>
      <c r="H258">
        <v>6</v>
      </c>
      <c r="I258">
        <v>3.32E-2</v>
      </c>
      <c r="J258">
        <v>50</v>
      </c>
      <c r="K258">
        <f t="shared" si="3"/>
        <v>1.66E-2</v>
      </c>
      <c r="L258" t="s">
        <v>17</v>
      </c>
      <c r="M258">
        <v>296</v>
      </c>
      <c r="N258" t="s">
        <v>18</v>
      </c>
      <c r="O258" t="s">
        <v>907</v>
      </c>
    </row>
    <row r="259" spans="1:15" x14ac:dyDescent="0.2">
      <c r="A259" t="s">
        <v>624</v>
      </c>
      <c r="B259" t="s">
        <v>403</v>
      </c>
      <c r="C259">
        <v>9</v>
      </c>
      <c r="D259">
        <v>3</v>
      </c>
      <c r="E259">
        <v>7</v>
      </c>
      <c r="F259">
        <v>8</v>
      </c>
      <c r="G259">
        <v>2</v>
      </c>
      <c r="H259">
        <v>6</v>
      </c>
      <c r="I259">
        <v>3.1199999999999999E-2</v>
      </c>
      <c r="J259">
        <v>50</v>
      </c>
      <c r="K259">
        <f t="shared" si="3"/>
        <v>1.5599999999999998E-2</v>
      </c>
      <c r="L259" t="s">
        <v>17</v>
      </c>
      <c r="M259">
        <v>296</v>
      </c>
      <c r="N259" t="s">
        <v>18</v>
      </c>
      <c r="O259" t="s">
        <v>907</v>
      </c>
    </row>
    <row r="260" spans="1:15" x14ac:dyDescent="0.2">
      <c r="A260" t="s">
        <v>624</v>
      </c>
      <c r="B260" t="s">
        <v>403</v>
      </c>
      <c r="C260">
        <v>7</v>
      </c>
      <c r="D260">
        <v>2</v>
      </c>
      <c r="E260">
        <v>5</v>
      </c>
      <c r="F260">
        <v>8</v>
      </c>
      <c r="G260">
        <v>3</v>
      </c>
      <c r="H260">
        <v>6</v>
      </c>
      <c r="I260">
        <v>3.32E-2</v>
      </c>
      <c r="J260">
        <v>50</v>
      </c>
      <c r="K260">
        <f t="shared" ref="K260:K323" si="4">J260*I260/100</f>
        <v>1.66E-2</v>
      </c>
      <c r="L260" t="s">
        <v>17</v>
      </c>
      <c r="M260">
        <v>296</v>
      </c>
      <c r="N260" t="s">
        <v>18</v>
      </c>
      <c r="O260" t="s">
        <v>907</v>
      </c>
    </row>
    <row r="261" spans="1:15" x14ac:dyDescent="0.2">
      <c r="A261" t="s">
        <v>624</v>
      </c>
      <c r="B261" t="s">
        <v>403</v>
      </c>
      <c r="C261">
        <v>9</v>
      </c>
      <c r="D261">
        <v>2</v>
      </c>
      <c r="E261">
        <v>7</v>
      </c>
      <c r="F261">
        <v>8</v>
      </c>
      <c r="G261">
        <v>3</v>
      </c>
      <c r="H261">
        <v>6</v>
      </c>
      <c r="I261">
        <v>3.1199999999999999E-2</v>
      </c>
      <c r="J261">
        <v>50</v>
      </c>
      <c r="K261">
        <f t="shared" si="4"/>
        <v>1.5599999999999998E-2</v>
      </c>
      <c r="L261" t="s">
        <v>17</v>
      </c>
      <c r="M261">
        <v>296</v>
      </c>
      <c r="N261" t="s">
        <v>18</v>
      </c>
      <c r="O261" t="s">
        <v>907</v>
      </c>
    </row>
    <row r="262" spans="1:15" x14ac:dyDescent="0.2">
      <c r="A262" t="s">
        <v>624</v>
      </c>
      <c r="B262" t="s">
        <v>403</v>
      </c>
      <c r="C262">
        <v>9</v>
      </c>
      <c r="D262">
        <v>3</v>
      </c>
      <c r="E262">
        <v>6</v>
      </c>
      <c r="F262">
        <v>8</v>
      </c>
      <c r="G262">
        <v>4</v>
      </c>
      <c r="H262">
        <v>5</v>
      </c>
      <c r="I262">
        <v>3.2399999999999998E-2</v>
      </c>
      <c r="J262">
        <v>50</v>
      </c>
      <c r="K262">
        <f t="shared" si="4"/>
        <v>1.6199999999999999E-2</v>
      </c>
      <c r="L262" t="s">
        <v>17</v>
      </c>
      <c r="M262">
        <v>296</v>
      </c>
      <c r="N262" t="s">
        <v>18</v>
      </c>
      <c r="O262" t="s">
        <v>907</v>
      </c>
    </row>
    <row r="263" spans="1:15" x14ac:dyDescent="0.2">
      <c r="A263" t="s">
        <v>624</v>
      </c>
      <c r="B263" t="s">
        <v>403</v>
      </c>
      <c r="C263">
        <v>9</v>
      </c>
      <c r="D263">
        <v>2</v>
      </c>
      <c r="E263">
        <v>7</v>
      </c>
      <c r="F263">
        <v>9</v>
      </c>
      <c r="G263">
        <v>1</v>
      </c>
      <c r="H263">
        <v>8</v>
      </c>
      <c r="I263">
        <v>2.7699999999999999E-2</v>
      </c>
      <c r="J263">
        <v>50</v>
      </c>
      <c r="K263">
        <f t="shared" si="4"/>
        <v>1.3849999999999999E-2</v>
      </c>
      <c r="L263" t="s">
        <v>17</v>
      </c>
      <c r="M263">
        <v>296</v>
      </c>
      <c r="N263" t="s">
        <v>18</v>
      </c>
      <c r="O263" t="s">
        <v>907</v>
      </c>
    </row>
    <row r="264" spans="1:15" x14ac:dyDescent="0.2">
      <c r="A264" t="s">
        <v>624</v>
      </c>
      <c r="B264" t="s">
        <v>403</v>
      </c>
      <c r="C264">
        <v>10</v>
      </c>
      <c r="D264">
        <v>2</v>
      </c>
      <c r="E264">
        <v>9</v>
      </c>
      <c r="F264">
        <v>9</v>
      </c>
      <c r="G264">
        <v>1</v>
      </c>
      <c r="H264">
        <v>8</v>
      </c>
      <c r="I264">
        <v>2.64E-2</v>
      </c>
      <c r="J264">
        <v>50</v>
      </c>
      <c r="K264">
        <f t="shared" si="4"/>
        <v>1.32E-2</v>
      </c>
      <c r="L264" t="s">
        <v>17</v>
      </c>
      <c r="M264">
        <v>296</v>
      </c>
      <c r="N264" t="s">
        <v>18</v>
      </c>
      <c r="O264" t="s">
        <v>907</v>
      </c>
    </row>
    <row r="265" spans="1:15" x14ac:dyDescent="0.2">
      <c r="A265" t="s">
        <v>624</v>
      </c>
      <c r="B265" t="s">
        <v>403</v>
      </c>
      <c r="C265">
        <v>9</v>
      </c>
      <c r="D265">
        <v>3</v>
      </c>
      <c r="E265">
        <v>7</v>
      </c>
      <c r="F265">
        <v>9</v>
      </c>
      <c r="G265">
        <v>2</v>
      </c>
      <c r="H265">
        <v>8</v>
      </c>
      <c r="I265">
        <v>3.0100000000000002E-2</v>
      </c>
      <c r="J265">
        <v>50</v>
      </c>
      <c r="K265">
        <f t="shared" si="4"/>
        <v>1.5050000000000001E-2</v>
      </c>
      <c r="L265" t="s">
        <v>17</v>
      </c>
      <c r="M265">
        <v>296</v>
      </c>
      <c r="N265" t="s">
        <v>18</v>
      </c>
      <c r="O265" t="s">
        <v>907</v>
      </c>
    </row>
    <row r="266" spans="1:15" x14ac:dyDescent="0.2">
      <c r="A266" t="s">
        <v>624</v>
      </c>
      <c r="B266" t="s">
        <v>403</v>
      </c>
      <c r="C266">
        <v>10</v>
      </c>
      <c r="D266">
        <v>1</v>
      </c>
      <c r="E266">
        <v>9</v>
      </c>
      <c r="F266">
        <v>9</v>
      </c>
      <c r="G266">
        <v>2</v>
      </c>
      <c r="H266">
        <v>8</v>
      </c>
      <c r="I266">
        <v>2.64E-2</v>
      </c>
      <c r="J266">
        <v>50</v>
      </c>
      <c r="K266">
        <f t="shared" si="4"/>
        <v>1.32E-2</v>
      </c>
      <c r="L266" t="s">
        <v>17</v>
      </c>
      <c r="M266">
        <v>296</v>
      </c>
      <c r="N266" t="s">
        <v>18</v>
      </c>
      <c r="O266" t="s">
        <v>907</v>
      </c>
    </row>
    <row r="267" spans="1:15" x14ac:dyDescent="0.2">
      <c r="A267" t="s">
        <v>624</v>
      </c>
      <c r="B267" t="s">
        <v>403</v>
      </c>
      <c r="C267">
        <v>11</v>
      </c>
      <c r="D267">
        <v>1</v>
      </c>
      <c r="E267">
        <v>11</v>
      </c>
      <c r="F267">
        <v>10</v>
      </c>
      <c r="G267">
        <v>0</v>
      </c>
      <c r="H267">
        <v>10</v>
      </c>
      <c r="I267">
        <v>2.0799999999999999E-2</v>
      </c>
      <c r="J267">
        <v>50</v>
      </c>
      <c r="K267">
        <f t="shared" si="4"/>
        <v>1.04E-2</v>
      </c>
      <c r="L267" t="s">
        <v>17</v>
      </c>
      <c r="M267">
        <v>296</v>
      </c>
      <c r="N267" t="s">
        <v>18</v>
      </c>
      <c r="O267" t="s">
        <v>907</v>
      </c>
    </row>
    <row r="268" spans="1:15" x14ac:dyDescent="0.2">
      <c r="A268" t="s">
        <v>624</v>
      </c>
      <c r="B268" t="s">
        <v>403</v>
      </c>
      <c r="C268">
        <v>10</v>
      </c>
      <c r="D268">
        <v>2</v>
      </c>
      <c r="E268">
        <v>8</v>
      </c>
      <c r="F268">
        <v>10</v>
      </c>
      <c r="G268">
        <v>1</v>
      </c>
      <c r="H268">
        <v>9</v>
      </c>
      <c r="I268">
        <v>2.5000000000000001E-2</v>
      </c>
      <c r="J268">
        <v>50</v>
      </c>
      <c r="K268">
        <f t="shared" si="4"/>
        <v>1.2500000000000001E-2</v>
      </c>
      <c r="L268" t="s">
        <v>17</v>
      </c>
      <c r="M268">
        <v>296</v>
      </c>
      <c r="N268" t="s">
        <v>18</v>
      </c>
      <c r="O268" t="s">
        <v>907</v>
      </c>
    </row>
    <row r="269" spans="1:15" x14ac:dyDescent="0.2">
      <c r="A269" t="s">
        <v>624</v>
      </c>
      <c r="B269" t="s">
        <v>403</v>
      </c>
      <c r="C269">
        <v>10</v>
      </c>
      <c r="D269">
        <v>3</v>
      </c>
      <c r="E269">
        <v>8</v>
      </c>
      <c r="F269">
        <v>10</v>
      </c>
      <c r="G269">
        <v>2</v>
      </c>
      <c r="H269">
        <v>9</v>
      </c>
      <c r="I269">
        <v>2.7699999999999999E-2</v>
      </c>
      <c r="J269">
        <v>50</v>
      </c>
      <c r="K269">
        <f t="shared" si="4"/>
        <v>1.3849999999999999E-2</v>
      </c>
      <c r="L269" t="s">
        <v>17</v>
      </c>
      <c r="M269">
        <v>296</v>
      </c>
      <c r="N269" t="s">
        <v>18</v>
      </c>
      <c r="O269" t="s">
        <v>907</v>
      </c>
    </row>
    <row r="270" spans="1:15" x14ac:dyDescent="0.2">
      <c r="A270" t="s">
        <v>624</v>
      </c>
      <c r="B270" t="s">
        <v>403</v>
      </c>
      <c r="C270">
        <v>12</v>
      </c>
      <c r="D270">
        <v>1</v>
      </c>
      <c r="E270">
        <v>12</v>
      </c>
      <c r="F270">
        <v>11</v>
      </c>
      <c r="G270">
        <v>0</v>
      </c>
      <c r="H270">
        <v>11</v>
      </c>
      <c r="I270">
        <v>1.84E-2</v>
      </c>
      <c r="J270">
        <v>50</v>
      </c>
      <c r="K270">
        <f t="shared" si="4"/>
        <v>9.1999999999999998E-3</v>
      </c>
      <c r="L270" t="s">
        <v>17</v>
      </c>
      <c r="M270">
        <v>296</v>
      </c>
      <c r="N270" t="s">
        <v>18</v>
      </c>
      <c r="O270" t="s">
        <v>907</v>
      </c>
    </row>
    <row r="271" spans="1:15" x14ac:dyDescent="0.2">
      <c r="A271" t="s">
        <v>624</v>
      </c>
      <c r="B271" t="s">
        <v>403</v>
      </c>
      <c r="C271">
        <v>12</v>
      </c>
      <c r="D271">
        <v>0</v>
      </c>
      <c r="E271">
        <v>12</v>
      </c>
      <c r="F271">
        <v>11</v>
      </c>
      <c r="G271">
        <v>1</v>
      </c>
      <c r="H271">
        <v>11</v>
      </c>
      <c r="I271">
        <v>1.84E-2</v>
      </c>
      <c r="J271">
        <v>50</v>
      </c>
      <c r="K271">
        <f t="shared" si="4"/>
        <v>9.1999999999999998E-3</v>
      </c>
      <c r="L271" t="s">
        <v>17</v>
      </c>
      <c r="M271">
        <v>296</v>
      </c>
      <c r="N271" t="s">
        <v>18</v>
      </c>
      <c r="O271" t="s">
        <v>907</v>
      </c>
    </row>
    <row r="272" spans="1:15" x14ac:dyDescent="0.2">
      <c r="A272" t="s">
        <v>624</v>
      </c>
      <c r="B272" t="s">
        <v>239</v>
      </c>
      <c r="C272">
        <v>3</v>
      </c>
      <c r="D272">
        <v>3</v>
      </c>
      <c r="E272">
        <v>1</v>
      </c>
      <c r="F272">
        <v>2</v>
      </c>
      <c r="G272">
        <v>0</v>
      </c>
      <c r="H272">
        <v>2</v>
      </c>
      <c r="I272">
        <v>6.3700000000000007E-2</v>
      </c>
      <c r="J272">
        <v>50</v>
      </c>
      <c r="K272">
        <f t="shared" si="4"/>
        <v>3.1850000000000003E-2</v>
      </c>
      <c r="L272" t="s">
        <v>17</v>
      </c>
      <c r="M272">
        <v>296</v>
      </c>
      <c r="N272" t="s">
        <v>18</v>
      </c>
      <c r="O272" t="s">
        <v>907</v>
      </c>
    </row>
    <row r="273" spans="1:15" x14ac:dyDescent="0.2">
      <c r="A273" t="s">
        <v>624</v>
      </c>
      <c r="B273" t="s">
        <v>239</v>
      </c>
      <c r="C273">
        <v>2</v>
      </c>
      <c r="D273">
        <v>1</v>
      </c>
      <c r="E273">
        <v>2</v>
      </c>
      <c r="F273">
        <v>3</v>
      </c>
      <c r="G273">
        <v>0</v>
      </c>
      <c r="H273">
        <v>3</v>
      </c>
      <c r="I273">
        <v>5.0299999999999997E-2</v>
      </c>
      <c r="J273">
        <v>50</v>
      </c>
      <c r="K273">
        <f t="shared" si="4"/>
        <v>2.5149999999999995E-2</v>
      </c>
      <c r="L273" t="s">
        <v>17</v>
      </c>
      <c r="M273">
        <v>296</v>
      </c>
      <c r="N273" t="s">
        <v>18</v>
      </c>
      <c r="O273" t="s">
        <v>907</v>
      </c>
    </row>
    <row r="274" spans="1:15" x14ac:dyDescent="0.2">
      <c r="A274" t="s">
        <v>624</v>
      </c>
      <c r="B274" t="s">
        <v>239</v>
      </c>
      <c r="C274">
        <v>2</v>
      </c>
      <c r="D274">
        <v>0</v>
      </c>
      <c r="E274">
        <v>2</v>
      </c>
      <c r="F274">
        <v>3</v>
      </c>
      <c r="G274">
        <v>1</v>
      </c>
      <c r="H274">
        <v>3</v>
      </c>
      <c r="I274">
        <v>5.6500000000000002E-2</v>
      </c>
      <c r="J274">
        <v>50</v>
      </c>
      <c r="K274">
        <f t="shared" si="4"/>
        <v>2.8250000000000001E-2</v>
      </c>
      <c r="L274" t="s">
        <v>17</v>
      </c>
      <c r="M274">
        <v>296</v>
      </c>
      <c r="N274" t="s">
        <v>18</v>
      </c>
      <c r="O274" t="s">
        <v>907</v>
      </c>
    </row>
    <row r="275" spans="1:15" x14ac:dyDescent="0.2">
      <c r="A275" t="s">
        <v>624</v>
      </c>
      <c r="B275" t="s">
        <v>239</v>
      </c>
      <c r="C275">
        <v>2</v>
      </c>
      <c r="D275">
        <v>2</v>
      </c>
      <c r="E275">
        <v>1</v>
      </c>
      <c r="F275">
        <v>3</v>
      </c>
      <c r="G275">
        <v>1</v>
      </c>
      <c r="H275">
        <v>2</v>
      </c>
      <c r="I275">
        <v>5.8500000000000003E-2</v>
      </c>
      <c r="J275">
        <v>50</v>
      </c>
      <c r="K275">
        <f t="shared" si="4"/>
        <v>2.9250000000000002E-2</v>
      </c>
      <c r="L275" t="s">
        <v>17</v>
      </c>
      <c r="M275">
        <v>296</v>
      </c>
      <c r="N275" t="s">
        <v>18</v>
      </c>
      <c r="O275" t="s">
        <v>907</v>
      </c>
    </row>
    <row r="276" spans="1:15" x14ac:dyDescent="0.2">
      <c r="A276" t="s">
        <v>624</v>
      </c>
      <c r="B276" t="s">
        <v>239</v>
      </c>
      <c r="C276">
        <v>4</v>
      </c>
      <c r="D276">
        <v>3</v>
      </c>
      <c r="E276">
        <v>2</v>
      </c>
      <c r="F276">
        <v>3</v>
      </c>
      <c r="G276">
        <v>2</v>
      </c>
      <c r="H276">
        <v>1</v>
      </c>
      <c r="I276">
        <v>5.7500000000000002E-2</v>
      </c>
      <c r="J276">
        <v>50</v>
      </c>
      <c r="K276">
        <f t="shared" si="4"/>
        <v>2.8750000000000001E-2</v>
      </c>
      <c r="L276" t="s">
        <v>17</v>
      </c>
      <c r="M276">
        <v>296</v>
      </c>
      <c r="N276" t="s">
        <v>18</v>
      </c>
      <c r="O276" t="s">
        <v>907</v>
      </c>
    </row>
    <row r="277" spans="1:15" x14ac:dyDescent="0.2">
      <c r="A277" t="s">
        <v>624</v>
      </c>
      <c r="B277" t="s">
        <v>239</v>
      </c>
      <c r="C277">
        <v>4</v>
      </c>
      <c r="D277">
        <v>4</v>
      </c>
      <c r="E277">
        <v>1</v>
      </c>
      <c r="F277">
        <v>3</v>
      </c>
      <c r="G277">
        <v>3</v>
      </c>
      <c r="H277">
        <v>0</v>
      </c>
      <c r="I277">
        <v>5.4200000000000005E-2</v>
      </c>
      <c r="J277">
        <v>50</v>
      </c>
      <c r="K277">
        <f t="shared" si="4"/>
        <v>2.7100000000000003E-2</v>
      </c>
      <c r="L277" t="s">
        <v>17</v>
      </c>
      <c r="M277">
        <v>296</v>
      </c>
      <c r="N277" t="s">
        <v>18</v>
      </c>
      <c r="O277" t="s">
        <v>907</v>
      </c>
    </row>
    <row r="278" spans="1:15" x14ac:dyDescent="0.2">
      <c r="A278" t="s">
        <v>624</v>
      </c>
      <c r="B278" t="s">
        <v>239</v>
      </c>
      <c r="C278">
        <v>5</v>
      </c>
      <c r="D278">
        <v>3</v>
      </c>
      <c r="E278">
        <v>2</v>
      </c>
      <c r="F278">
        <v>4</v>
      </c>
      <c r="G278">
        <v>2</v>
      </c>
      <c r="H278">
        <v>3</v>
      </c>
      <c r="I278">
        <v>5.6600000000000004E-2</v>
      </c>
      <c r="J278">
        <v>50</v>
      </c>
      <c r="K278">
        <f t="shared" si="4"/>
        <v>2.8300000000000002E-2</v>
      </c>
      <c r="L278" t="s">
        <v>17</v>
      </c>
      <c r="M278">
        <v>296</v>
      </c>
      <c r="N278" t="s">
        <v>18</v>
      </c>
      <c r="O278" t="s">
        <v>907</v>
      </c>
    </row>
    <row r="279" spans="1:15" x14ac:dyDescent="0.2">
      <c r="A279" t="s">
        <v>624</v>
      </c>
      <c r="B279" t="s">
        <v>239</v>
      </c>
      <c r="C279">
        <v>4</v>
      </c>
      <c r="D279">
        <v>1</v>
      </c>
      <c r="E279">
        <v>3</v>
      </c>
      <c r="F279">
        <v>5</v>
      </c>
      <c r="G279">
        <v>2</v>
      </c>
      <c r="H279">
        <v>4</v>
      </c>
      <c r="I279">
        <v>4.9799999999999997E-2</v>
      </c>
      <c r="J279">
        <v>50</v>
      </c>
      <c r="K279">
        <f t="shared" si="4"/>
        <v>2.4899999999999999E-2</v>
      </c>
      <c r="L279" t="s">
        <v>17</v>
      </c>
      <c r="M279">
        <v>296</v>
      </c>
      <c r="N279" t="s">
        <v>18</v>
      </c>
      <c r="O279" t="s">
        <v>907</v>
      </c>
    </row>
    <row r="280" spans="1:15" x14ac:dyDescent="0.2">
      <c r="A280" t="s">
        <v>624</v>
      </c>
      <c r="B280" t="s">
        <v>239</v>
      </c>
      <c r="C280">
        <v>4</v>
      </c>
      <c r="D280">
        <v>3</v>
      </c>
      <c r="E280">
        <v>2</v>
      </c>
      <c r="F280">
        <v>5</v>
      </c>
      <c r="G280">
        <v>2</v>
      </c>
      <c r="H280">
        <v>3</v>
      </c>
      <c r="I280">
        <v>5.11E-2</v>
      </c>
      <c r="J280">
        <v>50</v>
      </c>
      <c r="K280">
        <f t="shared" si="4"/>
        <v>2.5550000000000003E-2</v>
      </c>
      <c r="L280" t="s">
        <v>17</v>
      </c>
      <c r="M280">
        <v>296</v>
      </c>
      <c r="N280" t="s">
        <v>18</v>
      </c>
      <c r="O280" t="s">
        <v>907</v>
      </c>
    </row>
    <row r="281" spans="1:15" x14ac:dyDescent="0.2">
      <c r="A281" t="s">
        <v>624</v>
      </c>
      <c r="B281" t="s">
        <v>239</v>
      </c>
      <c r="C281">
        <v>6</v>
      </c>
      <c r="D281">
        <v>4</v>
      </c>
      <c r="E281">
        <v>2</v>
      </c>
      <c r="F281">
        <v>5</v>
      </c>
      <c r="G281">
        <v>3</v>
      </c>
      <c r="H281">
        <v>3</v>
      </c>
      <c r="I281">
        <v>5.3600000000000002E-2</v>
      </c>
      <c r="J281">
        <v>50</v>
      </c>
      <c r="K281">
        <f t="shared" si="4"/>
        <v>2.6800000000000001E-2</v>
      </c>
      <c r="L281" t="s">
        <v>17</v>
      </c>
      <c r="M281">
        <v>296</v>
      </c>
      <c r="N281" t="s">
        <v>18</v>
      </c>
      <c r="O281" t="s">
        <v>907</v>
      </c>
    </row>
    <row r="282" spans="1:15" x14ac:dyDescent="0.2">
      <c r="A282" t="s">
        <v>624</v>
      </c>
      <c r="B282" t="s">
        <v>239</v>
      </c>
      <c r="C282">
        <v>6</v>
      </c>
      <c r="D282">
        <v>4</v>
      </c>
      <c r="E282">
        <v>3</v>
      </c>
      <c r="F282">
        <v>5</v>
      </c>
      <c r="G282">
        <v>3</v>
      </c>
      <c r="H282">
        <v>2</v>
      </c>
      <c r="I282">
        <v>5.5200000000000006E-2</v>
      </c>
      <c r="J282">
        <v>50</v>
      </c>
      <c r="K282">
        <f t="shared" si="4"/>
        <v>2.7600000000000003E-2</v>
      </c>
      <c r="L282" t="s">
        <v>17</v>
      </c>
      <c r="M282">
        <v>296</v>
      </c>
      <c r="N282" t="s">
        <v>18</v>
      </c>
      <c r="O282" t="s">
        <v>907</v>
      </c>
    </row>
    <row r="283" spans="1:15" x14ac:dyDescent="0.2">
      <c r="A283" t="s">
        <v>624</v>
      </c>
      <c r="B283" t="s">
        <v>239</v>
      </c>
      <c r="C283">
        <v>6</v>
      </c>
      <c r="D283">
        <v>5</v>
      </c>
      <c r="E283">
        <v>2</v>
      </c>
      <c r="F283">
        <v>5</v>
      </c>
      <c r="G283">
        <v>4</v>
      </c>
      <c r="H283">
        <v>1</v>
      </c>
      <c r="I283">
        <v>5.2299999999999999E-2</v>
      </c>
      <c r="J283">
        <v>50</v>
      </c>
      <c r="K283">
        <f t="shared" si="4"/>
        <v>2.6149999999999996E-2</v>
      </c>
      <c r="L283" t="s">
        <v>17</v>
      </c>
      <c r="M283">
        <v>296</v>
      </c>
      <c r="N283" t="s">
        <v>18</v>
      </c>
      <c r="O283" t="s">
        <v>907</v>
      </c>
    </row>
    <row r="284" spans="1:15" x14ac:dyDescent="0.2">
      <c r="A284" t="s">
        <v>624</v>
      </c>
      <c r="B284" t="s">
        <v>239</v>
      </c>
      <c r="C284">
        <v>5</v>
      </c>
      <c r="D284">
        <v>2</v>
      </c>
      <c r="E284">
        <v>3</v>
      </c>
      <c r="F284">
        <v>6</v>
      </c>
      <c r="G284">
        <v>3</v>
      </c>
      <c r="H284">
        <v>4</v>
      </c>
      <c r="I284">
        <v>5.3999999999999999E-2</v>
      </c>
      <c r="J284">
        <v>50</v>
      </c>
      <c r="K284">
        <f t="shared" si="4"/>
        <v>2.7000000000000003E-2</v>
      </c>
      <c r="L284" t="s">
        <v>17</v>
      </c>
      <c r="M284">
        <v>296</v>
      </c>
      <c r="N284" t="s">
        <v>18</v>
      </c>
      <c r="O284" t="s">
        <v>907</v>
      </c>
    </row>
    <row r="285" spans="1:15" x14ac:dyDescent="0.2">
      <c r="A285" t="s">
        <v>624</v>
      </c>
      <c r="B285" t="s">
        <v>239</v>
      </c>
      <c r="C285">
        <v>7</v>
      </c>
      <c r="D285">
        <v>2</v>
      </c>
      <c r="E285">
        <v>5</v>
      </c>
      <c r="F285">
        <v>6</v>
      </c>
      <c r="G285">
        <v>3</v>
      </c>
      <c r="H285">
        <v>4</v>
      </c>
      <c r="I285">
        <v>4.8299999999999996E-2</v>
      </c>
      <c r="J285">
        <v>50</v>
      </c>
      <c r="K285">
        <f t="shared" si="4"/>
        <v>2.4149999999999994E-2</v>
      </c>
      <c r="L285" t="s">
        <v>17</v>
      </c>
      <c r="M285">
        <v>296</v>
      </c>
      <c r="N285" t="s">
        <v>18</v>
      </c>
      <c r="O285" t="s">
        <v>907</v>
      </c>
    </row>
    <row r="286" spans="1:15" x14ac:dyDescent="0.2">
      <c r="A286" t="s">
        <v>624</v>
      </c>
      <c r="B286" t="s">
        <v>239</v>
      </c>
      <c r="C286">
        <v>6</v>
      </c>
      <c r="D286">
        <v>1</v>
      </c>
      <c r="E286">
        <v>6</v>
      </c>
      <c r="F286">
        <v>7</v>
      </c>
      <c r="G286">
        <v>0</v>
      </c>
      <c r="H286">
        <v>7</v>
      </c>
      <c r="I286">
        <v>4.2900000000000001E-2</v>
      </c>
      <c r="J286">
        <v>50</v>
      </c>
      <c r="K286">
        <f t="shared" si="4"/>
        <v>2.145E-2</v>
      </c>
      <c r="L286" t="s">
        <v>17</v>
      </c>
      <c r="M286">
        <v>296</v>
      </c>
      <c r="N286" t="s">
        <v>18</v>
      </c>
      <c r="O286" t="s">
        <v>907</v>
      </c>
    </row>
    <row r="287" spans="1:15" x14ac:dyDescent="0.2">
      <c r="A287" t="s">
        <v>624</v>
      </c>
      <c r="B287" t="s">
        <v>239</v>
      </c>
      <c r="C287">
        <v>6</v>
      </c>
      <c r="D287">
        <v>0</v>
      </c>
      <c r="E287">
        <v>6</v>
      </c>
      <c r="F287">
        <v>7</v>
      </c>
      <c r="G287">
        <v>1</v>
      </c>
      <c r="H287">
        <v>7</v>
      </c>
      <c r="I287">
        <v>4.2900000000000001E-2</v>
      </c>
      <c r="J287">
        <v>50</v>
      </c>
      <c r="K287">
        <f t="shared" si="4"/>
        <v>2.145E-2</v>
      </c>
      <c r="L287" t="s">
        <v>17</v>
      </c>
      <c r="M287">
        <v>296</v>
      </c>
      <c r="N287" t="s">
        <v>18</v>
      </c>
      <c r="O287" t="s">
        <v>907</v>
      </c>
    </row>
    <row r="288" spans="1:15" x14ac:dyDescent="0.2">
      <c r="A288" t="s">
        <v>624</v>
      </c>
      <c r="B288" t="s">
        <v>239</v>
      </c>
      <c r="C288">
        <v>7</v>
      </c>
      <c r="D288">
        <v>2</v>
      </c>
      <c r="E288">
        <v>6</v>
      </c>
      <c r="F288">
        <v>7</v>
      </c>
      <c r="G288">
        <v>1</v>
      </c>
      <c r="H288">
        <v>7</v>
      </c>
      <c r="I288">
        <v>4.4299999999999999E-2</v>
      </c>
      <c r="J288">
        <v>50</v>
      </c>
      <c r="K288">
        <f t="shared" si="4"/>
        <v>2.215E-2</v>
      </c>
      <c r="L288" t="s">
        <v>17</v>
      </c>
      <c r="M288">
        <v>296</v>
      </c>
      <c r="N288" t="s">
        <v>18</v>
      </c>
      <c r="O288" t="s">
        <v>907</v>
      </c>
    </row>
    <row r="289" spans="1:15" x14ac:dyDescent="0.2">
      <c r="A289" t="s">
        <v>624</v>
      </c>
      <c r="B289" t="s">
        <v>239</v>
      </c>
      <c r="C289">
        <v>8</v>
      </c>
      <c r="D289">
        <v>3</v>
      </c>
      <c r="E289">
        <v>6</v>
      </c>
      <c r="F289">
        <v>7</v>
      </c>
      <c r="G289">
        <v>2</v>
      </c>
      <c r="H289">
        <v>5</v>
      </c>
      <c r="I289">
        <v>4.8000000000000001E-2</v>
      </c>
      <c r="J289">
        <v>50</v>
      </c>
      <c r="K289">
        <f t="shared" si="4"/>
        <v>2.4E-2</v>
      </c>
      <c r="L289" t="s">
        <v>17</v>
      </c>
      <c r="M289">
        <v>296</v>
      </c>
      <c r="N289" t="s">
        <v>18</v>
      </c>
      <c r="O289" t="s">
        <v>907</v>
      </c>
    </row>
    <row r="290" spans="1:15" x14ac:dyDescent="0.2">
      <c r="A290" t="s">
        <v>624</v>
      </c>
      <c r="B290" t="s">
        <v>239</v>
      </c>
      <c r="C290">
        <v>8</v>
      </c>
      <c r="D290">
        <v>2</v>
      </c>
      <c r="E290">
        <v>6</v>
      </c>
      <c r="F290">
        <v>7</v>
      </c>
      <c r="G290">
        <v>3</v>
      </c>
      <c r="H290">
        <v>5</v>
      </c>
      <c r="I290">
        <v>4.8799999999999996E-2</v>
      </c>
      <c r="J290">
        <v>50</v>
      </c>
      <c r="K290">
        <f t="shared" si="4"/>
        <v>2.4399999999999998E-2</v>
      </c>
      <c r="L290" t="s">
        <v>17</v>
      </c>
      <c r="M290">
        <v>296</v>
      </c>
      <c r="N290" t="s">
        <v>18</v>
      </c>
      <c r="O290" t="s">
        <v>907</v>
      </c>
    </row>
    <row r="291" spans="1:15" x14ac:dyDescent="0.2">
      <c r="A291" t="s">
        <v>624</v>
      </c>
      <c r="B291" t="s">
        <v>239</v>
      </c>
      <c r="C291">
        <v>7</v>
      </c>
      <c r="D291">
        <v>1</v>
      </c>
      <c r="E291">
        <v>7</v>
      </c>
      <c r="F291">
        <v>8</v>
      </c>
      <c r="G291">
        <v>0</v>
      </c>
      <c r="H291">
        <v>8</v>
      </c>
      <c r="I291">
        <v>3.9200000000000006E-2</v>
      </c>
      <c r="J291">
        <v>50</v>
      </c>
      <c r="K291">
        <f t="shared" si="4"/>
        <v>1.9600000000000003E-2</v>
      </c>
      <c r="L291" t="s">
        <v>17</v>
      </c>
      <c r="M291">
        <v>296</v>
      </c>
      <c r="N291" t="s">
        <v>18</v>
      </c>
      <c r="O291" t="s">
        <v>907</v>
      </c>
    </row>
    <row r="292" spans="1:15" x14ac:dyDescent="0.2">
      <c r="A292" t="s">
        <v>624</v>
      </c>
      <c r="B292" t="s">
        <v>239</v>
      </c>
      <c r="C292">
        <v>7</v>
      </c>
      <c r="D292">
        <v>0</v>
      </c>
      <c r="E292">
        <v>7</v>
      </c>
      <c r="F292">
        <v>8</v>
      </c>
      <c r="G292">
        <v>1</v>
      </c>
      <c r="H292">
        <v>8</v>
      </c>
      <c r="I292">
        <v>3.9200000000000006E-2</v>
      </c>
      <c r="J292">
        <v>50</v>
      </c>
      <c r="K292">
        <f t="shared" si="4"/>
        <v>1.9600000000000003E-2</v>
      </c>
      <c r="L292" t="s">
        <v>17</v>
      </c>
      <c r="M292">
        <v>296</v>
      </c>
      <c r="N292" t="s">
        <v>18</v>
      </c>
      <c r="O292" t="s">
        <v>907</v>
      </c>
    </row>
    <row r="293" spans="1:15" x14ac:dyDescent="0.2">
      <c r="A293" t="s">
        <v>624</v>
      </c>
      <c r="B293" t="s">
        <v>239</v>
      </c>
      <c r="C293">
        <v>7</v>
      </c>
      <c r="D293">
        <v>2</v>
      </c>
      <c r="E293">
        <v>6</v>
      </c>
      <c r="F293">
        <v>8</v>
      </c>
      <c r="G293">
        <v>1</v>
      </c>
      <c r="H293">
        <v>7</v>
      </c>
      <c r="I293">
        <v>4.5899999999999996E-2</v>
      </c>
      <c r="J293">
        <v>50</v>
      </c>
      <c r="K293">
        <f t="shared" si="4"/>
        <v>2.2949999999999998E-2</v>
      </c>
      <c r="L293" t="s">
        <v>17</v>
      </c>
      <c r="M293">
        <v>296</v>
      </c>
      <c r="N293" t="s">
        <v>18</v>
      </c>
      <c r="O293" t="s">
        <v>907</v>
      </c>
    </row>
    <row r="294" spans="1:15" x14ac:dyDescent="0.2">
      <c r="A294" t="s">
        <v>624</v>
      </c>
      <c r="B294" t="s">
        <v>239</v>
      </c>
      <c r="C294">
        <v>8</v>
      </c>
      <c r="D294">
        <v>2</v>
      </c>
      <c r="E294">
        <v>6</v>
      </c>
      <c r="F294">
        <v>8</v>
      </c>
      <c r="G294">
        <v>1</v>
      </c>
      <c r="H294">
        <v>7</v>
      </c>
      <c r="I294">
        <v>4.41E-2</v>
      </c>
      <c r="J294">
        <v>50</v>
      </c>
      <c r="K294">
        <f t="shared" si="4"/>
        <v>2.205E-2</v>
      </c>
      <c r="L294" t="s">
        <v>17</v>
      </c>
      <c r="M294">
        <v>296</v>
      </c>
      <c r="N294" t="s">
        <v>18</v>
      </c>
      <c r="O294" t="s">
        <v>907</v>
      </c>
    </row>
    <row r="295" spans="1:15" x14ac:dyDescent="0.2">
      <c r="A295" t="s">
        <v>624</v>
      </c>
      <c r="B295" t="s">
        <v>239</v>
      </c>
      <c r="C295">
        <v>7</v>
      </c>
      <c r="D295">
        <v>1</v>
      </c>
      <c r="E295">
        <v>6</v>
      </c>
      <c r="F295">
        <v>8</v>
      </c>
      <c r="G295">
        <v>2</v>
      </c>
      <c r="H295">
        <v>7</v>
      </c>
      <c r="I295">
        <v>4.5899999999999996E-2</v>
      </c>
      <c r="J295">
        <v>50</v>
      </c>
      <c r="K295">
        <f t="shared" si="4"/>
        <v>2.2949999999999998E-2</v>
      </c>
      <c r="L295" t="s">
        <v>17</v>
      </c>
      <c r="M295">
        <v>296</v>
      </c>
      <c r="N295" t="s">
        <v>18</v>
      </c>
      <c r="O295" t="s">
        <v>907</v>
      </c>
    </row>
    <row r="296" spans="1:15" x14ac:dyDescent="0.2">
      <c r="A296" t="s">
        <v>624</v>
      </c>
      <c r="B296" t="s">
        <v>239</v>
      </c>
      <c r="C296">
        <v>8</v>
      </c>
      <c r="D296">
        <v>3</v>
      </c>
      <c r="E296">
        <v>6</v>
      </c>
      <c r="F296">
        <v>8</v>
      </c>
      <c r="G296">
        <v>2</v>
      </c>
      <c r="H296">
        <v>7</v>
      </c>
      <c r="I296">
        <v>4.8299999999999996E-2</v>
      </c>
      <c r="J296">
        <v>50</v>
      </c>
      <c r="K296">
        <f t="shared" si="4"/>
        <v>2.4149999999999994E-2</v>
      </c>
      <c r="L296" t="s">
        <v>17</v>
      </c>
      <c r="M296">
        <v>296</v>
      </c>
      <c r="N296" t="s">
        <v>18</v>
      </c>
      <c r="O296" t="s">
        <v>907</v>
      </c>
    </row>
    <row r="297" spans="1:15" x14ac:dyDescent="0.2">
      <c r="A297" t="s">
        <v>624</v>
      </c>
      <c r="B297" t="s">
        <v>239</v>
      </c>
      <c r="C297">
        <v>7</v>
      </c>
      <c r="D297">
        <v>3</v>
      </c>
      <c r="E297">
        <v>5</v>
      </c>
      <c r="F297">
        <v>8</v>
      </c>
      <c r="G297">
        <v>2</v>
      </c>
      <c r="H297">
        <v>6</v>
      </c>
      <c r="I297">
        <v>5.3899999999999997E-2</v>
      </c>
      <c r="J297">
        <v>50</v>
      </c>
      <c r="K297">
        <f t="shared" si="4"/>
        <v>2.6949999999999998E-2</v>
      </c>
      <c r="L297" t="s">
        <v>17</v>
      </c>
      <c r="M297">
        <v>296</v>
      </c>
      <c r="N297" t="s">
        <v>18</v>
      </c>
      <c r="O297" t="s">
        <v>907</v>
      </c>
    </row>
    <row r="298" spans="1:15" x14ac:dyDescent="0.2">
      <c r="A298" t="s">
        <v>624</v>
      </c>
      <c r="B298" t="s">
        <v>239</v>
      </c>
      <c r="C298">
        <v>9</v>
      </c>
      <c r="D298">
        <v>3</v>
      </c>
      <c r="E298">
        <v>7</v>
      </c>
      <c r="F298">
        <v>8</v>
      </c>
      <c r="G298">
        <v>2</v>
      </c>
      <c r="H298">
        <v>6</v>
      </c>
      <c r="I298">
        <v>4.87E-2</v>
      </c>
      <c r="J298">
        <v>50</v>
      </c>
      <c r="K298">
        <f t="shared" si="4"/>
        <v>2.435E-2</v>
      </c>
      <c r="L298" t="s">
        <v>17</v>
      </c>
      <c r="M298">
        <v>296</v>
      </c>
      <c r="N298" t="s">
        <v>18</v>
      </c>
      <c r="O298" t="s">
        <v>907</v>
      </c>
    </row>
    <row r="299" spans="1:15" x14ac:dyDescent="0.2">
      <c r="A299" t="s">
        <v>624</v>
      </c>
      <c r="B299" t="s">
        <v>239</v>
      </c>
      <c r="C299">
        <v>7</v>
      </c>
      <c r="D299">
        <v>2</v>
      </c>
      <c r="E299">
        <v>5</v>
      </c>
      <c r="F299">
        <v>8</v>
      </c>
      <c r="G299">
        <v>3</v>
      </c>
      <c r="H299">
        <v>6</v>
      </c>
      <c r="I299">
        <v>5.2399999999999995E-2</v>
      </c>
      <c r="J299">
        <v>50</v>
      </c>
      <c r="K299">
        <f t="shared" si="4"/>
        <v>2.6199999999999998E-2</v>
      </c>
      <c r="L299" t="s">
        <v>17</v>
      </c>
      <c r="M299">
        <v>296</v>
      </c>
      <c r="N299" t="s">
        <v>18</v>
      </c>
      <c r="O299" t="s">
        <v>907</v>
      </c>
    </row>
    <row r="300" spans="1:15" x14ac:dyDescent="0.2">
      <c r="A300" t="s">
        <v>624</v>
      </c>
      <c r="B300" t="s">
        <v>239</v>
      </c>
      <c r="C300">
        <v>9</v>
      </c>
      <c r="D300">
        <v>2</v>
      </c>
      <c r="E300">
        <v>7</v>
      </c>
      <c r="F300">
        <v>8</v>
      </c>
      <c r="G300">
        <v>3</v>
      </c>
      <c r="H300">
        <v>6</v>
      </c>
      <c r="I300">
        <v>4.6100000000000002E-2</v>
      </c>
      <c r="J300">
        <v>50</v>
      </c>
      <c r="K300">
        <f t="shared" si="4"/>
        <v>2.3050000000000001E-2</v>
      </c>
      <c r="L300" t="s">
        <v>17</v>
      </c>
      <c r="M300">
        <v>296</v>
      </c>
      <c r="N300" t="s">
        <v>18</v>
      </c>
      <c r="O300" t="s">
        <v>907</v>
      </c>
    </row>
    <row r="301" spans="1:15" x14ac:dyDescent="0.2">
      <c r="A301" t="s">
        <v>624</v>
      </c>
      <c r="B301" t="s">
        <v>239</v>
      </c>
      <c r="C301">
        <v>9</v>
      </c>
      <c r="D301">
        <v>3</v>
      </c>
      <c r="E301">
        <v>6</v>
      </c>
      <c r="F301">
        <v>8</v>
      </c>
      <c r="G301">
        <v>4</v>
      </c>
      <c r="H301">
        <v>5</v>
      </c>
      <c r="I301">
        <v>4.7600000000000003E-2</v>
      </c>
      <c r="J301">
        <v>50</v>
      </c>
      <c r="K301">
        <f t="shared" si="4"/>
        <v>2.3800000000000002E-2</v>
      </c>
      <c r="L301" t="s">
        <v>17</v>
      </c>
      <c r="M301">
        <v>296</v>
      </c>
      <c r="N301" t="s">
        <v>18</v>
      </c>
      <c r="O301" t="s">
        <v>907</v>
      </c>
    </row>
    <row r="302" spans="1:15" x14ac:dyDescent="0.2">
      <c r="A302" t="s">
        <v>624</v>
      </c>
      <c r="B302" t="s">
        <v>239</v>
      </c>
      <c r="C302">
        <v>9</v>
      </c>
      <c r="D302">
        <v>2</v>
      </c>
      <c r="E302">
        <v>7</v>
      </c>
      <c r="F302">
        <v>9</v>
      </c>
      <c r="G302">
        <v>1</v>
      </c>
      <c r="H302">
        <v>8</v>
      </c>
      <c r="I302">
        <v>4.4299999999999999E-2</v>
      </c>
      <c r="J302">
        <v>50</v>
      </c>
      <c r="K302">
        <f t="shared" si="4"/>
        <v>2.215E-2</v>
      </c>
      <c r="L302" t="s">
        <v>17</v>
      </c>
      <c r="M302">
        <v>296</v>
      </c>
      <c r="N302" t="s">
        <v>18</v>
      </c>
      <c r="O302" t="s">
        <v>907</v>
      </c>
    </row>
    <row r="303" spans="1:15" x14ac:dyDescent="0.2">
      <c r="A303" t="s">
        <v>624</v>
      </c>
      <c r="B303" t="s">
        <v>239</v>
      </c>
      <c r="C303">
        <v>10</v>
      </c>
      <c r="D303">
        <v>2</v>
      </c>
      <c r="E303">
        <v>9</v>
      </c>
      <c r="F303">
        <v>9</v>
      </c>
      <c r="G303">
        <v>1</v>
      </c>
      <c r="H303">
        <v>8</v>
      </c>
      <c r="I303">
        <v>3.8100000000000002E-2</v>
      </c>
      <c r="J303">
        <v>50</v>
      </c>
      <c r="K303">
        <f t="shared" si="4"/>
        <v>1.9050000000000001E-2</v>
      </c>
      <c r="L303" t="s">
        <v>17</v>
      </c>
      <c r="M303">
        <v>296</v>
      </c>
      <c r="N303" t="s">
        <v>18</v>
      </c>
      <c r="O303" t="s">
        <v>907</v>
      </c>
    </row>
    <row r="304" spans="1:15" x14ac:dyDescent="0.2">
      <c r="A304" t="s">
        <v>624</v>
      </c>
      <c r="B304" t="s">
        <v>239</v>
      </c>
      <c r="C304">
        <v>9</v>
      </c>
      <c r="D304">
        <v>3</v>
      </c>
      <c r="E304">
        <v>7</v>
      </c>
      <c r="F304">
        <v>9</v>
      </c>
      <c r="G304">
        <v>2</v>
      </c>
      <c r="H304">
        <v>8</v>
      </c>
      <c r="I304">
        <v>4.4299999999999999E-2</v>
      </c>
      <c r="J304">
        <v>50</v>
      </c>
      <c r="K304">
        <f t="shared" si="4"/>
        <v>2.215E-2</v>
      </c>
      <c r="L304" t="s">
        <v>17</v>
      </c>
      <c r="M304">
        <v>296</v>
      </c>
      <c r="N304" t="s">
        <v>18</v>
      </c>
      <c r="O304" t="s">
        <v>907</v>
      </c>
    </row>
    <row r="305" spans="1:15" x14ac:dyDescent="0.2">
      <c r="A305" t="s">
        <v>624</v>
      </c>
      <c r="B305" t="s">
        <v>239</v>
      </c>
      <c r="C305">
        <v>10</v>
      </c>
      <c r="D305">
        <v>1</v>
      </c>
      <c r="E305">
        <v>9</v>
      </c>
      <c r="F305">
        <v>9</v>
      </c>
      <c r="G305">
        <v>2</v>
      </c>
      <c r="H305">
        <v>8</v>
      </c>
      <c r="I305">
        <v>3.8100000000000002E-2</v>
      </c>
      <c r="J305">
        <v>50</v>
      </c>
      <c r="K305">
        <f t="shared" si="4"/>
        <v>1.9050000000000001E-2</v>
      </c>
      <c r="L305" t="s">
        <v>17</v>
      </c>
      <c r="M305">
        <v>296</v>
      </c>
      <c r="N305" t="s">
        <v>18</v>
      </c>
      <c r="O305" t="s">
        <v>907</v>
      </c>
    </row>
    <row r="306" spans="1:15" x14ac:dyDescent="0.2">
      <c r="A306" t="s">
        <v>624</v>
      </c>
      <c r="B306" t="s">
        <v>239</v>
      </c>
      <c r="C306">
        <v>11</v>
      </c>
      <c r="D306">
        <v>1</v>
      </c>
      <c r="E306">
        <v>11</v>
      </c>
      <c r="F306">
        <v>10</v>
      </c>
      <c r="G306">
        <v>0</v>
      </c>
      <c r="H306">
        <v>10</v>
      </c>
      <c r="I306">
        <v>3.2100000000000004E-2</v>
      </c>
      <c r="J306">
        <v>50</v>
      </c>
      <c r="K306">
        <f t="shared" si="4"/>
        <v>1.6050000000000002E-2</v>
      </c>
      <c r="L306" t="s">
        <v>17</v>
      </c>
      <c r="M306">
        <v>296</v>
      </c>
      <c r="N306" t="s">
        <v>18</v>
      </c>
      <c r="O306" t="s">
        <v>907</v>
      </c>
    </row>
    <row r="307" spans="1:15" x14ac:dyDescent="0.2">
      <c r="A307" t="s">
        <v>624</v>
      </c>
      <c r="B307" t="s">
        <v>239</v>
      </c>
      <c r="C307">
        <v>10</v>
      </c>
      <c r="D307">
        <v>2</v>
      </c>
      <c r="E307">
        <v>8</v>
      </c>
      <c r="F307">
        <v>10</v>
      </c>
      <c r="G307">
        <v>1</v>
      </c>
      <c r="H307">
        <v>9</v>
      </c>
      <c r="I307">
        <v>4.0899999999999999E-2</v>
      </c>
      <c r="J307">
        <v>50</v>
      </c>
      <c r="K307">
        <f t="shared" si="4"/>
        <v>2.0449999999999999E-2</v>
      </c>
      <c r="L307" t="s">
        <v>17</v>
      </c>
      <c r="M307">
        <v>296</v>
      </c>
      <c r="N307" t="s">
        <v>18</v>
      </c>
      <c r="O307" t="s">
        <v>907</v>
      </c>
    </row>
    <row r="308" spans="1:15" x14ac:dyDescent="0.2">
      <c r="A308" t="s">
        <v>624</v>
      </c>
      <c r="B308" t="s">
        <v>239</v>
      </c>
      <c r="C308">
        <v>10</v>
      </c>
      <c r="D308">
        <v>3</v>
      </c>
      <c r="E308">
        <v>8</v>
      </c>
      <c r="F308">
        <v>10</v>
      </c>
      <c r="G308">
        <v>2</v>
      </c>
      <c r="H308">
        <v>9</v>
      </c>
      <c r="I308">
        <v>4.0899999999999999E-2</v>
      </c>
      <c r="J308">
        <v>50</v>
      </c>
      <c r="K308">
        <f t="shared" si="4"/>
        <v>2.0449999999999999E-2</v>
      </c>
      <c r="L308" t="s">
        <v>17</v>
      </c>
      <c r="M308">
        <v>296</v>
      </c>
      <c r="N308" t="s">
        <v>18</v>
      </c>
      <c r="O308" t="s">
        <v>907</v>
      </c>
    </row>
    <row r="309" spans="1:15" x14ac:dyDescent="0.2">
      <c r="A309" t="s">
        <v>624</v>
      </c>
      <c r="B309" t="s">
        <v>239</v>
      </c>
      <c r="C309">
        <v>12</v>
      </c>
      <c r="D309">
        <v>1</v>
      </c>
      <c r="E309">
        <v>12</v>
      </c>
      <c r="F309">
        <v>11</v>
      </c>
      <c r="G309">
        <v>0</v>
      </c>
      <c r="H309">
        <v>11</v>
      </c>
      <c r="I309">
        <v>2.86E-2</v>
      </c>
      <c r="J309">
        <v>50</v>
      </c>
      <c r="K309">
        <f t="shared" si="4"/>
        <v>1.43E-2</v>
      </c>
      <c r="L309" t="s">
        <v>17</v>
      </c>
      <c r="M309">
        <v>296</v>
      </c>
      <c r="N309" t="s">
        <v>18</v>
      </c>
      <c r="O309" t="s">
        <v>907</v>
      </c>
    </row>
    <row r="310" spans="1:15" x14ac:dyDescent="0.2">
      <c r="A310" t="s">
        <v>624</v>
      </c>
      <c r="B310" t="s">
        <v>239</v>
      </c>
      <c r="C310">
        <v>12</v>
      </c>
      <c r="D310">
        <v>0</v>
      </c>
      <c r="E310">
        <v>12</v>
      </c>
      <c r="F310">
        <v>11</v>
      </c>
      <c r="G310">
        <v>1</v>
      </c>
      <c r="H310">
        <v>11</v>
      </c>
      <c r="I310">
        <v>2.86E-2</v>
      </c>
      <c r="J310">
        <v>50</v>
      </c>
      <c r="K310">
        <f t="shared" si="4"/>
        <v>1.43E-2</v>
      </c>
      <c r="L310" t="s">
        <v>17</v>
      </c>
      <c r="M310">
        <v>296</v>
      </c>
      <c r="N310" t="s">
        <v>18</v>
      </c>
      <c r="O310" t="s">
        <v>907</v>
      </c>
    </row>
    <row r="311" spans="1:15" x14ac:dyDescent="0.2">
      <c r="A311" t="s">
        <v>624</v>
      </c>
      <c r="B311" t="s">
        <v>239</v>
      </c>
      <c r="C311" s="2">
        <v>3</v>
      </c>
      <c r="D311" s="2">
        <v>3</v>
      </c>
      <c r="E311" s="2">
        <v>1</v>
      </c>
      <c r="F311" s="2">
        <v>2</v>
      </c>
      <c r="G311" s="2">
        <v>0</v>
      </c>
      <c r="H311" s="2">
        <v>2</v>
      </c>
      <c r="I311">
        <v>6.0299999999999999E-2</v>
      </c>
      <c r="J311">
        <v>50</v>
      </c>
      <c r="K311">
        <f t="shared" si="4"/>
        <v>3.015E-2</v>
      </c>
      <c r="L311" t="s">
        <v>17</v>
      </c>
      <c r="M311">
        <v>296</v>
      </c>
      <c r="N311" t="s">
        <v>18</v>
      </c>
      <c r="O311" t="s">
        <v>907</v>
      </c>
    </row>
    <row r="312" spans="1:15" x14ac:dyDescent="0.2">
      <c r="A312" t="s">
        <v>624</v>
      </c>
      <c r="B312" t="s">
        <v>239</v>
      </c>
      <c r="C312" s="2">
        <v>2</v>
      </c>
      <c r="D312" s="2">
        <v>1</v>
      </c>
      <c r="E312" s="2">
        <v>2</v>
      </c>
      <c r="F312" s="2">
        <v>3</v>
      </c>
      <c r="G312" s="2">
        <v>0</v>
      </c>
      <c r="H312" s="2">
        <v>3</v>
      </c>
      <c r="I312">
        <v>5.6299999999999996E-2</v>
      </c>
      <c r="J312">
        <v>50</v>
      </c>
      <c r="K312">
        <f t="shared" si="4"/>
        <v>2.8149999999999998E-2</v>
      </c>
      <c r="L312" t="s">
        <v>17</v>
      </c>
      <c r="M312">
        <v>296</v>
      </c>
      <c r="N312" t="s">
        <v>18</v>
      </c>
      <c r="O312" t="s">
        <v>907</v>
      </c>
    </row>
    <row r="313" spans="1:15" x14ac:dyDescent="0.2">
      <c r="A313" t="s">
        <v>624</v>
      </c>
      <c r="B313" t="s">
        <v>239</v>
      </c>
      <c r="C313" s="2">
        <v>2</v>
      </c>
      <c r="D313" s="2">
        <v>0</v>
      </c>
      <c r="E313" s="2">
        <v>2</v>
      </c>
      <c r="F313" s="2">
        <v>3</v>
      </c>
      <c r="G313" s="2">
        <v>1</v>
      </c>
      <c r="H313" s="2">
        <v>3</v>
      </c>
      <c r="I313">
        <v>5.67E-2</v>
      </c>
      <c r="J313">
        <v>50</v>
      </c>
      <c r="K313">
        <f t="shared" si="4"/>
        <v>2.835E-2</v>
      </c>
      <c r="L313" t="s">
        <v>17</v>
      </c>
      <c r="M313">
        <v>296</v>
      </c>
      <c r="N313" t="s">
        <v>18</v>
      </c>
      <c r="O313" t="s">
        <v>907</v>
      </c>
    </row>
    <row r="314" spans="1:15" x14ac:dyDescent="0.2">
      <c r="A314" t="s">
        <v>624</v>
      </c>
      <c r="B314" t="s">
        <v>239</v>
      </c>
      <c r="C314" s="2">
        <v>2</v>
      </c>
      <c r="D314" s="2">
        <v>2</v>
      </c>
      <c r="E314" s="2">
        <v>1</v>
      </c>
      <c r="F314" s="2">
        <v>3</v>
      </c>
      <c r="G314" s="2">
        <v>1</v>
      </c>
      <c r="H314" s="2">
        <v>2</v>
      </c>
      <c r="I314">
        <v>5.7700000000000001E-2</v>
      </c>
      <c r="J314">
        <v>50</v>
      </c>
      <c r="K314">
        <f t="shared" si="4"/>
        <v>2.8850000000000001E-2</v>
      </c>
      <c r="L314" t="s">
        <v>17</v>
      </c>
      <c r="M314">
        <v>296</v>
      </c>
      <c r="N314" t="s">
        <v>18</v>
      </c>
      <c r="O314" t="s">
        <v>907</v>
      </c>
    </row>
    <row r="315" spans="1:15" x14ac:dyDescent="0.2">
      <c r="A315" t="s">
        <v>624</v>
      </c>
      <c r="B315" t="s">
        <v>239</v>
      </c>
      <c r="C315" s="2">
        <v>4</v>
      </c>
      <c r="D315" s="2">
        <v>3</v>
      </c>
      <c r="E315" s="2">
        <v>2</v>
      </c>
      <c r="F315" s="2">
        <v>3</v>
      </c>
      <c r="G315" s="2">
        <v>2</v>
      </c>
      <c r="H315" s="2">
        <v>1</v>
      </c>
      <c r="I315">
        <v>5.6000000000000001E-2</v>
      </c>
      <c r="J315">
        <v>50</v>
      </c>
      <c r="K315">
        <f t="shared" si="4"/>
        <v>2.8000000000000004E-2</v>
      </c>
      <c r="L315" t="s">
        <v>17</v>
      </c>
      <c r="M315">
        <v>296</v>
      </c>
      <c r="N315" t="s">
        <v>18</v>
      </c>
      <c r="O315" t="s">
        <v>907</v>
      </c>
    </row>
    <row r="316" spans="1:15" x14ac:dyDescent="0.2">
      <c r="A316" t="s">
        <v>624</v>
      </c>
      <c r="B316" t="s">
        <v>239</v>
      </c>
      <c r="C316" s="2">
        <v>4</v>
      </c>
      <c r="D316" s="2">
        <v>4</v>
      </c>
      <c r="E316" s="2">
        <v>1</v>
      </c>
      <c r="F316" s="2">
        <v>3</v>
      </c>
      <c r="G316" s="2">
        <v>3</v>
      </c>
      <c r="H316" s="2">
        <v>0</v>
      </c>
      <c r="I316">
        <v>5.1499999999999997E-2</v>
      </c>
      <c r="J316">
        <v>50</v>
      </c>
      <c r="K316">
        <f t="shared" si="4"/>
        <v>2.5749999999999999E-2</v>
      </c>
      <c r="L316" t="s">
        <v>17</v>
      </c>
      <c r="M316">
        <v>296</v>
      </c>
      <c r="N316" t="s">
        <v>18</v>
      </c>
      <c r="O316" t="s">
        <v>907</v>
      </c>
    </row>
    <row r="317" spans="1:15" x14ac:dyDescent="0.2">
      <c r="A317" t="s">
        <v>624</v>
      </c>
      <c r="B317" t="s">
        <v>239</v>
      </c>
      <c r="C317" s="2">
        <v>5</v>
      </c>
      <c r="D317" s="2">
        <v>3</v>
      </c>
      <c r="E317" s="2">
        <v>2</v>
      </c>
      <c r="F317" s="2">
        <v>4</v>
      </c>
      <c r="G317" s="2">
        <v>2</v>
      </c>
      <c r="H317" s="2">
        <v>3</v>
      </c>
      <c r="I317">
        <v>5.6799999999999996E-2</v>
      </c>
      <c r="J317">
        <v>50</v>
      </c>
      <c r="K317">
        <f t="shared" si="4"/>
        <v>2.8399999999999998E-2</v>
      </c>
      <c r="L317" t="s">
        <v>17</v>
      </c>
      <c r="M317">
        <v>296</v>
      </c>
      <c r="N317" t="s">
        <v>18</v>
      </c>
      <c r="O317" t="s">
        <v>907</v>
      </c>
    </row>
    <row r="318" spans="1:15" x14ac:dyDescent="0.2">
      <c r="A318" t="s">
        <v>624</v>
      </c>
      <c r="B318" t="s">
        <v>239</v>
      </c>
      <c r="C318" s="2">
        <v>4</v>
      </c>
      <c r="D318" s="2">
        <v>1</v>
      </c>
      <c r="E318" s="2">
        <v>3</v>
      </c>
      <c r="F318" s="2">
        <v>5</v>
      </c>
      <c r="G318" s="2">
        <v>2</v>
      </c>
      <c r="H318" s="2">
        <v>4</v>
      </c>
      <c r="I318">
        <v>5.4299999999999994E-2</v>
      </c>
      <c r="J318">
        <v>50</v>
      </c>
      <c r="K318">
        <f t="shared" si="4"/>
        <v>2.7149999999999997E-2</v>
      </c>
      <c r="L318" t="s">
        <v>17</v>
      </c>
      <c r="M318">
        <v>296</v>
      </c>
      <c r="N318" t="s">
        <v>18</v>
      </c>
      <c r="O318" t="s">
        <v>907</v>
      </c>
    </row>
    <row r="319" spans="1:15" x14ac:dyDescent="0.2">
      <c r="A319" t="s">
        <v>624</v>
      </c>
      <c r="B319" t="s">
        <v>239</v>
      </c>
      <c r="C319" s="2">
        <v>4</v>
      </c>
      <c r="D319" s="2">
        <v>3</v>
      </c>
      <c r="E319" s="2">
        <v>2</v>
      </c>
      <c r="F319" s="2">
        <v>5</v>
      </c>
      <c r="G319" s="2">
        <v>2</v>
      </c>
      <c r="H319" s="2">
        <v>3</v>
      </c>
      <c r="I319">
        <v>5.3899999999999997E-2</v>
      </c>
      <c r="J319">
        <v>50</v>
      </c>
      <c r="K319">
        <f t="shared" si="4"/>
        <v>2.6949999999999998E-2</v>
      </c>
      <c r="L319" t="s">
        <v>17</v>
      </c>
      <c r="M319">
        <v>296</v>
      </c>
      <c r="N319" t="s">
        <v>18</v>
      </c>
      <c r="O319" t="s">
        <v>907</v>
      </c>
    </row>
    <row r="320" spans="1:15" x14ac:dyDescent="0.2">
      <c r="A320" t="s">
        <v>624</v>
      </c>
      <c r="B320" t="s">
        <v>239</v>
      </c>
      <c r="C320" s="2">
        <v>6</v>
      </c>
      <c r="D320" s="2">
        <v>4</v>
      </c>
      <c r="E320" s="2">
        <v>2</v>
      </c>
      <c r="F320" s="2">
        <v>5</v>
      </c>
      <c r="G320" s="2">
        <v>3</v>
      </c>
      <c r="H320" s="2">
        <v>3</v>
      </c>
      <c r="I320">
        <v>5.4200000000000005E-2</v>
      </c>
      <c r="J320">
        <v>50</v>
      </c>
      <c r="K320">
        <f t="shared" si="4"/>
        <v>2.7100000000000003E-2</v>
      </c>
      <c r="L320" t="s">
        <v>17</v>
      </c>
      <c r="M320">
        <v>296</v>
      </c>
      <c r="N320" t="s">
        <v>18</v>
      </c>
      <c r="O320" t="s">
        <v>907</v>
      </c>
    </row>
    <row r="321" spans="1:15" x14ac:dyDescent="0.2">
      <c r="A321" t="s">
        <v>624</v>
      </c>
      <c r="B321" t="s">
        <v>239</v>
      </c>
      <c r="C321" s="2">
        <v>6</v>
      </c>
      <c r="D321" s="2">
        <v>4</v>
      </c>
      <c r="E321" s="2">
        <v>3</v>
      </c>
      <c r="F321" s="2">
        <v>5</v>
      </c>
      <c r="G321" s="2">
        <v>3</v>
      </c>
      <c r="H321" s="2">
        <v>2</v>
      </c>
      <c r="I321">
        <v>5.3399999999999996E-2</v>
      </c>
      <c r="J321">
        <v>50</v>
      </c>
      <c r="K321">
        <f t="shared" si="4"/>
        <v>2.6699999999999998E-2</v>
      </c>
      <c r="L321" t="s">
        <v>17</v>
      </c>
      <c r="M321">
        <v>296</v>
      </c>
      <c r="N321" t="s">
        <v>18</v>
      </c>
      <c r="O321" t="s">
        <v>907</v>
      </c>
    </row>
    <row r="322" spans="1:15" x14ac:dyDescent="0.2">
      <c r="A322" t="s">
        <v>624</v>
      </c>
      <c r="B322" t="s">
        <v>239</v>
      </c>
      <c r="C322" s="2">
        <v>6</v>
      </c>
      <c r="D322" s="2">
        <v>5</v>
      </c>
      <c r="E322" s="2">
        <v>2</v>
      </c>
      <c r="F322" s="2">
        <v>5</v>
      </c>
      <c r="G322" s="2">
        <v>4</v>
      </c>
      <c r="H322" s="2">
        <v>1</v>
      </c>
      <c r="I322">
        <v>5.1299999999999998E-2</v>
      </c>
      <c r="J322">
        <v>50</v>
      </c>
      <c r="K322">
        <f t="shared" si="4"/>
        <v>2.5649999999999999E-2</v>
      </c>
      <c r="L322" t="s">
        <v>17</v>
      </c>
      <c r="M322">
        <v>296</v>
      </c>
      <c r="N322" t="s">
        <v>18</v>
      </c>
      <c r="O322" t="s">
        <v>907</v>
      </c>
    </row>
    <row r="323" spans="1:15" x14ac:dyDescent="0.2">
      <c r="A323" t="s">
        <v>624</v>
      </c>
      <c r="B323" t="s">
        <v>239</v>
      </c>
      <c r="C323" s="2">
        <v>5</v>
      </c>
      <c r="D323" s="2">
        <v>2</v>
      </c>
      <c r="E323" s="2">
        <v>3</v>
      </c>
      <c r="F323" s="2">
        <v>6</v>
      </c>
      <c r="G323" s="2">
        <v>3</v>
      </c>
      <c r="H323" s="2">
        <v>4</v>
      </c>
      <c r="I323">
        <v>5.2899999999999996E-2</v>
      </c>
      <c r="J323">
        <v>50</v>
      </c>
      <c r="K323">
        <f t="shared" si="4"/>
        <v>2.6449999999999994E-2</v>
      </c>
      <c r="L323" t="s">
        <v>17</v>
      </c>
      <c r="M323">
        <v>296</v>
      </c>
      <c r="N323" t="s">
        <v>18</v>
      </c>
      <c r="O323" t="s">
        <v>907</v>
      </c>
    </row>
    <row r="324" spans="1:15" x14ac:dyDescent="0.2">
      <c r="A324" t="s">
        <v>624</v>
      </c>
      <c r="B324" t="s">
        <v>239</v>
      </c>
      <c r="C324" s="2">
        <v>7</v>
      </c>
      <c r="D324" s="2">
        <v>2</v>
      </c>
      <c r="E324" s="2">
        <v>5</v>
      </c>
      <c r="F324" s="2">
        <v>6</v>
      </c>
      <c r="G324" s="2">
        <v>3</v>
      </c>
      <c r="H324" s="2">
        <v>4</v>
      </c>
      <c r="I324">
        <v>5.0599999999999999E-2</v>
      </c>
      <c r="J324">
        <v>50</v>
      </c>
      <c r="K324">
        <f t="shared" ref="K324:K387" si="5">J324*I324/100</f>
        <v>2.53E-2</v>
      </c>
      <c r="L324" t="s">
        <v>17</v>
      </c>
      <c r="M324">
        <v>296</v>
      </c>
      <c r="N324" t="s">
        <v>18</v>
      </c>
      <c r="O324" t="s">
        <v>907</v>
      </c>
    </row>
    <row r="325" spans="1:15" x14ac:dyDescent="0.2">
      <c r="A325" t="s">
        <v>624</v>
      </c>
      <c r="B325" t="s">
        <v>239</v>
      </c>
      <c r="C325" s="2">
        <v>6</v>
      </c>
      <c r="D325" s="2">
        <v>1</v>
      </c>
      <c r="E325" s="2">
        <v>6</v>
      </c>
      <c r="F325" s="2">
        <v>7</v>
      </c>
      <c r="G325" s="2">
        <v>0</v>
      </c>
      <c r="H325" s="2">
        <v>7</v>
      </c>
      <c r="I325">
        <v>4.6600000000000003E-2</v>
      </c>
      <c r="J325">
        <v>50</v>
      </c>
      <c r="K325">
        <f t="shared" si="5"/>
        <v>2.3300000000000001E-2</v>
      </c>
      <c r="L325" t="s">
        <v>17</v>
      </c>
      <c r="M325">
        <v>296</v>
      </c>
      <c r="N325" t="s">
        <v>18</v>
      </c>
      <c r="O325" t="s">
        <v>907</v>
      </c>
    </row>
    <row r="326" spans="1:15" x14ac:dyDescent="0.2">
      <c r="A326" t="s">
        <v>624</v>
      </c>
      <c r="B326" t="s">
        <v>239</v>
      </c>
      <c r="C326" s="2">
        <v>6</v>
      </c>
      <c r="D326" s="2">
        <v>0</v>
      </c>
      <c r="E326" s="2">
        <v>6</v>
      </c>
      <c r="F326" s="2">
        <v>7</v>
      </c>
      <c r="G326" s="2">
        <v>1</v>
      </c>
      <c r="H326" s="2">
        <v>7</v>
      </c>
      <c r="I326">
        <v>4.6600000000000003E-2</v>
      </c>
      <c r="J326">
        <v>50</v>
      </c>
      <c r="K326">
        <f t="shared" si="5"/>
        <v>2.3300000000000001E-2</v>
      </c>
      <c r="L326" t="s">
        <v>17</v>
      </c>
      <c r="M326">
        <v>296</v>
      </c>
      <c r="N326" t="s">
        <v>18</v>
      </c>
      <c r="O326" t="s">
        <v>907</v>
      </c>
    </row>
    <row r="327" spans="1:15" x14ac:dyDescent="0.2">
      <c r="A327" t="s">
        <v>624</v>
      </c>
      <c r="B327" t="s">
        <v>239</v>
      </c>
      <c r="C327" s="2">
        <v>7</v>
      </c>
      <c r="D327" s="2">
        <v>2</v>
      </c>
      <c r="E327" s="2">
        <v>6</v>
      </c>
      <c r="F327" s="2">
        <v>7</v>
      </c>
      <c r="G327" s="2">
        <v>1</v>
      </c>
      <c r="H327" s="2">
        <v>7</v>
      </c>
      <c r="I327">
        <v>4.7799999999999995E-2</v>
      </c>
      <c r="J327">
        <v>50</v>
      </c>
      <c r="K327">
        <f t="shared" si="5"/>
        <v>2.3899999999999998E-2</v>
      </c>
      <c r="L327" t="s">
        <v>17</v>
      </c>
      <c r="M327">
        <v>296</v>
      </c>
      <c r="N327" t="s">
        <v>18</v>
      </c>
      <c r="O327" t="s">
        <v>907</v>
      </c>
    </row>
    <row r="328" spans="1:15" x14ac:dyDescent="0.2">
      <c r="A328" t="s">
        <v>624</v>
      </c>
      <c r="B328" t="s">
        <v>239</v>
      </c>
      <c r="C328" s="2">
        <v>8</v>
      </c>
      <c r="D328" s="2">
        <v>3</v>
      </c>
      <c r="E328" s="2">
        <v>6</v>
      </c>
      <c r="F328" s="2">
        <v>7</v>
      </c>
      <c r="G328" s="2">
        <v>2</v>
      </c>
      <c r="H328" s="2">
        <v>5</v>
      </c>
      <c r="I328">
        <v>4.8100000000000004E-2</v>
      </c>
      <c r="J328">
        <v>50</v>
      </c>
      <c r="K328">
        <f t="shared" si="5"/>
        <v>2.4050000000000002E-2</v>
      </c>
      <c r="L328" t="s">
        <v>17</v>
      </c>
      <c r="M328">
        <v>296</v>
      </c>
      <c r="N328" t="s">
        <v>18</v>
      </c>
      <c r="O328" t="s">
        <v>907</v>
      </c>
    </row>
    <row r="329" spans="1:15" x14ac:dyDescent="0.2">
      <c r="A329" t="s">
        <v>624</v>
      </c>
      <c r="B329" t="s">
        <v>239</v>
      </c>
      <c r="C329" s="2">
        <v>8</v>
      </c>
      <c r="D329" s="2">
        <v>2</v>
      </c>
      <c r="E329" s="2">
        <v>6</v>
      </c>
      <c r="F329" s="2">
        <v>7</v>
      </c>
      <c r="G329" s="2">
        <v>3</v>
      </c>
      <c r="H329" s="2">
        <v>5</v>
      </c>
      <c r="I329">
        <v>4.8000000000000001E-2</v>
      </c>
      <c r="J329">
        <v>50</v>
      </c>
      <c r="K329">
        <f t="shared" si="5"/>
        <v>2.4E-2</v>
      </c>
      <c r="L329" t="s">
        <v>17</v>
      </c>
      <c r="M329">
        <v>296</v>
      </c>
      <c r="N329" t="s">
        <v>18</v>
      </c>
      <c r="O329" t="s">
        <v>907</v>
      </c>
    </row>
    <row r="330" spans="1:15" x14ac:dyDescent="0.2">
      <c r="A330" t="s">
        <v>624</v>
      </c>
      <c r="B330" t="s">
        <v>239</v>
      </c>
      <c r="C330" s="2">
        <v>7</v>
      </c>
      <c r="D330" s="2">
        <v>1</v>
      </c>
      <c r="E330" s="2">
        <v>7</v>
      </c>
      <c r="F330" s="2">
        <v>8</v>
      </c>
      <c r="G330" s="2">
        <v>0</v>
      </c>
      <c r="H330" s="2">
        <v>8</v>
      </c>
      <c r="I330">
        <v>4.3400000000000001E-2</v>
      </c>
      <c r="J330">
        <v>50</v>
      </c>
      <c r="K330">
        <f t="shared" si="5"/>
        <v>2.1700000000000001E-2</v>
      </c>
      <c r="L330" t="s">
        <v>17</v>
      </c>
      <c r="M330">
        <v>296</v>
      </c>
      <c r="N330" t="s">
        <v>18</v>
      </c>
      <c r="O330" t="s">
        <v>907</v>
      </c>
    </row>
    <row r="331" spans="1:15" x14ac:dyDescent="0.2">
      <c r="A331" t="s">
        <v>624</v>
      </c>
      <c r="B331" t="s">
        <v>239</v>
      </c>
      <c r="C331" s="2">
        <v>7</v>
      </c>
      <c r="D331" s="2">
        <v>0</v>
      </c>
      <c r="E331" s="2">
        <v>7</v>
      </c>
      <c r="F331" s="2">
        <v>8</v>
      </c>
      <c r="G331" s="2">
        <v>1</v>
      </c>
      <c r="H331" s="2">
        <v>8</v>
      </c>
      <c r="I331">
        <v>4.3400000000000001E-2</v>
      </c>
      <c r="J331">
        <v>50</v>
      </c>
      <c r="K331">
        <f t="shared" si="5"/>
        <v>2.1700000000000001E-2</v>
      </c>
      <c r="L331" t="s">
        <v>17</v>
      </c>
      <c r="M331">
        <v>296</v>
      </c>
      <c r="N331" t="s">
        <v>18</v>
      </c>
      <c r="O331" t="s">
        <v>907</v>
      </c>
    </row>
    <row r="332" spans="1:15" x14ac:dyDescent="0.2">
      <c r="A332" t="s">
        <v>624</v>
      </c>
      <c r="B332" t="s">
        <v>239</v>
      </c>
      <c r="C332" s="2">
        <v>7</v>
      </c>
      <c r="D332" s="2">
        <v>2</v>
      </c>
      <c r="E332" s="2">
        <v>6</v>
      </c>
      <c r="F332" s="2">
        <v>8</v>
      </c>
      <c r="G332" s="2">
        <v>1</v>
      </c>
      <c r="H332" s="2">
        <v>7</v>
      </c>
      <c r="I332">
        <v>4.58E-2</v>
      </c>
      <c r="J332">
        <v>50</v>
      </c>
      <c r="K332">
        <f t="shared" si="5"/>
        <v>2.29E-2</v>
      </c>
      <c r="L332" t="s">
        <v>17</v>
      </c>
      <c r="M332">
        <v>296</v>
      </c>
      <c r="N332" t="s">
        <v>18</v>
      </c>
      <c r="O332" t="s">
        <v>907</v>
      </c>
    </row>
    <row r="333" spans="1:15" x14ac:dyDescent="0.2">
      <c r="A333" t="s">
        <v>624</v>
      </c>
      <c r="B333" t="s">
        <v>239</v>
      </c>
      <c r="C333" s="2">
        <v>8</v>
      </c>
      <c r="D333" s="2">
        <v>2</v>
      </c>
      <c r="E333" s="2">
        <v>6</v>
      </c>
      <c r="F333" s="2">
        <v>8</v>
      </c>
      <c r="G333" s="2">
        <v>1</v>
      </c>
      <c r="H333" s="2">
        <v>7</v>
      </c>
      <c r="I333">
        <v>4.6200000000000005E-2</v>
      </c>
      <c r="J333">
        <v>50</v>
      </c>
      <c r="K333">
        <f t="shared" si="5"/>
        <v>2.3099999999999999E-2</v>
      </c>
      <c r="L333" t="s">
        <v>17</v>
      </c>
      <c r="M333">
        <v>296</v>
      </c>
      <c r="N333" t="s">
        <v>18</v>
      </c>
      <c r="O333" t="s">
        <v>907</v>
      </c>
    </row>
    <row r="334" spans="1:15" x14ac:dyDescent="0.2">
      <c r="A334" t="s">
        <v>624</v>
      </c>
      <c r="B334" t="s">
        <v>239</v>
      </c>
      <c r="C334" s="2">
        <v>7</v>
      </c>
      <c r="D334" s="2">
        <v>1</v>
      </c>
      <c r="E334" s="2">
        <v>6</v>
      </c>
      <c r="F334" s="2">
        <v>8</v>
      </c>
      <c r="G334" s="2">
        <v>2</v>
      </c>
      <c r="H334" s="2">
        <v>7</v>
      </c>
      <c r="I334">
        <v>4.58E-2</v>
      </c>
      <c r="J334">
        <v>50</v>
      </c>
      <c r="K334">
        <f t="shared" si="5"/>
        <v>2.29E-2</v>
      </c>
      <c r="L334" t="s">
        <v>17</v>
      </c>
      <c r="M334">
        <v>296</v>
      </c>
      <c r="N334" t="s">
        <v>18</v>
      </c>
      <c r="O334" t="s">
        <v>907</v>
      </c>
    </row>
    <row r="335" spans="1:15" x14ac:dyDescent="0.2">
      <c r="A335" t="s">
        <v>624</v>
      </c>
      <c r="B335" t="s">
        <v>239</v>
      </c>
      <c r="C335" s="2">
        <v>8</v>
      </c>
      <c r="D335" s="2">
        <v>3</v>
      </c>
      <c r="E335" s="2">
        <v>6</v>
      </c>
      <c r="F335" s="2">
        <v>8</v>
      </c>
      <c r="G335" s="2">
        <v>2</v>
      </c>
      <c r="H335" s="2">
        <v>7</v>
      </c>
      <c r="I335">
        <v>4.6200000000000005E-2</v>
      </c>
      <c r="J335">
        <v>50</v>
      </c>
      <c r="K335">
        <f t="shared" si="5"/>
        <v>2.3099999999999999E-2</v>
      </c>
      <c r="L335" t="s">
        <v>17</v>
      </c>
      <c r="M335">
        <v>296</v>
      </c>
      <c r="N335" t="s">
        <v>18</v>
      </c>
      <c r="O335" t="s">
        <v>907</v>
      </c>
    </row>
    <row r="336" spans="1:15" x14ac:dyDescent="0.2">
      <c r="A336" t="s">
        <v>624</v>
      </c>
      <c r="B336" t="s">
        <v>239</v>
      </c>
      <c r="C336" s="2">
        <v>7</v>
      </c>
      <c r="D336" s="2">
        <v>3</v>
      </c>
      <c r="E336" s="2">
        <v>5</v>
      </c>
      <c r="F336" s="2">
        <v>8</v>
      </c>
      <c r="G336" s="2">
        <v>2</v>
      </c>
      <c r="H336" s="2">
        <v>6</v>
      </c>
      <c r="I336">
        <v>4.8000000000000001E-2</v>
      </c>
      <c r="J336">
        <v>50</v>
      </c>
      <c r="K336">
        <f t="shared" si="5"/>
        <v>2.4E-2</v>
      </c>
      <c r="L336" t="s">
        <v>17</v>
      </c>
      <c r="M336">
        <v>296</v>
      </c>
      <c r="N336" t="s">
        <v>18</v>
      </c>
      <c r="O336" t="s">
        <v>907</v>
      </c>
    </row>
    <row r="337" spans="1:15" x14ac:dyDescent="0.2">
      <c r="A337" t="s">
        <v>624</v>
      </c>
      <c r="B337" t="s">
        <v>239</v>
      </c>
      <c r="C337" s="2">
        <v>9</v>
      </c>
      <c r="D337" s="2">
        <v>3</v>
      </c>
      <c r="E337" s="2">
        <v>7</v>
      </c>
      <c r="F337" s="2">
        <v>8</v>
      </c>
      <c r="G337" s="2">
        <v>2</v>
      </c>
      <c r="H337" s="2">
        <v>6</v>
      </c>
      <c r="I337">
        <v>4.4999999999999998E-2</v>
      </c>
      <c r="J337">
        <v>50</v>
      </c>
      <c r="K337">
        <f t="shared" si="5"/>
        <v>2.2499999999999999E-2</v>
      </c>
      <c r="L337" t="s">
        <v>17</v>
      </c>
      <c r="M337">
        <v>296</v>
      </c>
      <c r="N337" t="s">
        <v>18</v>
      </c>
      <c r="O337" t="s">
        <v>907</v>
      </c>
    </row>
    <row r="338" spans="1:15" x14ac:dyDescent="0.2">
      <c r="A338" t="s">
        <v>624</v>
      </c>
      <c r="B338" t="s">
        <v>239</v>
      </c>
      <c r="C338" s="2">
        <v>7</v>
      </c>
      <c r="D338" s="2">
        <v>2</v>
      </c>
      <c r="E338" s="2">
        <v>5</v>
      </c>
      <c r="F338" s="2">
        <v>8</v>
      </c>
      <c r="G338" s="2">
        <v>3</v>
      </c>
      <c r="H338" s="2">
        <v>6</v>
      </c>
      <c r="I338">
        <v>4.8100000000000004E-2</v>
      </c>
      <c r="J338">
        <v>50</v>
      </c>
      <c r="K338">
        <f t="shared" si="5"/>
        <v>2.4050000000000002E-2</v>
      </c>
      <c r="L338" t="s">
        <v>17</v>
      </c>
      <c r="M338">
        <v>296</v>
      </c>
      <c r="N338" t="s">
        <v>18</v>
      </c>
      <c r="O338" t="s">
        <v>907</v>
      </c>
    </row>
    <row r="339" spans="1:15" x14ac:dyDescent="0.2">
      <c r="A339" t="s">
        <v>624</v>
      </c>
      <c r="B339" t="s">
        <v>239</v>
      </c>
      <c r="C339" s="2">
        <v>9</v>
      </c>
      <c r="D339" s="2">
        <v>2</v>
      </c>
      <c r="E339" s="2">
        <v>7</v>
      </c>
      <c r="F339" s="2">
        <v>8</v>
      </c>
      <c r="G339" s="2">
        <v>3</v>
      </c>
      <c r="H339" s="2">
        <v>6</v>
      </c>
      <c r="I339">
        <v>4.4999999999999998E-2</v>
      </c>
      <c r="J339">
        <v>50</v>
      </c>
      <c r="K339">
        <f t="shared" si="5"/>
        <v>2.2499999999999999E-2</v>
      </c>
      <c r="L339" t="s">
        <v>17</v>
      </c>
      <c r="M339">
        <v>296</v>
      </c>
      <c r="N339" t="s">
        <v>18</v>
      </c>
      <c r="O339" t="s">
        <v>907</v>
      </c>
    </row>
    <row r="340" spans="1:15" x14ac:dyDescent="0.2">
      <c r="A340" t="s">
        <v>624</v>
      </c>
      <c r="B340" t="s">
        <v>239</v>
      </c>
      <c r="C340" s="2">
        <v>9</v>
      </c>
      <c r="D340" s="2">
        <v>3</v>
      </c>
      <c r="E340" s="2">
        <v>6</v>
      </c>
      <c r="F340" s="2">
        <v>8</v>
      </c>
      <c r="G340" s="2">
        <v>4</v>
      </c>
      <c r="H340" s="2">
        <v>5</v>
      </c>
      <c r="I340">
        <v>4.7700000000000006E-2</v>
      </c>
      <c r="J340">
        <v>50</v>
      </c>
      <c r="K340">
        <f t="shared" si="5"/>
        <v>2.3850000000000003E-2</v>
      </c>
      <c r="L340" t="s">
        <v>17</v>
      </c>
      <c r="M340">
        <v>296</v>
      </c>
      <c r="N340" t="s">
        <v>18</v>
      </c>
      <c r="O340" t="s">
        <v>907</v>
      </c>
    </row>
    <row r="341" spans="1:15" x14ac:dyDescent="0.2">
      <c r="A341" t="s">
        <v>624</v>
      </c>
      <c r="B341" t="s">
        <v>239</v>
      </c>
      <c r="C341" s="2">
        <v>9</v>
      </c>
      <c r="D341" s="2">
        <v>2</v>
      </c>
      <c r="E341" s="2">
        <v>7</v>
      </c>
      <c r="F341" s="2">
        <v>9</v>
      </c>
      <c r="G341" s="2">
        <v>1</v>
      </c>
      <c r="H341" s="2">
        <v>8</v>
      </c>
      <c r="I341">
        <v>4.2900000000000001E-2</v>
      </c>
      <c r="J341">
        <v>50</v>
      </c>
      <c r="K341">
        <f t="shared" si="5"/>
        <v>2.145E-2</v>
      </c>
      <c r="L341" t="s">
        <v>17</v>
      </c>
      <c r="M341">
        <v>296</v>
      </c>
      <c r="N341" t="s">
        <v>18</v>
      </c>
      <c r="O341" t="s">
        <v>907</v>
      </c>
    </row>
    <row r="342" spans="1:15" x14ac:dyDescent="0.2">
      <c r="A342" t="s">
        <v>624</v>
      </c>
      <c r="B342" t="s">
        <v>239</v>
      </c>
      <c r="C342" s="2">
        <v>10</v>
      </c>
      <c r="D342" s="2">
        <v>2</v>
      </c>
      <c r="E342" s="2">
        <v>9</v>
      </c>
      <c r="F342" s="2">
        <v>9</v>
      </c>
      <c r="G342" s="2">
        <v>1</v>
      </c>
      <c r="H342" s="2">
        <v>8</v>
      </c>
      <c r="I342">
        <v>3.8700000000000005E-2</v>
      </c>
      <c r="J342">
        <v>50</v>
      </c>
      <c r="K342">
        <f t="shared" si="5"/>
        <v>1.9350000000000003E-2</v>
      </c>
      <c r="L342" t="s">
        <v>17</v>
      </c>
      <c r="M342">
        <v>296</v>
      </c>
      <c r="N342" t="s">
        <v>18</v>
      </c>
      <c r="O342" t="s">
        <v>907</v>
      </c>
    </row>
    <row r="343" spans="1:15" x14ac:dyDescent="0.2">
      <c r="A343" t="s">
        <v>624</v>
      </c>
      <c r="B343" t="s">
        <v>239</v>
      </c>
      <c r="C343" s="2">
        <v>9</v>
      </c>
      <c r="D343" s="2">
        <v>3</v>
      </c>
      <c r="E343" s="2">
        <v>7</v>
      </c>
      <c r="F343" s="2">
        <v>9</v>
      </c>
      <c r="G343" s="2">
        <v>2</v>
      </c>
      <c r="H343" s="2">
        <v>8</v>
      </c>
      <c r="I343">
        <v>4.2900000000000001E-2</v>
      </c>
      <c r="J343">
        <v>50</v>
      </c>
      <c r="K343">
        <f t="shared" si="5"/>
        <v>2.145E-2</v>
      </c>
      <c r="L343" t="s">
        <v>17</v>
      </c>
      <c r="M343">
        <v>296</v>
      </c>
      <c r="N343" t="s">
        <v>18</v>
      </c>
      <c r="O343" t="s">
        <v>907</v>
      </c>
    </row>
    <row r="344" spans="1:15" x14ac:dyDescent="0.2">
      <c r="A344" t="s">
        <v>624</v>
      </c>
      <c r="B344" t="s">
        <v>239</v>
      </c>
      <c r="C344" s="2">
        <v>10</v>
      </c>
      <c r="D344" s="2">
        <v>1</v>
      </c>
      <c r="E344" s="2">
        <v>9</v>
      </c>
      <c r="F344" s="2">
        <v>9</v>
      </c>
      <c r="G344" s="2">
        <v>2</v>
      </c>
      <c r="H344" s="2">
        <v>8</v>
      </c>
      <c r="I344">
        <v>3.8700000000000005E-2</v>
      </c>
      <c r="J344">
        <v>50</v>
      </c>
      <c r="K344">
        <f t="shared" si="5"/>
        <v>1.9350000000000003E-2</v>
      </c>
      <c r="L344" t="s">
        <v>17</v>
      </c>
      <c r="M344">
        <v>296</v>
      </c>
      <c r="N344" t="s">
        <v>18</v>
      </c>
      <c r="O344" t="s">
        <v>907</v>
      </c>
    </row>
    <row r="345" spans="1:15" x14ac:dyDescent="0.2">
      <c r="A345" t="s">
        <v>624</v>
      </c>
      <c r="B345" t="s">
        <v>239</v>
      </c>
      <c r="C345" s="2">
        <v>11</v>
      </c>
      <c r="D345" s="2">
        <v>1</v>
      </c>
      <c r="E345" s="2">
        <v>11</v>
      </c>
      <c r="F345" s="2">
        <v>10</v>
      </c>
      <c r="G345" s="2">
        <v>0</v>
      </c>
      <c r="H345" s="2">
        <v>10</v>
      </c>
      <c r="I345">
        <v>3.2600000000000004E-2</v>
      </c>
      <c r="J345">
        <v>50</v>
      </c>
      <c r="K345">
        <f t="shared" si="5"/>
        <v>1.6300000000000002E-2</v>
      </c>
      <c r="L345" t="s">
        <v>17</v>
      </c>
      <c r="M345">
        <v>296</v>
      </c>
      <c r="N345" t="s">
        <v>18</v>
      </c>
      <c r="O345" t="s">
        <v>907</v>
      </c>
    </row>
    <row r="346" spans="1:15" x14ac:dyDescent="0.2">
      <c r="A346" t="s">
        <v>624</v>
      </c>
      <c r="B346" t="s">
        <v>239</v>
      </c>
      <c r="C346" s="2">
        <v>10</v>
      </c>
      <c r="D346" s="2">
        <v>2</v>
      </c>
      <c r="E346" s="2">
        <v>8</v>
      </c>
      <c r="F346" s="2">
        <v>10</v>
      </c>
      <c r="G346" s="2">
        <v>1</v>
      </c>
      <c r="H346" s="2">
        <v>9</v>
      </c>
      <c r="I346">
        <v>3.9399999999999998E-2</v>
      </c>
      <c r="J346">
        <v>50</v>
      </c>
      <c r="K346">
        <f t="shared" si="5"/>
        <v>1.9699999999999999E-2</v>
      </c>
      <c r="L346" t="s">
        <v>17</v>
      </c>
      <c r="M346">
        <v>296</v>
      </c>
      <c r="N346" t="s">
        <v>18</v>
      </c>
      <c r="O346" t="s">
        <v>907</v>
      </c>
    </row>
    <row r="347" spans="1:15" x14ac:dyDescent="0.2">
      <c r="A347" t="s">
        <v>624</v>
      </c>
      <c r="B347" t="s">
        <v>239</v>
      </c>
      <c r="C347" s="2">
        <v>10</v>
      </c>
      <c r="D347" s="2">
        <v>3</v>
      </c>
      <c r="E347" s="2">
        <v>8</v>
      </c>
      <c r="F347" s="2">
        <v>10</v>
      </c>
      <c r="G347" s="2">
        <v>2</v>
      </c>
      <c r="H347" s="2">
        <v>9</v>
      </c>
      <c r="I347">
        <v>3.9399999999999998E-2</v>
      </c>
      <c r="J347">
        <v>50</v>
      </c>
      <c r="K347">
        <f t="shared" si="5"/>
        <v>1.9699999999999999E-2</v>
      </c>
      <c r="L347" t="s">
        <v>17</v>
      </c>
      <c r="M347">
        <v>296</v>
      </c>
      <c r="N347" t="s">
        <v>18</v>
      </c>
      <c r="O347" t="s">
        <v>907</v>
      </c>
    </row>
    <row r="348" spans="1:15" x14ac:dyDescent="0.2">
      <c r="A348" t="s">
        <v>624</v>
      </c>
      <c r="B348" t="s">
        <v>239</v>
      </c>
      <c r="C348" s="2">
        <v>12</v>
      </c>
      <c r="D348" s="2">
        <v>1</v>
      </c>
      <c r="E348" s="2">
        <v>12</v>
      </c>
      <c r="F348" s="2">
        <v>11</v>
      </c>
      <c r="G348" s="2">
        <v>0</v>
      </c>
      <c r="H348" s="2">
        <v>11</v>
      </c>
      <c r="I348">
        <v>2.8899999999999999E-2</v>
      </c>
      <c r="J348">
        <v>50</v>
      </c>
      <c r="K348">
        <f t="shared" si="5"/>
        <v>1.4449999999999998E-2</v>
      </c>
      <c r="L348" t="s">
        <v>17</v>
      </c>
      <c r="M348">
        <v>296</v>
      </c>
      <c r="N348" t="s">
        <v>18</v>
      </c>
      <c r="O348" t="s">
        <v>907</v>
      </c>
    </row>
    <row r="349" spans="1:15" x14ac:dyDescent="0.2">
      <c r="A349" t="s">
        <v>624</v>
      </c>
      <c r="B349" t="s">
        <v>239</v>
      </c>
      <c r="C349" s="2">
        <v>12</v>
      </c>
      <c r="D349" s="2">
        <v>0</v>
      </c>
      <c r="E349" s="2">
        <v>12</v>
      </c>
      <c r="F349" s="2">
        <v>11</v>
      </c>
      <c r="G349" s="2">
        <v>1</v>
      </c>
      <c r="H349" s="2">
        <v>11</v>
      </c>
      <c r="I349">
        <v>2.8899999999999999E-2</v>
      </c>
      <c r="J349">
        <v>50</v>
      </c>
      <c r="K349">
        <f t="shared" si="5"/>
        <v>1.4449999999999998E-2</v>
      </c>
      <c r="L349" t="s">
        <v>17</v>
      </c>
      <c r="M349">
        <v>296</v>
      </c>
      <c r="N349" t="s">
        <v>18</v>
      </c>
      <c r="O349" t="s">
        <v>907</v>
      </c>
    </row>
    <row r="350" spans="1:15" x14ac:dyDescent="0.2">
      <c r="A350" t="s">
        <v>624</v>
      </c>
      <c r="B350" t="s">
        <v>239</v>
      </c>
      <c r="C350" s="2">
        <v>3</v>
      </c>
      <c r="D350" s="2">
        <v>3</v>
      </c>
      <c r="E350" s="2">
        <v>1</v>
      </c>
      <c r="F350" s="2">
        <v>2</v>
      </c>
      <c r="G350" s="2">
        <v>0</v>
      </c>
      <c r="H350" s="2">
        <v>2</v>
      </c>
      <c r="I350">
        <v>5.7599999999999998E-2</v>
      </c>
      <c r="J350">
        <v>50</v>
      </c>
      <c r="K350">
        <f t="shared" si="5"/>
        <v>2.8799999999999999E-2</v>
      </c>
      <c r="L350" t="s">
        <v>17</v>
      </c>
      <c r="M350">
        <v>296</v>
      </c>
      <c r="N350" t="s">
        <v>18</v>
      </c>
      <c r="O350" t="s">
        <v>907</v>
      </c>
    </row>
    <row r="351" spans="1:15" x14ac:dyDescent="0.2">
      <c r="A351" t="s">
        <v>624</v>
      </c>
      <c r="B351" t="s">
        <v>239</v>
      </c>
      <c r="C351" s="2">
        <v>2</v>
      </c>
      <c r="D351" s="2">
        <v>1</v>
      </c>
      <c r="E351" s="2">
        <v>2</v>
      </c>
      <c r="F351" s="2">
        <v>3</v>
      </c>
      <c r="G351" s="2">
        <v>0</v>
      </c>
      <c r="H351" s="2">
        <v>3</v>
      </c>
      <c r="I351">
        <v>5.67E-2</v>
      </c>
      <c r="J351">
        <v>50</v>
      </c>
      <c r="K351">
        <f t="shared" si="5"/>
        <v>2.835E-2</v>
      </c>
      <c r="L351" t="s">
        <v>17</v>
      </c>
      <c r="M351">
        <v>296</v>
      </c>
      <c r="N351" t="s">
        <v>18</v>
      </c>
      <c r="O351" t="s">
        <v>907</v>
      </c>
    </row>
    <row r="352" spans="1:15" x14ac:dyDescent="0.2">
      <c r="A352" t="s">
        <v>624</v>
      </c>
      <c r="B352" t="s">
        <v>239</v>
      </c>
      <c r="C352" s="2">
        <v>2</v>
      </c>
      <c r="D352" s="2">
        <v>0</v>
      </c>
      <c r="E352" s="2">
        <v>2</v>
      </c>
      <c r="F352" s="2">
        <v>3</v>
      </c>
      <c r="G352" s="2">
        <v>1</v>
      </c>
      <c r="H352" s="2">
        <v>3</v>
      </c>
      <c r="I352">
        <v>5.67E-2</v>
      </c>
      <c r="J352">
        <v>50</v>
      </c>
      <c r="K352">
        <f t="shared" si="5"/>
        <v>2.835E-2</v>
      </c>
      <c r="L352" t="s">
        <v>17</v>
      </c>
      <c r="M352">
        <v>296</v>
      </c>
      <c r="N352" t="s">
        <v>18</v>
      </c>
      <c r="O352" t="s">
        <v>907</v>
      </c>
    </row>
    <row r="353" spans="1:15" x14ac:dyDescent="0.2">
      <c r="A353" t="s">
        <v>624</v>
      </c>
      <c r="B353" t="s">
        <v>239</v>
      </c>
      <c r="C353" s="2">
        <v>2</v>
      </c>
      <c r="D353" s="2">
        <v>2</v>
      </c>
      <c r="E353" s="2">
        <v>1</v>
      </c>
      <c r="F353" s="2">
        <v>3</v>
      </c>
      <c r="G353" s="2">
        <v>1</v>
      </c>
      <c r="H353" s="2">
        <v>2</v>
      </c>
      <c r="I353">
        <v>5.8799999999999998E-2</v>
      </c>
      <c r="J353">
        <v>50</v>
      </c>
      <c r="K353">
        <f t="shared" si="5"/>
        <v>2.9399999999999999E-2</v>
      </c>
      <c r="L353" t="s">
        <v>17</v>
      </c>
      <c r="M353">
        <v>296</v>
      </c>
      <c r="N353" t="s">
        <v>18</v>
      </c>
      <c r="O353" t="s">
        <v>907</v>
      </c>
    </row>
    <row r="354" spans="1:15" x14ac:dyDescent="0.2">
      <c r="A354" t="s">
        <v>624</v>
      </c>
      <c r="B354" t="s">
        <v>239</v>
      </c>
      <c r="C354" s="2">
        <v>4</v>
      </c>
      <c r="D354" s="2">
        <v>3</v>
      </c>
      <c r="E354" s="2">
        <v>2</v>
      </c>
      <c r="F354" s="2">
        <v>3</v>
      </c>
      <c r="G354" s="2">
        <v>2</v>
      </c>
      <c r="H354" s="2">
        <v>1</v>
      </c>
      <c r="I354">
        <v>5.6799999999999996E-2</v>
      </c>
      <c r="J354">
        <v>50</v>
      </c>
      <c r="K354">
        <f t="shared" si="5"/>
        <v>2.8399999999999998E-2</v>
      </c>
      <c r="L354" t="s">
        <v>17</v>
      </c>
      <c r="M354">
        <v>296</v>
      </c>
      <c r="N354" t="s">
        <v>18</v>
      </c>
      <c r="O354" t="s">
        <v>907</v>
      </c>
    </row>
    <row r="355" spans="1:15" x14ac:dyDescent="0.2">
      <c r="A355" t="s">
        <v>624</v>
      </c>
      <c r="B355" t="s">
        <v>239</v>
      </c>
      <c r="C355" s="2">
        <v>4</v>
      </c>
      <c r="D355" s="2">
        <v>4</v>
      </c>
      <c r="E355" s="2">
        <v>1</v>
      </c>
      <c r="F355" s="2">
        <v>3</v>
      </c>
      <c r="G355" s="2">
        <v>3</v>
      </c>
      <c r="H355" s="2">
        <v>0</v>
      </c>
      <c r="I355">
        <v>5.3899999999999997E-2</v>
      </c>
      <c r="J355">
        <v>50</v>
      </c>
      <c r="K355">
        <f t="shared" si="5"/>
        <v>2.6949999999999998E-2</v>
      </c>
      <c r="L355" t="s">
        <v>17</v>
      </c>
      <c r="M355">
        <v>296</v>
      </c>
      <c r="N355" t="s">
        <v>18</v>
      </c>
      <c r="O355" t="s">
        <v>907</v>
      </c>
    </row>
    <row r="356" spans="1:15" x14ac:dyDescent="0.2">
      <c r="A356" t="s">
        <v>624</v>
      </c>
      <c r="B356" t="s">
        <v>239</v>
      </c>
      <c r="C356" s="2">
        <v>5</v>
      </c>
      <c r="D356" s="2">
        <v>3</v>
      </c>
      <c r="E356" s="2">
        <v>2</v>
      </c>
      <c r="F356" s="2">
        <v>4</v>
      </c>
      <c r="G356" s="2">
        <v>2</v>
      </c>
      <c r="H356" s="2">
        <v>3</v>
      </c>
      <c r="I356">
        <v>5.5799999999999995E-2</v>
      </c>
      <c r="J356">
        <v>50</v>
      </c>
      <c r="K356">
        <f t="shared" si="5"/>
        <v>2.7899999999999994E-2</v>
      </c>
      <c r="L356" t="s">
        <v>17</v>
      </c>
      <c r="M356">
        <v>296</v>
      </c>
      <c r="N356" t="s">
        <v>18</v>
      </c>
      <c r="O356" t="s">
        <v>907</v>
      </c>
    </row>
    <row r="357" spans="1:15" x14ac:dyDescent="0.2">
      <c r="A357" t="s">
        <v>624</v>
      </c>
      <c r="B357" t="s">
        <v>239</v>
      </c>
      <c r="C357" s="2">
        <v>4</v>
      </c>
      <c r="D357" s="2">
        <v>1</v>
      </c>
      <c r="E357" s="2">
        <v>3</v>
      </c>
      <c r="F357" s="2">
        <v>5</v>
      </c>
      <c r="G357" s="2">
        <v>2</v>
      </c>
      <c r="H357" s="2">
        <v>4</v>
      </c>
      <c r="I357">
        <v>5.5100000000000003E-2</v>
      </c>
      <c r="J357">
        <v>50</v>
      </c>
      <c r="K357">
        <f t="shared" si="5"/>
        <v>2.7550000000000005E-2</v>
      </c>
      <c r="L357" t="s">
        <v>17</v>
      </c>
      <c r="M357">
        <v>296</v>
      </c>
      <c r="N357" t="s">
        <v>18</v>
      </c>
      <c r="O357" t="s">
        <v>907</v>
      </c>
    </row>
    <row r="358" spans="1:15" x14ac:dyDescent="0.2">
      <c r="A358" t="s">
        <v>624</v>
      </c>
      <c r="B358" t="s">
        <v>239</v>
      </c>
      <c r="C358" s="2">
        <v>4</v>
      </c>
      <c r="D358" s="2">
        <v>3</v>
      </c>
      <c r="E358" s="2">
        <v>2</v>
      </c>
      <c r="F358" s="2">
        <v>5</v>
      </c>
      <c r="G358" s="2">
        <v>2</v>
      </c>
      <c r="H358" s="2">
        <v>3</v>
      </c>
      <c r="I358">
        <v>5.5799999999999995E-2</v>
      </c>
      <c r="J358">
        <v>50</v>
      </c>
      <c r="K358">
        <f t="shared" si="5"/>
        <v>2.7899999999999994E-2</v>
      </c>
      <c r="L358" t="s">
        <v>17</v>
      </c>
      <c r="M358">
        <v>296</v>
      </c>
      <c r="N358" t="s">
        <v>18</v>
      </c>
      <c r="O358" t="s">
        <v>907</v>
      </c>
    </row>
    <row r="359" spans="1:15" x14ac:dyDescent="0.2">
      <c r="A359" t="s">
        <v>624</v>
      </c>
      <c r="B359" t="s">
        <v>239</v>
      </c>
      <c r="C359" s="2">
        <v>6</v>
      </c>
      <c r="D359" s="2">
        <v>4</v>
      </c>
      <c r="E359" s="2">
        <v>2</v>
      </c>
      <c r="F359" s="2">
        <v>5</v>
      </c>
      <c r="G359" s="2">
        <v>3</v>
      </c>
      <c r="H359" s="2">
        <v>3</v>
      </c>
      <c r="I359">
        <v>5.3700000000000005E-2</v>
      </c>
      <c r="J359">
        <v>50</v>
      </c>
      <c r="K359">
        <f t="shared" si="5"/>
        <v>2.6849999999999999E-2</v>
      </c>
      <c r="L359" t="s">
        <v>17</v>
      </c>
      <c r="M359">
        <v>296</v>
      </c>
      <c r="N359" t="s">
        <v>18</v>
      </c>
      <c r="O359" t="s">
        <v>907</v>
      </c>
    </row>
    <row r="360" spans="1:15" x14ac:dyDescent="0.2">
      <c r="A360" t="s">
        <v>624</v>
      </c>
      <c r="B360" t="s">
        <v>239</v>
      </c>
      <c r="C360" s="2">
        <v>6</v>
      </c>
      <c r="D360" s="2">
        <v>4</v>
      </c>
      <c r="E360" s="2">
        <v>3</v>
      </c>
      <c r="F360" s="2">
        <v>5</v>
      </c>
      <c r="G360" s="2">
        <v>3</v>
      </c>
      <c r="H360" s="2">
        <v>2</v>
      </c>
      <c r="I360">
        <v>5.3700000000000005E-2</v>
      </c>
      <c r="J360">
        <v>50</v>
      </c>
      <c r="K360">
        <f t="shared" si="5"/>
        <v>2.6849999999999999E-2</v>
      </c>
      <c r="L360" t="s">
        <v>17</v>
      </c>
      <c r="M360">
        <v>296</v>
      </c>
      <c r="N360" t="s">
        <v>18</v>
      </c>
      <c r="O360" t="s">
        <v>907</v>
      </c>
    </row>
    <row r="361" spans="1:15" x14ac:dyDescent="0.2">
      <c r="A361" t="s">
        <v>624</v>
      </c>
      <c r="B361" t="s">
        <v>239</v>
      </c>
      <c r="C361" s="2">
        <v>6</v>
      </c>
      <c r="D361" s="2">
        <v>5</v>
      </c>
      <c r="E361" s="2">
        <v>2</v>
      </c>
      <c r="F361" s="2">
        <v>5</v>
      </c>
      <c r="G361" s="2">
        <v>4</v>
      </c>
      <c r="H361" s="2">
        <v>1</v>
      </c>
      <c r="I361">
        <v>5.0799999999999998E-2</v>
      </c>
      <c r="J361">
        <v>50</v>
      </c>
      <c r="K361">
        <f t="shared" si="5"/>
        <v>2.5399999999999999E-2</v>
      </c>
      <c r="L361" t="s">
        <v>17</v>
      </c>
      <c r="M361">
        <v>296</v>
      </c>
      <c r="N361" t="s">
        <v>18</v>
      </c>
      <c r="O361" t="s">
        <v>907</v>
      </c>
    </row>
    <row r="362" spans="1:15" x14ac:dyDescent="0.2">
      <c r="A362" t="s">
        <v>624</v>
      </c>
      <c r="B362" t="s">
        <v>239</v>
      </c>
      <c r="C362" s="2">
        <v>5</v>
      </c>
      <c r="D362" s="2">
        <v>2</v>
      </c>
      <c r="E362" s="2">
        <v>3</v>
      </c>
      <c r="F362" s="2">
        <v>6</v>
      </c>
      <c r="G362" s="2">
        <v>3</v>
      </c>
      <c r="H362" s="2">
        <v>4</v>
      </c>
      <c r="I362">
        <v>5.45E-2</v>
      </c>
      <c r="J362">
        <v>50</v>
      </c>
      <c r="K362">
        <f t="shared" si="5"/>
        <v>2.725E-2</v>
      </c>
      <c r="L362" t="s">
        <v>17</v>
      </c>
      <c r="M362">
        <v>296</v>
      </c>
      <c r="N362" t="s">
        <v>18</v>
      </c>
      <c r="O362" t="s">
        <v>907</v>
      </c>
    </row>
    <row r="363" spans="1:15" x14ac:dyDescent="0.2">
      <c r="A363" t="s">
        <v>624</v>
      </c>
      <c r="B363" t="s">
        <v>239</v>
      </c>
      <c r="C363" s="2">
        <v>7</v>
      </c>
      <c r="D363" s="2">
        <v>2</v>
      </c>
      <c r="E363" s="2">
        <v>5</v>
      </c>
      <c r="F363" s="2">
        <v>6</v>
      </c>
      <c r="G363" s="2">
        <v>3</v>
      </c>
      <c r="H363" s="2">
        <v>4</v>
      </c>
      <c r="I363">
        <v>5.2899999999999996E-2</v>
      </c>
      <c r="J363">
        <v>50</v>
      </c>
      <c r="K363">
        <f t="shared" si="5"/>
        <v>2.6449999999999994E-2</v>
      </c>
      <c r="L363" t="s">
        <v>17</v>
      </c>
      <c r="M363">
        <v>296</v>
      </c>
      <c r="N363" t="s">
        <v>18</v>
      </c>
      <c r="O363" t="s">
        <v>907</v>
      </c>
    </row>
    <row r="364" spans="1:15" x14ac:dyDescent="0.2">
      <c r="A364" t="s">
        <v>624</v>
      </c>
      <c r="B364" t="s">
        <v>239</v>
      </c>
      <c r="C364" s="2">
        <v>6</v>
      </c>
      <c r="D364" s="2">
        <v>1</v>
      </c>
      <c r="E364" s="2">
        <v>6</v>
      </c>
      <c r="F364" s="2">
        <v>7</v>
      </c>
      <c r="G364" s="2">
        <v>0</v>
      </c>
      <c r="H364" s="2">
        <v>7</v>
      </c>
      <c r="I364">
        <v>4.6200000000000005E-2</v>
      </c>
      <c r="J364">
        <v>50</v>
      </c>
      <c r="K364">
        <f t="shared" si="5"/>
        <v>2.3099999999999999E-2</v>
      </c>
      <c r="L364" t="s">
        <v>17</v>
      </c>
      <c r="M364">
        <v>296</v>
      </c>
      <c r="N364" t="s">
        <v>18</v>
      </c>
      <c r="O364" t="s">
        <v>907</v>
      </c>
    </row>
    <row r="365" spans="1:15" x14ac:dyDescent="0.2">
      <c r="A365" t="s">
        <v>624</v>
      </c>
      <c r="B365" t="s">
        <v>239</v>
      </c>
      <c r="C365" s="2">
        <v>6</v>
      </c>
      <c r="D365" s="2">
        <v>0</v>
      </c>
      <c r="E365" s="2">
        <v>6</v>
      </c>
      <c r="F365" s="2">
        <v>7</v>
      </c>
      <c r="G365" s="2">
        <v>1</v>
      </c>
      <c r="H365" s="2">
        <v>7</v>
      </c>
      <c r="I365">
        <v>4.6200000000000005E-2</v>
      </c>
      <c r="J365">
        <v>50</v>
      </c>
      <c r="K365">
        <f t="shared" si="5"/>
        <v>2.3099999999999999E-2</v>
      </c>
      <c r="L365" t="s">
        <v>17</v>
      </c>
      <c r="M365">
        <v>296</v>
      </c>
      <c r="N365" t="s">
        <v>18</v>
      </c>
      <c r="O365" t="s">
        <v>907</v>
      </c>
    </row>
    <row r="366" spans="1:15" x14ac:dyDescent="0.2">
      <c r="A366" t="s">
        <v>624</v>
      </c>
      <c r="B366" t="s">
        <v>239</v>
      </c>
      <c r="C366" s="2">
        <v>7</v>
      </c>
      <c r="D366" s="2">
        <v>2</v>
      </c>
      <c r="E366" s="2">
        <v>6</v>
      </c>
      <c r="F366" s="2">
        <v>7</v>
      </c>
      <c r="G366" s="2">
        <v>1</v>
      </c>
      <c r="H366" s="2">
        <v>7</v>
      </c>
      <c r="I366">
        <v>4.9000000000000002E-2</v>
      </c>
      <c r="J366">
        <v>50</v>
      </c>
      <c r="K366">
        <f t="shared" si="5"/>
        <v>2.4500000000000001E-2</v>
      </c>
      <c r="L366" t="s">
        <v>17</v>
      </c>
      <c r="M366">
        <v>296</v>
      </c>
      <c r="N366" t="s">
        <v>18</v>
      </c>
      <c r="O366" t="s">
        <v>907</v>
      </c>
    </row>
    <row r="367" spans="1:15" x14ac:dyDescent="0.2">
      <c r="A367" t="s">
        <v>624</v>
      </c>
      <c r="B367" t="s">
        <v>239</v>
      </c>
      <c r="C367" s="2">
        <v>8</v>
      </c>
      <c r="D367" s="2">
        <v>3</v>
      </c>
      <c r="E367" s="2">
        <v>6</v>
      </c>
      <c r="F367" s="2">
        <v>7</v>
      </c>
      <c r="G367" s="2">
        <v>2</v>
      </c>
      <c r="H367" s="2">
        <v>5</v>
      </c>
      <c r="I367">
        <v>5.0799999999999998E-2</v>
      </c>
      <c r="J367">
        <v>50</v>
      </c>
      <c r="K367">
        <f t="shared" si="5"/>
        <v>2.5399999999999999E-2</v>
      </c>
      <c r="L367" t="s">
        <v>17</v>
      </c>
      <c r="M367">
        <v>296</v>
      </c>
      <c r="N367" t="s">
        <v>18</v>
      </c>
      <c r="O367" t="s">
        <v>907</v>
      </c>
    </row>
    <row r="368" spans="1:15" x14ac:dyDescent="0.2">
      <c r="A368" t="s">
        <v>624</v>
      </c>
      <c r="B368" t="s">
        <v>239</v>
      </c>
      <c r="C368" s="2">
        <v>8</v>
      </c>
      <c r="D368" s="2">
        <v>2</v>
      </c>
      <c r="E368" s="2">
        <v>6</v>
      </c>
      <c r="F368" s="2">
        <v>7</v>
      </c>
      <c r="G368" s="2">
        <v>3</v>
      </c>
      <c r="H368" s="2">
        <v>5</v>
      </c>
      <c r="I368">
        <v>5.0799999999999998E-2</v>
      </c>
      <c r="J368">
        <v>50</v>
      </c>
      <c r="K368">
        <f t="shared" si="5"/>
        <v>2.5399999999999999E-2</v>
      </c>
      <c r="L368" t="s">
        <v>17</v>
      </c>
      <c r="M368">
        <v>296</v>
      </c>
      <c r="N368" t="s">
        <v>18</v>
      </c>
      <c r="O368" t="s">
        <v>907</v>
      </c>
    </row>
    <row r="369" spans="1:15" x14ac:dyDescent="0.2">
      <c r="A369" t="s">
        <v>624</v>
      </c>
      <c r="B369" t="s">
        <v>239</v>
      </c>
      <c r="C369" s="2">
        <v>7</v>
      </c>
      <c r="D369" s="2">
        <v>1</v>
      </c>
      <c r="E369" s="2">
        <v>7</v>
      </c>
      <c r="F369" s="2">
        <v>8</v>
      </c>
      <c r="G369" s="2">
        <v>0</v>
      </c>
      <c r="H369" s="2">
        <v>8</v>
      </c>
      <c r="I369">
        <v>4.3099999999999999E-2</v>
      </c>
      <c r="J369">
        <v>50</v>
      </c>
      <c r="K369">
        <f t="shared" si="5"/>
        <v>2.155E-2</v>
      </c>
      <c r="L369" t="s">
        <v>17</v>
      </c>
      <c r="M369">
        <v>296</v>
      </c>
      <c r="N369" t="s">
        <v>18</v>
      </c>
      <c r="O369" t="s">
        <v>907</v>
      </c>
    </row>
    <row r="370" spans="1:15" x14ac:dyDescent="0.2">
      <c r="A370" t="s">
        <v>624</v>
      </c>
      <c r="B370" t="s">
        <v>239</v>
      </c>
      <c r="C370" s="2">
        <v>7</v>
      </c>
      <c r="D370" s="2">
        <v>0</v>
      </c>
      <c r="E370" s="2">
        <v>7</v>
      </c>
      <c r="F370" s="2">
        <v>8</v>
      </c>
      <c r="G370" s="2">
        <v>1</v>
      </c>
      <c r="H370" s="2">
        <v>8</v>
      </c>
      <c r="I370">
        <v>4.3099999999999999E-2</v>
      </c>
      <c r="J370">
        <v>50</v>
      </c>
      <c r="K370">
        <f t="shared" si="5"/>
        <v>2.155E-2</v>
      </c>
      <c r="L370" t="s">
        <v>17</v>
      </c>
      <c r="M370">
        <v>296</v>
      </c>
      <c r="N370" t="s">
        <v>18</v>
      </c>
      <c r="O370" t="s">
        <v>907</v>
      </c>
    </row>
    <row r="371" spans="1:15" x14ac:dyDescent="0.2">
      <c r="A371" t="s">
        <v>624</v>
      </c>
      <c r="B371" t="s">
        <v>239</v>
      </c>
      <c r="C371" s="2">
        <v>7</v>
      </c>
      <c r="D371" s="2">
        <v>2</v>
      </c>
      <c r="E371" s="2">
        <v>6</v>
      </c>
      <c r="F371" s="2">
        <v>8</v>
      </c>
      <c r="G371" s="2">
        <v>1</v>
      </c>
      <c r="H371" s="2">
        <v>7</v>
      </c>
      <c r="I371">
        <v>4.7600000000000003E-2</v>
      </c>
      <c r="J371">
        <v>50</v>
      </c>
      <c r="K371">
        <f t="shared" si="5"/>
        <v>2.3800000000000002E-2</v>
      </c>
      <c r="L371" t="s">
        <v>17</v>
      </c>
      <c r="M371">
        <v>296</v>
      </c>
      <c r="N371" t="s">
        <v>18</v>
      </c>
      <c r="O371" t="s">
        <v>907</v>
      </c>
    </row>
    <row r="372" spans="1:15" x14ac:dyDescent="0.2">
      <c r="A372" t="s">
        <v>624</v>
      </c>
      <c r="B372" t="s">
        <v>239</v>
      </c>
      <c r="C372" s="2">
        <v>8</v>
      </c>
      <c r="D372" s="2">
        <v>2</v>
      </c>
      <c r="E372" s="2">
        <v>6</v>
      </c>
      <c r="F372" s="2">
        <v>8</v>
      </c>
      <c r="G372" s="2">
        <v>1</v>
      </c>
      <c r="H372" s="2">
        <v>7</v>
      </c>
      <c r="I372">
        <v>4.6100000000000002E-2</v>
      </c>
      <c r="J372">
        <v>50</v>
      </c>
      <c r="K372">
        <f t="shared" si="5"/>
        <v>2.3050000000000001E-2</v>
      </c>
      <c r="L372" t="s">
        <v>17</v>
      </c>
      <c r="M372">
        <v>296</v>
      </c>
      <c r="N372" t="s">
        <v>18</v>
      </c>
      <c r="O372" t="s">
        <v>907</v>
      </c>
    </row>
    <row r="373" spans="1:15" x14ac:dyDescent="0.2">
      <c r="A373" t="s">
        <v>624</v>
      </c>
      <c r="B373" t="s">
        <v>239</v>
      </c>
      <c r="C373" s="2">
        <v>7</v>
      </c>
      <c r="D373" s="2">
        <v>1</v>
      </c>
      <c r="E373" s="2">
        <v>6</v>
      </c>
      <c r="F373" s="2">
        <v>8</v>
      </c>
      <c r="G373" s="2">
        <v>2</v>
      </c>
      <c r="H373" s="2">
        <v>7</v>
      </c>
      <c r="I373">
        <v>4.7600000000000003E-2</v>
      </c>
      <c r="J373">
        <v>50</v>
      </c>
      <c r="K373">
        <f t="shared" si="5"/>
        <v>2.3800000000000002E-2</v>
      </c>
      <c r="L373" t="s">
        <v>17</v>
      </c>
      <c r="M373">
        <v>296</v>
      </c>
      <c r="N373" t="s">
        <v>18</v>
      </c>
      <c r="O373" t="s">
        <v>907</v>
      </c>
    </row>
    <row r="374" spans="1:15" x14ac:dyDescent="0.2">
      <c r="A374" t="s">
        <v>624</v>
      </c>
      <c r="B374" t="s">
        <v>239</v>
      </c>
      <c r="C374" s="2">
        <v>8</v>
      </c>
      <c r="D374" s="2">
        <v>3</v>
      </c>
      <c r="E374" s="2">
        <v>6</v>
      </c>
      <c r="F374" s="2">
        <v>8</v>
      </c>
      <c r="G374" s="2">
        <v>2</v>
      </c>
      <c r="H374" s="2">
        <v>7</v>
      </c>
      <c r="I374">
        <v>4.9599999999999998E-2</v>
      </c>
      <c r="J374">
        <v>50</v>
      </c>
      <c r="K374">
        <f t="shared" si="5"/>
        <v>2.4799999999999999E-2</v>
      </c>
      <c r="L374" t="s">
        <v>17</v>
      </c>
      <c r="M374">
        <v>296</v>
      </c>
      <c r="N374" t="s">
        <v>18</v>
      </c>
      <c r="O374" t="s">
        <v>907</v>
      </c>
    </row>
    <row r="375" spans="1:15" x14ac:dyDescent="0.2">
      <c r="A375" t="s">
        <v>624</v>
      </c>
      <c r="B375" t="s">
        <v>239</v>
      </c>
      <c r="C375" s="2">
        <v>7</v>
      </c>
      <c r="D375" s="2">
        <v>3</v>
      </c>
      <c r="E375" s="2">
        <v>5</v>
      </c>
      <c r="F375" s="2">
        <v>8</v>
      </c>
      <c r="G375" s="2">
        <v>2</v>
      </c>
      <c r="H375" s="2">
        <v>6</v>
      </c>
      <c r="I375">
        <v>5.0799999999999998E-2</v>
      </c>
      <c r="J375">
        <v>50</v>
      </c>
      <c r="K375">
        <f t="shared" si="5"/>
        <v>2.5399999999999999E-2</v>
      </c>
      <c r="L375" t="s">
        <v>17</v>
      </c>
      <c r="M375">
        <v>296</v>
      </c>
      <c r="N375" t="s">
        <v>18</v>
      </c>
      <c r="O375" t="s">
        <v>907</v>
      </c>
    </row>
    <row r="376" spans="1:15" x14ac:dyDescent="0.2">
      <c r="A376" t="s">
        <v>624</v>
      </c>
      <c r="B376" t="s">
        <v>239</v>
      </c>
      <c r="C376" s="2">
        <v>9</v>
      </c>
      <c r="D376" s="2">
        <v>3</v>
      </c>
      <c r="E376" s="2">
        <v>7</v>
      </c>
      <c r="F376" s="2">
        <v>8</v>
      </c>
      <c r="G376" s="2">
        <v>2</v>
      </c>
      <c r="H376" s="2">
        <v>6</v>
      </c>
      <c r="I376">
        <v>4.8299999999999996E-2</v>
      </c>
      <c r="J376">
        <v>50</v>
      </c>
      <c r="K376">
        <f t="shared" si="5"/>
        <v>2.4149999999999994E-2</v>
      </c>
      <c r="L376" t="s">
        <v>17</v>
      </c>
      <c r="M376">
        <v>296</v>
      </c>
      <c r="N376" t="s">
        <v>18</v>
      </c>
      <c r="O376" t="s">
        <v>907</v>
      </c>
    </row>
    <row r="377" spans="1:15" x14ac:dyDescent="0.2">
      <c r="A377" t="s">
        <v>624</v>
      </c>
      <c r="B377" t="s">
        <v>239</v>
      </c>
      <c r="C377" s="2">
        <v>7</v>
      </c>
      <c r="D377" s="2">
        <v>2</v>
      </c>
      <c r="E377" s="2">
        <v>5</v>
      </c>
      <c r="F377" s="2">
        <v>8</v>
      </c>
      <c r="G377" s="2">
        <v>3</v>
      </c>
      <c r="H377" s="2">
        <v>6</v>
      </c>
      <c r="I377">
        <v>5.0799999999999998E-2</v>
      </c>
      <c r="J377">
        <v>50</v>
      </c>
      <c r="K377">
        <f t="shared" si="5"/>
        <v>2.5399999999999999E-2</v>
      </c>
      <c r="L377" t="s">
        <v>17</v>
      </c>
      <c r="M377">
        <v>296</v>
      </c>
      <c r="N377" t="s">
        <v>18</v>
      </c>
      <c r="O377" t="s">
        <v>907</v>
      </c>
    </row>
    <row r="378" spans="1:15" x14ac:dyDescent="0.2">
      <c r="A378" t="s">
        <v>624</v>
      </c>
      <c r="B378" t="s">
        <v>239</v>
      </c>
      <c r="C378" s="2">
        <v>9</v>
      </c>
      <c r="D378" s="2">
        <v>2</v>
      </c>
      <c r="E378" s="2">
        <v>7</v>
      </c>
      <c r="F378" s="2">
        <v>8</v>
      </c>
      <c r="G378" s="2">
        <v>3</v>
      </c>
      <c r="H378" s="2">
        <v>6</v>
      </c>
      <c r="I378">
        <v>4.8299999999999996E-2</v>
      </c>
      <c r="J378">
        <v>50</v>
      </c>
      <c r="K378">
        <f t="shared" si="5"/>
        <v>2.4149999999999994E-2</v>
      </c>
      <c r="L378" t="s">
        <v>17</v>
      </c>
      <c r="M378">
        <v>296</v>
      </c>
      <c r="N378" t="s">
        <v>18</v>
      </c>
      <c r="O378" t="s">
        <v>907</v>
      </c>
    </row>
    <row r="379" spans="1:15" x14ac:dyDescent="0.2">
      <c r="A379" t="s">
        <v>624</v>
      </c>
      <c r="B379" t="s">
        <v>239</v>
      </c>
      <c r="C379" s="2">
        <v>9</v>
      </c>
      <c r="D379" s="2">
        <v>3</v>
      </c>
      <c r="E379" s="2">
        <v>6</v>
      </c>
      <c r="F379" s="2">
        <v>8</v>
      </c>
      <c r="G379" s="2">
        <v>4</v>
      </c>
      <c r="H379" s="2">
        <v>5</v>
      </c>
      <c r="I379">
        <v>5.0799999999999998E-2</v>
      </c>
      <c r="J379">
        <v>50</v>
      </c>
      <c r="K379">
        <f t="shared" si="5"/>
        <v>2.5399999999999999E-2</v>
      </c>
      <c r="L379" t="s">
        <v>17</v>
      </c>
      <c r="M379">
        <v>296</v>
      </c>
      <c r="N379" t="s">
        <v>18</v>
      </c>
      <c r="O379" t="s">
        <v>907</v>
      </c>
    </row>
    <row r="380" spans="1:15" x14ac:dyDescent="0.2">
      <c r="A380" t="s">
        <v>624</v>
      </c>
      <c r="B380" t="s">
        <v>239</v>
      </c>
      <c r="C380" s="2">
        <v>9</v>
      </c>
      <c r="D380" s="2">
        <v>2</v>
      </c>
      <c r="E380" s="2">
        <v>7</v>
      </c>
      <c r="F380" s="2">
        <v>9</v>
      </c>
      <c r="G380" s="2">
        <v>1</v>
      </c>
      <c r="H380" s="2">
        <v>8</v>
      </c>
      <c r="I380">
        <v>4.2900000000000001E-2</v>
      </c>
      <c r="J380">
        <v>50</v>
      </c>
      <c r="K380">
        <f t="shared" si="5"/>
        <v>2.145E-2</v>
      </c>
      <c r="L380" t="s">
        <v>17</v>
      </c>
      <c r="M380">
        <v>296</v>
      </c>
      <c r="N380" t="s">
        <v>18</v>
      </c>
      <c r="O380" t="s">
        <v>907</v>
      </c>
    </row>
    <row r="381" spans="1:15" x14ac:dyDescent="0.2">
      <c r="A381" t="s">
        <v>624</v>
      </c>
      <c r="B381" t="s">
        <v>239</v>
      </c>
      <c r="C381" s="2">
        <v>10</v>
      </c>
      <c r="D381" s="2">
        <v>2</v>
      </c>
      <c r="E381" s="2">
        <v>9</v>
      </c>
      <c r="F381" s="2">
        <v>9</v>
      </c>
      <c r="G381" s="2">
        <v>1</v>
      </c>
      <c r="H381" s="2">
        <v>8</v>
      </c>
      <c r="I381">
        <v>4.1299999999999996E-2</v>
      </c>
      <c r="J381">
        <v>50</v>
      </c>
      <c r="K381">
        <f t="shared" si="5"/>
        <v>2.0649999999999998E-2</v>
      </c>
      <c r="L381" t="s">
        <v>17</v>
      </c>
      <c r="M381">
        <v>296</v>
      </c>
      <c r="N381" t="s">
        <v>18</v>
      </c>
      <c r="O381" t="s">
        <v>907</v>
      </c>
    </row>
    <row r="382" spans="1:15" x14ac:dyDescent="0.2">
      <c r="A382" t="s">
        <v>624</v>
      </c>
      <c r="B382" t="s">
        <v>239</v>
      </c>
      <c r="C382" s="2">
        <v>9</v>
      </c>
      <c r="D382" s="2">
        <v>3</v>
      </c>
      <c r="E382" s="2">
        <v>7</v>
      </c>
      <c r="F382" s="2">
        <v>9</v>
      </c>
      <c r="G382" s="2">
        <v>2</v>
      </c>
      <c r="H382" s="2">
        <v>8</v>
      </c>
      <c r="I382">
        <v>4.6899999999999997E-2</v>
      </c>
      <c r="J382">
        <v>50</v>
      </c>
      <c r="K382">
        <f t="shared" si="5"/>
        <v>2.3449999999999999E-2</v>
      </c>
      <c r="L382" t="s">
        <v>17</v>
      </c>
      <c r="M382">
        <v>296</v>
      </c>
      <c r="N382" t="s">
        <v>18</v>
      </c>
      <c r="O382" t="s">
        <v>907</v>
      </c>
    </row>
    <row r="383" spans="1:15" x14ac:dyDescent="0.2">
      <c r="A383" t="s">
        <v>624</v>
      </c>
      <c r="B383" t="s">
        <v>239</v>
      </c>
      <c r="C383" s="2">
        <v>10</v>
      </c>
      <c r="D383" s="2">
        <v>1</v>
      </c>
      <c r="E383" s="2">
        <v>9</v>
      </c>
      <c r="F383" s="2">
        <v>9</v>
      </c>
      <c r="G383" s="2">
        <v>2</v>
      </c>
      <c r="H383" s="2">
        <v>8</v>
      </c>
      <c r="I383">
        <v>4.1299999999999996E-2</v>
      </c>
      <c r="J383">
        <v>50</v>
      </c>
      <c r="K383">
        <f t="shared" si="5"/>
        <v>2.0649999999999998E-2</v>
      </c>
      <c r="L383" t="s">
        <v>17</v>
      </c>
      <c r="M383">
        <v>296</v>
      </c>
      <c r="N383" t="s">
        <v>18</v>
      </c>
      <c r="O383" t="s">
        <v>907</v>
      </c>
    </row>
    <row r="384" spans="1:15" x14ac:dyDescent="0.2">
      <c r="A384" t="s">
        <v>624</v>
      </c>
      <c r="B384" t="s">
        <v>239</v>
      </c>
      <c r="C384" s="2">
        <v>11</v>
      </c>
      <c r="D384" s="2">
        <v>1</v>
      </c>
      <c r="E384" s="2">
        <v>11</v>
      </c>
      <c r="F384" s="2">
        <v>10</v>
      </c>
      <c r="G384" s="2">
        <v>0</v>
      </c>
      <c r="H384" s="2">
        <v>10</v>
      </c>
      <c r="I384">
        <v>3.3299999999999996E-2</v>
      </c>
      <c r="J384">
        <v>50</v>
      </c>
      <c r="K384">
        <f t="shared" si="5"/>
        <v>1.6649999999999998E-2</v>
      </c>
      <c r="L384" t="s">
        <v>17</v>
      </c>
      <c r="M384">
        <v>296</v>
      </c>
      <c r="N384" t="s">
        <v>18</v>
      </c>
      <c r="O384" t="s">
        <v>907</v>
      </c>
    </row>
    <row r="385" spans="1:15" x14ac:dyDescent="0.2">
      <c r="A385" t="s">
        <v>624</v>
      </c>
      <c r="B385" t="s">
        <v>239</v>
      </c>
      <c r="C385" s="2">
        <v>10</v>
      </c>
      <c r="D385" s="2">
        <v>2</v>
      </c>
      <c r="E385" s="2">
        <v>8</v>
      </c>
      <c r="F385" s="2">
        <v>10</v>
      </c>
      <c r="G385" s="2">
        <v>1</v>
      </c>
      <c r="H385" s="2">
        <v>9</v>
      </c>
      <c r="I385">
        <v>3.9600000000000003E-2</v>
      </c>
      <c r="J385">
        <v>50</v>
      </c>
      <c r="K385">
        <f t="shared" si="5"/>
        <v>1.9800000000000002E-2</v>
      </c>
      <c r="L385" t="s">
        <v>17</v>
      </c>
      <c r="M385">
        <v>296</v>
      </c>
      <c r="N385" t="s">
        <v>18</v>
      </c>
      <c r="O385" t="s">
        <v>907</v>
      </c>
    </row>
    <row r="386" spans="1:15" x14ac:dyDescent="0.2">
      <c r="A386" t="s">
        <v>624</v>
      </c>
      <c r="B386" t="s">
        <v>239</v>
      </c>
      <c r="C386" s="2">
        <v>10</v>
      </c>
      <c r="D386" s="2">
        <v>3</v>
      </c>
      <c r="E386" s="2">
        <v>8</v>
      </c>
      <c r="F386" s="2">
        <v>10</v>
      </c>
      <c r="G386" s="2">
        <v>2</v>
      </c>
      <c r="H386" s="2">
        <v>9</v>
      </c>
      <c r="I386">
        <v>4.3900000000000002E-2</v>
      </c>
      <c r="J386">
        <v>50</v>
      </c>
      <c r="K386">
        <f t="shared" si="5"/>
        <v>2.1950000000000004E-2</v>
      </c>
      <c r="L386" t="s">
        <v>17</v>
      </c>
      <c r="M386">
        <v>296</v>
      </c>
      <c r="N386" t="s">
        <v>18</v>
      </c>
      <c r="O386" t="s">
        <v>907</v>
      </c>
    </row>
    <row r="387" spans="1:15" x14ac:dyDescent="0.2">
      <c r="A387" t="s">
        <v>624</v>
      </c>
      <c r="B387" t="s">
        <v>239</v>
      </c>
      <c r="C387" s="2">
        <v>12</v>
      </c>
      <c r="D387" s="2">
        <v>1</v>
      </c>
      <c r="E387" s="2">
        <v>12</v>
      </c>
      <c r="F387" s="2">
        <v>11</v>
      </c>
      <c r="G387" s="2">
        <v>0</v>
      </c>
      <c r="H387" s="2">
        <v>11</v>
      </c>
      <c r="I387">
        <v>3.0300000000000001E-2</v>
      </c>
      <c r="J387">
        <v>50</v>
      </c>
      <c r="K387">
        <f t="shared" si="5"/>
        <v>1.5150000000000002E-2</v>
      </c>
      <c r="L387" t="s">
        <v>17</v>
      </c>
      <c r="M387">
        <v>296</v>
      </c>
      <c r="N387" t="s">
        <v>18</v>
      </c>
      <c r="O387" t="s">
        <v>907</v>
      </c>
    </row>
    <row r="388" spans="1:15" x14ac:dyDescent="0.2">
      <c r="A388" t="s">
        <v>624</v>
      </c>
      <c r="B388" t="s">
        <v>239</v>
      </c>
      <c r="C388" s="2">
        <v>12</v>
      </c>
      <c r="D388" s="2">
        <v>0</v>
      </c>
      <c r="E388" s="2">
        <v>12</v>
      </c>
      <c r="F388" s="2">
        <v>11</v>
      </c>
      <c r="G388" s="2">
        <v>1</v>
      </c>
      <c r="H388" s="2">
        <v>11</v>
      </c>
      <c r="I388">
        <v>3.0300000000000001E-2</v>
      </c>
      <c r="J388">
        <v>50</v>
      </c>
      <c r="K388">
        <f t="shared" ref="K388:K451" si="6">J388*I388/100</f>
        <v>1.5150000000000002E-2</v>
      </c>
      <c r="L388" t="s">
        <v>17</v>
      </c>
      <c r="M388">
        <v>296</v>
      </c>
      <c r="N388" t="s">
        <v>18</v>
      </c>
      <c r="O388" t="s">
        <v>907</v>
      </c>
    </row>
    <row r="389" spans="1:15" x14ac:dyDescent="0.2">
      <c r="A389" t="s">
        <v>624</v>
      </c>
      <c r="B389" t="s">
        <v>376</v>
      </c>
      <c r="C389" s="2">
        <v>3</v>
      </c>
      <c r="D389" s="2">
        <v>3</v>
      </c>
      <c r="E389" s="2">
        <v>1</v>
      </c>
      <c r="F389" s="2">
        <v>2</v>
      </c>
      <c r="G389" s="2">
        <v>0</v>
      </c>
      <c r="H389" s="2">
        <v>2</v>
      </c>
      <c r="I389">
        <v>6.3E-2</v>
      </c>
      <c r="J389">
        <v>50</v>
      </c>
      <c r="K389">
        <f t="shared" si="6"/>
        <v>3.15E-2</v>
      </c>
      <c r="L389" t="s">
        <v>17</v>
      </c>
      <c r="M389">
        <v>296</v>
      </c>
      <c r="N389" t="s">
        <v>18</v>
      </c>
      <c r="O389" t="s">
        <v>907</v>
      </c>
    </row>
    <row r="390" spans="1:15" x14ac:dyDescent="0.2">
      <c r="A390" t="s">
        <v>624</v>
      </c>
      <c r="B390" t="s">
        <v>376</v>
      </c>
      <c r="C390" s="2">
        <v>2</v>
      </c>
      <c r="D390" s="2">
        <v>1</v>
      </c>
      <c r="E390" s="2">
        <v>2</v>
      </c>
      <c r="F390" s="2">
        <v>3</v>
      </c>
      <c r="G390" s="2">
        <v>0</v>
      </c>
      <c r="H390" s="2">
        <v>3</v>
      </c>
      <c r="I390">
        <v>5.3100000000000001E-2</v>
      </c>
      <c r="J390">
        <v>50</v>
      </c>
      <c r="K390">
        <f t="shared" si="6"/>
        <v>2.6550000000000004E-2</v>
      </c>
      <c r="L390" t="s">
        <v>17</v>
      </c>
      <c r="M390">
        <v>296</v>
      </c>
      <c r="N390" t="s">
        <v>18</v>
      </c>
      <c r="O390" t="s">
        <v>907</v>
      </c>
    </row>
    <row r="391" spans="1:15" x14ac:dyDescent="0.2">
      <c r="A391" t="s">
        <v>624</v>
      </c>
      <c r="B391" t="s">
        <v>376</v>
      </c>
      <c r="C391" s="2">
        <v>2</v>
      </c>
      <c r="D391" s="2">
        <v>0</v>
      </c>
      <c r="E391" s="2">
        <v>2</v>
      </c>
      <c r="F391" s="2">
        <v>3</v>
      </c>
      <c r="G391" s="2">
        <v>1</v>
      </c>
      <c r="H391" s="2">
        <v>3</v>
      </c>
      <c r="I391">
        <v>5.8000000000000003E-2</v>
      </c>
      <c r="J391">
        <v>50</v>
      </c>
      <c r="K391">
        <f t="shared" si="6"/>
        <v>2.9000000000000005E-2</v>
      </c>
      <c r="L391" t="s">
        <v>17</v>
      </c>
      <c r="M391">
        <v>296</v>
      </c>
      <c r="N391" t="s">
        <v>18</v>
      </c>
      <c r="O391" t="s">
        <v>907</v>
      </c>
    </row>
    <row r="392" spans="1:15" x14ac:dyDescent="0.2">
      <c r="A392" t="s">
        <v>624</v>
      </c>
      <c r="B392" t="s">
        <v>376</v>
      </c>
      <c r="C392" s="2">
        <v>2</v>
      </c>
      <c r="D392" s="2">
        <v>2</v>
      </c>
      <c r="E392" s="2">
        <v>1</v>
      </c>
      <c r="F392" s="2">
        <v>3</v>
      </c>
      <c r="G392" s="2">
        <v>1</v>
      </c>
      <c r="H392" s="2">
        <v>2</v>
      </c>
      <c r="I392">
        <v>5.8500000000000003E-2</v>
      </c>
      <c r="J392">
        <v>50</v>
      </c>
      <c r="K392">
        <f t="shared" si="6"/>
        <v>2.9250000000000002E-2</v>
      </c>
      <c r="L392" t="s">
        <v>17</v>
      </c>
      <c r="M392">
        <v>296</v>
      </c>
      <c r="N392" t="s">
        <v>18</v>
      </c>
      <c r="O392" t="s">
        <v>907</v>
      </c>
    </row>
    <row r="393" spans="1:15" x14ac:dyDescent="0.2">
      <c r="A393" t="s">
        <v>624</v>
      </c>
      <c r="B393" t="s">
        <v>376</v>
      </c>
      <c r="C393" s="2">
        <v>4</v>
      </c>
      <c r="D393" s="2">
        <v>3</v>
      </c>
      <c r="E393" s="2">
        <v>2</v>
      </c>
      <c r="F393" s="2">
        <v>3</v>
      </c>
      <c r="G393" s="2">
        <v>2</v>
      </c>
      <c r="H393" s="2">
        <v>1</v>
      </c>
      <c r="I393">
        <v>0.06</v>
      </c>
      <c r="J393">
        <v>50</v>
      </c>
      <c r="K393">
        <f t="shared" si="6"/>
        <v>0.03</v>
      </c>
      <c r="L393" t="s">
        <v>17</v>
      </c>
      <c r="M393">
        <v>296</v>
      </c>
      <c r="N393" t="s">
        <v>18</v>
      </c>
      <c r="O393" t="s">
        <v>907</v>
      </c>
    </row>
    <row r="394" spans="1:15" x14ac:dyDescent="0.2">
      <c r="A394" t="s">
        <v>624</v>
      </c>
      <c r="B394" t="s">
        <v>376</v>
      </c>
      <c r="C394" s="2">
        <v>4</v>
      </c>
      <c r="D394" s="2">
        <v>4</v>
      </c>
      <c r="E394" s="2">
        <v>1</v>
      </c>
      <c r="F394" s="2">
        <v>3</v>
      </c>
      <c r="G394" s="2">
        <v>3</v>
      </c>
      <c r="H394" s="2">
        <v>0</v>
      </c>
      <c r="I394">
        <v>5.8099999999999999E-2</v>
      </c>
      <c r="J394">
        <v>50</v>
      </c>
      <c r="K394">
        <f t="shared" si="6"/>
        <v>2.9049999999999999E-2</v>
      </c>
      <c r="L394" t="s">
        <v>17</v>
      </c>
      <c r="M394">
        <v>296</v>
      </c>
      <c r="N394" t="s">
        <v>18</v>
      </c>
      <c r="O394" t="s">
        <v>907</v>
      </c>
    </row>
    <row r="395" spans="1:15" x14ac:dyDescent="0.2">
      <c r="A395" t="s">
        <v>624</v>
      </c>
      <c r="B395" t="s">
        <v>376</v>
      </c>
      <c r="C395" s="2">
        <v>5</v>
      </c>
      <c r="D395" s="2">
        <v>3</v>
      </c>
      <c r="E395" s="2">
        <v>2</v>
      </c>
      <c r="F395" s="2">
        <v>4</v>
      </c>
      <c r="G395" s="2">
        <v>2</v>
      </c>
      <c r="H395" s="2">
        <v>3</v>
      </c>
      <c r="I395">
        <v>5.9299999999999999E-2</v>
      </c>
      <c r="J395">
        <v>50</v>
      </c>
      <c r="K395">
        <f t="shared" si="6"/>
        <v>2.9649999999999999E-2</v>
      </c>
      <c r="L395" t="s">
        <v>17</v>
      </c>
      <c r="M395">
        <v>296</v>
      </c>
      <c r="N395" t="s">
        <v>18</v>
      </c>
      <c r="O395" t="s">
        <v>907</v>
      </c>
    </row>
    <row r="396" spans="1:15" x14ac:dyDescent="0.2">
      <c r="A396" t="s">
        <v>624</v>
      </c>
      <c r="B396" t="s">
        <v>376</v>
      </c>
      <c r="C396" s="2">
        <v>4</v>
      </c>
      <c r="D396" s="2">
        <v>1</v>
      </c>
      <c r="E396" s="2">
        <v>3</v>
      </c>
      <c r="F396" s="2">
        <v>5</v>
      </c>
      <c r="G396" s="2">
        <v>2</v>
      </c>
      <c r="H396" s="2">
        <v>4</v>
      </c>
      <c r="I396">
        <v>5.2899999999999996E-2</v>
      </c>
      <c r="J396">
        <v>50</v>
      </c>
      <c r="K396">
        <f t="shared" si="6"/>
        <v>2.6449999999999994E-2</v>
      </c>
      <c r="L396" t="s">
        <v>17</v>
      </c>
      <c r="M396">
        <v>296</v>
      </c>
      <c r="N396" t="s">
        <v>18</v>
      </c>
      <c r="O396" t="s">
        <v>907</v>
      </c>
    </row>
    <row r="397" spans="1:15" x14ac:dyDescent="0.2">
      <c r="A397" t="s">
        <v>624</v>
      </c>
      <c r="B397" t="s">
        <v>376</v>
      </c>
      <c r="C397" s="2">
        <v>4</v>
      </c>
      <c r="D397" s="2">
        <v>3</v>
      </c>
      <c r="E397" s="2">
        <v>2</v>
      </c>
      <c r="F397" s="2">
        <v>5</v>
      </c>
      <c r="G397" s="2">
        <v>2</v>
      </c>
      <c r="H397" s="2">
        <v>3</v>
      </c>
      <c r="I397">
        <v>5.1799999999999999E-2</v>
      </c>
      <c r="J397">
        <v>50</v>
      </c>
      <c r="K397">
        <f t="shared" si="6"/>
        <v>2.5899999999999999E-2</v>
      </c>
      <c r="L397" t="s">
        <v>17</v>
      </c>
      <c r="M397">
        <v>296</v>
      </c>
      <c r="N397" t="s">
        <v>18</v>
      </c>
      <c r="O397" t="s">
        <v>907</v>
      </c>
    </row>
    <row r="398" spans="1:15" x14ac:dyDescent="0.2">
      <c r="A398" t="s">
        <v>624</v>
      </c>
      <c r="B398" t="s">
        <v>376</v>
      </c>
      <c r="C398" s="2">
        <v>6</v>
      </c>
      <c r="D398" s="2">
        <v>4</v>
      </c>
      <c r="E398" s="2">
        <v>2</v>
      </c>
      <c r="F398" s="2">
        <v>5</v>
      </c>
      <c r="G398" s="2">
        <v>3</v>
      </c>
      <c r="H398" s="2">
        <v>3</v>
      </c>
      <c r="I398">
        <v>5.4299999999999994E-2</v>
      </c>
      <c r="J398">
        <v>50</v>
      </c>
      <c r="K398">
        <f t="shared" si="6"/>
        <v>2.7149999999999997E-2</v>
      </c>
      <c r="L398" t="s">
        <v>17</v>
      </c>
      <c r="M398">
        <v>296</v>
      </c>
      <c r="N398" t="s">
        <v>18</v>
      </c>
      <c r="O398" t="s">
        <v>907</v>
      </c>
    </row>
    <row r="399" spans="1:15" x14ac:dyDescent="0.2">
      <c r="A399" t="s">
        <v>624</v>
      </c>
      <c r="B399" t="s">
        <v>376</v>
      </c>
      <c r="C399" s="2">
        <v>6</v>
      </c>
      <c r="D399" s="2">
        <v>4</v>
      </c>
      <c r="E399" s="2">
        <v>3</v>
      </c>
      <c r="F399" s="2">
        <v>5</v>
      </c>
      <c r="G399" s="2">
        <v>3</v>
      </c>
      <c r="H399" s="2">
        <v>2</v>
      </c>
      <c r="I399">
        <v>5.79E-2</v>
      </c>
      <c r="J399">
        <v>50</v>
      </c>
      <c r="K399">
        <f t="shared" si="6"/>
        <v>2.895E-2</v>
      </c>
      <c r="L399" t="s">
        <v>17</v>
      </c>
      <c r="M399">
        <v>296</v>
      </c>
      <c r="N399" t="s">
        <v>18</v>
      </c>
      <c r="O399" t="s">
        <v>907</v>
      </c>
    </row>
    <row r="400" spans="1:15" x14ac:dyDescent="0.2">
      <c r="A400" t="s">
        <v>624</v>
      </c>
      <c r="B400" t="s">
        <v>376</v>
      </c>
      <c r="C400" s="2">
        <v>6</v>
      </c>
      <c r="D400" s="2">
        <v>5</v>
      </c>
      <c r="E400" s="2">
        <v>2</v>
      </c>
      <c r="F400" s="2">
        <v>5</v>
      </c>
      <c r="G400" s="2">
        <v>4</v>
      </c>
      <c r="H400" s="2">
        <v>1</v>
      </c>
      <c r="I400">
        <v>5.6899999999999999E-2</v>
      </c>
      <c r="J400">
        <v>50</v>
      </c>
      <c r="K400">
        <f t="shared" si="6"/>
        <v>2.8449999999999996E-2</v>
      </c>
      <c r="L400" t="s">
        <v>17</v>
      </c>
      <c r="M400">
        <v>296</v>
      </c>
      <c r="N400" t="s">
        <v>18</v>
      </c>
      <c r="O400" t="s">
        <v>907</v>
      </c>
    </row>
    <row r="401" spans="1:15" x14ac:dyDescent="0.2">
      <c r="A401" t="s">
        <v>624</v>
      </c>
      <c r="B401" t="s">
        <v>376</v>
      </c>
      <c r="C401" s="2">
        <v>5</v>
      </c>
      <c r="D401" s="2">
        <v>2</v>
      </c>
      <c r="E401" s="2">
        <v>3</v>
      </c>
      <c r="F401" s="2">
        <v>6</v>
      </c>
      <c r="G401" s="2">
        <v>3</v>
      </c>
      <c r="H401" s="2">
        <v>4</v>
      </c>
      <c r="I401">
        <v>5.3800000000000001E-2</v>
      </c>
      <c r="J401">
        <v>50</v>
      </c>
      <c r="K401">
        <f t="shared" si="6"/>
        <v>2.69E-2</v>
      </c>
      <c r="L401" t="s">
        <v>17</v>
      </c>
      <c r="M401">
        <v>296</v>
      </c>
      <c r="N401" t="s">
        <v>18</v>
      </c>
      <c r="O401" t="s">
        <v>907</v>
      </c>
    </row>
    <row r="402" spans="1:15" x14ac:dyDescent="0.2">
      <c r="A402" t="s">
        <v>624</v>
      </c>
      <c r="B402" t="s">
        <v>376</v>
      </c>
      <c r="C402" s="2">
        <v>7</v>
      </c>
      <c r="D402" s="2">
        <v>2</v>
      </c>
      <c r="E402" s="2">
        <v>5</v>
      </c>
      <c r="F402" s="2">
        <v>6</v>
      </c>
      <c r="G402" s="2">
        <v>3</v>
      </c>
      <c r="H402" s="2">
        <v>4</v>
      </c>
      <c r="I402">
        <v>5.0099999999999999E-2</v>
      </c>
      <c r="J402">
        <v>50</v>
      </c>
      <c r="K402">
        <f t="shared" si="6"/>
        <v>2.5049999999999999E-2</v>
      </c>
      <c r="L402" t="s">
        <v>17</v>
      </c>
      <c r="M402">
        <v>296</v>
      </c>
      <c r="N402" t="s">
        <v>18</v>
      </c>
      <c r="O402" t="s">
        <v>907</v>
      </c>
    </row>
    <row r="403" spans="1:15" x14ac:dyDescent="0.2">
      <c r="A403" t="s">
        <v>624</v>
      </c>
      <c r="B403" t="s">
        <v>376</v>
      </c>
      <c r="C403" s="2">
        <v>6</v>
      </c>
      <c r="D403" s="2">
        <v>1</v>
      </c>
      <c r="E403" s="2">
        <v>6</v>
      </c>
      <c r="F403" s="2">
        <v>7</v>
      </c>
      <c r="G403" s="2">
        <v>0</v>
      </c>
      <c r="H403" s="2">
        <v>7</v>
      </c>
      <c r="I403">
        <v>4.2500000000000003E-2</v>
      </c>
      <c r="J403">
        <v>50</v>
      </c>
      <c r="K403">
        <f t="shared" si="6"/>
        <v>2.1250000000000002E-2</v>
      </c>
      <c r="L403" t="s">
        <v>17</v>
      </c>
      <c r="M403">
        <v>296</v>
      </c>
      <c r="N403" t="s">
        <v>18</v>
      </c>
      <c r="O403" t="s">
        <v>907</v>
      </c>
    </row>
    <row r="404" spans="1:15" x14ac:dyDescent="0.2">
      <c r="A404" t="s">
        <v>624</v>
      </c>
      <c r="B404" t="s">
        <v>376</v>
      </c>
      <c r="C404" s="2">
        <v>6</v>
      </c>
      <c r="D404" s="2">
        <v>0</v>
      </c>
      <c r="E404" s="2">
        <v>6</v>
      </c>
      <c r="F404" s="2">
        <v>7</v>
      </c>
      <c r="G404" s="2">
        <v>1</v>
      </c>
      <c r="H404" s="2">
        <v>7</v>
      </c>
      <c r="I404">
        <v>4.2500000000000003E-2</v>
      </c>
      <c r="J404">
        <v>50</v>
      </c>
      <c r="K404">
        <f t="shared" si="6"/>
        <v>2.1250000000000002E-2</v>
      </c>
      <c r="L404" t="s">
        <v>17</v>
      </c>
      <c r="M404">
        <v>296</v>
      </c>
      <c r="N404" t="s">
        <v>18</v>
      </c>
      <c r="O404" t="s">
        <v>907</v>
      </c>
    </row>
    <row r="405" spans="1:15" x14ac:dyDescent="0.2">
      <c r="A405" t="s">
        <v>624</v>
      </c>
      <c r="B405" t="s">
        <v>376</v>
      </c>
      <c r="C405" s="2">
        <v>7</v>
      </c>
      <c r="D405" s="2">
        <v>2</v>
      </c>
      <c r="E405" s="2">
        <v>6</v>
      </c>
      <c r="F405" s="2">
        <v>7</v>
      </c>
      <c r="G405" s="2">
        <v>1</v>
      </c>
      <c r="H405" s="2">
        <v>7</v>
      </c>
      <c r="I405">
        <v>4.6799999999999994E-2</v>
      </c>
      <c r="J405">
        <v>50</v>
      </c>
      <c r="K405">
        <f t="shared" si="6"/>
        <v>2.3399999999999997E-2</v>
      </c>
      <c r="L405" t="s">
        <v>17</v>
      </c>
      <c r="M405">
        <v>296</v>
      </c>
      <c r="N405" t="s">
        <v>18</v>
      </c>
      <c r="O405" t="s">
        <v>907</v>
      </c>
    </row>
    <row r="406" spans="1:15" x14ac:dyDescent="0.2">
      <c r="A406" t="s">
        <v>624</v>
      </c>
      <c r="B406" t="s">
        <v>376</v>
      </c>
      <c r="C406" s="2">
        <v>8</v>
      </c>
      <c r="D406" s="2">
        <v>3</v>
      </c>
      <c r="E406" s="2">
        <v>6</v>
      </c>
      <c r="F406" s="2">
        <v>7</v>
      </c>
      <c r="G406" s="2">
        <v>2</v>
      </c>
      <c r="H406" s="2">
        <v>5</v>
      </c>
      <c r="I406">
        <v>4.9700000000000001E-2</v>
      </c>
      <c r="J406">
        <v>50</v>
      </c>
      <c r="K406">
        <f t="shared" si="6"/>
        <v>2.4849999999999997E-2</v>
      </c>
      <c r="L406" t="s">
        <v>17</v>
      </c>
      <c r="M406">
        <v>296</v>
      </c>
      <c r="N406" t="s">
        <v>18</v>
      </c>
      <c r="O406" t="s">
        <v>907</v>
      </c>
    </row>
    <row r="407" spans="1:15" x14ac:dyDescent="0.2">
      <c r="A407" t="s">
        <v>624</v>
      </c>
      <c r="B407" t="s">
        <v>376</v>
      </c>
      <c r="C407" s="2">
        <v>8</v>
      </c>
      <c r="D407" s="2">
        <v>2</v>
      </c>
      <c r="E407" s="2">
        <v>6</v>
      </c>
      <c r="F407" s="2">
        <v>7</v>
      </c>
      <c r="G407" s="2">
        <v>3</v>
      </c>
      <c r="H407" s="2">
        <v>5</v>
      </c>
      <c r="I407">
        <v>5.0999999999999997E-2</v>
      </c>
      <c r="J407">
        <v>50</v>
      </c>
      <c r="K407">
        <f t="shared" si="6"/>
        <v>2.5499999999999998E-2</v>
      </c>
      <c r="L407" t="s">
        <v>17</v>
      </c>
      <c r="M407">
        <v>296</v>
      </c>
      <c r="N407" t="s">
        <v>18</v>
      </c>
      <c r="O407" t="s">
        <v>907</v>
      </c>
    </row>
    <row r="408" spans="1:15" x14ac:dyDescent="0.2">
      <c r="A408" t="s">
        <v>624</v>
      </c>
      <c r="B408" t="s">
        <v>376</v>
      </c>
      <c r="C408" s="2">
        <v>7</v>
      </c>
      <c r="D408" s="2">
        <v>1</v>
      </c>
      <c r="E408" s="2">
        <v>7</v>
      </c>
      <c r="F408" s="2">
        <v>8</v>
      </c>
      <c r="G408" s="2">
        <v>0</v>
      </c>
      <c r="H408" s="2">
        <v>8</v>
      </c>
      <c r="I408">
        <v>4.0899999999999999E-2</v>
      </c>
      <c r="J408">
        <v>50</v>
      </c>
      <c r="K408">
        <f t="shared" si="6"/>
        <v>2.0449999999999999E-2</v>
      </c>
      <c r="L408" t="s">
        <v>17</v>
      </c>
      <c r="M408">
        <v>296</v>
      </c>
      <c r="N408" t="s">
        <v>18</v>
      </c>
      <c r="O408" t="s">
        <v>907</v>
      </c>
    </row>
    <row r="409" spans="1:15" x14ac:dyDescent="0.2">
      <c r="A409" t="s">
        <v>624</v>
      </c>
      <c r="B409" t="s">
        <v>376</v>
      </c>
      <c r="C409" s="2">
        <v>7</v>
      </c>
      <c r="D409" s="2">
        <v>0</v>
      </c>
      <c r="E409" s="2">
        <v>7</v>
      </c>
      <c r="F409" s="2">
        <v>8</v>
      </c>
      <c r="G409" s="2">
        <v>1</v>
      </c>
      <c r="H409" s="2">
        <v>8</v>
      </c>
      <c r="I409">
        <v>4.0899999999999999E-2</v>
      </c>
      <c r="J409">
        <v>50</v>
      </c>
      <c r="K409">
        <f t="shared" si="6"/>
        <v>2.0449999999999999E-2</v>
      </c>
      <c r="L409" t="s">
        <v>17</v>
      </c>
      <c r="M409">
        <v>296</v>
      </c>
      <c r="N409" t="s">
        <v>18</v>
      </c>
      <c r="O409" t="s">
        <v>907</v>
      </c>
    </row>
    <row r="410" spans="1:15" x14ac:dyDescent="0.2">
      <c r="A410" t="s">
        <v>624</v>
      </c>
      <c r="B410" t="s">
        <v>376</v>
      </c>
      <c r="C410" s="2">
        <v>7</v>
      </c>
      <c r="D410" s="2">
        <v>2</v>
      </c>
      <c r="E410" s="2">
        <v>6</v>
      </c>
      <c r="F410" s="2">
        <v>8</v>
      </c>
      <c r="G410" s="2">
        <v>1</v>
      </c>
      <c r="H410" s="2">
        <v>7</v>
      </c>
      <c r="I410">
        <v>4.6399999999999997E-2</v>
      </c>
      <c r="J410">
        <v>50</v>
      </c>
      <c r="K410">
        <f t="shared" si="6"/>
        <v>2.3199999999999998E-2</v>
      </c>
      <c r="L410" t="s">
        <v>17</v>
      </c>
      <c r="M410">
        <v>296</v>
      </c>
      <c r="N410" t="s">
        <v>18</v>
      </c>
      <c r="O410" t="s">
        <v>907</v>
      </c>
    </row>
    <row r="411" spans="1:15" x14ac:dyDescent="0.2">
      <c r="A411" t="s">
        <v>624</v>
      </c>
      <c r="B411" t="s">
        <v>376</v>
      </c>
      <c r="C411" s="2">
        <v>8</v>
      </c>
      <c r="D411" s="2">
        <v>2</v>
      </c>
      <c r="E411" s="2">
        <v>6</v>
      </c>
      <c r="F411" s="2">
        <v>8</v>
      </c>
      <c r="G411" s="2">
        <v>1</v>
      </c>
      <c r="H411" s="2">
        <v>7</v>
      </c>
      <c r="I411">
        <v>4.6700000000000005E-2</v>
      </c>
      <c r="J411">
        <v>50</v>
      </c>
      <c r="K411">
        <f t="shared" si="6"/>
        <v>2.3350000000000003E-2</v>
      </c>
      <c r="L411" t="s">
        <v>17</v>
      </c>
      <c r="M411">
        <v>296</v>
      </c>
      <c r="N411" t="s">
        <v>18</v>
      </c>
      <c r="O411" t="s">
        <v>907</v>
      </c>
    </row>
    <row r="412" spans="1:15" x14ac:dyDescent="0.2">
      <c r="A412" t="s">
        <v>624</v>
      </c>
      <c r="B412" t="s">
        <v>376</v>
      </c>
      <c r="C412" s="2">
        <v>7</v>
      </c>
      <c r="D412" s="2">
        <v>1</v>
      </c>
      <c r="E412" s="2">
        <v>6</v>
      </c>
      <c r="F412" s="2">
        <v>8</v>
      </c>
      <c r="G412" s="2">
        <v>2</v>
      </c>
      <c r="H412" s="2">
        <v>7</v>
      </c>
      <c r="I412">
        <v>4.6399999999999997E-2</v>
      </c>
      <c r="J412">
        <v>50</v>
      </c>
      <c r="K412">
        <f t="shared" si="6"/>
        <v>2.3199999999999998E-2</v>
      </c>
      <c r="L412" t="s">
        <v>17</v>
      </c>
      <c r="M412">
        <v>296</v>
      </c>
      <c r="N412" t="s">
        <v>18</v>
      </c>
      <c r="O412" t="s">
        <v>907</v>
      </c>
    </row>
    <row r="413" spans="1:15" x14ac:dyDescent="0.2">
      <c r="A413" t="s">
        <v>624</v>
      </c>
      <c r="B413" t="s">
        <v>376</v>
      </c>
      <c r="C413" s="2">
        <v>8</v>
      </c>
      <c r="D413" s="2">
        <v>3</v>
      </c>
      <c r="E413" s="2">
        <v>6</v>
      </c>
      <c r="F413" s="2">
        <v>8</v>
      </c>
      <c r="G413" s="2">
        <v>2</v>
      </c>
      <c r="H413" s="2">
        <v>7</v>
      </c>
      <c r="I413">
        <v>5.0200000000000002E-2</v>
      </c>
      <c r="J413">
        <v>50</v>
      </c>
      <c r="K413">
        <f t="shared" si="6"/>
        <v>2.5100000000000001E-2</v>
      </c>
      <c r="L413" t="s">
        <v>17</v>
      </c>
      <c r="M413">
        <v>296</v>
      </c>
      <c r="N413" t="s">
        <v>18</v>
      </c>
      <c r="O413" t="s">
        <v>907</v>
      </c>
    </row>
    <row r="414" spans="1:15" x14ac:dyDescent="0.2">
      <c r="A414" t="s">
        <v>624</v>
      </c>
      <c r="B414" t="s">
        <v>376</v>
      </c>
      <c r="C414" s="2">
        <v>7</v>
      </c>
      <c r="D414" s="2">
        <v>3</v>
      </c>
      <c r="E414" s="2">
        <v>5</v>
      </c>
      <c r="F414" s="2">
        <v>8</v>
      </c>
      <c r="G414" s="2">
        <v>2</v>
      </c>
      <c r="H414" s="2">
        <v>6</v>
      </c>
      <c r="I414">
        <v>5.3700000000000005E-2</v>
      </c>
      <c r="J414">
        <v>50</v>
      </c>
      <c r="K414">
        <f t="shared" si="6"/>
        <v>2.6849999999999999E-2</v>
      </c>
      <c r="L414" t="s">
        <v>17</v>
      </c>
      <c r="M414">
        <v>296</v>
      </c>
      <c r="N414" t="s">
        <v>18</v>
      </c>
      <c r="O414" t="s">
        <v>907</v>
      </c>
    </row>
    <row r="415" spans="1:15" x14ac:dyDescent="0.2">
      <c r="A415" t="s">
        <v>624</v>
      </c>
      <c r="B415" t="s">
        <v>376</v>
      </c>
      <c r="C415" s="2">
        <v>9</v>
      </c>
      <c r="D415" s="2">
        <v>3</v>
      </c>
      <c r="E415" s="2">
        <v>7</v>
      </c>
      <c r="F415" s="2">
        <v>8</v>
      </c>
      <c r="G415" s="2">
        <v>2</v>
      </c>
      <c r="H415" s="2">
        <v>6</v>
      </c>
      <c r="I415">
        <v>4.9200000000000001E-2</v>
      </c>
      <c r="J415">
        <v>50</v>
      </c>
      <c r="K415">
        <f t="shared" si="6"/>
        <v>2.46E-2</v>
      </c>
      <c r="L415" t="s">
        <v>17</v>
      </c>
      <c r="M415">
        <v>296</v>
      </c>
      <c r="N415" t="s">
        <v>18</v>
      </c>
      <c r="O415" t="s">
        <v>907</v>
      </c>
    </row>
    <row r="416" spans="1:15" x14ac:dyDescent="0.2">
      <c r="A416" t="s">
        <v>624</v>
      </c>
      <c r="B416" t="s">
        <v>376</v>
      </c>
      <c r="C416" s="2">
        <v>7</v>
      </c>
      <c r="D416" s="2">
        <v>2</v>
      </c>
      <c r="E416" s="2">
        <v>5</v>
      </c>
      <c r="F416" s="2">
        <v>8</v>
      </c>
      <c r="G416" s="2">
        <v>3</v>
      </c>
      <c r="H416" s="2">
        <v>6</v>
      </c>
      <c r="I416">
        <v>5.1200000000000002E-2</v>
      </c>
      <c r="J416">
        <v>50</v>
      </c>
      <c r="K416">
        <f t="shared" si="6"/>
        <v>2.5600000000000001E-2</v>
      </c>
      <c r="L416" t="s">
        <v>17</v>
      </c>
      <c r="M416">
        <v>296</v>
      </c>
      <c r="N416" t="s">
        <v>18</v>
      </c>
      <c r="O416" t="s">
        <v>907</v>
      </c>
    </row>
    <row r="417" spans="1:15" x14ac:dyDescent="0.2">
      <c r="A417" t="s">
        <v>624</v>
      </c>
      <c r="B417" t="s">
        <v>376</v>
      </c>
      <c r="C417" s="2">
        <v>9</v>
      </c>
      <c r="D417" s="2">
        <v>2</v>
      </c>
      <c r="E417" s="2">
        <v>7</v>
      </c>
      <c r="F417" s="2">
        <v>8</v>
      </c>
      <c r="G417" s="2">
        <v>3</v>
      </c>
      <c r="H417" s="2">
        <v>6</v>
      </c>
      <c r="I417">
        <v>4.7100000000000003E-2</v>
      </c>
      <c r="J417">
        <v>50</v>
      </c>
      <c r="K417">
        <f t="shared" si="6"/>
        <v>2.3550000000000001E-2</v>
      </c>
      <c r="L417" t="s">
        <v>17</v>
      </c>
      <c r="M417">
        <v>296</v>
      </c>
      <c r="N417" t="s">
        <v>18</v>
      </c>
      <c r="O417" t="s">
        <v>907</v>
      </c>
    </row>
    <row r="418" spans="1:15" x14ac:dyDescent="0.2">
      <c r="A418" t="s">
        <v>624</v>
      </c>
      <c r="B418" t="s">
        <v>376</v>
      </c>
      <c r="C418" s="2">
        <v>9</v>
      </c>
      <c r="D418" s="2">
        <v>3</v>
      </c>
      <c r="E418" s="2">
        <v>6</v>
      </c>
      <c r="F418" s="2">
        <v>8</v>
      </c>
      <c r="G418" s="2">
        <v>4</v>
      </c>
      <c r="H418" s="2">
        <v>5</v>
      </c>
      <c r="I418">
        <v>5.0700000000000002E-2</v>
      </c>
      <c r="J418">
        <v>50</v>
      </c>
      <c r="K418">
        <f t="shared" si="6"/>
        <v>2.5350000000000001E-2</v>
      </c>
      <c r="L418" t="s">
        <v>17</v>
      </c>
      <c r="M418">
        <v>296</v>
      </c>
      <c r="N418" t="s">
        <v>18</v>
      </c>
      <c r="O418" t="s">
        <v>907</v>
      </c>
    </row>
    <row r="419" spans="1:15" x14ac:dyDescent="0.2">
      <c r="A419" t="s">
        <v>624</v>
      </c>
      <c r="B419" t="s">
        <v>376</v>
      </c>
      <c r="C419" s="2">
        <v>9</v>
      </c>
      <c r="D419" s="2">
        <v>2</v>
      </c>
      <c r="E419" s="2">
        <v>7</v>
      </c>
      <c r="F419" s="2">
        <v>9</v>
      </c>
      <c r="G419" s="2">
        <v>1</v>
      </c>
      <c r="H419" s="2">
        <v>8</v>
      </c>
      <c r="I419">
        <v>4.5200000000000004E-2</v>
      </c>
      <c r="J419">
        <v>50</v>
      </c>
      <c r="K419">
        <f t="shared" si="6"/>
        <v>2.2600000000000002E-2</v>
      </c>
      <c r="L419" t="s">
        <v>17</v>
      </c>
      <c r="M419">
        <v>296</v>
      </c>
      <c r="N419" t="s">
        <v>18</v>
      </c>
      <c r="O419" t="s">
        <v>907</v>
      </c>
    </row>
    <row r="420" spans="1:15" x14ac:dyDescent="0.2">
      <c r="A420" t="s">
        <v>624</v>
      </c>
      <c r="B420" t="s">
        <v>376</v>
      </c>
      <c r="C420" s="2">
        <v>10</v>
      </c>
      <c r="D420" s="2">
        <v>2</v>
      </c>
      <c r="E420" s="2">
        <v>9</v>
      </c>
      <c r="F420" s="2">
        <v>9</v>
      </c>
      <c r="G420" s="2">
        <v>1</v>
      </c>
      <c r="H420" s="2">
        <v>8</v>
      </c>
      <c r="I420">
        <v>3.8700000000000005E-2</v>
      </c>
      <c r="J420">
        <v>50</v>
      </c>
      <c r="K420">
        <f t="shared" si="6"/>
        <v>1.9350000000000003E-2</v>
      </c>
      <c r="L420" t="s">
        <v>17</v>
      </c>
      <c r="M420">
        <v>296</v>
      </c>
      <c r="N420" t="s">
        <v>18</v>
      </c>
      <c r="O420" t="s">
        <v>907</v>
      </c>
    </row>
    <row r="421" spans="1:15" x14ac:dyDescent="0.2">
      <c r="A421" t="s">
        <v>624</v>
      </c>
      <c r="B421" t="s">
        <v>376</v>
      </c>
      <c r="C421" s="2">
        <v>9</v>
      </c>
      <c r="D421" s="2">
        <v>3</v>
      </c>
      <c r="E421" s="2">
        <v>7</v>
      </c>
      <c r="F421" s="2">
        <v>9</v>
      </c>
      <c r="G421" s="2">
        <v>2</v>
      </c>
      <c r="H421" s="2">
        <v>8</v>
      </c>
      <c r="I421">
        <v>4.5200000000000004E-2</v>
      </c>
      <c r="J421">
        <v>50</v>
      </c>
      <c r="K421">
        <f t="shared" si="6"/>
        <v>2.2600000000000002E-2</v>
      </c>
      <c r="L421" t="s">
        <v>17</v>
      </c>
      <c r="M421">
        <v>296</v>
      </c>
      <c r="N421" t="s">
        <v>18</v>
      </c>
      <c r="O421" t="s">
        <v>907</v>
      </c>
    </row>
    <row r="422" spans="1:15" x14ac:dyDescent="0.2">
      <c r="A422" t="s">
        <v>624</v>
      </c>
      <c r="B422" t="s">
        <v>376</v>
      </c>
      <c r="C422" s="2">
        <v>10</v>
      </c>
      <c r="D422" s="2">
        <v>1</v>
      </c>
      <c r="E422" s="2">
        <v>9</v>
      </c>
      <c r="F422" s="2">
        <v>9</v>
      </c>
      <c r="G422" s="2">
        <v>2</v>
      </c>
      <c r="H422" s="2">
        <v>8</v>
      </c>
      <c r="I422">
        <v>3.8700000000000005E-2</v>
      </c>
      <c r="J422">
        <v>50</v>
      </c>
      <c r="K422">
        <f t="shared" si="6"/>
        <v>1.9350000000000003E-2</v>
      </c>
      <c r="L422" t="s">
        <v>17</v>
      </c>
      <c r="M422">
        <v>296</v>
      </c>
      <c r="N422" t="s">
        <v>18</v>
      </c>
      <c r="O422" t="s">
        <v>907</v>
      </c>
    </row>
    <row r="423" spans="1:15" x14ac:dyDescent="0.2">
      <c r="A423" t="s">
        <v>624</v>
      </c>
      <c r="B423" t="s">
        <v>376</v>
      </c>
      <c r="C423" s="2">
        <v>11</v>
      </c>
      <c r="D423" s="2">
        <v>1</v>
      </c>
      <c r="E423" s="2">
        <v>11</v>
      </c>
      <c r="F423" s="2">
        <v>10</v>
      </c>
      <c r="G423" s="2">
        <v>0</v>
      </c>
      <c r="H423" s="2">
        <v>10</v>
      </c>
      <c r="I423">
        <v>3.2199999999999999E-2</v>
      </c>
      <c r="J423">
        <v>50</v>
      </c>
      <c r="K423">
        <f t="shared" si="6"/>
        <v>1.61E-2</v>
      </c>
      <c r="L423" t="s">
        <v>17</v>
      </c>
      <c r="M423">
        <v>296</v>
      </c>
      <c r="N423" t="s">
        <v>18</v>
      </c>
      <c r="O423" t="s">
        <v>907</v>
      </c>
    </row>
    <row r="424" spans="1:15" x14ac:dyDescent="0.2">
      <c r="A424" t="s">
        <v>624</v>
      </c>
      <c r="B424" t="s">
        <v>376</v>
      </c>
      <c r="C424" s="2">
        <v>10</v>
      </c>
      <c r="D424" s="2">
        <v>2</v>
      </c>
      <c r="E424" s="2">
        <v>8</v>
      </c>
      <c r="F424" s="2">
        <v>10</v>
      </c>
      <c r="G424" s="2">
        <v>1</v>
      </c>
      <c r="H424" s="2">
        <v>9</v>
      </c>
      <c r="I424">
        <v>4.3299999999999998E-2</v>
      </c>
      <c r="J424">
        <v>50</v>
      </c>
      <c r="K424">
        <f t="shared" si="6"/>
        <v>2.1649999999999999E-2</v>
      </c>
      <c r="L424" t="s">
        <v>17</v>
      </c>
      <c r="M424">
        <v>296</v>
      </c>
      <c r="N424" t="s">
        <v>18</v>
      </c>
      <c r="O424" t="s">
        <v>907</v>
      </c>
    </row>
    <row r="425" spans="1:15" x14ac:dyDescent="0.2">
      <c r="A425" t="s">
        <v>624</v>
      </c>
      <c r="B425" t="s">
        <v>376</v>
      </c>
      <c r="C425" s="2">
        <v>10</v>
      </c>
      <c r="D425" s="2">
        <v>3</v>
      </c>
      <c r="E425" s="2">
        <v>8</v>
      </c>
      <c r="F425" s="2">
        <v>10</v>
      </c>
      <c r="G425" s="2">
        <v>2</v>
      </c>
      <c r="H425" s="2">
        <v>9</v>
      </c>
      <c r="I425">
        <v>4.3299999999999998E-2</v>
      </c>
      <c r="J425">
        <v>50</v>
      </c>
      <c r="K425">
        <f t="shared" si="6"/>
        <v>2.1649999999999999E-2</v>
      </c>
      <c r="L425" t="s">
        <v>17</v>
      </c>
      <c r="M425">
        <v>296</v>
      </c>
      <c r="N425" t="s">
        <v>18</v>
      </c>
      <c r="O425" t="s">
        <v>907</v>
      </c>
    </row>
    <row r="426" spans="1:15" x14ac:dyDescent="0.2">
      <c r="A426" t="s">
        <v>624</v>
      </c>
      <c r="B426" t="s">
        <v>376</v>
      </c>
      <c r="C426" s="2">
        <v>12</v>
      </c>
      <c r="D426" s="2">
        <v>1</v>
      </c>
      <c r="E426" s="2">
        <v>12</v>
      </c>
      <c r="F426" s="2">
        <v>11</v>
      </c>
      <c r="G426" s="2">
        <v>0</v>
      </c>
      <c r="H426" s="2">
        <v>11</v>
      </c>
      <c r="I426">
        <v>2.86E-2</v>
      </c>
      <c r="J426">
        <v>50</v>
      </c>
      <c r="K426">
        <f t="shared" si="6"/>
        <v>1.43E-2</v>
      </c>
      <c r="L426" t="s">
        <v>17</v>
      </c>
      <c r="M426">
        <v>296</v>
      </c>
      <c r="N426" t="s">
        <v>18</v>
      </c>
      <c r="O426" t="s">
        <v>907</v>
      </c>
    </row>
    <row r="427" spans="1:15" x14ac:dyDescent="0.2">
      <c r="A427" t="s">
        <v>624</v>
      </c>
      <c r="B427" t="s">
        <v>376</v>
      </c>
      <c r="C427" s="2">
        <v>12</v>
      </c>
      <c r="D427" s="2">
        <v>0</v>
      </c>
      <c r="E427" s="2">
        <v>12</v>
      </c>
      <c r="F427" s="2">
        <v>11</v>
      </c>
      <c r="G427" s="2">
        <v>1</v>
      </c>
      <c r="H427" s="2">
        <v>11</v>
      </c>
      <c r="I427">
        <v>2.86E-2</v>
      </c>
      <c r="J427">
        <v>50</v>
      </c>
      <c r="K427">
        <f t="shared" si="6"/>
        <v>1.43E-2</v>
      </c>
      <c r="L427" t="s">
        <v>17</v>
      </c>
      <c r="M427">
        <v>296</v>
      </c>
      <c r="N427" t="s">
        <v>18</v>
      </c>
      <c r="O427" t="s">
        <v>907</v>
      </c>
    </row>
    <row r="428" spans="1:15" x14ac:dyDescent="0.2">
      <c r="A428" t="s">
        <v>624</v>
      </c>
      <c r="B428" t="s">
        <v>376</v>
      </c>
      <c r="C428" s="2">
        <v>3</v>
      </c>
      <c r="D428" s="2">
        <v>3</v>
      </c>
      <c r="E428" s="2">
        <v>1</v>
      </c>
      <c r="F428" s="2">
        <v>2</v>
      </c>
      <c r="G428" s="2">
        <v>0</v>
      </c>
      <c r="H428" s="2">
        <v>2</v>
      </c>
      <c r="I428">
        <v>6.25E-2</v>
      </c>
      <c r="J428">
        <v>50</v>
      </c>
      <c r="K428">
        <f t="shared" si="6"/>
        <v>3.125E-2</v>
      </c>
      <c r="L428" t="s">
        <v>17</v>
      </c>
      <c r="M428">
        <v>296</v>
      </c>
      <c r="N428" t="s">
        <v>18</v>
      </c>
      <c r="O428" t="s">
        <v>907</v>
      </c>
    </row>
    <row r="429" spans="1:15" x14ac:dyDescent="0.2">
      <c r="A429" t="s">
        <v>624</v>
      </c>
      <c r="B429" t="s">
        <v>376</v>
      </c>
      <c r="C429" s="2">
        <v>2</v>
      </c>
      <c r="D429" s="2">
        <v>1</v>
      </c>
      <c r="E429" s="2">
        <v>2</v>
      </c>
      <c r="F429" s="2">
        <v>3</v>
      </c>
      <c r="G429" s="2">
        <v>0</v>
      </c>
      <c r="H429" s="2">
        <v>3</v>
      </c>
      <c r="I429">
        <v>5.7700000000000001E-2</v>
      </c>
      <c r="J429">
        <v>50</v>
      </c>
      <c r="K429">
        <f t="shared" si="6"/>
        <v>2.8850000000000001E-2</v>
      </c>
      <c r="L429" t="s">
        <v>17</v>
      </c>
      <c r="M429">
        <v>296</v>
      </c>
      <c r="N429" t="s">
        <v>18</v>
      </c>
      <c r="O429" t="s">
        <v>907</v>
      </c>
    </row>
    <row r="430" spans="1:15" x14ac:dyDescent="0.2">
      <c r="A430" t="s">
        <v>624</v>
      </c>
      <c r="B430" t="s">
        <v>376</v>
      </c>
      <c r="C430" s="2">
        <v>2</v>
      </c>
      <c r="D430" s="2">
        <v>0</v>
      </c>
      <c r="E430" s="2">
        <v>2</v>
      </c>
      <c r="F430" s="2">
        <v>3</v>
      </c>
      <c r="G430" s="2">
        <v>1</v>
      </c>
      <c r="H430" s="2">
        <v>3</v>
      </c>
      <c r="I430">
        <v>5.8299999999999998E-2</v>
      </c>
      <c r="J430">
        <v>50</v>
      </c>
      <c r="K430">
        <f t="shared" si="6"/>
        <v>2.9149999999999999E-2</v>
      </c>
      <c r="L430" t="s">
        <v>17</v>
      </c>
      <c r="M430">
        <v>296</v>
      </c>
      <c r="N430" t="s">
        <v>18</v>
      </c>
      <c r="O430" t="s">
        <v>907</v>
      </c>
    </row>
    <row r="431" spans="1:15" x14ac:dyDescent="0.2">
      <c r="A431" t="s">
        <v>624</v>
      </c>
      <c r="B431" t="s">
        <v>376</v>
      </c>
      <c r="C431" s="2">
        <v>2</v>
      </c>
      <c r="D431" s="2">
        <v>2</v>
      </c>
      <c r="E431" s="2">
        <v>1</v>
      </c>
      <c r="F431" s="2">
        <v>3</v>
      </c>
      <c r="G431" s="2">
        <v>1</v>
      </c>
      <c r="H431" s="2">
        <v>2</v>
      </c>
      <c r="I431">
        <v>5.9400000000000001E-2</v>
      </c>
      <c r="J431">
        <v>50</v>
      </c>
      <c r="K431">
        <f t="shared" si="6"/>
        <v>2.9700000000000001E-2</v>
      </c>
      <c r="L431" t="s">
        <v>17</v>
      </c>
      <c r="M431">
        <v>296</v>
      </c>
      <c r="N431" t="s">
        <v>18</v>
      </c>
      <c r="O431" t="s">
        <v>907</v>
      </c>
    </row>
    <row r="432" spans="1:15" x14ac:dyDescent="0.2">
      <c r="A432" t="s">
        <v>624</v>
      </c>
      <c r="B432" t="s">
        <v>376</v>
      </c>
      <c r="C432" s="2">
        <v>4</v>
      </c>
      <c r="D432" s="2">
        <v>3</v>
      </c>
      <c r="E432" s="2">
        <v>2</v>
      </c>
      <c r="F432" s="2">
        <v>3</v>
      </c>
      <c r="G432" s="2">
        <v>2</v>
      </c>
      <c r="H432" s="2">
        <v>1</v>
      </c>
      <c r="I432">
        <v>5.7799999999999997E-2</v>
      </c>
      <c r="J432">
        <v>50</v>
      </c>
      <c r="K432">
        <f t="shared" si="6"/>
        <v>2.8899999999999995E-2</v>
      </c>
      <c r="L432" t="s">
        <v>17</v>
      </c>
      <c r="M432">
        <v>296</v>
      </c>
      <c r="N432" t="s">
        <v>18</v>
      </c>
      <c r="O432" t="s">
        <v>907</v>
      </c>
    </row>
    <row r="433" spans="1:15" x14ac:dyDescent="0.2">
      <c r="A433" t="s">
        <v>624</v>
      </c>
      <c r="B433" t="s">
        <v>376</v>
      </c>
      <c r="C433" s="2">
        <v>4</v>
      </c>
      <c r="D433" s="2">
        <v>4</v>
      </c>
      <c r="E433" s="2">
        <v>1</v>
      </c>
      <c r="F433" s="2">
        <v>3</v>
      </c>
      <c r="G433" s="2">
        <v>3</v>
      </c>
      <c r="H433" s="2">
        <v>0</v>
      </c>
      <c r="I433">
        <v>5.3100000000000001E-2</v>
      </c>
      <c r="J433">
        <v>50</v>
      </c>
      <c r="K433">
        <f t="shared" si="6"/>
        <v>2.6550000000000004E-2</v>
      </c>
      <c r="L433" t="s">
        <v>17</v>
      </c>
      <c r="M433">
        <v>296</v>
      </c>
      <c r="N433" t="s">
        <v>18</v>
      </c>
      <c r="O433" t="s">
        <v>907</v>
      </c>
    </row>
    <row r="434" spans="1:15" x14ac:dyDescent="0.2">
      <c r="A434" t="s">
        <v>624</v>
      </c>
      <c r="B434" t="s">
        <v>376</v>
      </c>
      <c r="C434" s="2">
        <v>5</v>
      </c>
      <c r="D434" s="2">
        <v>3</v>
      </c>
      <c r="E434" s="2">
        <v>2</v>
      </c>
      <c r="F434" s="2">
        <v>4</v>
      </c>
      <c r="G434" s="2">
        <v>2</v>
      </c>
      <c r="H434" s="2">
        <v>3</v>
      </c>
      <c r="I434">
        <v>5.8700000000000002E-2</v>
      </c>
      <c r="J434">
        <v>50</v>
      </c>
      <c r="K434">
        <f t="shared" si="6"/>
        <v>2.9350000000000001E-2</v>
      </c>
      <c r="L434" t="s">
        <v>17</v>
      </c>
      <c r="M434">
        <v>296</v>
      </c>
      <c r="N434" t="s">
        <v>18</v>
      </c>
      <c r="O434" t="s">
        <v>907</v>
      </c>
    </row>
    <row r="435" spans="1:15" x14ac:dyDescent="0.2">
      <c r="A435" t="s">
        <v>624</v>
      </c>
      <c r="B435" t="s">
        <v>376</v>
      </c>
      <c r="C435" s="2">
        <v>4</v>
      </c>
      <c r="D435" s="2">
        <v>1</v>
      </c>
      <c r="E435" s="2">
        <v>3</v>
      </c>
      <c r="F435" s="2">
        <v>5</v>
      </c>
      <c r="G435" s="2">
        <v>2</v>
      </c>
      <c r="H435" s="2">
        <v>4</v>
      </c>
      <c r="I435">
        <v>5.6000000000000001E-2</v>
      </c>
      <c r="J435">
        <v>50</v>
      </c>
      <c r="K435">
        <f t="shared" si="6"/>
        <v>2.8000000000000004E-2</v>
      </c>
      <c r="L435" t="s">
        <v>17</v>
      </c>
      <c r="M435">
        <v>296</v>
      </c>
      <c r="N435" t="s">
        <v>18</v>
      </c>
      <c r="O435" t="s">
        <v>907</v>
      </c>
    </row>
    <row r="436" spans="1:15" x14ac:dyDescent="0.2">
      <c r="A436" t="s">
        <v>624</v>
      </c>
      <c r="B436" t="s">
        <v>376</v>
      </c>
      <c r="C436" s="2">
        <v>4</v>
      </c>
      <c r="D436" s="2">
        <v>3</v>
      </c>
      <c r="E436" s="2">
        <v>2</v>
      </c>
      <c r="F436" s="2">
        <v>5</v>
      </c>
      <c r="G436" s="2">
        <v>2</v>
      </c>
      <c r="H436" s="2">
        <v>3</v>
      </c>
      <c r="I436">
        <v>5.5E-2</v>
      </c>
      <c r="J436">
        <v>50</v>
      </c>
      <c r="K436">
        <f t="shared" si="6"/>
        <v>2.75E-2</v>
      </c>
      <c r="L436" t="s">
        <v>17</v>
      </c>
      <c r="M436">
        <v>296</v>
      </c>
      <c r="N436" t="s">
        <v>18</v>
      </c>
      <c r="O436" t="s">
        <v>907</v>
      </c>
    </row>
    <row r="437" spans="1:15" x14ac:dyDescent="0.2">
      <c r="A437" t="s">
        <v>624</v>
      </c>
      <c r="B437" t="s">
        <v>376</v>
      </c>
      <c r="C437" s="2">
        <v>6</v>
      </c>
      <c r="D437" s="2">
        <v>4</v>
      </c>
      <c r="E437" s="2">
        <v>2</v>
      </c>
      <c r="F437" s="2">
        <v>5</v>
      </c>
      <c r="G437" s="2">
        <v>3</v>
      </c>
      <c r="H437" s="2">
        <v>3</v>
      </c>
      <c r="I437">
        <v>5.5399999999999998E-2</v>
      </c>
      <c r="J437">
        <v>50</v>
      </c>
      <c r="K437">
        <f t="shared" si="6"/>
        <v>2.7699999999999999E-2</v>
      </c>
      <c r="L437" t="s">
        <v>17</v>
      </c>
      <c r="M437">
        <v>296</v>
      </c>
      <c r="N437" t="s">
        <v>18</v>
      </c>
      <c r="O437" t="s">
        <v>907</v>
      </c>
    </row>
    <row r="438" spans="1:15" x14ac:dyDescent="0.2">
      <c r="A438" t="s">
        <v>624</v>
      </c>
      <c r="B438" t="s">
        <v>376</v>
      </c>
      <c r="C438" s="2">
        <v>6</v>
      </c>
      <c r="D438" s="2">
        <v>4</v>
      </c>
      <c r="E438" s="2">
        <v>3</v>
      </c>
      <c r="F438" s="2">
        <v>5</v>
      </c>
      <c r="G438" s="2">
        <v>3</v>
      </c>
      <c r="H438" s="2">
        <v>2</v>
      </c>
      <c r="I438">
        <v>5.45E-2</v>
      </c>
      <c r="J438">
        <v>50</v>
      </c>
      <c r="K438">
        <f t="shared" si="6"/>
        <v>2.725E-2</v>
      </c>
      <c r="L438" t="s">
        <v>17</v>
      </c>
      <c r="M438">
        <v>296</v>
      </c>
      <c r="N438" t="s">
        <v>18</v>
      </c>
      <c r="O438" t="s">
        <v>907</v>
      </c>
    </row>
    <row r="439" spans="1:15" x14ac:dyDescent="0.2">
      <c r="A439" t="s">
        <v>624</v>
      </c>
      <c r="B439" t="s">
        <v>376</v>
      </c>
      <c r="C439" s="2">
        <v>6</v>
      </c>
      <c r="D439" s="2">
        <v>5</v>
      </c>
      <c r="E439" s="2">
        <v>2</v>
      </c>
      <c r="F439" s="2">
        <v>5</v>
      </c>
      <c r="G439" s="2">
        <v>4</v>
      </c>
      <c r="H439" s="2">
        <v>1</v>
      </c>
      <c r="I439">
        <v>5.1799999999999999E-2</v>
      </c>
      <c r="J439">
        <v>50</v>
      </c>
      <c r="K439">
        <f t="shared" si="6"/>
        <v>2.5899999999999999E-2</v>
      </c>
      <c r="L439" t="s">
        <v>17</v>
      </c>
      <c r="M439">
        <v>296</v>
      </c>
      <c r="N439" t="s">
        <v>18</v>
      </c>
      <c r="O439" t="s">
        <v>907</v>
      </c>
    </row>
    <row r="440" spans="1:15" x14ac:dyDescent="0.2">
      <c r="A440" t="s">
        <v>624</v>
      </c>
      <c r="B440" t="s">
        <v>376</v>
      </c>
      <c r="C440" s="2">
        <v>5</v>
      </c>
      <c r="D440" s="2">
        <v>2</v>
      </c>
      <c r="E440" s="2">
        <v>3</v>
      </c>
      <c r="F440" s="2">
        <v>6</v>
      </c>
      <c r="G440" s="2">
        <v>3</v>
      </c>
      <c r="H440" s="2">
        <v>4</v>
      </c>
      <c r="I440">
        <v>5.4200000000000005E-2</v>
      </c>
      <c r="J440">
        <v>50</v>
      </c>
      <c r="K440">
        <f t="shared" si="6"/>
        <v>2.7100000000000003E-2</v>
      </c>
      <c r="L440" t="s">
        <v>17</v>
      </c>
      <c r="M440">
        <v>296</v>
      </c>
      <c r="N440" t="s">
        <v>18</v>
      </c>
      <c r="O440" t="s">
        <v>907</v>
      </c>
    </row>
    <row r="441" spans="1:15" x14ac:dyDescent="0.2">
      <c r="A441" t="s">
        <v>624</v>
      </c>
      <c r="B441" t="s">
        <v>376</v>
      </c>
      <c r="C441" s="2">
        <v>7</v>
      </c>
      <c r="D441" s="2">
        <v>2</v>
      </c>
      <c r="E441" s="2">
        <v>5</v>
      </c>
      <c r="F441" s="2">
        <v>6</v>
      </c>
      <c r="G441" s="2">
        <v>3</v>
      </c>
      <c r="H441" s="2">
        <v>4</v>
      </c>
      <c r="I441">
        <v>5.2200000000000003E-2</v>
      </c>
      <c r="J441">
        <v>50</v>
      </c>
      <c r="K441">
        <f t="shared" si="6"/>
        <v>2.6100000000000002E-2</v>
      </c>
      <c r="L441" t="s">
        <v>17</v>
      </c>
      <c r="M441">
        <v>296</v>
      </c>
      <c r="N441" t="s">
        <v>18</v>
      </c>
      <c r="O441" t="s">
        <v>907</v>
      </c>
    </row>
    <row r="442" spans="1:15" x14ac:dyDescent="0.2">
      <c r="A442" t="s">
        <v>624</v>
      </c>
      <c r="B442" t="s">
        <v>376</v>
      </c>
      <c r="C442" s="2">
        <v>6</v>
      </c>
      <c r="D442" s="2">
        <v>1</v>
      </c>
      <c r="E442" s="2">
        <v>6</v>
      </c>
      <c r="F442" s="2">
        <v>7</v>
      </c>
      <c r="G442" s="2">
        <v>0</v>
      </c>
      <c r="H442" s="2">
        <v>7</v>
      </c>
      <c r="I442">
        <v>4.7700000000000006E-2</v>
      </c>
      <c r="J442">
        <v>50</v>
      </c>
      <c r="K442">
        <f t="shared" si="6"/>
        <v>2.3850000000000003E-2</v>
      </c>
      <c r="L442" t="s">
        <v>17</v>
      </c>
      <c r="M442">
        <v>296</v>
      </c>
      <c r="N442" t="s">
        <v>18</v>
      </c>
      <c r="O442" t="s">
        <v>907</v>
      </c>
    </row>
    <row r="443" spans="1:15" x14ac:dyDescent="0.2">
      <c r="A443" t="s">
        <v>624</v>
      </c>
      <c r="B443" t="s">
        <v>376</v>
      </c>
      <c r="C443" s="2">
        <v>6</v>
      </c>
      <c r="D443" s="2">
        <v>0</v>
      </c>
      <c r="E443" s="2">
        <v>6</v>
      </c>
      <c r="F443" s="2">
        <v>7</v>
      </c>
      <c r="G443" s="2">
        <v>1</v>
      </c>
      <c r="H443" s="2">
        <v>7</v>
      </c>
      <c r="I443">
        <v>4.7700000000000006E-2</v>
      </c>
      <c r="J443">
        <v>50</v>
      </c>
      <c r="K443">
        <f t="shared" si="6"/>
        <v>2.3850000000000003E-2</v>
      </c>
      <c r="L443" t="s">
        <v>17</v>
      </c>
      <c r="M443">
        <v>296</v>
      </c>
      <c r="N443" t="s">
        <v>18</v>
      </c>
      <c r="O443" t="s">
        <v>907</v>
      </c>
    </row>
    <row r="444" spans="1:15" x14ac:dyDescent="0.2">
      <c r="A444" t="s">
        <v>624</v>
      </c>
      <c r="B444" t="s">
        <v>376</v>
      </c>
      <c r="C444" s="2">
        <v>7</v>
      </c>
      <c r="D444" s="2">
        <v>2</v>
      </c>
      <c r="E444" s="2">
        <v>6</v>
      </c>
      <c r="F444" s="2">
        <v>7</v>
      </c>
      <c r="G444" s="2">
        <v>1</v>
      </c>
      <c r="H444" s="2">
        <v>7</v>
      </c>
      <c r="I444">
        <v>4.99E-2</v>
      </c>
      <c r="J444">
        <v>50</v>
      </c>
      <c r="K444">
        <f t="shared" si="6"/>
        <v>2.495E-2</v>
      </c>
      <c r="L444" t="s">
        <v>17</v>
      </c>
      <c r="M444">
        <v>296</v>
      </c>
      <c r="N444" t="s">
        <v>18</v>
      </c>
      <c r="O444" t="s">
        <v>907</v>
      </c>
    </row>
    <row r="445" spans="1:15" x14ac:dyDescent="0.2">
      <c r="A445" t="s">
        <v>624</v>
      </c>
      <c r="B445" t="s">
        <v>376</v>
      </c>
      <c r="C445" s="2">
        <v>8</v>
      </c>
      <c r="D445" s="2">
        <v>3</v>
      </c>
      <c r="E445" s="2">
        <v>6</v>
      </c>
      <c r="F445" s="2">
        <v>7</v>
      </c>
      <c r="G445" s="2">
        <v>2</v>
      </c>
      <c r="H445" s="2">
        <v>5</v>
      </c>
      <c r="I445">
        <v>4.9599999999999998E-2</v>
      </c>
      <c r="J445">
        <v>50</v>
      </c>
      <c r="K445">
        <f t="shared" si="6"/>
        <v>2.4799999999999999E-2</v>
      </c>
      <c r="L445" t="s">
        <v>17</v>
      </c>
      <c r="M445">
        <v>296</v>
      </c>
      <c r="N445" t="s">
        <v>18</v>
      </c>
      <c r="O445" t="s">
        <v>907</v>
      </c>
    </row>
    <row r="446" spans="1:15" x14ac:dyDescent="0.2">
      <c r="A446" t="s">
        <v>624</v>
      </c>
      <c r="B446" t="s">
        <v>376</v>
      </c>
      <c r="C446" s="2">
        <v>8</v>
      </c>
      <c r="D446" s="2">
        <v>2</v>
      </c>
      <c r="E446" s="2">
        <v>6</v>
      </c>
      <c r="F446" s="2">
        <v>7</v>
      </c>
      <c r="G446" s="2">
        <v>3</v>
      </c>
      <c r="H446" s="2">
        <v>5</v>
      </c>
      <c r="I446">
        <v>4.9599999999999998E-2</v>
      </c>
      <c r="J446">
        <v>50</v>
      </c>
      <c r="K446">
        <f t="shared" si="6"/>
        <v>2.4799999999999999E-2</v>
      </c>
      <c r="L446" t="s">
        <v>17</v>
      </c>
      <c r="M446">
        <v>296</v>
      </c>
      <c r="N446" t="s">
        <v>18</v>
      </c>
      <c r="O446" t="s">
        <v>907</v>
      </c>
    </row>
    <row r="447" spans="1:15" x14ac:dyDescent="0.2">
      <c r="A447" t="s">
        <v>624</v>
      </c>
      <c r="B447" t="s">
        <v>376</v>
      </c>
      <c r="C447" s="2">
        <v>7</v>
      </c>
      <c r="D447" s="2">
        <v>1</v>
      </c>
      <c r="E447" s="2">
        <v>7</v>
      </c>
      <c r="F447" s="2">
        <v>8</v>
      </c>
      <c r="G447" s="2">
        <v>0</v>
      </c>
      <c r="H447" s="2">
        <v>8</v>
      </c>
      <c r="I447">
        <v>4.4400000000000002E-2</v>
      </c>
      <c r="J447">
        <v>50</v>
      </c>
      <c r="K447">
        <f t="shared" si="6"/>
        <v>2.2200000000000001E-2</v>
      </c>
      <c r="L447" t="s">
        <v>17</v>
      </c>
      <c r="M447">
        <v>296</v>
      </c>
      <c r="N447" t="s">
        <v>18</v>
      </c>
      <c r="O447" t="s">
        <v>907</v>
      </c>
    </row>
    <row r="448" spans="1:15" x14ac:dyDescent="0.2">
      <c r="A448" t="s">
        <v>624</v>
      </c>
      <c r="B448" t="s">
        <v>376</v>
      </c>
      <c r="C448" s="2">
        <v>7</v>
      </c>
      <c r="D448" s="2">
        <v>0</v>
      </c>
      <c r="E448" s="2">
        <v>7</v>
      </c>
      <c r="F448" s="2">
        <v>8</v>
      </c>
      <c r="G448" s="2">
        <v>1</v>
      </c>
      <c r="H448" s="2">
        <v>8</v>
      </c>
      <c r="I448">
        <v>4.4400000000000002E-2</v>
      </c>
      <c r="J448">
        <v>50</v>
      </c>
      <c r="K448">
        <f t="shared" si="6"/>
        <v>2.2200000000000001E-2</v>
      </c>
      <c r="L448" t="s">
        <v>17</v>
      </c>
      <c r="M448">
        <v>296</v>
      </c>
      <c r="N448" t="s">
        <v>18</v>
      </c>
      <c r="O448" t="s">
        <v>907</v>
      </c>
    </row>
    <row r="449" spans="1:15" x14ac:dyDescent="0.2">
      <c r="A449" t="s">
        <v>624</v>
      </c>
      <c r="B449" t="s">
        <v>376</v>
      </c>
      <c r="C449" s="2">
        <v>7</v>
      </c>
      <c r="D449" s="2">
        <v>2</v>
      </c>
      <c r="E449" s="2">
        <v>6</v>
      </c>
      <c r="F449" s="2">
        <v>8</v>
      </c>
      <c r="G449" s="2">
        <v>1</v>
      </c>
      <c r="H449" s="2">
        <v>7</v>
      </c>
      <c r="I449">
        <v>4.7600000000000003E-2</v>
      </c>
      <c r="J449">
        <v>50</v>
      </c>
      <c r="K449">
        <f t="shared" si="6"/>
        <v>2.3800000000000002E-2</v>
      </c>
      <c r="L449" t="s">
        <v>17</v>
      </c>
      <c r="M449">
        <v>296</v>
      </c>
      <c r="N449" t="s">
        <v>18</v>
      </c>
      <c r="O449" t="s">
        <v>907</v>
      </c>
    </row>
    <row r="450" spans="1:15" x14ac:dyDescent="0.2">
      <c r="A450" t="s">
        <v>624</v>
      </c>
      <c r="B450" t="s">
        <v>376</v>
      </c>
      <c r="C450" s="2">
        <v>8</v>
      </c>
      <c r="D450" s="2">
        <v>2</v>
      </c>
      <c r="E450" s="2">
        <v>6</v>
      </c>
      <c r="F450" s="2">
        <v>8</v>
      </c>
      <c r="G450" s="2">
        <v>1</v>
      </c>
      <c r="H450" s="2">
        <v>7</v>
      </c>
      <c r="I450">
        <v>4.7899999999999998E-2</v>
      </c>
      <c r="J450">
        <v>50</v>
      </c>
      <c r="K450">
        <f t="shared" si="6"/>
        <v>2.3949999999999999E-2</v>
      </c>
      <c r="L450" t="s">
        <v>17</v>
      </c>
      <c r="M450">
        <v>296</v>
      </c>
      <c r="N450" t="s">
        <v>18</v>
      </c>
      <c r="O450" t="s">
        <v>907</v>
      </c>
    </row>
    <row r="451" spans="1:15" x14ac:dyDescent="0.2">
      <c r="A451" t="s">
        <v>624</v>
      </c>
      <c r="B451" t="s">
        <v>376</v>
      </c>
      <c r="C451" s="2">
        <v>7</v>
      </c>
      <c r="D451" s="2">
        <v>1</v>
      </c>
      <c r="E451" s="2">
        <v>6</v>
      </c>
      <c r="F451" s="2">
        <v>8</v>
      </c>
      <c r="G451" s="2">
        <v>2</v>
      </c>
      <c r="H451" s="2">
        <v>7</v>
      </c>
      <c r="I451">
        <v>4.7600000000000003E-2</v>
      </c>
      <c r="J451">
        <v>50</v>
      </c>
      <c r="K451">
        <f t="shared" si="6"/>
        <v>2.3800000000000002E-2</v>
      </c>
      <c r="L451" t="s">
        <v>17</v>
      </c>
      <c r="M451">
        <v>296</v>
      </c>
      <c r="N451" t="s">
        <v>18</v>
      </c>
      <c r="O451" t="s">
        <v>907</v>
      </c>
    </row>
    <row r="452" spans="1:15" x14ac:dyDescent="0.2">
      <c r="A452" t="s">
        <v>624</v>
      </c>
      <c r="B452" t="s">
        <v>376</v>
      </c>
      <c r="C452" s="2">
        <v>8</v>
      </c>
      <c r="D452" s="2">
        <v>3</v>
      </c>
      <c r="E452" s="2">
        <v>6</v>
      </c>
      <c r="F452" s="2">
        <v>8</v>
      </c>
      <c r="G452" s="2">
        <v>2</v>
      </c>
      <c r="H452" s="2">
        <v>7</v>
      </c>
      <c r="I452">
        <v>4.7799999999999995E-2</v>
      </c>
      <c r="J452">
        <v>50</v>
      </c>
      <c r="K452">
        <f t="shared" ref="K452:K515" si="7">J452*I452/100</f>
        <v>2.3899999999999998E-2</v>
      </c>
      <c r="L452" t="s">
        <v>17</v>
      </c>
      <c r="M452">
        <v>296</v>
      </c>
      <c r="N452" t="s">
        <v>18</v>
      </c>
      <c r="O452" t="s">
        <v>907</v>
      </c>
    </row>
    <row r="453" spans="1:15" x14ac:dyDescent="0.2">
      <c r="A453" t="s">
        <v>624</v>
      </c>
      <c r="B453" t="s">
        <v>376</v>
      </c>
      <c r="C453" s="2">
        <v>7</v>
      </c>
      <c r="D453" s="2">
        <v>3</v>
      </c>
      <c r="E453" s="2">
        <v>5</v>
      </c>
      <c r="F453" s="2">
        <v>8</v>
      </c>
      <c r="G453" s="2">
        <v>2</v>
      </c>
      <c r="H453" s="2">
        <v>6</v>
      </c>
      <c r="I453">
        <v>4.9700000000000001E-2</v>
      </c>
      <c r="J453">
        <v>50</v>
      </c>
      <c r="K453">
        <f t="shared" si="7"/>
        <v>2.4849999999999997E-2</v>
      </c>
      <c r="L453" t="s">
        <v>17</v>
      </c>
      <c r="M453">
        <v>296</v>
      </c>
      <c r="N453" t="s">
        <v>18</v>
      </c>
      <c r="O453" t="s">
        <v>907</v>
      </c>
    </row>
    <row r="454" spans="1:15" x14ac:dyDescent="0.2">
      <c r="A454" t="s">
        <v>624</v>
      </c>
      <c r="B454" t="s">
        <v>376</v>
      </c>
      <c r="C454" s="2">
        <v>9</v>
      </c>
      <c r="D454" s="2">
        <v>3</v>
      </c>
      <c r="E454" s="2">
        <v>7</v>
      </c>
      <c r="F454" s="2">
        <v>8</v>
      </c>
      <c r="G454" s="2">
        <v>2</v>
      </c>
      <c r="H454" s="2">
        <v>6</v>
      </c>
      <c r="I454">
        <v>4.65E-2</v>
      </c>
      <c r="J454">
        <v>50</v>
      </c>
      <c r="K454">
        <f t="shared" si="7"/>
        <v>2.3250000000000003E-2</v>
      </c>
      <c r="L454" t="s">
        <v>17</v>
      </c>
      <c r="M454">
        <v>296</v>
      </c>
      <c r="N454" t="s">
        <v>18</v>
      </c>
      <c r="O454" t="s">
        <v>907</v>
      </c>
    </row>
    <row r="455" spans="1:15" x14ac:dyDescent="0.2">
      <c r="A455" t="s">
        <v>624</v>
      </c>
      <c r="B455" t="s">
        <v>376</v>
      </c>
      <c r="C455" s="2">
        <v>7</v>
      </c>
      <c r="D455" s="2">
        <v>2</v>
      </c>
      <c r="E455" s="2">
        <v>5</v>
      </c>
      <c r="F455" s="2">
        <v>8</v>
      </c>
      <c r="G455" s="2">
        <v>3</v>
      </c>
      <c r="H455" s="2">
        <v>6</v>
      </c>
      <c r="I455">
        <v>4.9700000000000001E-2</v>
      </c>
      <c r="J455">
        <v>50</v>
      </c>
      <c r="K455">
        <f t="shared" si="7"/>
        <v>2.4849999999999997E-2</v>
      </c>
      <c r="L455" t="s">
        <v>17</v>
      </c>
      <c r="M455">
        <v>296</v>
      </c>
      <c r="N455" t="s">
        <v>18</v>
      </c>
      <c r="O455" t="s">
        <v>907</v>
      </c>
    </row>
    <row r="456" spans="1:15" x14ac:dyDescent="0.2">
      <c r="A456" t="s">
        <v>624</v>
      </c>
      <c r="B456" t="s">
        <v>376</v>
      </c>
      <c r="C456" s="2">
        <v>9</v>
      </c>
      <c r="D456" s="2">
        <v>2</v>
      </c>
      <c r="E456" s="2">
        <v>7</v>
      </c>
      <c r="F456" s="2">
        <v>8</v>
      </c>
      <c r="G456" s="2">
        <v>3</v>
      </c>
      <c r="H456" s="2">
        <v>6</v>
      </c>
      <c r="I456">
        <v>4.65E-2</v>
      </c>
      <c r="J456">
        <v>50</v>
      </c>
      <c r="K456">
        <f t="shared" si="7"/>
        <v>2.3250000000000003E-2</v>
      </c>
      <c r="L456" t="s">
        <v>17</v>
      </c>
      <c r="M456">
        <v>296</v>
      </c>
      <c r="N456" t="s">
        <v>18</v>
      </c>
      <c r="O456" t="s">
        <v>907</v>
      </c>
    </row>
    <row r="457" spans="1:15" x14ac:dyDescent="0.2">
      <c r="A457" t="s">
        <v>624</v>
      </c>
      <c r="B457" t="s">
        <v>376</v>
      </c>
      <c r="C457" s="2">
        <v>9</v>
      </c>
      <c r="D457" s="2">
        <v>3</v>
      </c>
      <c r="E457" s="2">
        <v>6</v>
      </c>
      <c r="F457" s="2">
        <v>8</v>
      </c>
      <c r="G457" s="2">
        <v>4</v>
      </c>
      <c r="H457" s="2">
        <v>5</v>
      </c>
      <c r="I457">
        <v>4.9100000000000005E-2</v>
      </c>
      <c r="J457">
        <v>50</v>
      </c>
      <c r="K457">
        <f t="shared" si="7"/>
        <v>2.4550000000000002E-2</v>
      </c>
      <c r="L457" t="s">
        <v>17</v>
      </c>
      <c r="M457">
        <v>296</v>
      </c>
      <c r="N457" t="s">
        <v>18</v>
      </c>
      <c r="O457" t="s">
        <v>907</v>
      </c>
    </row>
    <row r="458" spans="1:15" x14ac:dyDescent="0.2">
      <c r="A458" t="s">
        <v>624</v>
      </c>
      <c r="B458" t="s">
        <v>376</v>
      </c>
      <c r="C458" s="2">
        <v>9</v>
      </c>
      <c r="D458" s="2">
        <v>2</v>
      </c>
      <c r="E458" s="2">
        <v>7</v>
      </c>
      <c r="F458" s="2">
        <v>9</v>
      </c>
      <c r="G458" s="2">
        <v>1</v>
      </c>
      <c r="H458" s="2">
        <v>8</v>
      </c>
      <c r="I458">
        <v>4.41E-2</v>
      </c>
      <c r="J458">
        <v>50</v>
      </c>
      <c r="K458">
        <f t="shared" si="7"/>
        <v>2.205E-2</v>
      </c>
      <c r="L458" t="s">
        <v>17</v>
      </c>
      <c r="M458">
        <v>296</v>
      </c>
      <c r="N458" t="s">
        <v>18</v>
      </c>
      <c r="O458" t="s">
        <v>907</v>
      </c>
    </row>
    <row r="459" spans="1:15" x14ac:dyDescent="0.2">
      <c r="A459" t="s">
        <v>624</v>
      </c>
      <c r="B459" t="s">
        <v>376</v>
      </c>
      <c r="C459" s="2">
        <v>10</v>
      </c>
      <c r="D459" s="2">
        <v>2</v>
      </c>
      <c r="E459" s="2">
        <v>9</v>
      </c>
      <c r="F459" s="2">
        <v>9</v>
      </c>
      <c r="G459" s="2">
        <v>1</v>
      </c>
      <c r="H459" s="2">
        <v>8</v>
      </c>
      <c r="I459">
        <v>4.0100000000000004E-2</v>
      </c>
      <c r="J459">
        <v>50</v>
      </c>
      <c r="K459">
        <f t="shared" si="7"/>
        <v>2.0050000000000002E-2</v>
      </c>
      <c r="L459" t="s">
        <v>17</v>
      </c>
      <c r="M459">
        <v>296</v>
      </c>
      <c r="N459" t="s">
        <v>18</v>
      </c>
      <c r="O459" t="s">
        <v>907</v>
      </c>
    </row>
    <row r="460" spans="1:15" x14ac:dyDescent="0.2">
      <c r="A460" t="s">
        <v>624</v>
      </c>
      <c r="B460" t="s">
        <v>376</v>
      </c>
      <c r="C460" s="2">
        <v>9</v>
      </c>
      <c r="D460" s="2">
        <v>3</v>
      </c>
      <c r="E460" s="2">
        <v>7</v>
      </c>
      <c r="F460" s="2">
        <v>9</v>
      </c>
      <c r="G460" s="2">
        <v>2</v>
      </c>
      <c r="H460" s="2">
        <v>8</v>
      </c>
      <c r="I460">
        <v>4.41E-2</v>
      </c>
      <c r="J460">
        <v>50</v>
      </c>
      <c r="K460">
        <f t="shared" si="7"/>
        <v>2.205E-2</v>
      </c>
      <c r="L460" t="s">
        <v>17</v>
      </c>
      <c r="M460">
        <v>296</v>
      </c>
      <c r="N460" t="s">
        <v>18</v>
      </c>
      <c r="O460" t="s">
        <v>907</v>
      </c>
    </row>
    <row r="461" spans="1:15" x14ac:dyDescent="0.2">
      <c r="A461" t="s">
        <v>624</v>
      </c>
      <c r="B461" t="s">
        <v>376</v>
      </c>
      <c r="C461" s="2">
        <v>10</v>
      </c>
      <c r="D461" s="2">
        <v>1</v>
      </c>
      <c r="E461" s="2">
        <v>9</v>
      </c>
      <c r="F461" s="2">
        <v>9</v>
      </c>
      <c r="G461" s="2">
        <v>2</v>
      </c>
      <c r="H461" s="2">
        <v>8</v>
      </c>
      <c r="I461">
        <v>4.0100000000000004E-2</v>
      </c>
      <c r="J461">
        <v>50</v>
      </c>
      <c r="K461">
        <f t="shared" si="7"/>
        <v>2.0050000000000002E-2</v>
      </c>
      <c r="L461" t="s">
        <v>17</v>
      </c>
      <c r="M461">
        <v>296</v>
      </c>
      <c r="N461" t="s">
        <v>18</v>
      </c>
      <c r="O461" t="s">
        <v>907</v>
      </c>
    </row>
    <row r="462" spans="1:15" x14ac:dyDescent="0.2">
      <c r="A462" t="s">
        <v>624</v>
      </c>
      <c r="B462" t="s">
        <v>376</v>
      </c>
      <c r="C462" s="2">
        <v>11</v>
      </c>
      <c r="D462" s="2">
        <v>1</v>
      </c>
      <c r="E462" s="2">
        <v>11</v>
      </c>
      <c r="F462" s="2">
        <v>10</v>
      </c>
      <c r="G462" s="2">
        <v>0</v>
      </c>
      <c r="H462" s="2">
        <v>10</v>
      </c>
      <c r="I462">
        <v>3.2799999999999996E-2</v>
      </c>
      <c r="J462">
        <v>50</v>
      </c>
      <c r="K462">
        <f t="shared" si="7"/>
        <v>1.6399999999999998E-2</v>
      </c>
      <c r="L462" t="s">
        <v>17</v>
      </c>
      <c r="M462">
        <v>296</v>
      </c>
      <c r="N462" t="s">
        <v>18</v>
      </c>
      <c r="O462" t="s">
        <v>907</v>
      </c>
    </row>
    <row r="463" spans="1:15" x14ac:dyDescent="0.2">
      <c r="A463" t="s">
        <v>624</v>
      </c>
      <c r="B463" t="s">
        <v>376</v>
      </c>
      <c r="C463" s="2">
        <v>10</v>
      </c>
      <c r="D463" s="2">
        <v>2</v>
      </c>
      <c r="E463" s="2">
        <v>8</v>
      </c>
      <c r="F463" s="2">
        <v>10</v>
      </c>
      <c r="G463" s="2">
        <v>1</v>
      </c>
      <c r="H463" s="2">
        <v>9</v>
      </c>
      <c r="I463">
        <v>4.02E-2</v>
      </c>
      <c r="J463">
        <v>50</v>
      </c>
      <c r="K463">
        <f t="shared" si="7"/>
        <v>2.0099999999999996E-2</v>
      </c>
      <c r="L463" t="s">
        <v>17</v>
      </c>
      <c r="M463">
        <v>296</v>
      </c>
      <c r="N463" t="s">
        <v>18</v>
      </c>
      <c r="O463" t="s">
        <v>907</v>
      </c>
    </row>
    <row r="464" spans="1:15" x14ac:dyDescent="0.2">
      <c r="A464" t="s">
        <v>624</v>
      </c>
      <c r="B464" t="s">
        <v>376</v>
      </c>
      <c r="C464" s="2">
        <v>10</v>
      </c>
      <c r="D464" s="2">
        <v>3</v>
      </c>
      <c r="E464" s="2">
        <v>8</v>
      </c>
      <c r="F464" s="2">
        <v>10</v>
      </c>
      <c r="G464" s="2">
        <v>2</v>
      </c>
      <c r="H464" s="2">
        <v>9</v>
      </c>
      <c r="I464">
        <v>4.02E-2</v>
      </c>
      <c r="J464">
        <v>50</v>
      </c>
      <c r="K464">
        <f t="shared" si="7"/>
        <v>2.0099999999999996E-2</v>
      </c>
      <c r="L464" t="s">
        <v>17</v>
      </c>
      <c r="M464">
        <v>296</v>
      </c>
      <c r="N464" t="s">
        <v>18</v>
      </c>
      <c r="O464" t="s">
        <v>907</v>
      </c>
    </row>
    <row r="465" spans="1:15" x14ac:dyDescent="0.2">
      <c r="A465" t="s">
        <v>624</v>
      </c>
      <c r="B465" t="s">
        <v>376</v>
      </c>
      <c r="C465" s="2">
        <v>12</v>
      </c>
      <c r="D465" s="2">
        <v>1</v>
      </c>
      <c r="E465" s="2">
        <v>12</v>
      </c>
      <c r="F465" s="2">
        <v>11</v>
      </c>
      <c r="G465" s="2">
        <v>0</v>
      </c>
      <c r="H465" s="2">
        <v>11</v>
      </c>
      <c r="I465">
        <v>2.8399999999999998E-2</v>
      </c>
      <c r="J465">
        <v>50</v>
      </c>
      <c r="K465">
        <f t="shared" si="7"/>
        <v>1.4199999999999999E-2</v>
      </c>
      <c r="L465" t="s">
        <v>17</v>
      </c>
      <c r="M465">
        <v>296</v>
      </c>
      <c r="N465" t="s">
        <v>18</v>
      </c>
      <c r="O465" t="s">
        <v>907</v>
      </c>
    </row>
    <row r="466" spans="1:15" x14ac:dyDescent="0.2">
      <c r="A466" t="s">
        <v>624</v>
      </c>
      <c r="B466" t="s">
        <v>376</v>
      </c>
      <c r="C466" s="2">
        <v>12</v>
      </c>
      <c r="D466" s="2">
        <v>0</v>
      </c>
      <c r="E466" s="2">
        <v>12</v>
      </c>
      <c r="F466" s="2">
        <v>11</v>
      </c>
      <c r="G466" s="2">
        <v>1</v>
      </c>
      <c r="H466" s="2">
        <v>11</v>
      </c>
      <c r="I466">
        <v>2.8399999999999998E-2</v>
      </c>
      <c r="J466">
        <v>50</v>
      </c>
      <c r="K466">
        <f t="shared" si="7"/>
        <v>1.4199999999999999E-2</v>
      </c>
      <c r="L466" t="s">
        <v>17</v>
      </c>
      <c r="M466">
        <v>296</v>
      </c>
      <c r="N466" t="s">
        <v>18</v>
      </c>
      <c r="O466" t="s">
        <v>907</v>
      </c>
    </row>
    <row r="467" spans="1:15" x14ac:dyDescent="0.2">
      <c r="A467" t="s">
        <v>624</v>
      </c>
      <c r="B467" t="s">
        <v>376</v>
      </c>
      <c r="C467" s="2">
        <v>3</v>
      </c>
      <c r="D467" s="2">
        <v>3</v>
      </c>
      <c r="E467" s="2">
        <v>1</v>
      </c>
      <c r="F467" s="2">
        <v>2</v>
      </c>
      <c r="G467" s="2">
        <v>0</v>
      </c>
      <c r="H467" s="2">
        <v>2</v>
      </c>
      <c r="I467">
        <v>5.9499999999999997E-2</v>
      </c>
      <c r="J467">
        <v>50</v>
      </c>
      <c r="K467">
        <f t="shared" si="7"/>
        <v>2.9749999999999995E-2</v>
      </c>
      <c r="L467" t="s">
        <v>17</v>
      </c>
      <c r="M467">
        <v>296</v>
      </c>
      <c r="N467" t="s">
        <v>18</v>
      </c>
      <c r="O467" t="s">
        <v>907</v>
      </c>
    </row>
    <row r="468" spans="1:15" x14ac:dyDescent="0.2">
      <c r="A468" t="s">
        <v>624</v>
      </c>
      <c r="B468" t="s">
        <v>376</v>
      </c>
      <c r="C468" s="2">
        <v>2</v>
      </c>
      <c r="D468" s="2">
        <v>1</v>
      </c>
      <c r="E468" s="2">
        <v>2</v>
      </c>
      <c r="F468" s="2">
        <v>3</v>
      </c>
      <c r="G468" s="2">
        <v>0</v>
      </c>
      <c r="H468" s="2">
        <v>3</v>
      </c>
      <c r="I468">
        <v>5.8200000000000002E-2</v>
      </c>
      <c r="J468">
        <v>50</v>
      </c>
      <c r="K468">
        <f t="shared" si="7"/>
        <v>2.9100000000000001E-2</v>
      </c>
      <c r="L468" t="s">
        <v>17</v>
      </c>
      <c r="M468">
        <v>296</v>
      </c>
      <c r="N468" t="s">
        <v>18</v>
      </c>
      <c r="O468" t="s">
        <v>907</v>
      </c>
    </row>
    <row r="469" spans="1:15" x14ac:dyDescent="0.2">
      <c r="A469" t="s">
        <v>624</v>
      </c>
      <c r="B469" t="s">
        <v>376</v>
      </c>
      <c r="C469" s="2">
        <v>2</v>
      </c>
      <c r="D469" s="2">
        <v>0</v>
      </c>
      <c r="E469" s="2">
        <v>2</v>
      </c>
      <c r="F469" s="2">
        <v>3</v>
      </c>
      <c r="G469" s="2">
        <v>1</v>
      </c>
      <c r="H469" s="2">
        <v>3</v>
      </c>
      <c r="I469">
        <v>5.8200000000000002E-2</v>
      </c>
      <c r="J469">
        <v>50</v>
      </c>
      <c r="K469">
        <f t="shared" si="7"/>
        <v>2.9100000000000001E-2</v>
      </c>
      <c r="L469" t="s">
        <v>17</v>
      </c>
      <c r="M469">
        <v>296</v>
      </c>
      <c r="N469" t="s">
        <v>18</v>
      </c>
      <c r="O469" t="s">
        <v>907</v>
      </c>
    </row>
    <row r="470" spans="1:15" x14ac:dyDescent="0.2">
      <c r="A470" t="s">
        <v>624</v>
      </c>
      <c r="B470" t="s">
        <v>376</v>
      </c>
      <c r="C470" s="2">
        <v>2</v>
      </c>
      <c r="D470" s="2">
        <v>2</v>
      </c>
      <c r="E470" s="2">
        <v>1</v>
      </c>
      <c r="F470" s="2">
        <v>3</v>
      </c>
      <c r="G470" s="2">
        <v>1</v>
      </c>
      <c r="H470" s="2">
        <v>2</v>
      </c>
      <c r="I470">
        <v>6.0499999999999998E-2</v>
      </c>
      <c r="J470">
        <v>50</v>
      </c>
      <c r="K470">
        <f t="shared" si="7"/>
        <v>3.0249999999999999E-2</v>
      </c>
      <c r="L470" t="s">
        <v>17</v>
      </c>
      <c r="M470">
        <v>296</v>
      </c>
      <c r="N470" t="s">
        <v>18</v>
      </c>
      <c r="O470" t="s">
        <v>907</v>
      </c>
    </row>
    <row r="471" spans="1:15" x14ac:dyDescent="0.2">
      <c r="A471" t="s">
        <v>624</v>
      </c>
      <c r="B471" t="s">
        <v>376</v>
      </c>
      <c r="C471" s="2">
        <v>4</v>
      </c>
      <c r="D471" s="2">
        <v>3</v>
      </c>
      <c r="E471" s="2">
        <v>2</v>
      </c>
      <c r="F471" s="2">
        <v>3</v>
      </c>
      <c r="G471" s="2">
        <v>2</v>
      </c>
      <c r="H471" s="2">
        <v>1</v>
      </c>
      <c r="I471">
        <v>5.8599999999999999E-2</v>
      </c>
      <c r="J471">
        <v>50</v>
      </c>
      <c r="K471">
        <f t="shared" si="7"/>
        <v>2.9300000000000003E-2</v>
      </c>
      <c r="L471" t="s">
        <v>17</v>
      </c>
      <c r="M471">
        <v>296</v>
      </c>
      <c r="N471" t="s">
        <v>18</v>
      </c>
      <c r="O471" t="s">
        <v>907</v>
      </c>
    </row>
    <row r="472" spans="1:15" x14ac:dyDescent="0.2">
      <c r="A472" t="s">
        <v>624</v>
      </c>
      <c r="B472" t="s">
        <v>376</v>
      </c>
      <c r="C472" s="2">
        <v>4</v>
      </c>
      <c r="D472" s="2">
        <v>4</v>
      </c>
      <c r="E472" s="2">
        <v>1</v>
      </c>
      <c r="F472" s="2">
        <v>3</v>
      </c>
      <c r="G472" s="2">
        <v>3</v>
      </c>
      <c r="H472" s="2">
        <v>0</v>
      </c>
      <c r="I472">
        <v>5.6000000000000001E-2</v>
      </c>
      <c r="J472">
        <v>50</v>
      </c>
      <c r="K472">
        <f t="shared" si="7"/>
        <v>2.8000000000000004E-2</v>
      </c>
      <c r="L472" t="s">
        <v>17</v>
      </c>
      <c r="M472">
        <v>296</v>
      </c>
      <c r="N472" t="s">
        <v>18</v>
      </c>
      <c r="O472" t="s">
        <v>907</v>
      </c>
    </row>
    <row r="473" spans="1:15" x14ac:dyDescent="0.2">
      <c r="A473" t="s">
        <v>624</v>
      </c>
      <c r="B473" t="s">
        <v>376</v>
      </c>
      <c r="C473" s="2">
        <v>5</v>
      </c>
      <c r="D473" s="2">
        <v>3</v>
      </c>
      <c r="E473" s="2">
        <v>2</v>
      </c>
      <c r="F473" s="2">
        <v>4</v>
      </c>
      <c r="G473" s="2">
        <v>2</v>
      </c>
      <c r="H473" s="2">
        <v>3</v>
      </c>
      <c r="I473">
        <v>5.7200000000000001E-2</v>
      </c>
      <c r="J473">
        <v>50</v>
      </c>
      <c r="K473">
        <f t="shared" si="7"/>
        <v>2.86E-2</v>
      </c>
      <c r="L473" t="s">
        <v>17</v>
      </c>
      <c r="M473">
        <v>296</v>
      </c>
      <c r="N473" t="s">
        <v>18</v>
      </c>
      <c r="O473" t="s">
        <v>907</v>
      </c>
    </row>
    <row r="474" spans="1:15" x14ac:dyDescent="0.2">
      <c r="A474" t="s">
        <v>624</v>
      </c>
      <c r="B474" t="s">
        <v>376</v>
      </c>
      <c r="C474" s="2">
        <v>4</v>
      </c>
      <c r="D474" s="2">
        <v>1</v>
      </c>
      <c r="E474" s="2">
        <v>3</v>
      </c>
      <c r="F474" s="2">
        <v>5</v>
      </c>
      <c r="G474" s="2">
        <v>2</v>
      </c>
      <c r="H474" s="2">
        <v>4</v>
      </c>
      <c r="I474">
        <v>5.6299999999999996E-2</v>
      </c>
      <c r="J474">
        <v>50</v>
      </c>
      <c r="K474">
        <f t="shared" si="7"/>
        <v>2.8149999999999998E-2</v>
      </c>
      <c r="L474" t="s">
        <v>17</v>
      </c>
      <c r="M474">
        <v>296</v>
      </c>
      <c r="N474" t="s">
        <v>18</v>
      </c>
      <c r="O474" t="s">
        <v>907</v>
      </c>
    </row>
    <row r="475" spans="1:15" x14ac:dyDescent="0.2">
      <c r="A475" t="s">
        <v>624</v>
      </c>
      <c r="B475" t="s">
        <v>376</v>
      </c>
      <c r="C475" s="2">
        <v>4</v>
      </c>
      <c r="D475" s="2">
        <v>3</v>
      </c>
      <c r="E475" s="2">
        <v>2</v>
      </c>
      <c r="F475" s="2">
        <v>5</v>
      </c>
      <c r="G475" s="2">
        <v>2</v>
      </c>
      <c r="H475" s="2">
        <v>3</v>
      </c>
      <c r="I475">
        <v>5.7200000000000001E-2</v>
      </c>
      <c r="J475">
        <v>50</v>
      </c>
      <c r="K475">
        <f t="shared" si="7"/>
        <v>2.86E-2</v>
      </c>
      <c r="L475" t="s">
        <v>17</v>
      </c>
      <c r="M475">
        <v>296</v>
      </c>
      <c r="N475" t="s">
        <v>18</v>
      </c>
      <c r="O475" t="s">
        <v>907</v>
      </c>
    </row>
    <row r="476" spans="1:15" x14ac:dyDescent="0.2">
      <c r="A476" t="s">
        <v>624</v>
      </c>
      <c r="B476" t="s">
        <v>376</v>
      </c>
      <c r="C476" s="2">
        <v>6</v>
      </c>
      <c r="D476" s="2">
        <v>4</v>
      </c>
      <c r="E476" s="2">
        <v>2</v>
      </c>
      <c r="F476" s="2">
        <v>5</v>
      </c>
      <c r="G476" s="2">
        <v>3</v>
      </c>
      <c r="H476" s="2">
        <v>3</v>
      </c>
      <c r="I476">
        <v>5.5200000000000006E-2</v>
      </c>
      <c r="J476">
        <v>50</v>
      </c>
      <c r="K476">
        <f t="shared" si="7"/>
        <v>2.7600000000000003E-2</v>
      </c>
      <c r="L476" t="s">
        <v>17</v>
      </c>
      <c r="M476">
        <v>296</v>
      </c>
      <c r="N476" t="s">
        <v>18</v>
      </c>
      <c r="O476" t="s">
        <v>907</v>
      </c>
    </row>
    <row r="477" spans="1:15" x14ac:dyDescent="0.2">
      <c r="A477" t="s">
        <v>624</v>
      </c>
      <c r="B477" t="s">
        <v>376</v>
      </c>
      <c r="C477" s="2">
        <v>6</v>
      </c>
      <c r="D477" s="2">
        <v>4</v>
      </c>
      <c r="E477" s="2">
        <v>3</v>
      </c>
      <c r="F477" s="2">
        <v>5</v>
      </c>
      <c r="G477" s="2">
        <v>3</v>
      </c>
      <c r="H477" s="2">
        <v>2</v>
      </c>
      <c r="I477">
        <v>5.5200000000000006E-2</v>
      </c>
      <c r="J477">
        <v>50</v>
      </c>
      <c r="K477">
        <f t="shared" si="7"/>
        <v>2.7600000000000003E-2</v>
      </c>
      <c r="L477" t="s">
        <v>17</v>
      </c>
      <c r="M477">
        <v>296</v>
      </c>
      <c r="N477" t="s">
        <v>18</v>
      </c>
      <c r="O477" t="s">
        <v>907</v>
      </c>
    </row>
    <row r="478" spans="1:15" x14ac:dyDescent="0.2">
      <c r="A478" t="s">
        <v>624</v>
      </c>
      <c r="B478" t="s">
        <v>376</v>
      </c>
      <c r="C478" s="2">
        <v>6</v>
      </c>
      <c r="D478" s="2">
        <v>5</v>
      </c>
      <c r="E478" s="2">
        <v>2</v>
      </c>
      <c r="F478" s="2">
        <v>5</v>
      </c>
      <c r="G478" s="2">
        <v>4</v>
      </c>
      <c r="H478" s="2">
        <v>1</v>
      </c>
      <c r="I478">
        <v>5.2299999999999999E-2</v>
      </c>
      <c r="J478">
        <v>50</v>
      </c>
      <c r="K478">
        <f t="shared" si="7"/>
        <v>2.6149999999999996E-2</v>
      </c>
      <c r="L478" t="s">
        <v>17</v>
      </c>
      <c r="M478">
        <v>296</v>
      </c>
      <c r="N478" t="s">
        <v>18</v>
      </c>
      <c r="O478" t="s">
        <v>907</v>
      </c>
    </row>
    <row r="479" spans="1:15" x14ac:dyDescent="0.2">
      <c r="A479" t="s">
        <v>624</v>
      </c>
      <c r="B479" t="s">
        <v>376</v>
      </c>
      <c r="C479" s="2">
        <v>5</v>
      </c>
      <c r="D479" s="2">
        <v>2</v>
      </c>
      <c r="E479" s="2">
        <v>3</v>
      </c>
      <c r="F479" s="2">
        <v>6</v>
      </c>
      <c r="G479" s="2">
        <v>3</v>
      </c>
      <c r="H479" s="2">
        <v>4</v>
      </c>
      <c r="I479">
        <v>5.5799999999999995E-2</v>
      </c>
      <c r="J479">
        <v>50</v>
      </c>
      <c r="K479">
        <f t="shared" si="7"/>
        <v>2.7899999999999994E-2</v>
      </c>
      <c r="L479" t="s">
        <v>17</v>
      </c>
      <c r="M479">
        <v>296</v>
      </c>
      <c r="N479" t="s">
        <v>18</v>
      </c>
      <c r="O479" t="s">
        <v>907</v>
      </c>
    </row>
    <row r="480" spans="1:15" x14ac:dyDescent="0.2">
      <c r="A480" t="s">
        <v>624</v>
      </c>
      <c r="B480" t="s">
        <v>376</v>
      </c>
      <c r="C480" s="2">
        <v>7</v>
      </c>
      <c r="D480" s="2">
        <v>2</v>
      </c>
      <c r="E480" s="2">
        <v>5</v>
      </c>
      <c r="F480" s="2">
        <v>6</v>
      </c>
      <c r="G480" s="2">
        <v>3</v>
      </c>
      <c r="H480" s="2">
        <v>4</v>
      </c>
      <c r="I480">
        <v>5.4100000000000002E-2</v>
      </c>
      <c r="J480">
        <v>50</v>
      </c>
      <c r="K480">
        <f t="shared" si="7"/>
        <v>2.7050000000000001E-2</v>
      </c>
      <c r="L480" t="s">
        <v>17</v>
      </c>
      <c r="M480">
        <v>296</v>
      </c>
      <c r="N480" t="s">
        <v>18</v>
      </c>
      <c r="O480" t="s">
        <v>907</v>
      </c>
    </row>
    <row r="481" spans="1:15" x14ac:dyDescent="0.2">
      <c r="A481" t="s">
        <v>624</v>
      </c>
      <c r="B481" t="s">
        <v>376</v>
      </c>
      <c r="C481" s="2">
        <v>6</v>
      </c>
      <c r="D481" s="2">
        <v>1</v>
      </c>
      <c r="E481" s="2">
        <v>6</v>
      </c>
      <c r="F481" s="2">
        <v>7</v>
      </c>
      <c r="G481" s="2">
        <v>0</v>
      </c>
      <c r="H481" s="2">
        <v>7</v>
      </c>
      <c r="I481">
        <v>4.7100000000000003E-2</v>
      </c>
      <c r="J481">
        <v>50</v>
      </c>
      <c r="K481">
        <f t="shared" si="7"/>
        <v>2.3550000000000001E-2</v>
      </c>
      <c r="L481" t="s">
        <v>17</v>
      </c>
      <c r="M481">
        <v>296</v>
      </c>
      <c r="N481" t="s">
        <v>18</v>
      </c>
      <c r="O481" t="s">
        <v>907</v>
      </c>
    </row>
    <row r="482" spans="1:15" x14ac:dyDescent="0.2">
      <c r="A482" t="s">
        <v>624</v>
      </c>
      <c r="B482" t="s">
        <v>376</v>
      </c>
      <c r="C482" s="2">
        <v>6</v>
      </c>
      <c r="D482" s="2">
        <v>0</v>
      </c>
      <c r="E482" s="2">
        <v>6</v>
      </c>
      <c r="F482" s="2">
        <v>7</v>
      </c>
      <c r="G482" s="2">
        <v>1</v>
      </c>
      <c r="H482" s="2">
        <v>7</v>
      </c>
      <c r="I482">
        <v>4.7100000000000003E-2</v>
      </c>
      <c r="J482">
        <v>50</v>
      </c>
      <c r="K482">
        <f t="shared" si="7"/>
        <v>2.3550000000000001E-2</v>
      </c>
      <c r="L482" t="s">
        <v>17</v>
      </c>
      <c r="M482">
        <v>296</v>
      </c>
      <c r="N482" t="s">
        <v>18</v>
      </c>
      <c r="O482" t="s">
        <v>907</v>
      </c>
    </row>
    <row r="483" spans="1:15" x14ac:dyDescent="0.2">
      <c r="A483" t="s">
        <v>624</v>
      </c>
      <c r="B483" t="s">
        <v>376</v>
      </c>
      <c r="C483" s="2">
        <v>7</v>
      </c>
      <c r="D483" s="2">
        <v>2</v>
      </c>
      <c r="E483" s="2">
        <v>6</v>
      </c>
      <c r="F483" s="2">
        <v>7</v>
      </c>
      <c r="G483" s="2">
        <v>1</v>
      </c>
      <c r="H483" s="2">
        <v>7</v>
      </c>
      <c r="I483">
        <v>0.05</v>
      </c>
      <c r="J483">
        <v>50</v>
      </c>
      <c r="K483">
        <f t="shared" si="7"/>
        <v>2.5000000000000001E-2</v>
      </c>
      <c r="L483" t="s">
        <v>17</v>
      </c>
      <c r="M483">
        <v>296</v>
      </c>
      <c r="N483" t="s">
        <v>18</v>
      </c>
      <c r="O483" t="s">
        <v>907</v>
      </c>
    </row>
    <row r="484" spans="1:15" x14ac:dyDescent="0.2">
      <c r="A484" t="s">
        <v>624</v>
      </c>
      <c r="B484" t="s">
        <v>376</v>
      </c>
      <c r="C484" s="2">
        <v>8</v>
      </c>
      <c r="D484" s="2">
        <v>3</v>
      </c>
      <c r="E484" s="2">
        <v>6</v>
      </c>
      <c r="F484" s="2">
        <v>7</v>
      </c>
      <c r="G484" s="2">
        <v>2</v>
      </c>
      <c r="H484" s="2">
        <v>5</v>
      </c>
      <c r="I484">
        <v>5.1900000000000002E-2</v>
      </c>
      <c r="J484">
        <v>50</v>
      </c>
      <c r="K484">
        <f t="shared" si="7"/>
        <v>2.5950000000000001E-2</v>
      </c>
      <c r="L484" t="s">
        <v>17</v>
      </c>
      <c r="M484">
        <v>296</v>
      </c>
      <c r="N484" t="s">
        <v>18</v>
      </c>
      <c r="O484" t="s">
        <v>907</v>
      </c>
    </row>
    <row r="485" spans="1:15" x14ac:dyDescent="0.2">
      <c r="A485" t="s">
        <v>624</v>
      </c>
      <c r="B485" t="s">
        <v>376</v>
      </c>
      <c r="C485" s="2">
        <v>8</v>
      </c>
      <c r="D485" s="2">
        <v>2</v>
      </c>
      <c r="E485" s="2">
        <v>6</v>
      </c>
      <c r="F485" s="2">
        <v>7</v>
      </c>
      <c r="G485" s="2">
        <v>3</v>
      </c>
      <c r="H485" s="2">
        <v>5</v>
      </c>
      <c r="I485">
        <v>5.1900000000000002E-2</v>
      </c>
      <c r="J485">
        <v>50</v>
      </c>
      <c r="K485">
        <f t="shared" si="7"/>
        <v>2.5950000000000001E-2</v>
      </c>
      <c r="L485" t="s">
        <v>17</v>
      </c>
      <c r="M485">
        <v>296</v>
      </c>
      <c r="N485" t="s">
        <v>18</v>
      </c>
      <c r="O485" t="s">
        <v>907</v>
      </c>
    </row>
    <row r="486" spans="1:15" x14ac:dyDescent="0.2">
      <c r="A486" t="s">
        <v>624</v>
      </c>
      <c r="B486" t="s">
        <v>376</v>
      </c>
      <c r="C486" s="2">
        <v>7</v>
      </c>
      <c r="D486" s="2">
        <v>1</v>
      </c>
      <c r="E486" s="2">
        <v>7</v>
      </c>
      <c r="F486" s="2">
        <v>8</v>
      </c>
      <c r="G486" s="2">
        <v>0</v>
      </c>
      <c r="H486" s="2">
        <v>8</v>
      </c>
      <c r="I486">
        <v>4.3700000000000003E-2</v>
      </c>
      <c r="J486">
        <v>50</v>
      </c>
      <c r="K486">
        <f t="shared" si="7"/>
        <v>2.1850000000000001E-2</v>
      </c>
      <c r="L486" t="s">
        <v>17</v>
      </c>
      <c r="M486">
        <v>296</v>
      </c>
      <c r="N486" t="s">
        <v>18</v>
      </c>
      <c r="O486" t="s">
        <v>907</v>
      </c>
    </row>
    <row r="487" spans="1:15" x14ac:dyDescent="0.2">
      <c r="A487" t="s">
        <v>624</v>
      </c>
      <c r="B487" t="s">
        <v>376</v>
      </c>
      <c r="C487" s="2">
        <v>7</v>
      </c>
      <c r="D487" s="2">
        <v>0</v>
      </c>
      <c r="E487" s="2">
        <v>7</v>
      </c>
      <c r="F487" s="2">
        <v>8</v>
      </c>
      <c r="G487" s="2">
        <v>1</v>
      </c>
      <c r="H487" s="2">
        <v>8</v>
      </c>
      <c r="I487">
        <v>4.3700000000000003E-2</v>
      </c>
      <c r="J487">
        <v>50</v>
      </c>
      <c r="K487">
        <f t="shared" si="7"/>
        <v>2.1850000000000001E-2</v>
      </c>
      <c r="L487" t="s">
        <v>17</v>
      </c>
      <c r="M487">
        <v>296</v>
      </c>
      <c r="N487" t="s">
        <v>18</v>
      </c>
      <c r="O487" t="s">
        <v>907</v>
      </c>
    </row>
    <row r="488" spans="1:15" x14ac:dyDescent="0.2">
      <c r="A488" t="s">
        <v>624</v>
      </c>
      <c r="B488" t="s">
        <v>376</v>
      </c>
      <c r="C488" s="2">
        <v>7</v>
      </c>
      <c r="D488" s="2">
        <v>2</v>
      </c>
      <c r="E488" s="2">
        <v>6</v>
      </c>
      <c r="F488" s="2">
        <v>8</v>
      </c>
      <c r="G488" s="2">
        <v>1</v>
      </c>
      <c r="H488" s="2">
        <v>7</v>
      </c>
      <c r="I488">
        <v>4.8500000000000001E-2</v>
      </c>
      <c r="J488">
        <v>50</v>
      </c>
      <c r="K488">
        <f t="shared" si="7"/>
        <v>2.4250000000000004E-2</v>
      </c>
      <c r="L488" t="s">
        <v>17</v>
      </c>
      <c r="M488">
        <v>296</v>
      </c>
      <c r="N488" t="s">
        <v>18</v>
      </c>
      <c r="O488" t="s">
        <v>907</v>
      </c>
    </row>
    <row r="489" spans="1:15" x14ac:dyDescent="0.2">
      <c r="A489" t="s">
        <v>624</v>
      </c>
      <c r="B489" t="s">
        <v>376</v>
      </c>
      <c r="C489" s="2">
        <v>8</v>
      </c>
      <c r="D489" s="2">
        <v>2</v>
      </c>
      <c r="E489" s="2">
        <v>6</v>
      </c>
      <c r="F489" s="2">
        <v>8</v>
      </c>
      <c r="G489" s="2">
        <v>1</v>
      </c>
      <c r="H489" s="2">
        <v>7</v>
      </c>
      <c r="I489">
        <v>4.6899999999999997E-2</v>
      </c>
      <c r="J489">
        <v>50</v>
      </c>
      <c r="K489">
        <f t="shared" si="7"/>
        <v>2.3449999999999999E-2</v>
      </c>
      <c r="L489" t="s">
        <v>17</v>
      </c>
      <c r="M489">
        <v>296</v>
      </c>
      <c r="N489" t="s">
        <v>18</v>
      </c>
      <c r="O489" t="s">
        <v>907</v>
      </c>
    </row>
    <row r="490" spans="1:15" x14ac:dyDescent="0.2">
      <c r="A490" t="s">
        <v>624</v>
      </c>
      <c r="B490" t="s">
        <v>376</v>
      </c>
      <c r="C490" s="2">
        <v>7</v>
      </c>
      <c r="D490" s="2">
        <v>1</v>
      </c>
      <c r="E490" s="2">
        <v>6</v>
      </c>
      <c r="F490" s="2">
        <v>8</v>
      </c>
      <c r="G490" s="2">
        <v>2</v>
      </c>
      <c r="H490" s="2">
        <v>7</v>
      </c>
      <c r="I490">
        <v>4.8500000000000001E-2</v>
      </c>
      <c r="J490">
        <v>50</v>
      </c>
      <c r="K490">
        <f t="shared" si="7"/>
        <v>2.4250000000000004E-2</v>
      </c>
      <c r="L490" t="s">
        <v>17</v>
      </c>
      <c r="M490">
        <v>296</v>
      </c>
      <c r="N490" t="s">
        <v>18</v>
      </c>
      <c r="O490" t="s">
        <v>907</v>
      </c>
    </row>
    <row r="491" spans="1:15" x14ac:dyDescent="0.2">
      <c r="A491" t="s">
        <v>624</v>
      </c>
      <c r="B491" t="s">
        <v>376</v>
      </c>
      <c r="C491" s="2">
        <v>8</v>
      </c>
      <c r="D491" s="2">
        <v>3</v>
      </c>
      <c r="E491" s="2">
        <v>6</v>
      </c>
      <c r="F491" s="2">
        <v>8</v>
      </c>
      <c r="G491" s="2">
        <v>2</v>
      </c>
      <c r="H491" s="2">
        <v>7</v>
      </c>
      <c r="I491">
        <v>5.0700000000000002E-2</v>
      </c>
      <c r="J491">
        <v>50</v>
      </c>
      <c r="K491">
        <f t="shared" si="7"/>
        <v>2.5350000000000001E-2</v>
      </c>
      <c r="L491" t="s">
        <v>17</v>
      </c>
      <c r="M491">
        <v>296</v>
      </c>
      <c r="N491" t="s">
        <v>18</v>
      </c>
      <c r="O491" t="s">
        <v>907</v>
      </c>
    </row>
    <row r="492" spans="1:15" x14ac:dyDescent="0.2">
      <c r="A492" t="s">
        <v>624</v>
      </c>
      <c r="B492" t="s">
        <v>376</v>
      </c>
      <c r="C492" s="2">
        <v>7</v>
      </c>
      <c r="D492" s="2">
        <v>3</v>
      </c>
      <c r="E492" s="2">
        <v>5</v>
      </c>
      <c r="F492" s="2">
        <v>8</v>
      </c>
      <c r="G492" s="2">
        <v>2</v>
      </c>
      <c r="H492" s="2">
        <v>6</v>
      </c>
      <c r="I492">
        <v>5.1900000000000002E-2</v>
      </c>
      <c r="J492">
        <v>50</v>
      </c>
      <c r="K492">
        <f t="shared" si="7"/>
        <v>2.5950000000000001E-2</v>
      </c>
      <c r="L492" t="s">
        <v>17</v>
      </c>
      <c r="M492">
        <v>296</v>
      </c>
      <c r="N492" t="s">
        <v>18</v>
      </c>
      <c r="O492" t="s">
        <v>907</v>
      </c>
    </row>
    <row r="493" spans="1:15" x14ac:dyDescent="0.2">
      <c r="A493" t="s">
        <v>624</v>
      </c>
      <c r="B493" t="s">
        <v>376</v>
      </c>
      <c r="C493" s="2">
        <v>9</v>
      </c>
      <c r="D493" s="2">
        <v>3</v>
      </c>
      <c r="E493" s="2">
        <v>7</v>
      </c>
      <c r="F493" s="2">
        <v>8</v>
      </c>
      <c r="G493" s="2">
        <v>2</v>
      </c>
      <c r="H493" s="2">
        <v>6</v>
      </c>
      <c r="I493">
        <v>4.9299999999999997E-2</v>
      </c>
      <c r="J493">
        <v>50</v>
      </c>
      <c r="K493">
        <f t="shared" si="7"/>
        <v>2.4649999999999998E-2</v>
      </c>
      <c r="L493" t="s">
        <v>17</v>
      </c>
      <c r="M493">
        <v>296</v>
      </c>
      <c r="N493" t="s">
        <v>18</v>
      </c>
      <c r="O493" t="s">
        <v>907</v>
      </c>
    </row>
    <row r="494" spans="1:15" x14ac:dyDescent="0.2">
      <c r="A494" t="s">
        <v>624</v>
      </c>
      <c r="B494" t="s">
        <v>376</v>
      </c>
      <c r="C494" s="2">
        <v>7</v>
      </c>
      <c r="D494" s="2">
        <v>2</v>
      </c>
      <c r="E494" s="2">
        <v>5</v>
      </c>
      <c r="F494" s="2">
        <v>8</v>
      </c>
      <c r="G494" s="2">
        <v>3</v>
      </c>
      <c r="H494" s="2">
        <v>6</v>
      </c>
      <c r="I494">
        <v>5.1900000000000002E-2</v>
      </c>
      <c r="J494">
        <v>50</v>
      </c>
      <c r="K494">
        <f t="shared" si="7"/>
        <v>2.5950000000000001E-2</v>
      </c>
      <c r="L494" t="s">
        <v>17</v>
      </c>
      <c r="M494">
        <v>296</v>
      </c>
      <c r="N494" t="s">
        <v>18</v>
      </c>
      <c r="O494" t="s">
        <v>907</v>
      </c>
    </row>
    <row r="495" spans="1:15" x14ac:dyDescent="0.2">
      <c r="A495" t="s">
        <v>624</v>
      </c>
      <c r="B495" t="s">
        <v>376</v>
      </c>
      <c r="C495" s="2">
        <v>9</v>
      </c>
      <c r="D495" s="2">
        <v>2</v>
      </c>
      <c r="E495" s="2">
        <v>7</v>
      </c>
      <c r="F495" s="2">
        <v>8</v>
      </c>
      <c r="G495" s="2">
        <v>3</v>
      </c>
      <c r="H495" s="2">
        <v>6</v>
      </c>
      <c r="I495">
        <v>4.9299999999999997E-2</v>
      </c>
      <c r="J495">
        <v>50</v>
      </c>
      <c r="K495">
        <f t="shared" si="7"/>
        <v>2.4649999999999998E-2</v>
      </c>
      <c r="L495" t="s">
        <v>17</v>
      </c>
      <c r="M495">
        <v>296</v>
      </c>
      <c r="N495" t="s">
        <v>18</v>
      </c>
      <c r="O495" t="s">
        <v>907</v>
      </c>
    </row>
    <row r="496" spans="1:15" x14ac:dyDescent="0.2">
      <c r="A496" t="s">
        <v>624</v>
      </c>
      <c r="B496" t="s">
        <v>376</v>
      </c>
      <c r="C496" s="2">
        <v>9</v>
      </c>
      <c r="D496" s="2">
        <v>3</v>
      </c>
      <c r="E496" s="2">
        <v>6</v>
      </c>
      <c r="F496" s="2">
        <v>8</v>
      </c>
      <c r="G496" s="2">
        <v>4</v>
      </c>
      <c r="H496" s="2">
        <v>5</v>
      </c>
      <c r="I496">
        <v>5.1999999999999998E-2</v>
      </c>
      <c r="J496">
        <v>50</v>
      </c>
      <c r="K496">
        <f t="shared" si="7"/>
        <v>2.6000000000000002E-2</v>
      </c>
      <c r="L496" t="s">
        <v>17</v>
      </c>
      <c r="M496">
        <v>296</v>
      </c>
      <c r="N496" t="s">
        <v>18</v>
      </c>
      <c r="O496" t="s">
        <v>907</v>
      </c>
    </row>
    <row r="497" spans="1:15" x14ac:dyDescent="0.2">
      <c r="A497" t="s">
        <v>624</v>
      </c>
      <c r="B497" t="s">
        <v>376</v>
      </c>
      <c r="C497" s="2">
        <v>9</v>
      </c>
      <c r="D497" s="2">
        <v>2</v>
      </c>
      <c r="E497" s="2">
        <v>7</v>
      </c>
      <c r="F497" s="2">
        <v>9</v>
      </c>
      <c r="G497" s="2">
        <v>1</v>
      </c>
      <c r="H497" s="2">
        <v>8</v>
      </c>
      <c r="I497">
        <v>4.3299999999999998E-2</v>
      </c>
      <c r="J497">
        <v>50</v>
      </c>
      <c r="K497">
        <f t="shared" si="7"/>
        <v>2.1649999999999999E-2</v>
      </c>
      <c r="L497" t="s">
        <v>17</v>
      </c>
      <c r="M497">
        <v>296</v>
      </c>
      <c r="N497" t="s">
        <v>18</v>
      </c>
      <c r="O497" t="s">
        <v>907</v>
      </c>
    </row>
    <row r="498" spans="1:15" x14ac:dyDescent="0.2">
      <c r="A498" t="s">
        <v>624</v>
      </c>
      <c r="B498" t="s">
        <v>376</v>
      </c>
      <c r="C498" s="2">
        <v>10</v>
      </c>
      <c r="D498" s="2">
        <v>2</v>
      </c>
      <c r="E498" s="2">
        <v>9</v>
      </c>
      <c r="F498" s="2">
        <v>9</v>
      </c>
      <c r="G498" s="2">
        <v>1</v>
      </c>
      <c r="H498" s="2">
        <v>8</v>
      </c>
      <c r="I498">
        <v>4.1500000000000002E-2</v>
      </c>
      <c r="J498">
        <v>50</v>
      </c>
      <c r="K498">
        <f t="shared" si="7"/>
        <v>2.0750000000000001E-2</v>
      </c>
      <c r="L498" t="s">
        <v>17</v>
      </c>
      <c r="M498">
        <v>296</v>
      </c>
      <c r="N498" t="s">
        <v>18</v>
      </c>
      <c r="O498" t="s">
        <v>907</v>
      </c>
    </row>
    <row r="499" spans="1:15" x14ac:dyDescent="0.2">
      <c r="A499" t="s">
        <v>624</v>
      </c>
      <c r="B499" t="s">
        <v>376</v>
      </c>
      <c r="C499" s="2">
        <v>9</v>
      </c>
      <c r="D499" s="2">
        <v>3</v>
      </c>
      <c r="E499" s="2">
        <v>7</v>
      </c>
      <c r="F499" s="2">
        <v>9</v>
      </c>
      <c r="G499" s="2">
        <v>2</v>
      </c>
      <c r="H499" s="2">
        <v>8</v>
      </c>
      <c r="I499">
        <v>4.7799999999999995E-2</v>
      </c>
      <c r="J499">
        <v>50</v>
      </c>
      <c r="K499">
        <f t="shared" si="7"/>
        <v>2.3899999999999998E-2</v>
      </c>
      <c r="L499" t="s">
        <v>17</v>
      </c>
      <c r="M499">
        <v>296</v>
      </c>
      <c r="N499" t="s">
        <v>18</v>
      </c>
      <c r="O499" t="s">
        <v>907</v>
      </c>
    </row>
    <row r="500" spans="1:15" x14ac:dyDescent="0.2">
      <c r="A500" t="s">
        <v>624</v>
      </c>
      <c r="B500" t="s">
        <v>376</v>
      </c>
      <c r="C500" s="2">
        <v>10</v>
      </c>
      <c r="D500" s="2">
        <v>1</v>
      </c>
      <c r="E500" s="2">
        <v>9</v>
      </c>
      <c r="F500" s="2">
        <v>9</v>
      </c>
      <c r="G500" s="2">
        <v>2</v>
      </c>
      <c r="H500" s="2">
        <v>8</v>
      </c>
      <c r="I500">
        <v>4.1500000000000002E-2</v>
      </c>
      <c r="J500">
        <v>50</v>
      </c>
      <c r="K500">
        <f t="shared" si="7"/>
        <v>2.0750000000000001E-2</v>
      </c>
      <c r="L500" t="s">
        <v>17</v>
      </c>
      <c r="M500">
        <v>296</v>
      </c>
      <c r="N500" t="s">
        <v>18</v>
      </c>
      <c r="O500" t="s">
        <v>907</v>
      </c>
    </row>
    <row r="501" spans="1:15" x14ac:dyDescent="0.2">
      <c r="A501" t="s">
        <v>624</v>
      </c>
      <c r="B501" t="s">
        <v>376</v>
      </c>
      <c r="C501" s="2">
        <v>11</v>
      </c>
      <c r="D501" s="2">
        <v>1</v>
      </c>
      <c r="E501" s="2">
        <v>11</v>
      </c>
      <c r="F501" s="2">
        <v>10</v>
      </c>
      <c r="G501" s="2">
        <v>0</v>
      </c>
      <c r="H501" s="2">
        <v>10</v>
      </c>
      <c r="I501">
        <v>3.2399999999999998E-2</v>
      </c>
      <c r="J501">
        <v>50</v>
      </c>
      <c r="K501">
        <f t="shared" si="7"/>
        <v>1.6199999999999999E-2</v>
      </c>
      <c r="L501" t="s">
        <v>17</v>
      </c>
      <c r="M501">
        <v>296</v>
      </c>
      <c r="N501" t="s">
        <v>18</v>
      </c>
      <c r="O501" t="s">
        <v>907</v>
      </c>
    </row>
    <row r="502" spans="1:15" x14ac:dyDescent="0.2">
      <c r="A502" t="s">
        <v>624</v>
      </c>
      <c r="B502" t="s">
        <v>376</v>
      </c>
      <c r="C502" s="2">
        <v>10</v>
      </c>
      <c r="D502" s="2">
        <v>2</v>
      </c>
      <c r="E502" s="2">
        <v>8</v>
      </c>
      <c r="F502" s="2">
        <v>10</v>
      </c>
      <c r="G502" s="2">
        <v>1</v>
      </c>
      <c r="H502" s="2">
        <v>9</v>
      </c>
      <c r="I502">
        <v>3.95E-2</v>
      </c>
      <c r="J502">
        <v>50</v>
      </c>
      <c r="K502">
        <f t="shared" si="7"/>
        <v>1.975E-2</v>
      </c>
      <c r="L502" t="s">
        <v>17</v>
      </c>
      <c r="M502">
        <v>296</v>
      </c>
      <c r="N502" t="s">
        <v>18</v>
      </c>
      <c r="O502" t="s">
        <v>907</v>
      </c>
    </row>
    <row r="503" spans="1:15" x14ac:dyDescent="0.2">
      <c r="A503" t="s">
        <v>624</v>
      </c>
      <c r="B503" t="s">
        <v>376</v>
      </c>
      <c r="C503" s="2">
        <v>10</v>
      </c>
      <c r="D503" s="2">
        <v>3</v>
      </c>
      <c r="E503" s="2">
        <v>8</v>
      </c>
      <c r="F503" s="2">
        <v>10</v>
      </c>
      <c r="G503" s="2">
        <v>2</v>
      </c>
      <c r="H503" s="2">
        <v>9</v>
      </c>
      <c r="I503">
        <v>4.4400000000000002E-2</v>
      </c>
      <c r="J503">
        <v>50</v>
      </c>
      <c r="K503">
        <f t="shared" si="7"/>
        <v>2.2200000000000001E-2</v>
      </c>
      <c r="L503" t="s">
        <v>17</v>
      </c>
      <c r="M503">
        <v>296</v>
      </c>
      <c r="N503" t="s">
        <v>18</v>
      </c>
      <c r="O503" t="s">
        <v>907</v>
      </c>
    </row>
    <row r="504" spans="1:15" x14ac:dyDescent="0.2">
      <c r="A504" t="s">
        <v>624</v>
      </c>
      <c r="B504" t="s">
        <v>376</v>
      </c>
      <c r="C504" s="2">
        <v>12</v>
      </c>
      <c r="D504" s="2">
        <v>1</v>
      </c>
      <c r="E504" s="2">
        <v>12</v>
      </c>
      <c r="F504" s="2">
        <v>11</v>
      </c>
      <c r="G504" s="2">
        <v>0</v>
      </c>
      <c r="H504" s="2">
        <v>11</v>
      </c>
      <c r="I504">
        <v>2.86E-2</v>
      </c>
      <c r="J504">
        <v>50</v>
      </c>
      <c r="K504">
        <f t="shared" si="7"/>
        <v>1.43E-2</v>
      </c>
      <c r="L504" t="s">
        <v>17</v>
      </c>
      <c r="M504">
        <v>296</v>
      </c>
      <c r="N504" t="s">
        <v>18</v>
      </c>
      <c r="O504" t="s">
        <v>907</v>
      </c>
    </row>
    <row r="505" spans="1:15" x14ac:dyDescent="0.2">
      <c r="A505" t="s">
        <v>624</v>
      </c>
      <c r="B505" t="s">
        <v>376</v>
      </c>
      <c r="C505" s="2">
        <v>12</v>
      </c>
      <c r="D505" s="2">
        <v>0</v>
      </c>
      <c r="E505" s="2">
        <v>12</v>
      </c>
      <c r="F505" s="2">
        <v>11</v>
      </c>
      <c r="G505" s="2">
        <v>1</v>
      </c>
      <c r="H505" s="2">
        <v>11</v>
      </c>
      <c r="I505">
        <v>2.86E-2</v>
      </c>
      <c r="J505">
        <v>50</v>
      </c>
      <c r="K505">
        <f t="shared" si="7"/>
        <v>1.43E-2</v>
      </c>
      <c r="L505" t="s">
        <v>17</v>
      </c>
      <c r="M505">
        <v>296</v>
      </c>
      <c r="N505" t="s">
        <v>18</v>
      </c>
      <c r="O505" t="s">
        <v>907</v>
      </c>
    </row>
    <row r="506" spans="1:15" x14ac:dyDescent="0.2">
      <c r="A506" t="s">
        <v>624</v>
      </c>
      <c r="B506" t="s">
        <v>407</v>
      </c>
      <c r="C506" s="2">
        <v>3</v>
      </c>
      <c r="D506" s="2">
        <v>3</v>
      </c>
      <c r="E506" s="2">
        <v>1</v>
      </c>
      <c r="F506" s="2">
        <v>2</v>
      </c>
      <c r="G506" s="2">
        <v>0</v>
      </c>
      <c r="H506" s="2">
        <v>2</v>
      </c>
      <c r="I506">
        <v>6.7400000000000002E-2</v>
      </c>
      <c r="J506">
        <v>50</v>
      </c>
      <c r="K506">
        <f t="shared" si="7"/>
        <v>3.3700000000000001E-2</v>
      </c>
      <c r="L506" t="s">
        <v>17</v>
      </c>
      <c r="M506">
        <v>296</v>
      </c>
      <c r="N506" t="s">
        <v>18</v>
      </c>
      <c r="O506" t="s">
        <v>907</v>
      </c>
    </row>
    <row r="507" spans="1:15" x14ac:dyDescent="0.2">
      <c r="A507" t="s">
        <v>624</v>
      </c>
      <c r="B507" t="s">
        <v>407</v>
      </c>
      <c r="C507" s="2">
        <v>2</v>
      </c>
      <c r="D507" s="2">
        <v>1</v>
      </c>
      <c r="E507" s="2">
        <v>2</v>
      </c>
      <c r="F507" s="2">
        <v>3</v>
      </c>
      <c r="G507" s="2">
        <v>0</v>
      </c>
      <c r="H507" s="2">
        <v>3</v>
      </c>
      <c r="I507">
        <v>6.1200000000000004E-2</v>
      </c>
      <c r="J507">
        <v>50</v>
      </c>
      <c r="K507">
        <f t="shared" si="7"/>
        <v>3.0600000000000002E-2</v>
      </c>
      <c r="L507" t="s">
        <v>17</v>
      </c>
      <c r="M507">
        <v>296</v>
      </c>
      <c r="N507" t="s">
        <v>18</v>
      </c>
      <c r="O507" t="s">
        <v>907</v>
      </c>
    </row>
    <row r="508" spans="1:15" x14ac:dyDescent="0.2">
      <c r="A508" t="s">
        <v>624</v>
      </c>
      <c r="B508" t="s">
        <v>407</v>
      </c>
      <c r="C508" s="2">
        <v>2</v>
      </c>
      <c r="D508" s="2">
        <v>0</v>
      </c>
      <c r="E508" s="2">
        <v>2</v>
      </c>
      <c r="F508" s="2">
        <v>3</v>
      </c>
      <c r="G508" s="2">
        <v>1</v>
      </c>
      <c r="H508" s="2">
        <v>3</v>
      </c>
      <c r="I508">
        <v>6.5099999999999991E-2</v>
      </c>
      <c r="J508">
        <v>50</v>
      </c>
      <c r="K508">
        <f t="shared" si="7"/>
        <v>3.2549999999999996E-2</v>
      </c>
      <c r="L508" t="s">
        <v>17</v>
      </c>
      <c r="M508">
        <v>296</v>
      </c>
      <c r="N508" t="s">
        <v>18</v>
      </c>
      <c r="O508" t="s">
        <v>907</v>
      </c>
    </row>
    <row r="509" spans="1:15" x14ac:dyDescent="0.2">
      <c r="A509" t="s">
        <v>624</v>
      </c>
      <c r="B509" t="s">
        <v>407</v>
      </c>
      <c r="C509" s="2">
        <v>2</v>
      </c>
      <c r="D509" s="2">
        <v>2</v>
      </c>
      <c r="E509" s="2">
        <v>1</v>
      </c>
      <c r="F509" s="2">
        <v>3</v>
      </c>
      <c r="G509" s="2">
        <v>1</v>
      </c>
      <c r="H509" s="2">
        <v>2</v>
      </c>
      <c r="I509">
        <v>6.7000000000000004E-2</v>
      </c>
      <c r="J509">
        <v>50</v>
      </c>
      <c r="K509">
        <f t="shared" si="7"/>
        <v>3.3500000000000002E-2</v>
      </c>
      <c r="L509" t="s">
        <v>17</v>
      </c>
      <c r="M509">
        <v>296</v>
      </c>
      <c r="N509" t="s">
        <v>18</v>
      </c>
      <c r="O509" t="s">
        <v>907</v>
      </c>
    </row>
    <row r="510" spans="1:15" x14ac:dyDescent="0.2">
      <c r="A510" t="s">
        <v>624</v>
      </c>
      <c r="B510" t="s">
        <v>407</v>
      </c>
      <c r="C510" s="2">
        <v>4</v>
      </c>
      <c r="D510" s="2">
        <v>3</v>
      </c>
      <c r="E510" s="2">
        <v>2</v>
      </c>
      <c r="F510" s="2">
        <v>3</v>
      </c>
      <c r="G510" s="2">
        <v>2</v>
      </c>
      <c r="H510" s="2">
        <v>1</v>
      </c>
      <c r="I510">
        <v>6.7000000000000004E-2</v>
      </c>
      <c r="J510">
        <v>50</v>
      </c>
      <c r="K510">
        <f t="shared" si="7"/>
        <v>3.3500000000000002E-2</v>
      </c>
      <c r="L510" t="s">
        <v>17</v>
      </c>
      <c r="M510">
        <v>296</v>
      </c>
      <c r="N510" t="s">
        <v>18</v>
      </c>
      <c r="O510" t="s">
        <v>907</v>
      </c>
    </row>
    <row r="511" spans="1:15" x14ac:dyDescent="0.2">
      <c r="A511" t="s">
        <v>624</v>
      </c>
      <c r="B511" t="s">
        <v>407</v>
      </c>
      <c r="C511" s="2">
        <v>4</v>
      </c>
      <c r="D511" s="2">
        <v>4</v>
      </c>
      <c r="E511" s="2">
        <v>1</v>
      </c>
      <c r="F511" s="2">
        <v>3</v>
      </c>
      <c r="G511" s="2">
        <v>3</v>
      </c>
      <c r="H511" s="2">
        <v>0</v>
      </c>
      <c r="I511">
        <v>6.7500000000000004E-2</v>
      </c>
      <c r="J511">
        <v>50</v>
      </c>
      <c r="K511">
        <f t="shared" si="7"/>
        <v>3.3750000000000002E-2</v>
      </c>
      <c r="L511" t="s">
        <v>17</v>
      </c>
      <c r="M511">
        <v>296</v>
      </c>
      <c r="N511" t="s">
        <v>18</v>
      </c>
      <c r="O511" t="s">
        <v>907</v>
      </c>
    </row>
    <row r="512" spans="1:15" x14ac:dyDescent="0.2">
      <c r="A512" t="s">
        <v>624</v>
      </c>
      <c r="B512" t="s">
        <v>407</v>
      </c>
      <c r="C512" s="2">
        <v>5</v>
      </c>
      <c r="D512" s="2">
        <v>3</v>
      </c>
      <c r="E512" s="2">
        <v>2</v>
      </c>
      <c r="F512" s="2">
        <v>4</v>
      </c>
      <c r="G512" s="2">
        <v>2</v>
      </c>
      <c r="H512" s="2">
        <v>3</v>
      </c>
      <c r="I512">
        <v>6.7500000000000004E-2</v>
      </c>
      <c r="J512">
        <v>50</v>
      </c>
      <c r="K512">
        <f t="shared" si="7"/>
        <v>3.3750000000000002E-2</v>
      </c>
      <c r="L512" t="s">
        <v>17</v>
      </c>
      <c r="M512">
        <v>296</v>
      </c>
      <c r="N512" t="s">
        <v>18</v>
      </c>
      <c r="O512" t="s">
        <v>907</v>
      </c>
    </row>
    <row r="513" spans="1:15" x14ac:dyDescent="0.2">
      <c r="A513" t="s">
        <v>624</v>
      </c>
      <c r="B513" t="s">
        <v>407</v>
      </c>
      <c r="C513" s="2">
        <v>4</v>
      </c>
      <c r="D513" s="2">
        <v>1</v>
      </c>
      <c r="E513" s="2">
        <v>3</v>
      </c>
      <c r="F513" s="2">
        <v>5</v>
      </c>
      <c r="G513" s="2">
        <v>2</v>
      </c>
      <c r="H513" s="2">
        <v>4</v>
      </c>
      <c r="I513">
        <v>5.9200000000000003E-2</v>
      </c>
      <c r="J513">
        <v>50</v>
      </c>
      <c r="K513">
        <f t="shared" si="7"/>
        <v>2.9600000000000001E-2</v>
      </c>
      <c r="L513" t="s">
        <v>17</v>
      </c>
      <c r="M513">
        <v>296</v>
      </c>
      <c r="N513" t="s">
        <v>18</v>
      </c>
      <c r="O513" t="s">
        <v>907</v>
      </c>
    </row>
    <row r="514" spans="1:15" x14ac:dyDescent="0.2">
      <c r="A514" t="s">
        <v>624</v>
      </c>
      <c r="B514" t="s">
        <v>407</v>
      </c>
      <c r="C514" s="2">
        <v>4</v>
      </c>
      <c r="D514" s="2">
        <v>3</v>
      </c>
      <c r="E514" s="2">
        <v>2</v>
      </c>
      <c r="F514" s="2">
        <v>5</v>
      </c>
      <c r="G514" s="2">
        <v>2</v>
      </c>
      <c r="H514" s="2">
        <v>3</v>
      </c>
      <c r="I514">
        <v>6.2799999999999995E-2</v>
      </c>
      <c r="J514">
        <v>50</v>
      </c>
      <c r="K514">
        <f t="shared" si="7"/>
        <v>3.1399999999999997E-2</v>
      </c>
      <c r="L514" t="s">
        <v>17</v>
      </c>
      <c r="M514">
        <v>296</v>
      </c>
      <c r="N514" t="s">
        <v>18</v>
      </c>
      <c r="O514" t="s">
        <v>907</v>
      </c>
    </row>
    <row r="515" spans="1:15" x14ac:dyDescent="0.2">
      <c r="A515" t="s">
        <v>624</v>
      </c>
      <c r="B515" t="s">
        <v>407</v>
      </c>
      <c r="C515" s="2">
        <v>6</v>
      </c>
      <c r="D515" s="2">
        <v>4</v>
      </c>
      <c r="E515" s="2">
        <v>2</v>
      </c>
      <c r="F515" s="2">
        <v>5</v>
      </c>
      <c r="G515" s="2">
        <v>3</v>
      </c>
      <c r="H515" s="2">
        <v>3</v>
      </c>
      <c r="I515">
        <v>6.3100000000000003E-2</v>
      </c>
      <c r="J515">
        <v>50</v>
      </c>
      <c r="K515">
        <f t="shared" si="7"/>
        <v>3.1550000000000002E-2</v>
      </c>
      <c r="L515" t="s">
        <v>17</v>
      </c>
      <c r="M515">
        <v>296</v>
      </c>
      <c r="N515" t="s">
        <v>18</v>
      </c>
      <c r="O515" t="s">
        <v>907</v>
      </c>
    </row>
    <row r="516" spans="1:15" x14ac:dyDescent="0.2">
      <c r="A516" t="s">
        <v>624</v>
      </c>
      <c r="B516" t="s">
        <v>407</v>
      </c>
      <c r="C516" s="2">
        <v>6</v>
      </c>
      <c r="D516" s="2">
        <v>4</v>
      </c>
      <c r="E516" s="2">
        <v>3</v>
      </c>
      <c r="F516" s="2">
        <v>5</v>
      </c>
      <c r="G516" s="2">
        <v>3</v>
      </c>
      <c r="H516" s="2">
        <v>2</v>
      </c>
      <c r="I516">
        <v>6.4000000000000001E-2</v>
      </c>
      <c r="J516">
        <v>50</v>
      </c>
      <c r="K516">
        <f t="shared" ref="K516:K579" si="8">J516*I516/100</f>
        <v>3.2000000000000001E-2</v>
      </c>
      <c r="L516" t="s">
        <v>17</v>
      </c>
      <c r="M516">
        <v>296</v>
      </c>
      <c r="N516" t="s">
        <v>18</v>
      </c>
      <c r="O516" t="s">
        <v>907</v>
      </c>
    </row>
    <row r="517" spans="1:15" x14ac:dyDescent="0.2">
      <c r="A517" t="s">
        <v>624</v>
      </c>
      <c r="B517" t="s">
        <v>407</v>
      </c>
      <c r="C517" s="2">
        <v>6</v>
      </c>
      <c r="D517" s="2">
        <v>5</v>
      </c>
      <c r="E517" s="2">
        <v>2</v>
      </c>
      <c r="F517" s="2">
        <v>5</v>
      </c>
      <c r="G517" s="2">
        <v>4</v>
      </c>
      <c r="H517" s="2">
        <v>1</v>
      </c>
      <c r="I517">
        <v>6.3799999999999996E-2</v>
      </c>
      <c r="J517">
        <v>50</v>
      </c>
      <c r="K517">
        <f t="shared" si="8"/>
        <v>3.1899999999999998E-2</v>
      </c>
      <c r="L517" t="s">
        <v>17</v>
      </c>
      <c r="M517">
        <v>296</v>
      </c>
      <c r="N517" t="s">
        <v>18</v>
      </c>
      <c r="O517" t="s">
        <v>907</v>
      </c>
    </row>
    <row r="518" spans="1:15" x14ac:dyDescent="0.2">
      <c r="A518" t="s">
        <v>624</v>
      </c>
      <c r="B518" t="s">
        <v>407</v>
      </c>
      <c r="C518" s="2">
        <v>5</v>
      </c>
      <c r="D518" s="2">
        <v>2</v>
      </c>
      <c r="E518" s="2">
        <v>3</v>
      </c>
      <c r="F518" s="2">
        <v>6</v>
      </c>
      <c r="G518" s="2">
        <v>3</v>
      </c>
      <c r="H518" s="2">
        <v>4</v>
      </c>
      <c r="I518">
        <v>6.3200000000000006E-2</v>
      </c>
      <c r="J518">
        <v>50</v>
      </c>
      <c r="K518">
        <f t="shared" si="8"/>
        <v>3.1600000000000003E-2</v>
      </c>
      <c r="L518" t="s">
        <v>17</v>
      </c>
      <c r="M518">
        <v>296</v>
      </c>
      <c r="N518" t="s">
        <v>18</v>
      </c>
      <c r="O518" t="s">
        <v>907</v>
      </c>
    </row>
    <row r="519" spans="1:15" x14ac:dyDescent="0.2">
      <c r="A519" t="s">
        <v>624</v>
      </c>
      <c r="B519" t="s">
        <v>407</v>
      </c>
      <c r="C519" s="2">
        <v>7</v>
      </c>
      <c r="D519" s="2">
        <v>2</v>
      </c>
      <c r="E519" s="2">
        <v>5</v>
      </c>
      <c r="F519" s="2">
        <v>6</v>
      </c>
      <c r="G519" s="2">
        <v>3</v>
      </c>
      <c r="H519" s="2">
        <v>4</v>
      </c>
      <c r="I519">
        <v>5.8900000000000001E-2</v>
      </c>
      <c r="J519">
        <v>50</v>
      </c>
      <c r="K519">
        <f t="shared" si="8"/>
        <v>2.9449999999999997E-2</v>
      </c>
      <c r="L519" t="s">
        <v>17</v>
      </c>
      <c r="M519">
        <v>296</v>
      </c>
      <c r="N519" t="s">
        <v>18</v>
      </c>
      <c r="O519" t="s">
        <v>907</v>
      </c>
    </row>
    <row r="520" spans="1:15" x14ac:dyDescent="0.2">
      <c r="A520" t="s">
        <v>624</v>
      </c>
      <c r="B520" t="s">
        <v>407</v>
      </c>
      <c r="C520" s="2">
        <v>6</v>
      </c>
      <c r="D520" s="2">
        <v>1</v>
      </c>
      <c r="E520" s="2">
        <v>6</v>
      </c>
      <c r="F520" s="2">
        <v>7</v>
      </c>
      <c r="G520" s="2">
        <v>0</v>
      </c>
      <c r="H520" s="2">
        <v>7</v>
      </c>
      <c r="I520">
        <v>5.1700000000000003E-2</v>
      </c>
      <c r="J520">
        <v>50</v>
      </c>
      <c r="K520">
        <f t="shared" si="8"/>
        <v>2.5849999999999998E-2</v>
      </c>
      <c r="L520" t="s">
        <v>17</v>
      </c>
      <c r="M520">
        <v>296</v>
      </c>
      <c r="N520" t="s">
        <v>18</v>
      </c>
      <c r="O520" t="s">
        <v>907</v>
      </c>
    </row>
    <row r="521" spans="1:15" x14ac:dyDescent="0.2">
      <c r="A521" t="s">
        <v>624</v>
      </c>
      <c r="B521" t="s">
        <v>407</v>
      </c>
      <c r="C521" s="2">
        <v>6</v>
      </c>
      <c r="D521" s="2">
        <v>0</v>
      </c>
      <c r="E521" s="2">
        <v>6</v>
      </c>
      <c r="F521" s="2">
        <v>7</v>
      </c>
      <c r="G521" s="2">
        <v>1</v>
      </c>
      <c r="H521" s="2">
        <v>7</v>
      </c>
      <c r="I521">
        <v>5.1700000000000003E-2</v>
      </c>
      <c r="J521">
        <v>50</v>
      </c>
      <c r="K521">
        <f t="shared" si="8"/>
        <v>2.5849999999999998E-2</v>
      </c>
      <c r="L521" t="s">
        <v>17</v>
      </c>
      <c r="M521">
        <v>296</v>
      </c>
      <c r="N521" t="s">
        <v>18</v>
      </c>
      <c r="O521" t="s">
        <v>907</v>
      </c>
    </row>
    <row r="522" spans="1:15" x14ac:dyDescent="0.2">
      <c r="A522" t="s">
        <v>624</v>
      </c>
      <c r="B522" t="s">
        <v>407</v>
      </c>
      <c r="C522" s="2">
        <v>7</v>
      </c>
      <c r="D522" s="2">
        <v>2</v>
      </c>
      <c r="E522" s="2">
        <v>6</v>
      </c>
      <c r="F522" s="2">
        <v>7</v>
      </c>
      <c r="G522" s="2">
        <v>1</v>
      </c>
      <c r="H522" s="2">
        <v>7</v>
      </c>
      <c r="I522">
        <v>5.5100000000000003E-2</v>
      </c>
      <c r="J522">
        <v>50</v>
      </c>
      <c r="K522">
        <f t="shared" si="8"/>
        <v>2.7550000000000005E-2</v>
      </c>
      <c r="L522" t="s">
        <v>17</v>
      </c>
      <c r="M522">
        <v>296</v>
      </c>
      <c r="N522" t="s">
        <v>18</v>
      </c>
      <c r="O522" t="s">
        <v>907</v>
      </c>
    </row>
    <row r="523" spans="1:15" x14ac:dyDescent="0.2">
      <c r="A523" t="s">
        <v>624</v>
      </c>
      <c r="B523" t="s">
        <v>407</v>
      </c>
      <c r="C523" s="2">
        <v>8</v>
      </c>
      <c r="D523" s="2">
        <v>3</v>
      </c>
      <c r="E523" s="2">
        <v>6</v>
      </c>
      <c r="F523" s="2">
        <v>7</v>
      </c>
      <c r="G523" s="2">
        <v>2</v>
      </c>
      <c r="H523" s="2">
        <v>5</v>
      </c>
      <c r="I523">
        <v>5.7500000000000002E-2</v>
      </c>
      <c r="J523">
        <v>50</v>
      </c>
      <c r="K523">
        <f t="shared" si="8"/>
        <v>2.8750000000000001E-2</v>
      </c>
      <c r="L523" t="s">
        <v>17</v>
      </c>
      <c r="M523">
        <v>296</v>
      </c>
      <c r="N523" t="s">
        <v>18</v>
      </c>
      <c r="O523" t="s">
        <v>907</v>
      </c>
    </row>
    <row r="524" spans="1:15" x14ac:dyDescent="0.2">
      <c r="A524" t="s">
        <v>624</v>
      </c>
      <c r="B524" t="s">
        <v>407</v>
      </c>
      <c r="C524" s="2">
        <v>8</v>
      </c>
      <c r="D524" s="2">
        <v>2</v>
      </c>
      <c r="E524" s="2">
        <v>6</v>
      </c>
      <c r="F524" s="2">
        <v>7</v>
      </c>
      <c r="G524" s="2">
        <v>3</v>
      </c>
      <c r="H524" s="2">
        <v>5</v>
      </c>
      <c r="I524">
        <v>6.0200000000000004E-2</v>
      </c>
      <c r="J524">
        <v>50</v>
      </c>
      <c r="K524">
        <f t="shared" si="8"/>
        <v>3.0100000000000002E-2</v>
      </c>
      <c r="L524" t="s">
        <v>17</v>
      </c>
      <c r="M524">
        <v>296</v>
      </c>
      <c r="N524" t="s">
        <v>18</v>
      </c>
      <c r="O524" t="s">
        <v>907</v>
      </c>
    </row>
    <row r="525" spans="1:15" x14ac:dyDescent="0.2">
      <c r="A525" t="s">
        <v>624</v>
      </c>
      <c r="B525" t="s">
        <v>407</v>
      </c>
      <c r="C525" s="2">
        <v>7</v>
      </c>
      <c r="D525" s="2">
        <v>1</v>
      </c>
      <c r="E525" s="2">
        <v>7</v>
      </c>
      <c r="F525" s="2">
        <v>8</v>
      </c>
      <c r="G525" s="2">
        <v>0</v>
      </c>
      <c r="H525" s="2">
        <v>8</v>
      </c>
      <c r="I525">
        <v>4.8500000000000001E-2</v>
      </c>
      <c r="J525">
        <v>50</v>
      </c>
      <c r="K525">
        <f t="shared" si="8"/>
        <v>2.4250000000000004E-2</v>
      </c>
      <c r="L525" t="s">
        <v>17</v>
      </c>
      <c r="M525">
        <v>296</v>
      </c>
      <c r="N525" t="s">
        <v>18</v>
      </c>
      <c r="O525" t="s">
        <v>907</v>
      </c>
    </row>
    <row r="526" spans="1:15" x14ac:dyDescent="0.2">
      <c r="A526" t="s">
        <v>624</v>
      </c>
      <c r="B526" t="s">
        <v>407</v>
      </c>
      <c r="C526" s="2">
        <v>7</v>
      </c>
      <c r="D526" s="2">
        <v>0</v>
      </c>
      <c r="E526" s="2">
        <v>7</v>
      </c>
      <c r="F526" s="2">
        <v>8</v>
      </c>
      <c r="G526" s="2">
        <v>1</v>
      </c>
      <c r="H526" s="2">
        <v>8</v>
      </c>
      <c r="I526">
        <v>4.8500000000000001E-2</v>
      </c>
      <c r="J526">
        <v>50</v>
      </c>
      <c r="K526">
        <f t="shared" si="8"/>
        <v>2.4250000000000004E-2</v>
      </c>
      <c r="L526" t="s">
        <v>17</v>
      </c>
      <c r="M526">
        <v>296</v>
      </c>
      <c r="N526" t="s">
        <v>18</v>
      </c>
      <c r="O526" t="s">
        <v>907</v>
      </c>
    </row>
    <row r="527" spans="1:15" x14ac:dyDescent="0.2">
      <c r="A527" t="s">
        <v>624</v>
      </c>
      <c r="B527" t="s">
        <v>407</v>
      </c>
      <c r="C527" s="2">
        <v>7</v>
      </c>
      <c r="D527" s="2">
        <v>2</v>
      </c>
      <c r="E527" s="2">
        <v>6</v>
      </c>
      <c r="F527" s="2">
        <v>8</v>
      </c>
      <c r="G527" s="2">
        <v>1</v>
      </c>
      <c r="H527" s="2">
        <v>7</v>
      </c>
      <c r="I527">
        <v>5.5200000000000006E-2</v>
      </c>
      <c r="J527">
        <v>50</v>
      </c>
      <c r="K527">
        <f t="shared" si="8"/>
        <v>2.7600000000000003E-2</v>
      </c>
      <c r="L527" t="s">
        <v>17</v>
      </c>
      <c r="M527">
        <v>296</v>
      </c>
      <c r="N527" t="s">
        <v>18</v>
      </c>
      <c r="O527" t="s">
        <v>907</v>
      </c>
    </row>
    <row r="528" spans="1:15" x14ac:dyDescent="0.2">
      <c r="A528" t="s">
        <v>624</v>
      </c>
      <c r="B528" t="s">
        <v>407</v>
      </c>
      <c r="C528" s="2">
        <v>8</v>
      </c>
      <c r="D528" s="2">
        <v>2</v>
      </c>
      <c r="E528" s="2">
        <v>6</v>
      </c>
      <c r="F528" s="2">
        <v>8</v>
      </c>
      <c r="G528" s="2">
        <v>1</v>
      </c>
      <c r="H528" s="2">
        <v>7</v>
      </c>
      <c r="I528">
        <v>4.99E-2</v>
      </c>
      <c r="J528">
        <v>50</v>
      </c>
      <c r="K528">
        <f t="shared" si="8"/>
        <v>2.495E-2</v>
      </c>
      <c r="L528" t="s">
        <v>17</v>
      </c>
      <c r="M528">
        <v>296</v>
      </c>
      <c r="N528" t="s">
        <v>18</v>
      </c>
      <c r="O528" t="s">
        <v>907</v>
      </c>
    </row>
    <row r="529" spans="1:15" x14ac:dyDescent="0.2">
      <c r="A529" t="s">
        <v>624</v>
      </c>
      <c r="B529" t="s">
        <v>407</v>
      </c>
      <c r="C529" s="2">
        <v>7</v>
      </c>
      <c r="D529" s="2">
        <v>1</v>
      </c>
      <c r="E529" s="2">
        <v>6</v>
      </c>
      <c r="F529" s="2">
        <v>8</v>
      </c>
      <c r="G529" s="2">
        <v>2</v>
      </c>
      <c r="H529" s="2">
        <v>7</v>
      </c>
      <c r="I529">
        <v>5.5200000000000006E-2</v>
      </c>
      <c r="J529">
        <v>50</v>
      </c>
      <c r="K529">
        <f t="shared" si="8"/>
        <v>2.7600000000000003E-2</v>
      </c>
      <c r="L529" t="s">
        <v>17</v>
      </c>
      <c r="M529">
        <v>296</v>
      </c>
      <c r="N529" t="s">
        <v>18</v>
      </c>
      <c r="O529" t="s">
        <v>907</v>
      </c>
    </row>
    <row r="530" spans="1:15" x14ac:dyDescent="0.2">
      <c r="A530" t="s">
        <v>624</v>
      </c>
      <c r="B530" t="s">
        <v>407</v>
      </c>
      <c r="C530" s="2">
        <v>8</v>
      </c>
      <c r="D530" s="2">
        <v>3</v>
      </c>
      <c r="E530" s="2">
        <v>6</v>
      </c>
      <c r="F530" s="2">
        <v>8</v>
      </c>
      <c r="G530" s="2">
        <v>2</v>
      </c>
      <c r="H530" s="2">
        <v>7</v>
      </c>
      <c r="I530">
        <v>5.6600000000000004E-2</v>
      </c>
      <c r="J530">
        <v>50</v>
      </c>
      <c r="K530">
        <f t="shared" si="8"/>
        <v>2.8300000000000002E-2</v>
      </c>
      <c r="L530" t="s">
        <v>17</v>
      </c>
      <c r="M530">
        <v>296</v>
      </c>
      <c r="N530" t="s">
        <v>18</v>
      </c>
      <c r="O530" t="s">
        <v>907</v>
      </c>
    </row>
    <row r="531" spans="1:15" x14ac:dyDescent="0.2">
      <c r="A531" t="s">
        <v>624</v>
      </c>
      <c r="B531" t="s">
        <v>407</v>
      </c>
      <c r="C531" s="2">
        <v>7</v>
      </c>
      <c r="D531" s="2">
        <v>3</v>
      </c>
      <c r="E531" s="2">
        <v>5</v>
      </c>
      <c r="F531" s="2">
        <v>8</v>
      </c>
      <c r="G531" s="2">
        <v>2</v>
      </c>
      <c r="H531" s="2">
        <v>6</v>
      </c>
      <c r="I531">
        <v>5.8799999999999998E-2</v>
      </c>
      <c r="J531">
        <v>50</v>
      </c>
      <c r="K531">
        <f t="shared" si="8"/>
        <v>2.9399999999999999E-2</v>
      </c>
      <c r="L531" t="s">
        <v>17</v>
      </c>
      <c r="M531">
        <v>296</v>
      </c>
      <c r="N531" t="s">
        <v>18</v>
      </c>
      <c r="O531" t="s">
        <v>907</v>
      </c>
    </row>
    <row r="532" spans="1:15" x14ac:dyDescent="0.2">
      <c r="A532" t="s">
        <v>624</v>
      </c>
      <c r="B532" t="s">
        <v>407</v>
      </c>
      <c r="C532" s="2">
        <v>9</v>
      </c>
      <c r="D532" s="2">
        <v>3</v>
      </c>
      <c r="E532" s="2">
        <v>7</v>
      </c>
      <c r="F532" s="2">
        <v>8</v>
      </c>
      <c r="G532" s="2">
        <v>2</v>
      </c>
      <c r="H532" s="2">
        <v>6</v>
      </c>
      <c r="I532">
        <v>5.1999999999999998E-2</v>
      </c>
      <c r="J532">
        <v>50</v>
      </c>
      <c r="K532">
        <f t="shared" si="8"/>
        <v>2.6000000000000002E-2</v>
      </c>
      <c r="L532" t="s">
        <v>17</v>
      </c>
      <c r="M532">
        <v>296</v>
      </c>
      <c r="N532" t="s">
        <v>18</v>
      </c>
      <c r="O532" t="s">
        <v>907</v>
      </c>
    </row>
    <row r="533" spans="1:15" x14ac:dyDescent="0.2">
      <c r="A533" t="s">
        <v>624</v>
      </c>
      <c r="B533" t="s">
        <v>407</v>
      </c>
      <c r="C533" s="2">
        <v>7</v>
      </c>
      <c r="D533" s="2">
        <v>2</v>
      </c>
      <c r="E533" s="2">
        <v>5</v>
      </c>
      <c r="F533" s="2">
        <v>8</v>
      </c>
      <c r="G533" s="2">
        <v>3</v>
      </c>
      <c r="H533" s="2">
        <v>6</v>
      </c>
      <c r="I533">
        <v>5.6799999999999996E-2</v>
      </c>
      <c r="J533">
        <v>50</v>
      </c>
      <c r="K533">
        <f t="shared" si="8"/>
        <v>2.8399999999999998E-2</v>
      </c>
      <c r="L533" t="s">
        <v>17</v>
      </c>
      <c r="M533">
        <v>296</v>
      </c>
      <c r="N533" t="s">
        <v>18</v>
      </c>
      <c r="O533" t="s">
        <v>907</v>
      </c>
    </row>
    <row r="534" spans="1:15" x14ac:dyDescent="0.2">
      <c r="A534" t="s">
        <v>624</v>
      </c>
      <c r="B534" t="s">
        <v>407</v>
      </c>
      <c r="C534" s="2">
        <v>9</v>
      </c>
      <c r="D534" s="2">
        <v>2</v>
      </c>
      <c r="E534" s="2">
        <v>7</v>
      </c>
      <c r="F534" s="2">
        <v>8</v>
      </c>
      <c r="G534" s="2">
        <v>3</v>
      </c>
      <c r="H534" s="2">
        <v>6</v>
      </c>
      <c r="I534">
        <v>5.21E-2</v>
      </c>
      <c r="J534">
        <v>50</v>
      </c>
      <c r="K534">
        <f t="shared" si="8"/>
        <v>2.605E-2</v>
      </c>
      <c r="L534" t="s">
        <v>17</v>
      </c>
      <c r="M534">
        <v>296</v>
      </c>
      <c r="N534" t="s">
        <v>18</v>
      </c>
      <c r="O534" t="s">
        <v>907</v>
      </c>
    </row>
    <row r="535" spans="1:15" x14ac:dyDescent="0.2">
      <c r="A535" t="s">
        <v>624</v>
      </c>
      <c r="B535" t="s">
        <v>407</v>
      </c>
      <c r="C535" s="2">
        <v>9</v>
      </c>
      <c r="D535" s="2">
        <v>3</v>
      </c>
      <c r="E535" s="2">
        <v>6</v>
      </c>
      <c r="F535" s="2">
        <v>8</v>
      </c>
      <c r="G535" s="2">
        <v>4</v>
      </c>
      <c r="H535" s="2">
        <v>5</v>
      </c>
      <c r="I535">
        <v>5.62E-2</v>
      </c>
      <c r="J535">
        <v>50</v>
      </c>
      <c r="K535">
        <f t="shared" si="8"/>
        <v>2.81E-2</v>
      </c>
      <c r="L535" t="s">
        <v>17</v>
      </c>
      <c r="M535">
        <v>296</v>
      </c>
      <c r="N535" t="s">
        <v>18</v>
      </c>
      <c r="O535" t="s">
        <v>907</v>
      </c>
    </row>
    <row r="536" spans="1:15" x14ac:dyDescent="0.2">
      <c r="A536" t="s">
        <v>624</v>
      </c>
      <c r="B536" t="s">
        <v>407</v>
      </c>
      <c r="C536" s="2">
        <v>9</v>
      </c>
      <c r="D536" s="2">
        <v>2</v>
      </c>
      <c r="E536" s="2">
        <v>7</v>
      </c>
      <c r="F536" s="2">
        <v>9</v>
      </c>
      <c r="G536" s="2">
        <v>1</v>
      </c>
      <c r="H536" s="2">
        <v>8</v>
      </c>
      <c r="I536">
        <v>5.2200000000000003E-2</v>
      </c>
      <c r="J536">
        <v>50</v>
      </c>
      <c r="K536">
        <f t="shared" si="8"/>
        <v>2.6100000000000002E-2</v>
      </c>
      <c r="L536" t="s">
        <v>17</v>
      </c>
      <c r="M536">
        <v>296</v>
      </c>
      <c r="N536" t="s">
        <v>18</v>
      </c>
      <c r="O536" t="s">
        <v>907</v>
      </c>
    </row>
    <row r="537" spans="1:15" x14ac:dyDescent="0.2">
      <c r="A537" t="s">
        <v>624</v>
      </c>
      <c r="B537" t="s">
        <v>407</v>
      </c>
      <c r="C537" s="2">
        <v>10</v>
      </c>
      <c r="D537" s="2">
        <v>2</v>
      </c>
      <c r="E537" s="2">
        <v>9</v>
      </c>
      <c r="F537" s="2">
        <v>9</v>
      </c>
      <c r="G537" s="2">
        <v>1</v>
      </c>
      <c r="H537" s="2">
        <v>8</v>
      </c>
      <c r="I537">
        <v>4.4200000000000003E-2</v>
      </c>
      <c r="J537">
        <v>50</v>
      </c>
      <c r="K537">
        <f t="shared" si="8"/>
        <v>2.2099999999999998E-2</v>
      </c>
      <c r="L537" t="s">
        <v>17</v>
      </c>
      <c r="M537">
        <v>296</v>
      </c>
      <c r="N537" t="s">
        <v>18</v>
      </c>
      <c r="O537" t="s">
        <v>907</v>
      </c>
    </row>
    <row r="538" spans="1:15" x14ac:dyDescent="0.2">
      <c r="A538" t="s">
        <v>624</v>
      </c>
      <c r="B538" t="s">
        <v>407</v>
      </c>
      <c r="C538" s="2">
        <v>9</v>
      </c>
      <c r="D538" s="2">
        <v>3</v>
      </c>
      <c r="E538" s="2">
        <v>7</v>
      </c>
      <c r="F538" s="2">
        <v>9</v>
      </c>
      <c r="G538" s="2">
        <v>2</v>
      </c>
      <c r="H538" s="2">
        <v>8</v>
      </c>
      <c r="I538">
        <v>5.2200000000000003E-2</v>
      </c>
      <c r="J538">
        <v>50</v>
      </c>
      <c r="K538">
        <f t="shared" si="8"/>
        <v>2.6100000000000002E-2</v>
      </c>
      <c r="L538" t="s">
        <v>17</v>
      </c>
      <c r="M538">
        <v>296</v>
      </c>
      <c r="N538" t="s">
        <v>18</v>
      </c>
      <c r="O538" t="s">
        <v>907</v>
      </c>
    </row>
    <row r="539" spans="1:15" x14ac:dyDescent="0.2">
      <c r="A539" t="s">
        <v>624</v>
      </c>
      <c r="B539" t="s">
        <v>407</v>
      </c>
      <c r="C539" s="2">
        <v>10</v>
      </c>
      <c r="D539" s="2">
        <v>1</v>
      </c>
      <c r="E539" s="2">
        <v>9</v>
      </c>
      <c r="F539" s="2">
        <v>9</v>
      </c>
      <c r="G539" s="2">
        <v>2</v>
      </c>
      <c r="H539" s="2">
        <v>8</v>
      </c>
      <c r="I539">
        <v>4.4200000000000003E-2</v>
      </c>
      <c r="J539">
        <v>50</v>
      </c>
      <c r="K539">
        <f t="shared" si="8"/>
        <v>2.2099999999999998E-2</v>
      </c>
      <c r="L539" t="s">
        <v>17</v>
      </c>
      <c r="M539">
        <v>296</v>
      </c>
      <c r="N539" t="s">
        <v>18</v>
      </c>
      <c r="O539" t="s">
        <v>907</v>
      </c>
    </row>
    <row r="540" spans="1:15" x14ac:dyDescent="0.2">
      <c r="A540" t="s">
        <v>624</v>
      </c>
      <c r="B540" t="s">
        <v>407</v>
      </c>
      <c r="C540" s="2">
        <v>11</v>
      </c>
      <c r="D540" s="2">
        <v>1</v>
      </c>
      <c r="E540" s="2">
        <v>11</v>
      </c>
      <c r="F540" s="2">
        <v>10</v>
      </c>
      <c r="G540" s="2">
        <v>0</v>
      </c>
      <c r="H540" s="2">
        <v>10</v>
      </c>
      <c r="I540">
        <v>3.73E-2</v>
      </c>
      <c r="J540">
        <v>50</v>
      </c>
      <c r="K540">
        <f t="shared" si="8"/>
        <v>1.865E-2</v>
      </c>
      <c r="L540" t="s">
        <v>17</v>
      </c>
      <c r="M540">
        <v>296</v>
      </c>
      <c r="N540" t="s">
        <v>18</v>
      </c>
      <c r="O540" t="s">
        <v>907</v>
      </c>
    </row>
    <row r="541" spans="1:15" x14ac:dyDescent="0.2">
      <c r="A541" t="s">
        <v>624</v>
      </c>
      <c r="B541" t="s">
        <v>407</v>
      </c>
      <c r="C541" s="2">
        <v>10</v>
      </c>
      <c r="D541" s="2">
        <v>2</v>
      </c>
      <c r="E541" s="2">
        <v>8</v>
      </c>
      <c r="F541" s="2">
        <v>10</v>
      </c>
      <c r="G541" s="2">
        <v>1</v>
      </c>
      <c r="H541" s="2">
        <v>9</v>
      </c>
      <c r="I541">
        <v>4.99E-2</v>
      </c>
      <c r="J541">
        <v>50</v>
      </c>
      <c r="K541">
        <f t="shared" si="8"/>
        <v>2.495E-2</v>
      </c>
      <c r="L541" t="s">
        <v>17</v>
      </c>
      <c r="M541">
        <v>296</v>
      </c>
      <c r="N541" t="s">
        <v>18</v>
      </c>
      <c r="O541" t="s">
        <v>907</v>
      </c>
    </row>
    <row r="542" spans="1:15" x14ac:dyDescent="0.2">
      <c r="A542" t="s">
        <v>624</v>
      </c>
      <c r="B542" t="s">
        <v>407</v>
      </c>
      <c r="C542" s="2">
        <v>10</v>
      </c>
      <c r="D542" s="2">
        <v>3</v>
      </c>
      <c r="E542" s="2">
        <v>8</v>
      </c>
      <c r="F542" s="2">
        <v>10</v>
      </c>
      <c r="G542" s="2">
        <v>2</v>
      </c>
      <c r="H542" s="2">
        <v>9</v>
      </c>
      <c r="I542">
        <v>4.99E-2</v>
      </c>
      <c r="J542">
        <v>50</v>
      </c>
      <c r="K542">
        <f t="shared" si="8"/>
        <v>2.495E-2</v>
      </c>
      <c r="L542" t="s">
        <v>17</v>
      </c>
      <c r="M542">
        <v>296</v>
      </c>
      <c r="N542" t="s">
        <v>18</v>
      </c>
      <c r="O542" t="s">
        <v>907</v>
      </c>
    </row>
    <row r="543" spans="1:15" x14ac:dyDescent="0.2">
      <c r="A543" t="s">
        <v>624</v>
      </c>
      <c r="B543" t="s">
        <v>407</v>
      </c>
      <c r="C543" s="2">
        <v>12</v>
      </c>
      <c r="D543" s="2">
        <v>1</v>
      </c>
      <c r="E543" s="2">
        <v>12</v>
      </c>
      <c r="F543" s="2">
        <v>11</v>
      </c>
      <c r="G543" s="2">
        <v>0</v>
      </c>
      <c r="H543" s="2">
        <v>11</v>
      </c>
      <c r="I543">
        <v>3.27E-2</v>
      </c>
      <c r="J543">
        <v>50</v>
      </c>
      <c r="K543">
        <f t="shared" si="8"/>
        <v>1.635E-2</v>
      </c>
      <c r="L543" t="s">
        <v>17</v>
      </c>
      <c r="M543">
        <v>296</v>
      </c>
      <c r="N543" t="s">
        <v>18</v>
      </c>
      <c r="O543" t="s">
        <v>907</v>
      </c>
    </row>
    <row r="544" spans="1:15" x14ac:dyDescent="0.2">
      <c r="A544" t="s">
        <v>624</v>
      </c>
      <c r="B544" t="s">
        <v>407</v>
      </c>
      <c r="C544" s="2">
        <v>12</v>
      </c>
      <c r="D544" s="2">
        <v>0</v>
      </c>
      <c r="E544" s="2">
        <v>12</v>
      </c>
      <c r="F544" s="2">
        <v>11</v>
      </c>
      <c r="G544" s="2">
        <v>1</v>
      </c>
      <c r="H544" s="2">
        <v>11</v>
      </c>
      <c r="I544">
        <v>3.27E-2</v>
      </c>
      <c r="J544">
        <v>50</v>
      </c>
      <c r="K544">
        <f t="shared" si="8"/>
        <v>1.635E-2</v>
      </c>
      <c r="L544" t="s">
        <v>17</v>
      </c>
      <c r="M544">
        <v>296</v>
      </c>
      <c r="N544" t="s">
        <v>18</v>
      </c>
      <c r="O544" t="s">
        <v>907</v>
      </c>
    </row>
    <row r="545" spans="1:15" x14ac:dyDescent="0.2">
      <c r="A545" t="s">
        <v>624</v>
      </c>
      <c r="B545" t="s">
        <v>407</v>
      </c>
      <c r="C545" s="2">
        <v>3</v>
      </c>
      <c r="D545" s="2">
        <v>3</v>
      </c>
      <c r="E545" s="2">
        <v>1</v>
      </c>
      <c r="F545" s="2">
        <v>2</v>
      </c>
      <c r="G545" s="2">
        <v>0</v>
      </c>
      <c r="H545" s="2">
        <v>2</v>
      </c>
      <c r="I545">
        <v>7.1499999999999994E-2</v>
      </c>
      <c r="J545">
        <v>50</v>
      </c>
      <c r="K545">
        <f t="shared" si="8"/>
        <v>3.5749999999999997E-2</v>
      </c>
      <c r="L545" t="s">
        <v>17</v>
      </c>
      <c r="M545">
        <v>296</v>
      </c>
      <c r="N545" t="s">
        <v>18</v>
      </c>
      <c r="O545" t="s">
        <v>907</v>
      </c>
    </row>
    <row r="546" spans="1:15" x14ac:dyDescent="0.2">
      <c r="A546" t="s">
        <v>624</v>
      </c>
      <c r="B546" t="s">
        <v>407</v>
      </c>
      <c r="C546" s="2">
        <v>2</v>
      </c>
      <c r="D546" s="2">
        <v>1</v>
      </c>
      <c r="E546" s="2">
        <v>2</v>
      </c>
      <c r="F546" s="2">
        <v>3</v>
      </c>
      <c r="G546" s="2">
        <v>0</v>
      </c>
      <c r="H546" s="2">
        <v>3</v>
      </c>
      <c r="I546">
        <v>6.5700000000000008E-2</v>
      </c>
      <c r="J546">
        <v>50</v>
      </c>
      <c r="K546">
        <f t="shared" si="8"/>
        <v>3.2850000000000004E-2</v>
      </c>
      <c r="L546" t="s">
        <v>17</v>
      </c>
      <c r="M546">
        <v>296</v>
      </c>
      <c r="N546" t="s">
        <v>18</v>
      </c>
      <c r="O546" t="s">
        <v>907</v>
      </c>
    </row>
    <row r="547" spans="1:15" x14ac:dyDescent="0.2">
      <c r="A547" t="s">
        <v>624</v>
      </c>
      <c r="B547" t="s">
        <v>407</v>
      </c>
      <c r="C547" s="2">
        <v>2</v>
      </c>
      <c r="D547" s="2">
        <v>0</v>
      </c>
      <c r="E547" s="2">
        <v>2</v>
      </c>
      <c r="F547" s="2">
        <v>3</v>
      </c>
      <c r="G547" s="2">
        <v>1</v>
      </c>
      <c r="H547" s="2">
        <v>3</v>
      </c>
      <c r="I547">
        <v>6.6200000000000009E-2</v>
      </c>
      <c r="J547">
        <v>50</v>
      </c>
      <c r="K547">
        <f t="shared" si="8"/>
        <v>3.3100000000000004E-2</v>
      </c>
      <c r="L547" t="s">
        <v>17</v>
      </c>
      <c r="M547">
        <v>296</v>
      </c>
      <c r="N547" t="s">
        <v>18</v>
      </c>
      <c r="O547" t="s">
        <v>907</v>
      </c>
    </row>
    <row r="548" spans="1:15" x14ac:dyDescent="0.2">
      <c r="A548" t="s">
        <v>624</v>
      </c>
      <c r="B548" t="s">
        <v>407</v>
      </c>
      <c r="C548" s="2">
        <v>2</v>
      </c>
      <c r="D548" s="2">
        <v>2</v>
      </c>
      <c r="E548" s="2">
        <v>1</v>
      </c>
      <c r="F548" s="2">
        <v>3</v>
      </c>
      <c r="G548" s="2">
        <v>1</v>
      </c>
      <c r="H548" s="2">
        <v>2</v>
      </c>
      <c r="I548">
        <v>6.7099999999999993E-2</v>
      </c>
      <c r="J548">
        <v>50</v>
      </c>
      <c r="K548">
        <f t="shared" si="8"/>
        <v>3.3549999999999996E-2</v>
      </c>
      <c r="L548" t="s">
        <v>17</v>
      </c>
      <c r="M548">
        <v>296</v>
      </c>
      <c r="N548" t="s">
        <v>18</v>
      </c>
      <c r="O548" t="s">
        <v>907</v>
      </c>
    </row>
    <row r="549" spans="1:15" x14ac:dyDescent="0.2">
      <c r="A549" t="s">
        <v>624</v>
      </c>
      <c r="B549" t="s">
        <v>407</v>
      </c>
      <c r="C549" s="2">
        <v>4</v>
      </c>
      <c r="D549" s="2">
        <v>3</v>
      </c>
      <c r="E549" s="2">
        <v>2</v>
      </c>
      <c r="F549" s="2">
        <v>3</v>
      </c>
      <c r="G549" s="2">
        <v>2</v>
      </c>
      <c r="H549" s="2">
        <v>1</v>
      </c>
      <c r="I549">
        <v>6.4799999999999996E-2</v>
      </c>
      <c r="J549">
        <v>50</v>
      </c>
      <c r="K549">
        <f t="shared" si="8"/>
        <v>3.2399999999999998E-2</v>
      </c>
      <c r="L549" t="s">
        <v>17</v>
      </c>
      <c r="M549">
        <v>296</v>
      </c>
      <c r="N549" t="s">
        <v>18</v>
      </c>
      <c r="O549" t="s">
        <v>907</v>
      </c>
    </row>
    <row r="550" spans="1:15" x14ac:dyDescent="0.2">
      <c r="A550" t="s">
        <v>624</v>
      </c>
      <c r="B550" t="s">
        <v>407</v>
      </c>
      <c r="C550" s="2">
        <v>4</v>
      </c>
      <c r="D550" s="2">
        <v>4</v>
      </c>
      <c r="E550" s="2">
        <v>1</v>
      </c>
      <c r="F550" s="2">
        <v>3</v>
      </c>
      <c r="G550" s="2">
        <v>3</v>
      </c>
      <c r="H550" s="2">
        <v>0</v>
      </c>
      <c r="I550">
        <v>6.0399999999999995E-2</v>
      </c>
      <c r="J550">
        <v>50</v>
      </c>
      <c r="K550">
        <f t="shared" si="8"/>
        <v>3.0199999999999994E-2</v>
      </c>
      <c r="L550" t="s">
        <v>17</v>
      </c>
      <c r="M550">
        <v>296</v>
      </c>
      <c r="N550" t="s">
        <v>18</v>
      </c>
      <c r="O550" t="s">
        <v>907</v>
      </c>
    </row>
    <row r="551" spans="1:15" x14ac:dyDescent="0.2">
      <c r="A551" t="s">
        <v>624</v>
      </c>
      <c r="B551" t="s">
        <v>407</v>
      </c>
      <c r="C551" s="2">
        <v>5</v>
      </c>
      <c r="D551" s="2">
        <v>3</v>
      </c>
      <c r="E551" s="2">
        <v>2</v>
      </c>
      <c r="F551" s="2">
        <v>4</v>
      </c>
      <c r="G551" s="2">
        <v>2</v>
      </c>
      <c r="H551" s="2">
        <v>3</v>
      </c>
      <c r="I551">
        <v>6.7000000000000004E-2</v>
      </c>
      <c r="J551">
        <v>50</v>
      </c>
      <c r="K551">
        <f t="shared" si="8"/>
        <v>3.3500000000000002E-2</v>
      </c>
      <c r="L551" t="s">
        <v>17</v>
      </c>
      <c r="M551">
        <v>296</v>
      </c>
      <c r="N551" t="s">
        <v>18</v>
      </c>
      <c r="O551" t="s">
        <v>907</v>
      </c>
    </row>
    <row r="552" spans="1:15" x14ac:dyDescent="0.2">
      <c r="A552" t="s">
        <v>624</v>
      </c>
      <c r="B552" t="s">
        <v>407</v>
      </c>
      <c r="C552" s="2">
        <v>4</v>
      </c>
      <c r="D552" s="2">
        <v>1</v>
      </c>
      <c r="E552" s="2">
        <v>3</v>
      </c>
      <c r="F552" s="2">
        <v>5</v>
      </c>
      <c r="G552" s="2">
        <v>2</v>
      </c>
      <c r="H552" s="2">
        <v>4</v>
      </c>
      <c r="I552">
        <v>6.4399999999999999E-2</v>
      </c>
      <c r="J552">
        <v>50</v>
      </c>
      <c r="K552">
        <f t="shared" si="8"/>
        <v>3.2199999999999999E-2</v>
      </c>
      <c r="L552" t="s">
        <v>17</v>
      </c>
      <c r="M552">
        <v>296</v>
      </c>
      <c r="N552" t="s">
        <v>18</v>
      </c>
      <c r="O552" t="s">
        <v>907</v>
      </c>
    </row>
    <row r="553" spans="1:15" x14ac:dyDescent="0.2">
      <c r="A553" t="s">
        <v>624</v>
      </c>
      <c r="B553" t="s">
        <v>407</v>
      </c>
      <c r="C553" s="2">
        <v>4</v>
      </c>
      <c r="D553" s="2">
        <v>3</v>
      </c>
      <c r="E553" s="2">
        <v>2</v>
      </c>
      <c r="F553" s="2">
        <v>5</v>
      </c>
      <c r="G553" s="2">
        <v>2</v>
      </c>
      <c r="H553" s="2">
        <v>3</v>
      </c>
      <c r="I553">
        <v>6.2700000000000006E-2</v>
      </c>
      <c r="J553">
        <v>50</v>
      </c>
      <c r="K553">
        <f t="shared" si="8"/>
        <v>3.1350000000000003E-2</v>
      </c>
      <c r="L553" t="s">
        <v>17</v>
      </c>
      <c r="M553">
        <v>296</v>
      </c>
      <c r="N553" t="s">
        <v>18</v>
      </c>
      <c r="O553" t="s">
        <v>907</v>
      </c>
    </row>
    <row r="554" spans="1:15" x14ac:dyDescent="0.2">
      <c r="A554" t="s">
        <v>624</v>
      </c>
      <c r="B554" t="s">
        <v>407</v>
      </c>
      <c r="C554" s="2">
        <v>6</v>
      </c>
      <c r="D554" s="2">
        <v>4</v>
      </c>
      <c r="E554" s="2">
        <v>2</v>
      </c>
      <c r="F554" s="2">
        <v>5</v>
      </c>
      <c r="G554" s="2">
        <v>3</v>
      </c>
      <c r="H554" s="2">
        <v>3</v>
      </c>
      <c r="I554">
        <v>6.3E-2</v>
      </c>
      <c r="J554">
        <v>50</v>
      </c>
      <c r="K554">
        <f t="shared" si="8"/>
        <v>3.15E-2</v>
      </c>
      <c r="L554" t="s">
        <v>17</v>
      </c>
      <c r="M554">
        <v>296</v>
      </c>
      <c r="N554" t="s">
        <v>18</v>
      </c>
      <c r="O554" t="s">
        <v>907</v>
      </c>
    </row>
    <row r="555" spans="1:15" x14ac:dyDescent="0.2">
      <c r="A555" t="s">
        <v>624</v>
      </c>
      <c r="B555" t="s">
        <v>407</v>
      </c>
      <c r="C555" s="2">
        <v>6</v>
      </c>
      <c r="D555" s="2">
        <v>4</v>
      </c>
      <c r="E555" s="2">
        <v>3</v>
      </c>
      <c r="F555" s="2">
        <v>5</v>
      </c>
      <c r="G555" s="2">
        <v>3</v>
      </c>
      <c r="H555" s="2">
        <v>2</v>
      </c>
      <c r="I555">
        <v>6.1499999999999999E-2</v>
      </c>
      <c r="J555">
        <v>50</v>
      </c>
      <c r="K555">
        <f t="shared" si="8"/>
        <v>3.0750000000000003E-2</v>
      </c>
      <c r="L555" t="s">
        <v>17</v>
      </c>
      <c r="M555">
        <v>296</v>
      </c>
      <c r="N555" t="s">
        <v>18</v>
      </c>
      <c r="O555" t="s">
        <v>907</v>
      </c>
    </row>
    <row r="556" spans="1:15" x14ac:dyDescent="0.2">
      <c r="A556" t="s">
        <v>624</v>
      </c>
      <c r="B556" t="s">
        <v>407</v>
      </c>
      <c r="C556" s="2">
        <v>6</v>
      </c>
      <c r="D556" s="2">
        <v>5</v>
      </c>
      <c r="E556" s="2">
        <v>2</v>
      </c>
      <c r="F556" s="2">
        <v>5</v>
      </c>
      <c r="G556" s="2">
        <v>4</v>
      </c>
      <c r="H556" s="2">
        <v>1</v>
      </c>
      <c r="I556">
        <v>5.8200000000000002E-2</v>
      </c>
      <c r="J556">
        <v>50</v>
      </c>
      <c r="K556">
        <f t="shared" si="8"/>
        <v>2.9100000000000001E-2</v>
      </c>
      <c r="L556" t="s">
        <v>17</v>
      </c>
      <c r="M556">
        <v>296</v>
      </c>
      <c r="N556" t="s">
        <v>18</v>
      </c>
      <c r="O556" t="s">
        <v>907</v>
      </c>
    </row>
    <row r="557" spans="1:15" x14ac:dyDescent="0.2">
      <c r="A557" t="s">
        <v>624</v>
      </c>
      <c r="B557" t="s">
        <v>407</v>
      </c>
      <c r="C557" s="2">
        <v>5</v>
      </c>
      <c r="D557" s="2">
        <v>2</v>
      </c>
      <c r="E557" s="2">
        <v>3</v>
      </c>
      <c r="F557" s="2">
        <v>6</v>
      </c>
      <c r="G557" s="2">
        <v>3</v>
      </c>
      <c r="H557" s="2">
        <v>4</v>
      </c>
      <c r="I557">
        <v>6.2100000000000002E-2</v>
      </c>
      <c r="J557">
        <v>50</v>
      </c>
      <c r="K557">
        <f t="shared" si="8"/>
        <v>3.1050000000000001E-2</v>
      </c>
      <c r="L557" t="s">
        <v>17</v>
      </c>
      <c r="M557">
        <v>296</v>
      </c>
      <c r="N557" t="s">
        <v>18</v>
      </c>
      <c r="O557" t="s">
        <v>907</v>
      </c>
    </row>
    <row r="558" spans="1:15" x14ac:dyDescent="0.2">
      <c r="A558" t="s">
        <v>624</v>
      </c>
      <c r="B558" t="s">
        <v>407</v>
      </c>
      <c r="C558" s="2">
        <v>7</v>
      </c>
      <c r="D558" s="2">
        <v>2</v>
      </c>
      <c r="E558" s="2">
        <v>5</v>
      </c>
      <c r="F558" s="2">
        <v>6</v>
      </c>
      <c r="G558" s="2">
        <v>3</v>
      </c>
      <c r="H558" s="2">
        <v>4</v>
      </c>
      <c r="I558">
        <v>0.06</v>
      </c>
      <c r="J558">
        <v>50</v>
      </c>
      <c r="K558">
        <f t="shared" si="8"/>
        <v>0.03</v>
      </c>
      <c r="L558" t="s">
        <v>17</v>
      </c>
      <c r="M558">
        <v>296</v>
      </c>
      <c r="N558" t="s">
        <v>18</v>
      </c>
      <c r="O558" t="s">
        <v>907</v>
      </c>
    </row>
    <row r="559" spans="1:15" x14ac:dyDescent="0.2">
      <c r="A559" t="s">
        <v>624</v>
      </c>
      <c r="B559" t="s">
        <v>407</v>
      </c>
      <c r="C559" s="2">
        <v>6</v>
      </c>
      <c r="D559" s="2">
        <v>1</v>
      </c>
      <c r="E559" s="2">
        <v>6</v>
      </c>
      <c r="F559" s="2">
        <v>7</v>
      </c>
      <c r="G559" s="2">
        <v>0</v>
      </c>
      <c r="H559" s="2">
        <v>7</v>
      </c>
      <c r="I559">
        <v>5.3700000000000005E-2</v>
      </c>
      <c r="J559">
        <v>50</v>
      </c>
      <c r="K559">
        <f t="shared" si="8"/>
        <v>2.6849999999999999E-2</v>
      </c>
      <c r="L559" t="s">
        <v>17</v>
      </c>
      <c r="M559">
        <v>296</v>
      </c>
      <c r="N559" t="s">
        <v>18</v>
      </c>
      <c r="O559" t="s">
        <v>907</v>
      </c>
    </row>
    <row r="560" spans="1:15" x14ac:dyDescent="0.2">
      <c r="A560" t="s">
        <v>624</v>
      </c>
      <c r="B560" t="s">
        <v>407</v>
      </c>
      <c r="C560" s="2">
        <v>6</v>
      </c>
      <c r="D560" s="2">
        <v>0</v>
      </c>
      <c r="E560" s="2">
        <v>6</v>
      </c>
      <c r="F560" s="2">
        <v>7</v>
      </c>
      <c r="G560" s="2">
        <v>1</v>
      </c>
      <c r="H560" s="2">
        <v>7</v>
      </c>
      <c r="I560">
        <v>5.3700000000000005E-2</v>
      </c>
      <c r="J560">
        <v>50</v>
      </c>
      <c r="K560">
        <f t="shared" si="8"/>
        <v>2.6849999999999999E-2</v>
      </c>
      <c r="L560" t="s">
        <v>17</v>
      </c>
      <c r="M560">
        <v>296</v>
      </c>
      <c r="N560" t="s">
        <v>18</v>
      </c>
      <c r="O560" t="s">
        <v>907</v>
      </c>
    </row>
    <row r="561" spans="1:15" x14ac:dyDescent="0.2">
      <c r="A561" t="s">
        <v>624</v>
      </c>
      <c r="B561" t="s">
        <v>407</v>
      </c>
      <c r="C561" s="2">
        <v>7</v>
      </c>
      <c r="D561" s="2">
        <v>2</v>
      </c>
      <c r="E561" s="2">
        <v>6</v>
      </c>
      <c r="F561" s="2">
        <v>7</v>
      </c>
      <c r="G561" s="2">
        <v>1</v>
      </c>
      <c r="H561" s="2">
        <v>7</v>
      </c>
      <c r="I561">
        <v>5.8400000000000001E-2</v>
      </c>
      <c r="J561">
        <v>50</v>
      </c>
      <c r="K561">
        <f t="shared" si="8"/>
        <v>2.92E-2</v>
      </c>
      <c r="L561" t="s">
        <v>17</v>
      </c>
      <c r="M561">
        <v>296</v>
      </c>
      <c r="N561" t="s">
        <v>18</v>
      </c>
      <c r="O561" t="s">
        <v>907</v>
      </c>
    </row>
    <row r="562" spans="1:15" x14ac:dyDescent="0.2">
      <c r="A562" t="s">
        <v>624</v>
      </c>
      <c r="B562" t="s">
        <v>407</v>
      </c>
      <c r="C562" s="2">
        <v>8</v>
      </c>
      <c r="D562" s="2">
        <v>3</v>
      </c>
      <c r="E562" s="2">
        <v>6</v>
      </c>
      <c r="F562" s="2">
        <v>7</v>
      </c>
      <c r="G562" s="2">
        <v>2</v>
      </c>
      <c r="H562" s="2">
        <v>5</v>
      </c>
      <c r="I562">
        <v>5.7200000000000001E-2</v>
      </c>
      <c r="J562">
        <v>50</v>
      </c>
      <c r="K562">
        <f t="shared" si="8"/>
        <v>2.86E-2</v>
      </c>
      <c r="L562" t="s">
        <v>17</v>
      </c>
      <c r="M562">
        <v>296</v>
      </c>
      <c r="N562" t="s">
        <v>18</v>
      </c>
      <c r="O562" t="s">
        <v>907</v>
      </c>
    </row>
    <row r="563" spans="1:15" x14ac:dyDescent="0.2">
      <c r="A563" t="s">
        <v>624</v>
      </c>
      <c r="B563" t="s">
        <v>407</v>
      </c>
      <c r="C563" s="2">
        <v>8</v>
      </c>
      <c r="D563" s="2">
        <v>2</v>
      </c>
      <c r="E563" s="2">
        <v>6</v>
      </c>
      <c r="F563" s="2">
        <v>7</v>
      </c>
      <c r="G563" s="2">
        <v>3</v>
      </c>
      <c r="H563" s="2">
        <v>5</v>
      </c>
      <c r="I563">
        <v>5.7200000000000001E-2</v>
      </c>
      <c r="J563">
        <v>50</v>
      </c>
      <c r="K563">
        <f t="shared" si="8"/>
        <v>2.86E-2</v>
      </c>
      <c r="L563" t="s">
        <v>17</v>
      </c>
      <c r="M563">
        <v>296</v>
      </c>
      <c r="N563" t="s">
        <v>18</v>
      </c>
      <c r="O563" t="s">
        <v>907</v>
      </c>
    </row>
    <row r="564" spans="1:15" x14ac:dyDescent="0.2">
      <c r="A564" t="s">
        <v>624</v>
      </c>
      <c r="B564" t="s">
        <v>407</v>
      </c>
      <c r="C564" s="2">
        <v>7</v>
      </c>
      <c r="D564" s="2">
        <v>1</v>
      </c>
      <c r="E564" s="2">
        <v>7</v>
      </c>
      <c r="F564" s="2">
        <v>8</v>
      </c>
      <c r="G564" s="2">
        <v>0</v>
      </c>
      <c r="H564" s="2">
        <v>8</v>
      </c>
      <c r="I564">
        <v>4.9799999999999997E-2</v>
      </c>
      <c r="J564">
        <v>50</v>
      </c>
      <c r="K564">
        <f t="shared" si="8"/>
        <v>2.4899999999999999E-2</v>
      </c>
      <c r="L564" t="s">
        <v>17</v>
      </c>
      <c r="M564">
        <v>296</v>
      </c>
      <c r="N564" t="s">
        <v>18</v>
      </c>
      <c r="O564" t="s">
        <v>907</v>
      </c>
    </row>
    <row r="565" spans="1:15" x14ac:dyDescent="0.2">
      <c r="A565" t="s">
        <v>624</v>
      </c>
      <c r="B565" t="s">
        <v>407</v>
      </c>
      <c r="C565" s="2">
        <v>7</v>
      </c>
      <c r="D565" s="2">
        <v>0</v>
      </c>
      <c r="E565" s="2">
        <v>7</v>
      </c>
      <c r="F565" s="2">
        <v>8</v>
      </c>
      <c r="G565" s="2">
        <v>1</v>
      </c>
      <c r="H565" s="2">
        <v>8</v>
      </c>
      <c r="I565">
        <v>4.9799999999999997E-2</v>
      </c>
      <c r="J565">
        <v>50</v>
      </c>
      <c r="K565">
        <f t="shared" si="8"/>
        <v>2.4899999999999999E-2</v>
      </c>
      <c r="L565" t="s">
        <v>17</v>
      </c>
      <c r="M565">
        <v>296</v>
      </c>
      <c r="N565" t="s">
        <v>18</v>
      </c>
      <c r="O565" t="s">
        <v>907</v>
      </c>
    </row>
    <row r="566" spans="1:15" x14ac:dyDescent="0.2">
      <c r="A566" t="s">
        <v>624</v>
      </c>
      <c r="B566" t="s">
        <v>407</v>
      </c>
      <c r="C566" s="2">
        <v>7</v>
      </c>
      <c r="D566" s="2">
        <v>2</v>
      </c>
      <c r="E566" s="2">
        <v>6</v>
      </c>
      <c r="F566" s="2">
        <v>8</v>
      </c>
      <c r="G566" s="2">
        <v>1</v>
      </c>
      <c r="H566" s="2">
        <v>7</v>
      </c>
      <c r="I566">
        <v>5.5500000000000001E-2</v>
      </c>
      <c r="J566">
        <v>50</v>
      </c>
      <c r="K566">
        <f t="shared" si="8"/>
        <v>2.775E-2</v>
      </c>
      <c r="L566" t="s">
        <v>17</v>
      </c>
      <c r="M566">
        <v>296</v>
      </c>
      <c r="N566" t="s">
        <v>18</v>
      </c>
      <c r="O566" t="s">
        <v>907</v>
      </c>
    </row>
    <row r="567" spans="1:15" x14ac:dyDescent="0.2">
      <c r="A567" t="s">
        <v>624</v>
      </c>
      <c r="B567" t="s">
        <v>407</v>
      </c>
      <c r="C567" s="2">
        <v>8</v>
      </c>
      <c r="D567" s="2">
        <v>2</v>
      </c>
      <c r="E567" s="2">
        <v>6</v>
      </c>
      <c r="F567" s="2">
        <v>8</v>
      </c>
      <c r="G567" s="2">
        <v>1</v>
      </c>
      <c r="H567" s="2">
        <v>7</v>
      </c>
      <c r="I567">
        <v>5.5899999999999998E-2</v>
      </c>
      <c r="J567">
        <v>50</v>
      </c>
      <c r="K567">
        <f t="shared" si="8"/>
        <v>2.7949999999999999E-2</v>
      </c>
      <c r="L567" t="s">
        <v>17</v>
      </c>
      <c r="M567">
        <v>296</v>
      </c>
      <c r="N567" t="s">
        <v>18</v>
      </c>
      <c r="O567" t="s">
        <v>907</v>
      </c>
    </row>
    <row r="568" spans="1:15" x14ac:dyDescent="0.2">
      <c r="A568" t="s">
        <v>624</v>
      </c>
      <c r="B568" t="s">
        <v>407</v>
      </c>
      <c r="C568" s="2">
        <v>7</v>
      </c>
      <c r="D568" s="2">
        <v>1</v>
      </c>
      <c r="E568" s="2">
        <v>6</v>
      </c>
      <c r="F568" s="2">
        <v>8</v>
      </c>
      <c r="G568" s="2">
        <v>2</v>
      </c>
      <c r="H568" s="2">
        <v>7</v>
      </c>
      <c r="I568">
        <v>5.5500000000000001E-2</v>
      </c>
      <c r="J568">
        <v>50</v>
      </c>
      <c r="K568">
        <f t="shared" si="8"/>
        <v>2.775E-2</v>
      </c>
      <c r="L568" t="s">
        <v>17</v>
      </c>
      <c r="M568">
        <v>296</v>
      </c>
      <c r="N568" t="s">
        <v>18</v>
      </c>
      <c r="O568" t="s">
        <v>907</v>
      </c>
    </row>
    <row r="569" spans="1:15" x14ac:dyDescent="0.2">
      <c r="A569" t="s">
        <v>624</v>
      </c>
      <c r="B569" t="s">
        <v>407</v>
      </c>
      <c r="C569" s="2">
        <v>8</v>
      </c>
      <c r="D569" s="2">
        <v>3</v>
      </c>
      <c r="E569" s="2">
        <v>6</v>
      </c>
      <c r="F569" s="2">
        <v>8</v>
      </c>
      <c r="G569" s="2">
        <v>2</v>
      </c>
      <c r="H569" s="2">
        <v>7</v>
      </c>
      <c r="I569">
        <v>5.5799999999999995E-2</v>
      </c>
      <c r="J569">
        <v>50</v>
      </c>
      <c r="K569">
        <f t="shared" si="8"/>
        <v>2.7899999999999994E-2</v>
      </c>
      <c r="L569" t="s">
        <v>17</v>
      </c>
      <c r="M569">
        <v>296</v>
      </c>
      <c r="N569" t="s">
        <v>18</v>
      </c>
      <c r="O569" t="s">
        <v>907</v>
      </c>
    </row>
    <row r="570" spans="1:15" x14ac:dyDescent="0.2">
      <c r="A570" t="s">
        <v>624</v>
      </c>
      <c r="B570" t="s">
        <v>407</v>
      </c>
      <c r="C570" s="2">
        <v>7</v>
      </c>
      <c r="D570" s="2">
        <v>3</v>
      </c>
      <c r="E570" s="2">
        <v>5</v>
      </c>
      <c r="F570" s="2">
        <v>8</v>
      </c>
      <c r="G570" s="2">
        <v>2</v>
      </c>
      <c r="H570" s="2">
        <v>6</v>
      </c>
      <c r="I570">
        <v>5.7299999999999997E-2</v>
      </c>
      <c r="J570">
        <v>50</v>
      </c>
      <c r="K570">
        <f t="shared" si="8"/>
        <v>2.8649999999999998E-2</v>
      </c>
      <c r="L570" t="s">
        <v>17</v>
      </c>
      <c r="M570">
        <v>296</v>
      </c>
      <c r="N570" t="s">
        <v>18</v>
      </c>
      <c r="O570" t="s">
        <v>907</v>
      </c>
    </row>
    <row r="571" spans="1:15" x14ac:dyDescent="0.2">
      <c r="A571" t="s">
        <v>624</v>
      </c>
      <c r="B571" t="s">
        <v>407</v>
      </c>
      <c r="C571" s="2">
        <v>9</v>
      </c>
      <c r="D571" s="2">
        <v>3</v>
      </c>
      <c r="E571" s="2">
        <v>7</v>
      </c>
      <c r="F571" s="2">
        <v>8</v>
      </c>
      <c r="G571" s="2">
        <v>2</v>
      </c>
      <c r="H571" s="2">
        <v>6</v>
      </c>
      <c r="I571">
        <v>5.3700000000000005E-2</v>
      </c>
      <c r="J571">
        <v>50</v>
      </c>
      <c r="K571">
        <f t="shared" si="8"/>
        <v>2.6849999999999999E-2</v>
      </c>
      <c r="L571" t="s">
        <v>17</v>
      </c>
      <c r="M571">
        <v>296</v>
      </c>
      <c r="N571" t="s">
        <v>18</v>
      </c>
      <c r="O571" t="s">
        <v>907</v>
      </c>
    </row>
    <row r="572" spans="1:15" x14ac:dyDescent="0.2">
      <c r="A572" t="s">
        <v>624</v>
      </c>
      <c r="B572" t="s">
        <v>407</v>
      </c>
      <c r="C572" s="2">
        <v>7</v>
      </c>
      <c r="D572" s="2">
        <v>2</v>
      </c>
      <c r="E572" s="2">
        <v>5</v>
      </c>
      <c r="F572" s="2">
        <v>8</v>
      </c>
      <c r="G572" s="2">
        <v>3</v>
      </c>
      <c r="H572" s="2">
        <v>6</v>
      </c>
      <c r="I572">
        <v>5.7299999999999997E-2</v>
      </c>
      <c r="J572">
        <v>50</v>
      </c>
      <c r="K572">
        <f t="shared" si="8"/>
        <v>2.8649999999999998E-2</v>
      </c>
      <c r="L572" t="s">
        <v>17</v>
      </c>
      <c r="M572">
        <v>296</v>
      </c>
      <c r="N572" t="s">
        <v>18</v>
      </c>
      <c r="O572" t="s">
        <v>907</v>
      </c>
    </row>
    <row r="573" spans="1:15" x14ac:dyDescent="0.2">
      <c r="A573" t="s">
        <v>624</v>
      </c>
      <c r="B573" t="s">
        <v>407</v>
      </c>
      <c r="C573" s="2">
        <v>9</v>
      </c>
      <c r="D573" s="2">
        <v>2</v>
      </c>
      <c r="E573" s="2">
        <v>7</v>
      </c>
      <c r="F573" s="2">
        <v>8</v>
      </c>
      <c r="G573" s="2">
        <v>3</v>
      </c>
      <c r="H573" s="2">
        <v>6</v>
      </c>
      <c r="I573">
        <v>5.3700000000000005E-2</v>
      </c>
      <c r="J573">
        <v>50</v>
      </c>
      <c r="K573">
        <f t="shared" si="8"/>
        <v>2.6849999999999999E-2</v>
      </c>
      <c r="L573" t="s">
        <v>17</v>
      </c>
      <c r="M573">
        <v>296</v>
      </c>
      <c r="N573" t="s">
        <v>18</v>
      </c>
      <c r="O573" t="s">
        <v>907</v>
      </c>
    </row>
    <row r="574" spans="1:15" x14ac:dyDescent="0.2">
      <c r="A574" t="s">
        <v>624</v>
      </c>
      <c r="B574" t="s">
        <v>407</v>
      </c>
      <c r="C574" s="2">
        <v>9</v>
      </c>
      <c r="D574" s="2">
        <v>3</v>
      </c>
      <c r="E574" s="2">
        <v>6</v>
      </c>
      <c r="F574" s="2">
        <v>8</v>
      </c>
      <c r="G574" s="2">
        <v>4</v>
      </c>
      <c r="H574" s="2">
        <v>5</v>
      </c>
      <c r="I574">
        <v>5.6000000000000001E-2</v>
      </c>
      <c r="J574">
        <v>50</v>
      </c>
      <c r="K574">
        <f t="shared" si="8"/>
        <v>2.8000000000000004E-2</v>
      </c>
      <c r="L574" t="s">
        <v>17</v>
      </c>
      <c r="M574">
        <v>296</v>
      </c>
      <c r="N574" t="s">
        <v>18</v>
      </c>
      <c r="O574" t="s">
        <v>907</v>
      </c>
    </row>
    <row r="575" spans="1:15" x14ac:dyDescent="0.2">
      <c r="A575" t="s">
        <v>624</v>
      </c>
      <c r="B575" t="s">
        <v>407</v>
      </c>
      <c r="C575" s="2">
        <v>9</v>
      </c>
      <c r="D575" s="2">
        <v>2</v>
      </c>
      <c r="E575" s="2">
        <v>7</v>
      </c>
      <c r="F575" s="2">
        <v>9</v>
      </c>
      <c r="G575" s="2">
        <v>1</v>
      </c>
      <c r="H575" s="2">
        <v>8</v>
      </c>
      <c r="I575">
        <v>5.1799999999999999E-2</v>
      </c>
      <c r="J575">
        <v>50</v>
      </c>
      <c r="K575">
        <f t="shared" si="8"/>
        <v>2.5899999999999999E-2</v>
      </c>
      <c r="L575" t="s">
        <v>17</v>
      </c>
      <c r="M575">
        <v>296</v>
      </c>
      <c r="N575" t="s">
        <v>18</v>
      </c>
      <c r="O575" t="s">
        <v>907</v>
      </c>
    </row>
    <row r="576" spans="1:15" x14ac:dyDescent="0.2">
      <c r="A576" t="s">
        <v>624</v>
      </c>
      <c r="B576" t="s">
        <v>407</v>
      </c>
      <c r="C576" s="2">
        <v>10</v>
      </c>
      <c r="D576" s="2">
        <v>2</v>
      </c>
      <c r="E576" s="2">
        <v>9</v>
      </c>
      <c r="F576" s="2">
        <v>9</v>
      </c>
      <c r="G576" s="2">
        <v>1</v>
      </c>
      <c r="H576" s="2">
        <v>8</v>
      </c>
      <c r="I576">
        <v>4.7299999999999995E-2</v>
      </c>
      <c r="J576">
        <v>50</v>
      </c>
      <c r="K576">
        <f t="shared" si="8"/>
        <v>2.3649999999999997E-2</v>
      </c>
      <c r="L576" t="s">
        <v>17</v>
      </c>
      <c r="M576">
        <v>296</v>
      </c>
      <c r="N576" t="s">
        <v>18</v>
      </c>
      <c r="O576" t="s">
        <v>907</v>
      </c>
    </row>
    <row r="577" spans="1:15" x14ac:dyDescent="0.2">
      <c r="A577" t="s">
        <v>624</v>
      </c>
      <c r="B577" t="s">
        <v>407</v>
      </c>
      <c r="C577" s="2">
        <v>9</v>
      </c>
      <c r="D577" s="2">
        <v>3</v>
      </c>
      <c r="E577" s="2">
        <v>7</v>
      </c>
      <c r="F577" s="2">
        <v>9</v>
      </c>
      <c r="G577" s="2">
        <v>2</v>
      </c>
      <c r="H577" s="2">
        <v>8</v>
      </c>
      <c r="I577">
        <v>5.1799999999999999E-2</v>
      </c>
      <c r="J577">
        <v>50</v>
      </c>
      <c r="K577">
        <f t="shared" si="8"/>
        <v>2.5899999999999999E-2</v>
      </c>
      <c r="L577" t="s">
        <v>17</v>
      </c>
      <c r="M577">
        <v>296</v>
      </c>
      <c r="N577" t="s">
        <v>18</v>
      </c>
      <c r="O577" t="s">
        <v>907</v>
      </c>
    </row>
    <row r="578" spans="1:15" x14ac:dyDescent="0.2">
      <c r="A578" t="s">
        <v>624</v>
      </c>
      <c r="B578" t="s">
        <v>407</v>
      </c>
      <c r="C578" s="2">
        <v>10</v>
      </c>
      <c r="D578" s="2">
        <v>1</v>
      </c>
      <c r="E578" s="2">
        <v>9</v>
      </c>
      <c r="F578" s="2">
        <v>9</v>
      </c>
      <c r="G578" s="2">
        <v>2</v>
      </c>
      <c r="H578" s="2">
        <v>8</v>
      </c>
      <c r="I578">
        <v>4.7299999999999995E-2</v>
      </c>
      <c r="J578">
        <v>50</v>
      </c>
      <c r="K578">
        <f t="shared" si="8"/>
        <v>2.3649999999999997E-2</v>
      </c>
      <c r="L578" t="s">
        <v>17</v>
      </c>
      <c r="M578">
        <v>296</v>
      </c>
      <c r="N578" t="s">
        <v>18</v>
      </c>
      <c r="O578" t="s">
        <v>907</v>
      </c>
    </row>
    <row r="579" spans="1:15" x14ac:dyDescent="0.2">
      <c r="A579" t="s">
        <v>624</v>
      </c>
      <c r="B579" t="s">
        <v>407</v>
      </c>
      <c r="C579" s="2">
        <v>11</v>
      </c>
      <c r="D579" s="2">
        <v>1</v>
      </c>
      <c r="E579" s="2">
        <v>11</v>
      </c>
      <c r="F579" s="2">
        <v>10</v>
      </c>
      <c r="G579" s="2">
        <v>0</v>
      </c>
      <c r="H579" s="2">
        <v>10</v>
      </c>
      <c r="I579">
        <v>3.6700000000000003E-2</v>
      </c>
      <c r="J579">
        <v>50</v>
      </c>
      <c r="K579">
        <f t="shared" si="8"/>
        <v>1.8350000000000002E-2</v>
      </c>
      <c r="L579" t="s">
        <v>17</v>
      </c>
      <c r="M579">
        <v>296</v>
      </c>
      <c r="N579" t="s">
        <v>18</v>
      </c>
      <c r="O579" t="s">
        <v>907</v>
      </c>
    </row>
    <row r="580" spans="1:15" x14ac:dyDescent="0.2">
      <c r="A580" t="s">
        <v>624</v>
      </c>
      <c r="B580" t="s">
        <v>407</v>
      </c>
      <c r="C580" s="2">
        <v>10</v>
      </c>
      <c r="D580" s="2">
        <v>2</v>
      </c>
      <c r="E580" s="2">
        <v>8</v>
      </c>
      <c r="F580" s="2">
        <v>10</v>
      </c>
      <c r="G580" s="2">
        <v>1</v>
      </c>
      <c r="H580" s="2">
        <v>9</v>
      </c>
      <c r="I580">
        <v>4.7399999999999998E-2</v>
      </c>
      <c r="J580">
        <v>50</v>
      </c>
      <c r="K580">
        <f t="shared" ref="K580:K622" si="9">J580*I580/100</f>
        <v>2.3700000000000002E-2</v>
      </c>
      <c r="L580" t="s">
        <v>17</v>
      </c>
      <c r="M580">
        <v>296</v>
      </c>
      <c r="N580" t="s">
        <v>18</v>
      </c>
      <c r="O580" t="s">
        <v>907</v>
      </c>
    </row>
    <row r="581" spans="1:15" x14ac:dyDescent="0.2">
      <c r="A581" t="s">
        <v>624</v>
      </c>
      <c r="B581" t="s">
        <v>407</v>
      </c>
      <c r="C581" s="2">
        <v>10</v>
      </c>
      <c r="D581" s="2">
        <v>3</v>
      </c>
      <c r="E581" s="2">
        <v>8</v>
      </c>
      <c r="F581" s="2">
        <v>10</v>
      </c>
      <c r="G581" s="2">
        <v>2</v>
      </c>
      <c r="H581" s="2">
        <v>9</v>
      </c>
      <c r="I581">
        <v>4.7399999999999998E-2</v>
      </c>
      <c r="J581">
        <v>50</v>
      </c>
      <c r="K581">
        <f t="shared" si="9"/>
        <v>2.3700000000000002E-2</v>
      </c>
      <c r="L581" t="s">
        <v>17</v>
      </c>
      <c r="M581">
        <v>296</v>
      </c>
      <c r="N581" t="s">
        <v>18</v>
      </c>
      <c r="O581" t="s">
        <v>907</v>
      </c>
    </row>
    <row r="582" spans="1:15" x14ac:dyDescent="0.2">
      <c r="A582" t="s">
        <v>624</v>
      </c>
      <c r="B582" t="s">
        <v>407</v>
      </c>
      <c r="C582" s="2">
        <v>12</v>
      </c>
      <c r="D582" s="2">
        <v>1</v>
      </c>
      <c r="E582" s="2">
        <v>12</v>
      </c>
      <c r="F582" s="2">
        <v>11</v>
      </c>
      <c r="G582" s="2">
        <v>0</v>
      </c>
      <c r="H582" s="2">
        <v>11</v>
      </c>
      <c r="I582">
        <v>3.1899999999999998E-2</v>
      </c>
      <c r="J582">
        <v>50</v>
      </c>
      <c r="K582">
        <f t="shared" si="9"/>
        <v>1.5949999999999999E-2</v>
      </c>
      <c r="L582" t="s">
        <v>17</v>
      </c>
      <c r="M582">
        <v>296</v>
      </c>
      <c r="N582" t="s">
        <v>18</v>
      </c>
      <c r="O582" t="s">
        <v>907</v>
      </c>
    </row>
    <row r="583" spans="1:15" x14ac:dyDescent="0.2">
      <c r="A583" t="s">
        <v>624</v>
      </c>
      <c r="B583" t="s">
        <v>407</v>
      </c>
      <c r="C583" s="2">
        <v>12</v>
      </c>
      <c r="D583" s="2">
        <v>0</v>
      </c>
      <c r="E583" s="2">
        <v>12</v>
      </c>
      <c r="F583" s="2">
        <v>11</v>
      </c>
      <c r="G583" s="2">
        <v>1</v>
      </c>
      <c r="H583" s="2">
        <v>11</v>
      </c>
      <c r="I583">
        <v>3.1899999999999998E-2</v>
      </c>
      <c r="J583">
        <v>50</v>
      </c>
      <c r="K583">
        <f t="shared" si="9"/>
        <v>1.5949999999999999E-2</v>
      </c>
      <c r="L583" t="s">
        <v>17</v>
      </c>
      <c r="M583">
        <v>296</v>
      </c>
      <c r="N583" t="s">
        <v>18</v>
      </c>
      <c r="O583" t="s">
        <v>907</v>
      </c>
    </row>
    <row r="584" spans="1:15" x14ac:dyDescent="0.2">
      <c r="A584" t="s">
        <v>624</v>
      </c>
      <c r="B584" t="s">
        <v>407</v>
      </c>
      <c r="C584" s="2">
        <v>3</v>
      </c>
      <c r="D584" s="2">
        <v>3</v>
      </c>
      <c r="E584" s="2">
        <v>1</v>
      </c>
      <c r="F584" s="2">
        <v>2</v>
      </c>
      <c r="G584" s="2">
        <v>0</v>
      </c>
      <c r="H584" s="2">
        <v>2</v>
      </c>
      <c r="I584">
        <v>6.8199999999999997E-2</v>
      </c>
      <c r="J584">
        <v>50</v>
      </c>
      <c r="K584">
        <f t="shared" si="9"/>
        <v>3.4099999999999998E-2</v>
      </c>
      <c r="L584" t="s">
        <v>17</v>
      </c>
      <c r="M584">
        <v>296</v>
      </c>
      <c r="N584" t="s">
        <v>18</v>
      </c>
      <c r="O584" t="s">
        <v>907</v>
      </c>
    </row>
    <row r="585" spans="1:15" x14ac:dyDescent="0.2">
      <c r="A585" t="s">
        <v>624</v>
      </c>
      <c r="B585" t="s">
        <v>407</v>
      </c>
      <c r="C585" s="2">
        <v>2</v>
      </c>
      <c r="D585" s="2">
        <v>1</v>
      </c>
      <c r="E585" s="2">
        <v>2</v>
      </c>
      <c r="F585" s="2">
        <v>3</v>
      </c>
      <c r="G585" s="2">
        <v>0</v>
      </c>
      <c r="H585" s="2">
        <v>3</v>
      </c>
      <c r="I585">
        <v>6.7400000000000002E-2</v>
      </c>
      <c r="J585">
        <v>50</v>
      </c>
      <c r="K585">
        <f t="shared" si="9"/>
        <v>3.3700000000000001E-2</v>
      </c>
      <c r="L585" t="s">
        <v>17</v>
      </c>
      <c r="M585">
        <v>296</v>
      </c>
      <c r="N585" t="s">
        <v>18</v>
      </c>
      <c r="O585" t="s">
        <v>907</v>
      </c>
    </row>
    <row r="586" spans="1:15" x14ac:dyDescent="0.2">
      <c r="A586" t="s">
        <v>624</v>
      </c>
      <c r="B586" t="s">
        <v>407</v>
      </c>
      <c r="C586" s="2">
        <v>2</v>
      </c>
      <c r="D586" s="2">
        <v>0</v>
      </c>
      <c r="E586" s="2">
        <v>2</v>
      </c>
      <c r="F586" s="2">
        <v>3</v>
      </c>
      <c r="G586" s="2">
        <v>1</v>
      </c>
      <c r="H586" s="2">
        <v>3</v>
      </c>
      <c r="I586">
        <v>6.7400000000000002E-2</v>
      </c>
      <c r="J586">
        <v>50</v>
      </c>
      <c r="K586">
        <f t="shared" si="9"/>
        <v>3.3700000000000001E-2</v>
      </c>
      <c r="L586" t="s">
        <v>17</v>
      </c>
      <c r="M586">
        <v>296</v>
      </c>
      <c r="N586" t="s">
        <v>18</v>
      </c>
      <c r="O586" t="s">
        <v>907</v>
      </c>
    </row>
    <row r="587" spans="1:15" x14ac:dyDescent="0.2">
      <c r="A587" t="s">
        <v>624</v>
      </c>
      <c r="B587" t="s">
        <v>407</v>
      </c>
      <c r="C587" s="2">
        <v>2</v>
      </c>
      <c r="D587" s="2">
        <v>2</v>
      </c>
      <c r="E587" s="2">
        <v>1</v>
      </c>
      <c r="F587" s="2">
        <v>3</v>
      </c>
      <c r="G587" s="2">
        <v>1</v>
      </c>
      <c r="H587" s="2">
        <v>2</v>
      </c>
      <c r="I587">
        <v>6.9000000000000006E-2</v>
      </c>
      <c r="J587">
        <v>50</v>
      </c>
      <c r="K587">
        <f t="shared" si="9"/>
        <v>3.4500000000000003E-2</v>
      </c>
      <c r="L587" t="s">
        <v>17</v>
      </c>
      <c r="M587">
        <v>296</v>
      </c>
      <c r="N587" t="s">
        <v>18</v>
      </c>
      <c r="O587" t="s">
        <v>907</v>
      </c>
    </row>
    <row r="588" spans="1:15" x14ac:dyDescent="0.2">
      <c r="A588" t="s">
        <v>624</v>
      </c>
      <c r="B588" t="s">
        <v>407</v>
      </c>
      <c r="C588" s="2">
        <v>4</v>
      </c>
      <c r="D588" s="2">
        <v>3</v>
      </c>
      <c r="E588" s="2">
        <v>2</v>
      </c>
      <c r="F588" s="2">
        <v>3</v>
      </c>
      <c r="G588" s="2">
        <v>2</v>
      </c>
      <c r="H588" s="2">
        <v>1</v>
      </c>
      <c r="I588">
        <v>6.6299999999999998E-2</v>
      </c>
      <c r="J588">
        <v>50</v>
      </c>
      <c r="K588">
        <f t="shared" si="9"/>
        <v>3.3149999999999999E-2</v>
      </c>
      <c r="L588" t="s">
        <v>17</v>
      </c>
      <c r="M588">
        <v>296</v>
      </c>
      <c r="N588" t="s">
        <v>18</v>
      </c>
      <c r="O588" t="s">
        <v>907</v>
      </c>
    </row>
    <row r="589" spans="1:15" x14ac:dyDescent="0.2">
      <c r="A589" t="s">
        <v>624</v>
      </c>
      <c r="B589" t="s">
        <v>407</v>
      </c>
      <c r="C589" s="2">
        <v>4</v>
      </c>
      <c r="D589" s="2">
        <v>4</v>
      </c>
      <c r="E589" s="2">
        <v>1</v>
      </c>
      <c r="F589" s="2">
        <v>3</v>
      </c>
      <c r="G589" s="2">
        <v>3</v>
      </c>
      <c r="H589" s="2">
        <v>0</v>
      </c>
      <c r="I589">
        <v>6.2600000000000003E-2</v>
      </c>
      <c r="J589">
        <v>50</v>
      </c>
      <c r="K589">
        <f t="shared" si="9"/>
        <v>3.1300000000000001E-2</v>
      </c>
      <c r="L589" t="s">
        <v>17</v>
      </c>
      <c r="M589">
        <v>296</v>
      </c>
      <c r="N589" t="s">
        <v>18</v>
      </c>
      <c r="O589" t="s">
        <v>907</v>
      </c>
    </row>
    <row r="590" spans="1:15" x14ac:dyDescent="0.2">
      <c r="A590" t="s">
        <v>624</v>
      </c>
      <c r="B590" t="s">
        <v>407</v>
      </c>
      <c r="C590" s="2">
        <v>5</v>
      </c>
      <c r="D590" s="2">
        <v>3</v>
      </c>
      <c r="E590" s="2">
        <v>2</v>
      </c>
      <c r="F590" s="2">
        <v>4</v>
      </c>
      <c r="G590" s="2">
        <v>2</v>
      </c>
      <c r="H590" s="2">
        <v>3</v>
      </c>
      <c r="I590">
        <v>6.5200000000000008E-2</v>
      </c>
      <c r="J590">
        <v>50</v>
      </c>
      <c r="K590">
        <f t="shared" si="9"/>
        <v>3.2600000000000004E-2</v>
      </c>
      <c r="L590" t="s">
        <v>17</v>
      </c>
      <c r="M590">
        <v>296</v>
      </c>
      <c r="N590" t="s">
        <v>18</v>
      </c>
      <c r="O590" t="s">
        <v>907</v>
      </c>
    </row>
    <row r="591" spans="1:15" x14ac:dyDescent="0.2">
      <c r="A591" t="s">
        <v>624</v>
      </c>
      <c r="B591" t="s">
        <v>407</v>
      </c>
      <c r="C591" s="2">
        <v>4</v>
      </c>
      <c r="D591" s="2">
        <v>1</v>
      </c>
      <c r="E591" s="2">
        <v>3</v>
      </c>
      <c r="F591" s="2">
        <v>5</v>
      </c>
      <c r="G591" s="2">
        <v>2</v>
      </c>
      <c r="H591" s="2">
        <v>4</v>
      </c>
      <c r="I591">
        <v>6.5099999999999991E-2</v>
      </c>
      <c r="J591">
        <v>50</v>
      </c>
      <c r="K591">
        <f t="shared" si="9"/>
        <v>3.2549999999999996E-2</v>
      </c>
      <c r="L591" t="s">
        <v>17</v>
      </c>
      <c r="M591">
        <v>296</v>
      </c>
      <c r="N591" t="s">
        <v>18</v>
      </c>
      <c r="O591" t="s">
        <v>907</v>
      </c>
    </row>
    <row r="592" spans="1:15" x14ac:dyDescent="0.2">
      <c r="A592" t="s">
        <v>624</v>
      </c>
      <c r="B592" t="s">
        <v>407</v>
      </c>
      <c r="C592" s="2">
        <v>4</v>
      </c>
      <c r="D592" s="2">
        <v>3</v>
      </c>
      <c r="E592" s="2">
        <v>2</v>
      </c>
      <c r="F592" s="2">
        <v>5</v>
      </c>
      <c r="G592" s="2">
        <v>2</v>
      </c>
      <c r="H592" s="2">
        <v>3</v>
      </c>
      <c r="I592">
        <v>6.5200000000000008E-2</v>
      </c>
      <c r="J592">
        <v>50</v>
      </c>
      <c r="K592">
        <f t="shared" si="9"/>
        <v>3.2600000000000004E-2</v>
      </c>
      <c r="L592" t="s">
        <v>17</v>
      </c>
      <c r="M592">
        <v>296</v>
      </c>
      <c r="N592" t="s">
        <v>18</v>
      </c>
      <c r="O592" t="s">
        <v>907</v>
      </c>
    </row>
    <row r="593" spans="1:15" x14ac:dyDescent="0.2">
      <c r="A593" t="s">
        <v>624</v>
      </c>
      <c r="B593" t="s">
        <v>407</v>
      </c>
      <c r="C593" s="2">
        <v>6</v>
      </c>
      <c r="D593" s="2">
        <v>4</v>
      </c>
      <c r="E593" s="2">
        <v>2</v>
      </c>
      <c r="F593" s="2">
        <v>5</v>
      </c>
      <c r="G593" s="2">
        <v>3</v>
      </c>
      <c r="H593" s="2">
        <v>3</v>
      </c>
      <c r="I593">
        <v>6.25E-2</v>
      </c>
      <c r="J593">
        <v>50</v>
      </c>
      <c r="K593">
        <f t="shared" si="9"/>
        <v>3.125E-2</v>
      </c>
      <c r="L593" t="s">
        <v>17</v>
      </c>
      <c r="M593">
        <v>296</v>
      </c>
      <c r="N593" t="s">
        <v>18</v>
      </c>
      <c r="O593" t="s">
        <v>907</v>
      </c>
    </row>
    <row r="594" spans="1:15" x14ac:dyDescent="0.2">
      <c r="A594" t="s">
        <v>624</v>
      </c>
      <c r="B594" t="s">
        <v>407</v>
      </c>
      <c r="C594" s="2">
        <v>6</v>
      </c>
      <c r="D594" s="2">
        <v>4</v>
      </c>
      <c r="E594" s="2">
        <v>3</v>
      </c>
      <c r="F594" s="2">
        <v>5</v>
      </c>
      <c r="G594" s="2">
        <v>3</v>
      </c>
      <c r="H594" s="2">
        <v>2</v>
      </c>
      <c r="I594">
        <v>6.25E-2</v>
      </c>
      <c r="J594">
        <v>50</v>
      </c>
      <c r="K594">
        <f t="shared" si="9"/>
        <v>3.125E-2</v>
      </c>
      <c r="L594" t="s">
        <v>17</v>
      </c>
      <c r="M594">
        <v>296</v>
      </c>
      <c r="N594" t="s">
        <v>18</v>
      </c>
      <c r="O594" t="s">
        <v>907</v>
      </c>
    </row>
    <row r="595" spans="1:15" x14ac:dyDescent="0.2">
      <c r="A595" t="s">
        <v>624</v>
      </c>
      <c r="B595" t="s">
        <v>407</v>
      </c>
      <c r="C595" s="2">
        <v>6</v>
      </c>
      <c r="D595" s="2">
        <v>5</v>
      </c>
      <c r="E595" s="2">
        <v>2</v>
      </c>
      <c r="F595" s="2">
        <v>5</v>
      </c>
      <c r="G595" s="2">
        <v>4</v>
      </c>
      <c r="H595" s="2">
        <v>1</v>
      </c>
      <c r="I595">
        <v>5.8500000000000003E-2</v>
      </c>
      <c r="J595">
        <v>50</v>
      </c>
      <c r="K595">
        <f t="shared" si="9"/>
        <v>2.9250000000000002E-2</v>
      </c>
      <c r="L595" t="s">
        <v>17</v>
      </c>
      <c r="M595">
        <v>296</v>
      </c>
      <c r="N595" t="s">
        <v>18</v>
      </c>
      <c r="O595" t="s">
        <v>907</v>
      </c>
    </row>
    <row r="596" spans="1:15" x14ac:dyDescent="0.2">
      <c r="A596" t="s">
        <v>624</v>
      </c>
      <c r="B596" t="s">
        <v>407</v>
      </c>
      <c r="C596" s="2">
        <v>5</v>
      </c>
      <c r="D596" s="2">
        <v>2</v>
      </c>
      <c r="E596" s="2">
        <v>3</v>
      </c>
      <c r="F596" s="2">
        <v>6</v>
      </c>
      <c r="G596" s="2">
        <v>3</v>
      </c>
      <c r="H596" s="2">
        <v>4</v>
      </c>
      <c r="I596">
        <v>6.4000000000000001E-2</v>
      </c>
      <c r="J596">
        <v>50</v>
      </c>
      <c r="K596">
        <f t="shared" si="9"/>
        <v>3.2000000000000001E-2</v>
      </c>
      <c r="L596" t="s">
        <v>17</v>
      </c>
      <c r="M596">
        <v>296</v>
      </c>
      <c r="N596" t="s">
        <v>18</v>
      </c>
      <c r="O596" t="s">
        <v>907</v>
      </c>
    </row>
    <row r="597" spans="1:15" x14ac:dyDescent="0.2">
      <c r="A597" t="s">
        <v>624</v>
      </c>
      <c r="B597" t="s">
        <v>407</v>
      </c>
      <c r="C597" s="2">
        <v>7</v>
      </c>
      <c r="D597" s="2">
        <v>2</v>
      </c>
      <c r="E597" s="2">
        <v>5</v>
      </c>
      <c r="F597" s="2">
        <v>6</v>
      </c>
      <c r="G597" s="2">
        <v>3</v>
      </c>
      <c r="H597" s="2">
        <v>4</v>
      </c>
      <c r="I597">
        <v>6.2399999999999997E-2</v>
      </c>
      <c r="J597">
        <v>50</v>
      </c>
      <c r="K597">
        <f t="shared" si="9"/>
        <v>3.1199999999999995E-2</v>
      </c>
      <c r="L597" t="s">
        <v>17</v>
      </c>
      <c r="M597">
        <v>296</v>
      </c>
      <c r="N597" t="s">
        <v>18</v>
      </c>
      <c r="O597" t="s">
        <v>907</v>
      </c>
    </row>
    <row r="598" spans="1:15" x14ac:dyDescent="0.2">
      <c r="A598" t="s">
        <v>624</v>
      </c>
      <c r="B598" t="s">
        <v>407</v>
      </c>
      <c r="C598" s="2">
        <v>6</v>
      </c>
      <c r="D598" s="2">
        <v>1</v>
      </c>
      <c r="E598" s="2">
        <v>6</v>
      </c>
      <c r="F598" s="2">
        <v>7</v>
      </c>
      <c r="G598" s="2">
        <v>0</v>
      </c>
      <c r="H598" s="2">
        <v>7</v>
      </c>
      <c r="I598">
        <v>5.5500000000000001E-2</v>
      </c>
      <c r="J598">
        <v>50</v>
      </c>
      <c r="K598">
        <f t="shared" si="9"/>
        <v>2.775E-2</v>
      </c>
      <c r="L598" t="s">
        <v>17</v>
      </c>
      <c r="M598">
        <v>296</v>
      </c>
      <c r="N598" t="s">
        <v>18</v>
      </c>
      <c r="O598" t="s">
        <v>907</v>
      </c>
    </row>
    <row r="599" spans="1:15" x14ac:dyDescent="0.2">
      <c r="A599" t="s">
        <v>624</v>
      </c>
      <c r="B599" t="s">
        <v>407</v>
      </c>
      <c r="C599" s="2">
        <v>6</v>
      </c>
      <c r="D599" s="2">
        <v>0</v>
      </c>
      <c r="E599" s="2">
        <v>6</v>
      </c>
      <c r="F599" s="2">
        <v>7</v>
      </c>
      <c r="G599" s="2">
        <v>1</v>
      </c>
      <c r="H599" s="2">
        <v>7</v>
      </c>
      <c r="I599">
        <v>5.5500000000000001E-2</v>
      </c>
      <c r="J599">
        <v>50</v>
      </c>
      <c r="K599">
        <f t="shared" si="9"/>
        <v>2.775E-2</v>
      </c>
      <c r="L599" t="s">
        <v>17</v>
      </c>
      <c r="M599">
        <v>296</v>
      </c>
      <c r="N599" t="s">
        <v>18</v>
      </c>
      <c r="O599" t="s">
        <v>907</v>
      </c>
    </row>
    <row r="600" spans="1:15" x14ac:dyDescent="0.2">
      <c r="A600" t="s">
        <v>624</v>
      </c>
      <c r="B600" t="s">
        <v>407</v>
      </c>
      <c r="C600" s="2">
        <v>7</v>
      </c>
      <c r="D600" s="2">
        <v>2</v>
      </c>
      <c r="E600" s="2">
        <v>6</v>
      </c>
      <c r="F600" s="2">
        <v>7</v>
      </c>
      <c r="G600" s="2">
        <v>1</v>
      </c>
      <c r="H600" s="2">
        <v>7</v>
      </c>
      <c r="I600">
        <v>5.8500000000000003E-2</v>
      </c>
      <c r="J600">
        <v>50</v>
      </c>
      <c r="K600">
        <f t="shared" si="9"/>
        <v>2.9250000000000002E-2</v>
      </c>
      <c r="L600" t="s">
        <v>17</v>
      </c>
      <c r="M600">
        <v>296</v>
      </c>
      <c r="N600" t="s">
        <v>18</v>
      </c>
      <c r="O600" t="s">
        <v>907</v>
      </c>
    </row>
    <row r="601" spans="1:15" x14ac:dyDescent="0.2">
      <c r="A601" t="s">
        <v>624</v>
      </c>
      <c r="B601" t="s">
        <v>407</v>
      </c>
      <c r="C601" s="2">
        <v>8</v>
      </c>
      <c r="D601" s="2">
        <v>3</v>
      </c>
      <c r="E601" s="2">
        <v>6</v>
      </c>
      <c r="F601" s="2">
        <v>7</v>
      </c>
      <c r="G601" s="2">
        <v>2</v>
      </c>
      <c r="H601" s="2">
        <v>5</v>
      </c>
      <c r="I601">
        <v>6.0200000000000004E-2</v>
      </c>
      <c r="J601">
        <v>50</v>
      </c>
      <c r="K601">
        <f t="shared" si="9"/>
        <v>3.0100000000000002E-2</v>
      </c>
      <c r="L601" t="s">
        <v>17</v>
      </c>
      <c r="M601">
        <v>296</v>
      </c>
      <c r="N601" t="s">
        <v>18</v>
      </c>
      <c r="O601" t="s">
        <v>907</v>
      </c>
    </row>
    <row r="602" spans="1:15" x14ac:dyDescent="0.2">
      <c r="A602" t="s">
        <v>624</v>
      </c>
      <c r="B602" t="s">
        <v>407</v>
      </c>
      <c r="C602" s="2">
        <v>8</v>
      </c>
      <c r="D602" s="2">
        <v>2</v>
      </c>
      <c r="E602" s="2">
        <v>6</v>
      </c>
      <c r="F602" s="2">
        <v>7</v>
      </c>
      <c r="G602" s="2">
        <v>3</v>
      </c>
      <c r="H602" s="2">
        <v>5</v>
      </c>
      <c r="I602">
        <v>6.0200000000000004E-2</v>
      </c>
      <c r="J602">
        <v>50</v>
      </c>
      <c r="K602">
        <f t="shared" si="9"/>
        <v>3.0100000000000002E-2</v>
      </c>
      <c r="L602" t="s">
        <v>17</v>
      </c>
      <c r="M602">
        <v>296</v>
      </c>
      <c r="N602" t="s">
        <v>18</v>
      </c>
      <c r="O602" t="s">
        <v>907</v>
      </c>
    </row>
    <row r="603" spans="1:15" x14ac:dyDescent="0.2">
      <c r="A603" t="s">
        <v>624</v>
      </c>
      <c r="B603" t="s">
        <v>407</v>
      </c>
      <c r="C603" s="2">
        <v>7</v>
      </c>
      <c r="D603" s="2">
        <v>1</v>
      </c>
      <c r="E603" s="2">
        <v>7</v>
      </c>
      <c r="F603" s="2">
        <v>8</v>
      </c>
      <c r="G603" s="2">
        <v>0</v>
      </c>
      <c r="H603" s="2">
        <v>8</v>
      </c>
      <c r="I603">
        <v>5.1700000000000003E-2</v>
      </c>
      <c r="J603">
        <v>50</v>
      </c>
      <c r="K603">
        <f t="shared" si="9"/>
        <v>2.5849999999999998E-2</v>
      </c>
      <c r="L603" t="s">
        <v>17</v>
      </c>
      <c r="M603">
        <v>296</v>
      </c>
      <c r="N603" t="s">
        <v>18</v>
      </c>
      <c r="O603" t="s">
        <v>907</v>
      </c>
    </row>
    <row r="604" spans="1:15" x14ac:dyDescent="0.2">
      <c r="A604" t="s">
        <v>624</v>
      </c>
      <c r="B604" t="s">
        <v>407</v>
      </c>
      <c r="C604" s="2">
        <v>7</v>
      </c>
      <c r="D604" s="2">
        <v>0</v>
      </c>
      <c r="E604" s="2">
        <v>7</v>
      </c>
      <c r="F604" s="2">
        <v>8</v>
      </c>
      <c r="G604" s="2">
        <v>1</v>
      </c>
      <c r="H604" s="2">
        <v>8</v>
      </c>
      <c r="I604">
        <v>5.1700000000000003E-2</v>
      </c>
      <c r="J604">
        <v>50</v>
      </c>
      <c r="K604">
        <f t="shared" si="9"/>
        <v>2.5849999999999998E-2</v>
      </c>
      <c r="L604" t="s">
        <v>17</v>
      </c>
      <c r="M604">
        <v>296</v>
      </c>
      <c r="N604" t="s">
        <v>18</v>
      </c>
      <c r="O604" t="s">
        <v>907</v>
      </c>
    </row>
    <row r="605" spans="1:15" x14ac:dyDescent="0.2">
      <c r="A605" t="s">
        <v>624</v>
      </c>
      <c r="B605" t="s">
        <v>407</v>
      </c>
      <c r="C605" s="2">
        <v>7</v>
      </c>
      <c r="D605" s="2">
        <v>2</v>
      </c>
      <c r="E605" s="2">
        <v>6</v>
      </c>
      <c r="F605" s="2">
        <v>8</v>
      </c>
      <c r="G605" s="2">
        <v>1</v>
      </c>
      <c r="H605" s="2">
        <v>7</v>
      </c>
      <c r="I605">
        <v>5.6799999999999996E-2</v>
      </c>
      <c r="J605">
        <v>50</v>
      </c>
      <c r="K605">
        <f t="shared" si="9"/>
        <v>2.8399999999999998E-2</v>
      </c>
      <c r="L605" t="s">
        <v>17</v>
      </c>
      <c r="M605">
        <v>296</v>
      </c>
      <c r="N605" t="s">
        <v>18</v>
      </c>
      <c r="O605" t="s">
        <v>907</v>
      </c>
    </row>
    <row r="606" spans="1:15" x14ac:dyDescent="0.2">
      <c r="A606" t="s">
        <v>624</v>
      </c>
      <c r="B606" t="s">
        <v>407</v>
      </c>
      <c r="C606" s="2">
        <v>8</v>
      </c>
      <c r="D606" s="2">
        <v>2</v>
      </c>
      <c r="E606" s="2">
        <v>6</v>
      </c>
      <c r="F606" s="2">
        <v>8</v>
      </c>
      <c r="G606" s="2">
        <v>1</v>
      </c>
      <c r="H606" s="2">
        <v>7</v>
      </c>
      <c r="I606">
        <v>5.5E-2</v>
      </c>
      <c r="J606">
        <v>50</v>
      </c>
      <c r="K606">
        <f t="shared" si="9"/>
        <v>2.75E-2</v>
      </c>
      <c r="L606" t="s">
        <v>17</v>
      </c>
      <c r="M606">
        <v>296</v>
      </c>
      <c r="N606" t="s">
        <v>18</v>
      </c>
      <c r="O606" t="s">
        <v>907</v>
      </c>
    </row>
    <row r="607" spans="1:15" x14ac:dyDescent="0.2">
      <c r="A607" t="s">
        <v>624</v>
      </c>
      <c r="B607" t="s">
        <v>407</v>
      </c>
      <c r="C607" s="2">
        <v>7</v>
      </c>
      <c r="D607" s="2">
        <v>1</v>
      </c>
      <c r="E607" s="2">
        <v>6</v>
      </c>
      <c r="F607" s="2">
        <v>8</v>
      </c>
      <c r="G607" s="2">
        <v>2</v>
      </c>
      <c r="H607" s="2">
        <v>7</v>
      </c>
      <c r="I607">
        <v>5.6799999999999996E-2</v>
      </c>
      <c r="J607">
        <v>50</v>
      </c>
      <c r="K607">
        <f t="shared" si="9"/>
        <v>2.8399999999999998E-2</v>
      </c>
      <c r="L607" t="s">
        <v>17</v>
      </c>
      <c r="M607">
        <v>296</v>
      </c>
      <c r="N607" t="s">
        <v>18</v>
      </c>
      <c r="O607" t="s">
        <v>907</v>
      </c>
    </row>
    <row r="608" spans="1:15" x14ac:dyDescent="0.2">
      <c r="A608" t="s">
        <v>624</v>
      </c>
      <c r="B608" t="s">
        <v>407</v>
      </c>
      <c r="C608" s="2">
        <v>8</v>
      </c>
      <c r="D608" s="2">
        <v>3</v>
      </c>
      <c r="E608" s="2">
        <v>6</v>
      </c>
      <c r="F608" s="2">
        <v>8</v>
      </c>
      <c r="G608" s="2">
        <v>2</v>
      </c>
      <c r="H608" s="2">
        <v>7</v>
      </c>
      <c r="I608">
        <v>5.8900000000000001E-2</v>
      </c>
      <c r="J608">
        <v>50</v>
      </c>
      <c r="K608">
        <f t="shared" si="9"/>
        <v>2.9449999999999997E-2</v>
      </c>
      <c r="L608" t="s">
        <v>17</v>
      </c>
      <c r="M608">
        <v>296</v>
      </c>
      <c r="N608" t="s">
        <v>18</v>
      </c>
      <c r="O608" t="s">
        <v>907</v>
      </c>
    </row>
    <row r="609" spans="1:15" x14ac:dyDescent="0.2">
      <c r="A609" t="s">
        <v>624</v>
      </c>
      <c r="B609" t="s">
        <v>407</v>
      </c>
      <c r="C609" s="2">
        <v>7</v>
      </c>
      <c r="D609" s="2">
        <v>3</v>
      </c>
      <c r="E609" s="2">
        <v>5</v>
      </c>
      <c r="F609" s="2">
        <v>8</v>
      </c>
      <c r="G609" s="2">
        <v>2</v>
      </c>
      <c r="H609" s="2">
        <v>6</v>
      </c>
      <c r="I609">
        <v>6.0200000000000004E-2</v>
      </c>
      <c r="J609">
        <v>50</v>
      </c>
      <c r="K609">
        <f t="shared" si="9"/>
        <v>3.0100000000000002E-2</v>
      </c>
      <c r="L609" t="s">
        <v>17</v>
      </c>
      <c r="M609">
        <v>296</v>
      </c>
      <c r="N609" t="s">
        <v>18</v>
      </c>
      <c r="O609" t="s">
        <v>907</v>
      </c>
    </row>
    <row r="610" spans="1:15" x14ac:dyDescent="0.2">
      <c r="A610" t="s">
        <v>624</v>
      </c>
      <c r="B610" t="s">
        <v>407</v>
      </c>
      <c r="C610" s="2">
        <v>9</v>
      </c>
      <c r="D610" s="2">
        <v>3</v>
      </c>
      <c r="E610" s="2">
        <v>7</v>
      </c>
      <c r="F610" s="2">
        <v>8</v>
      </c>
      <c r="G610" s="2">
        <v>2</v>
      </c>
      <c r="H610" s="2">
        <v>6</v>
      </c>
      <c r="I610">
        <v>5.74E-2</v>
      </c>
      <c r="J610">
        <v>50</v>
      </c>
      <c r="K610">
        <f t="shared" si="9"/>
        <v>2.87E-2</v>
      </c>
      <c r="L610" t="s">
        <v>17</v>
      </c>
      <c r="M610">
        <v>296</v>
      </c>
      <c r="N610" t="s">
        <v>18</v>
      </c>
      <c r="O610" t="s">
        <v>907</v>
      </c>
    </row>
    <row r="611" spans="1:15" x14ac:dyDescent="0.2">
      <c r="A611" t="s">
        <v>624</v>
      </c>
      <c r="B611" t="s">
        <v>407</v>
      </c>
      <c r="C611" s="2">
        <v>7</v>
      </c>
      <c r="D611" s="2">
        <v>2</v>
      </c>
      <c r="E611" s="2">
        <v>5</v>
      </c>
      <c r="F611" s="2">
        <v>8</v>
      </c>
      <c r="G611" s="2">
        <v>3</v>
      </c>
      <c r="H611" s="2">
        <v>6</v>
      </c>
      <c r="I611">
        <v>6.0200000000000004E-2</v>
      </c>
      <c r="J611">
        <v>50</v>
      </c>
      <c r="K611">
        <f t="shared" si="9"/>
        <v>3.0100000000000002E-2</v>
      </c>
      <c r="L611" t="s">
        <v>17</v>
      </c>
      <c r="M611">
        <v>296</v>
      </c>
      <c r="N611" t="s">
        <v>18</v>
      </c>
      <c r="O611" t="s">
        <v>907</v>
      </c>
    </row>
    <row r="612" spans="1:15" x14ac:dyDescent="0.2">
      <c r="A612" t="s">
        <v>624</v>
      </c>
      <c r="B612" t="s">
        <v>407</v>
      </c>
      <c r="C612" s="2">
        <v>9</v>
      </c>
      <c r="D612" s="2">
        <v>2</v>
      </c>
      <c r="E612" s="2">
        <v>7</v>
      </c>
      <c r="F612" s="2">
        <v>8</v>
      </c>
      <c r="G612" s="2">
        <v>3</v>
      </c>
      <c r="H612" s="2">
        <v>6</v>
      </c>
      <c r="I612">
        <v>5.74E-2</v>
      </c>
      <c r="J612">
        <v>50</v>
      </c>
      <c r="K612">
        <f t="shared" si="9"/>
        <v>2.87E-2</v>
      </c>
      <c r="L612" t="s">
        <v>17</v>
      </c>
      <c r="M612">
        <v>296</v>
      </c>
      <c r="N612" t="s">
        <v>18</v>
      </c>
      <c r="O612" t="s">
        <v>907</v>
      </c>
    </row>
    <row r="613" spans="1:15" x14ac:dyDescent="0.2">
      <c r="A613" t="s">
        <v>624</v>
      </c>
      <c r="B613" t="s">
        <v>407</v>
      </c>
      <c r="C613" s="2">
        <v>9</v>
      </c>
      <c r="D613" s="2">
        <v>3</v>
      </c>
      <c r="E613" s="2">
        <v>6</v>
      </c>
      <c r="F613" s="2">
        <v>8</v>
      </c>
      <c r="G613" s="2">
        <v>4</v>
      </c>
      <c r="H613" s="2">
        <v>5</v>
      </c>
      <c r="I613">
        <v>5.9900000000000002E-2</v>
      </c>
      <c r="J613">
        <v>50</v>
      </c>
      <c r="K613">
        <f t="shared" si="9"/>
        <v>2.9950000000000001E-2</v>
      </c>
      <c r="L613" t="s">
        <v>17</v>
      </c>
      <c r="M613">
        <v>296</v>
      </c>
      <c r="N613" t="s">
        <v>18</v>
      </c>
      <c r="O613" t="s">
        <v>907</v>
      </c>
    </row>
    <row r="614" spans="1:15" x14ac:dyDescent="0.2">
      <c r="A614" t="s">
        <v>624</v>
      </c>
      <c r="B614" t="s">
        <v>407</v>
      </c>
      <c r="C614" s="2">
        <v>9</v>
      </c>
      <c r="D614" s="2">
        <v>2</v>
      </c>
      <c r="E614" s="2">
        <v>7</v>
      </c>
      <c r="F614" s="2">
        <v>9</v>
      </c>
      <c r="G614" s="2">
        <v>1</v>
      </c>
      <c r="H614" s="2">
        <v>8</v>
      </c>
      <c r="I614">
        <v>5.0999999999999997E-2</v>
      </c>
      <c r="J614">
        <v>50</v>
      </c>
      <c r="K614">
        <f t="shared" si="9"/>
        <v>2.5499999999999998E-2</v>
      </c>
      <c r="L614" t="s">
        <v>17</v>
      </c>
      <c r="M614">
        <v>296</v>
      </c>
      <c r="N614" t="s">
        <v>18</v>
      </c>
      <c r="O614" t="s">
        <v>907</v>
      </c>
    </row>
    <row r="615" spans="1:15" x14ac:dyDescent="0.2">
      <c r="A615" t="s">
        <v>624</v>
      </c>
      <c r="B615" t="s">
        <v>407</v>
      </c>
      <c r="C615" s="2">
        <v>10</v>
      </c>
      <c r="D615" s="2">
        <v>2</v>
      </c>
      <c r="E615" s="2">
        <v>9</v>
      </c>
      <c r="F615" s="2">
        <v>9</v>
      </c>
      <c r="G615" s="2">
        <v>1</v>
      </c>
      <c r="H615" s="2">
        <v>8</v>
      </c>
      <c r="I615">
        <v>4.8799999999999996E-2</v>
      </c>
      <c r="J615">
        <v>50</v>
      </c>
      <c r="K615">
        <f t="shared" si="9"/>
        <v>2.4399999999999998E-2</v>
      </c>
      <c r="L615" t="s">
        <v>17</v>
      </c>
      <c r="M615">
        <v>296</v>
      </c>
      <c r="N615" t="s">
        <v>18</v>
      </c>
      <c r="O615" t="s">
        <v>907</v>
      </c>
    </row>
    <row r="616" spans="1:15" x14ac:dyDescent="0.2">
      <c r="A616" t="s">
        <v>624</v>
      </c>
      <c r="B616" t="s">
        <v>407</v>
      </c>
      <c r="C616" s="2">
        <v>9</v>
      </c>
      <c r="D616" s="2">
        <v>3</v>
      </c>
      <c r="E616" s="2">
        <v>7</v>
      </c>
      <c r="F616" s="2">
        <v>9</v>
      </c>
      <c r="G616" s="2">
        <v>2</v>
      </c>
      <c r="H616" s="2">
        <v>8</v>
      </c>
      <c r="I616">
        <v>5.57E-2</v>
      </c>
      <c r="J616">
        <v>50</v>
      </c>
      <c r="K616">
        <f t="shared" si="9"/>
        <v>2.785E-2</v>
      </c>
      <c r="L616" t="s">
        <v>17</v>
      </c>
      <c r="M616">
        <v>296</v>
      </c>
      <c r="N616" t="s">
        <v>18</v>
      </c>
      <c r="O616" t="s">
        <v>907</v>
      </c>
    </row>
    <row r="617" spans="1:15" x14ac:dyDescent="0.2">
      <c r="A617" t="s">
        <v>624</v>
      </c>
      <c r="B617" t="s">
        <v>407</v>
      </c>
      <c r="C617" s="2">
        <v>10</v>
      </c>
      <c r="D617" s="2">
        <v>1</v>
      </c>
      <c r="E617" s="2">
        <v>9</v>
      </c>
      <c r="F617" s="2">
        <v>9</v>
      </c>
      <c r="G617" s="2">
        <v>2</v>
      </c>
      <c r="H617" s="2">
        <v>8</v>
      </c>
      <c r="I617">
        <v>4.8799999999999996E-2</v>
      </c>
      <c r="J617">
        <v>50</v>
      </c>
      <c r="K617">
        <f t="shared" si="9"/>
        <v>2.4399999999999998E-2</v>
      </c>
      <c r="L617" t="s">
        <v>17</v>
      </c>
      <c r="M617">
        <v>296</v>
      </c>
      <c r="N617" t="s">
        <v>18</v>
      </c>
      <c r="O617" t="s">
        <v>907</v>
      </c>
    </row>
    <row r="618" spans="1:15" x14ac:dyDescent="0.2">
      <c r="A618" t="s">
        <v>624</v>
      </c>
      <c r="B618" t="s">
        <v>407</v>
      </c>
      <c r="C618" s="2">
        <v>11</v>
      </c>
      <c r="D618" s="2">
        <v>1</v>
      </c>
      <c r="E618" s="2">
        <v>11</v>
      </c>
      <c r="F618" s="2">
        <v>10</v>
      </c>
      <c r="G618" s="2">
        <v>0</v>
      </c>
      <c r="H618" s="2">
        <v>10</v>
      </c>
      <c r="I618">
        <v>3.8299999999999994E-2</v>
      </c>
      <c r="J618">
        <v>50</v>
      </c>
      <c r="K618">
        <f t="shared" si="9"/>
        <v>1.9149999999999997E-2</v>
      </c>
      <c r="L618" t="s">
        <v>17</v>
      </c>
      <c r="M618">
        <v>296</v>
      </c>
      <c r="N618" t="s">
        <v>18</v>
      </c>
      <c r="O618" t="s">
        <v>907</v>
      </c>
    </row>
    <row r="619" spans="1:15" x14ac:dyDescent="0.2">
      <c r="A619" t="s">
        <v>624</v>
      </c>
      <c r="B619" t="s">
        <v>407</v>
      </c>
      <c r="C619" s="2">
        <v>10</v>
      </c>
      <c r="D619" s="2">
        <v>2</v>
      </c>
      <c r="E619" s="2">
        <v>8</v>
      </c>
      <c r="F619" s="2">
        <v>10</v>
      </c>
      <c r="G619" s="2">
        <v>1</v>
      </c>
      <c r="H619" s="2">
        <v>9</v>
      </c>
      <c r="I619">
        <v>4.65E-2</v>
      </c>
      <c r="J619">
        <v>50</v>
      </c>
      <c r="K619">
        <f t="shared" si="9"/>
        <v>2.3250000000000003E-2</v>
      </c>
      <c r="L619" t="s">
        <v>17</v>
      </c>
      <c r="M619">
        <v>296</v>
      </c>
      <c r="N619" t="s">
        <v>18</v>
      </c>
      <c r="O619" t="s">
        <v>907</v>
      </c>
    </row>
    <row r="620" spans="1:15" x14ac:dyDescent="0.2">
      <c r="A620" t="s">
        <v>624</v>
      </c>
      <c r="B620" t="s">
        <v>407</v>
      </c>
      <c r="C620" s="2">
        <v>10</v>
      </c>
      <c r="D620" s="2">
        <v>3</v>
      </c>
      <c r="E620" s="2">
        <v>8</v>
      </c>
      <c r="F620" s="2">
        <v>10</v>
      </c>
      <c r="G620" s="2">
        <v>2</v>
      </c>
      <c r="H620" s="2">
        <v>9</v>
      </c>
      <c r="I620">
        <v>5.1799999999999999E-2</v>
      </c>
      <c r="J620">
        <v>50</v>
      </c>
      <c r="K620">
        <f t="shared" si="9"/>
        <v>2.5899999999999999E-2</v>
      </c>
      <c r="L620" t="s">
        <v>17</v>
      </c>
      <c r="M620">
        <v>296</v>
      </c>
      <c r="N620" t="s">
        <v>18</v>
      </c>
      <c r="O620" t="s">
        <v>907</v>
      </c>
    </row>
    <row r="621" spans="1:15" x14ac:dyDescent="0.2">
      <c r="A621" t="s">
        <v>624</v>
      </c>
      <c r="B621" t="s">
        <v>407</v>
      </c>
      <c r="C621" s="2">
        <v>12</v>
      </c>
      <c r="D621" s="2">
        <v>1</v>
      </c>
      <c r="E621" s="2">
        <v>12</v>
      </c>
      <c r="F621" s="2">
        <v>11</v>
      </c>
      <c r="G621" s="2">
        <v>0</v>
      </c>
      <c r="H621" s="2">
        <v>11</v>
      </c>
      <c r="I621">
        <v>3.3799999999999997E-2</v>
      </c>
      <c r="J621">
        <v>50</v>
      </c>
      <c r="K621">
        <f t="shared" si="9"/>
        <v>1.6899999999999998E-2</v>
      </c>
      <c r="L621" t="s">
        <v>17</v>
      </c>
      <c r="M621">
        <v>296</v>
      </c>
      <c r="N621" t="s">
        <v>18</v>
      </c>
      <c r="O621" t="s">
        <v>907</v>
      </c>
    </row>
    <row r="622" spans="1:15" x14ac:dyDescent="0.2">
      <c r="A622" t="s">
        <v>624</v>
      </c>
      <c r="B622" t="s">
        <v>407</v>
      </c>
      <c r="C622" s="2">
        <v>12</v>
      </c>
      <c r="D622" s="2">
        <v>0</v>
      </c>
      <c r="E622" s="2">
        <v>12</v>
      </c>
      <c r="F622" s="2">
        <v>11</v>
      </c>
      <c r="G622" s="2">
        <v>1</v>
      </c>
      <c r="H622" s="2">
        <v>11</v>
      </c>
      <c r="I622">
        <v>3.3799999999999997E-2</v>
      </c>
      <c r="J622">
        <v>50</v>
      </c>
      <c r="K622">
        <f t="shared" si="9"/>
        <v>1.6899999999999998E-2</v>
      </c>
      <c r="L622" t="s">
        <v>17</v>
      </c>
      <c r="M622">
        <v>296</v>
      </c>
      <c r="N622" t="s">
        <v>18</v>
      </c>
      <c r="O622" t="s">
        <v>907</v>
      </c>
    </row>
  </sheetData>
  <phoneticPr fontId="2"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E5E0-0B8B-774A-8458-2B5329BFFF7D}">
  <dimension ref="A1:O25"/>
  <sheetViews>
    <sheetView workbookViewId="0">
      <selection activeCell="F39" sqref="F39"/>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5</v>
      </c>
      <c r="D2">
        <v>4</v>
      </c>
      <c r="E2">
        <v>2</v>
      </c>
      <c r="F2">
        <v>4</v>
      </c>
      <c r="G2">
        <v>1</v>
      </c>
      <c r="H2">
        <v>3</v>
      </c>
      <c r="I2">
        <v>1.35E-2</v>
      </c>
      <c r="J2">
        <v>50</v>
      </c>
      <c r="K2">
        <f>J2*I2/100</f>
        <v>6.7500000000000008E-3</v>
      </c>
      <c r="L2" t="s">
        <v>17</v>
      </c>
      <c r="M2">
        <v>300</v>
      </c>
      <c r="N2" t="s">
        <v>17</v>
      </c>
      <c r="O2" t="s">
        <v>882</v>
      </c>
    </row>
    <row r="3" spans="1:15" x14ac:dyDescent="0.2">
      <c r="A3" t="s">
        <v>190</v>
      </c>
      <c r="B3" t="s">
        <v>191</v>
      </c>
      <c r="C3">
        <v>5</v>
      </c>
      <c r="D3">
        <v>4</v>
      </c>
      <c r="E3">
        <v>2</v>
      </c>
      <c r="F3">
        <v>4</v>
      </c>
      <c r="G3">
        <v>1</v>
      </c>
      <c r="H3">
        <v>3</v>
      </c>
      <c r="I3">
        <v>1.4200000000000001E-2</v>
      </c>
      <c r="J3">
        <v>50</v>
      </c>
      <c r="K3">
        <f t="shared" ref="K3:K25" si="0">J3*I3/100</f>
        <v>7.1000000000000004E-3</v>
      </c>
      <c r="L3" t="s">
        <v>17</v>
      </c>
      <c r="M3">
        <v>300</v>
      </c>
      <c r="N3" t="s">
        <v>17</v>
      </c>
      <c r="O3" t="s">
        <v>883</v>
      </c>
    </row>
    <row r="4" spans="1:15" x14ac:dyDescent="0.2">
      <c r="A4" t="s">
        <v>190</v>
      </c>
      <c r="B4" t="s">
        <v>191</v>
      </c>
      <c r="C4">
        <v>9</v>
      </c>
      <c r="D4">
        <v>7</v>
      </c>
      <c r="E4">
        <v>3</v>
      </c>
      <c r="F4">
        <v>8</v>
      </c>
      <c r="G4">
        <v>6</v>
      </c>
      <c r="H4">
        <v>2</v>
      </c>
      <c r="I4">
        <v>8.8999999999999999E-3</v>
      </c>
      <c r="J4">
        <v>50</v>
      </c>
      <c r="K4">
        <f t="shared" si="0"/>
        <v>4.45E-3</v>
      </c>
      <c r="L4" t="s">
        <v>17</v>
      </c>
      <c r="M4">
        <v>300</v>
      </c>
      <c r="N4" t="s">
        <v>17</v>
      </c>
      <c r="O4" t="s">
        <v>884</v>
      </c>
    </row>
    <row r="5" spans="1:15" x14ac:dyDescent="0.2">
      <c r="A5" t="s">
        <v>190</v>
      </c>
      <c r="B5" t="s">
        <v>191</v>
      </c>
      <c r="C5">
        <v>9</v>
      </c>
      <c r="D5">
        <v>7</v>
      </c>
      <c r="E5">
        <v>3</v>
      </c>
      <c r="F5">
        <v>8</v>
      </c>
      <c r="G5">
        <v>6</v>
      </c>
      <c r="H5">
        <v>2</v>
      </c>
      <c r="I5">
        <v>8.8999999999999999E-3</v>
      </c>
      <c r="J5">
        <v>50</v>
      </c>
      <c r="K5">
        <f t="shared" si="0"/>
        <v>4.45E-3</v>
      </c>
      <c r="L5" t="s">
        <v>17</v>
      </c>
      <c r="M5">
        <v>300</v>
      </c>
      <c r="N5" t="s">
        <v>17</v>
      </c>
      <c r="O5" t="s">
        <v>885</v>
      </c>
    </row>
    <row r="6" spans="1:15" x14ac:dyDescent="0.2">
      <c r="A6" t="s">
        <v>190</v>
      </c>
      <c r="B6" t="s">
        <v>191</v>
      </c>
      <c r="C6">
        <v>9</v>
      </c>
      <c r="D6">
        <v>7</v>
      </c>
      <c r="E6">
        <v>3</v>
      </c>
      <c r="F6">
        <v>8</v>
      </c>
      <c r="G6">
        <v>6</v>
      </c>
      <c r="H6">
        <v>2</v>
      </c>
      <c r="I6">
        <v>8.0000000000000002E-3</v>
      </c>
      <c r="J6">
        <v>50</v>
      </c>
      <c r="K6">
        <f t="shared" si="0"/>
        <v>4.0000000000000001E-3</v>
      </c>
      <c r="L6" t="s">
        <v>17</v>
      </c>
      <c r="M6">
        <v>296</v>
      </c>
      <c r="N6" t="s">
        <v>201</v>
      </c>
      <c r="O6" t="s">
        <v>886</v>
      </c>
    </row>
    <row r="7" spans="1:15" x14ac:dyDescent="0.2">
      <c r="A7" t="s">
        <v>190</v>
      </c>
      <c r="B7" t="s">
        <v>191</v>
      </c>
      <c r="C7">
        <v>15</v>
      </c>
      <c r="D7">
        <v>1</v>
      </c>
      <c r="E7">
        <v>15</v>
      </c>
      <c r="F7">
        <v>14</v>
      </c>
      <c r="G7">
        <v>0</v>
      </c>
      <c r="H7">
        <v>14</v>
      </c>
      <c r="I7">
        <v>8.6999999999999994E-3</v>
      </c>
      <c r="J7">
        <v>50</v>
      </c>
      <c r="K7">
        <f t="shared" si="0"/>
        <v>4.3499999999999997E-3</v>
      </c>
      <c r="L7" t="s">
        <v>17</v>
      </c>
      <c r="M7">
        <v>300</v>
      </c>
      <c r="N7" t="s">
        <v>17</v>
      </c>
      <c r="O7" t="s">
        <v>887</v>
      </c>
    </row>
    <row r="8" spans="1:15" x14ac:dyDescent="0.2">
      <c r="A8" t="s">
        <v>190</v>
      </c>
      <c r="B8" t="s">
        <v>191</v>
      </c>
      <c r="C8">
        <v>15</v>
      </c>
      <c r="D8">
        <v>1</v>
      </c>
      <c r="E8">
        <v>15</v>
      </c>
      <c r="F8">
        <v>14</v>
      </c>
      <c r="G8">
        <v>0</v>
      </c>
      <c r="H8">
        <v>14</v>
      </c>
      <c r="I8">
        <v>8.5000000000000006E-3</v>
      </c>
      <c r="J8">
        <v>50</v>
      </c>
      <c r="K8">
        <f t="shared" si="0"/>
        <v>4.2500000000000003E-3</v>
      </c>
      <c r="L8" t="s">
        <v>17</v>
      </c>
      <c r="M8">
        <v>300</v>
      </c>
      <c r="N8" t="s">
        <v>17</v>
      </c>
      <c r="O8" t="s">
        <v>888</v>
      </c>
    </row>
    <row r="9" spans="1:15" x14ac:dyDescent="0.2">
      <c r="A9" t="s">
        <v>190</v>
      </c>
      <c r="B9" t="s">
        <v>191</v>
      </c>
      <c r="C9">
        <v>15</v>
      </c>
      <c r="D9">
        <v>1</v>
      </c>
      <c r="E9">
        <v>15</v>
      </c>
      <c r="F9">
        <v>14</v>
      </c>
      <c r="G9">
        <v>0</v>
      </c>
      <c r="H9">
        <v>14</v>
      </c>
      <c r="I9">
        <v>7.6E-3</v>
      </c>
      <c r="J9">
        <v>50</v>
      </c>
      <c r="K9">
        <f t="shared" si="0"/>
        <v>3.8E-3</v>
      </c>
      <c r="L9" t="s">
        <v>17</v>
      </c>
      <c r="M9">
        <v>296</v>
      </c>
      <c r="N9" t="s">
        <v>201</v>
      </c>
      <c r="O9" t="s">
        <v>889</v>
      </c>
    </row>
    <row r="10" spans="1:15" x14ac:dyDescent="0.2">
      <c r="A10" t="s">
        <v>190</v>
      </c>
      <c r="B10" t="s">
        <v>239</v>
      </c>
      <c r="C10">
        <v>5</v>
      </c>
      <c r="D10">
        <v>4</v>
      </c>
      <c r="E10">
        <v>2</v>
      </c>
      <c r="F10">
        <v>4</v>
      </c>
      <c r="G10">
        <v>1</v>
      </c>
      <c r="H10">
        <v>3</v>
      </c>
      <c r="I10">
        <v>3.6999999999999998E-2</v>
      </c>
      <c r="J10">
        <v>50</v>
      </c>
      <c r="K10">
        <f t="shared" si="0"/>
        <v>1.8499999999999999E-2</v>
      </c>
      <c r="L10" t="s">
        <v>17</v>
      </c>
      <c r="M10">
        <v>300</v>
      </c>
      <c r="N10" t="s">
        <v>17</v>
      </c>
      <c r="O10" t="s">
        <v>890</v>
      </c>
    </row>
    <row r="11" spans="1:15" x14ac:dyDescent="0.2">
      <c r="A11" t="s">
        <v>190</v>
      </c>
      <c r="B11" t="s">
        <v>239</v>
      </c>
      <c r="C11">
        <v>5</v>
      </c>
      <c r="D11">
        <v>4</v>
      </c>
      <c r="E11">
        <v>2</v>
      </c>
      <c r="F11">
        <v>4</v>
      </c>
      <c r="G11">
        <v>1</v>
      </c>
      <c r="H11">
        <v>3</v>
      </c>
      <c r="I11">
        <v>3.8399999999999997E-2</v>
      </c>
      <c r="J11">
        <v>50</v>
      </c>
      <c r="K11">
        <f t="shared" si="0"/>
        <v>1.9199999999999998E-2</v>
      </c>
      <c r="L11" t="s">
        <v>17</v>
      </c>
      <c r="M11">
        <v>300</v>
      </c>
      <c r="N11" t="s">
        <v>17</v>
      </c>
      <c r="O11" t="s">
        <v>891</v>
      </c>
    </row>
    <row r="12" spans="1:15" x14ac:dyDescent="0.2">
      <c r="A12" t="s">
        <v>190</v>
      </c>
      <c r="B12" t="s">
        <v>239</v>
      </c>
      <c r="C12">
        <v>5</v>
      </c>
      <c r="D12">
        <v>4</v>
      </c>
      <c r="E12">
        <v>2</v>
      </c>
      <c r="F12">
        <v>4</v>
      </c>
      <c r="G12">
        <v>1</v>
      </c>
      <c r="H12">
        <v>3</v>
      </c>
      <c r="I12">
        <v>3.3500000000000002E-2</v>
      </c>
      <c r="J12">
        <v>50</v>
      </c>
      <c r="K12">
        <f t="shared" si="0"/>
        <v>1.6750000000000001E-2</v>
      </c>
      <c r="L12" t="s">
        <v>17</v>
      </c>
      <c r="M12">
        <v>296</v>
      </c>
      <c r="N12" t="s">
        <v>201</v>
      </c>
      <c r="O12" t="s">
        <v>892</v>
      </c>
    </row>
    <row r="13" spans="1:15" x14ac:dyDescent="0.2">
      <c r="A13" t="s">
        <v>190</v>
      </c>
      <c r="B13" t="s">
        <v>239</v>
      </c>
      <c r="C13">
        <v>9</v>
      </c>
      <c r="D13">
        <v>7</v>
      </c>
      <c r="E13">
        <v>3</v>
      </c>
      <c r="F13">
        <v>8</v>
      </c>
      <c r="G13">
        <v>6</v>
      </c>
      <c r="H13">
        <v>2</v>
      </c>
      <c r="I13">
        <v>1.5100000000000001E-2</v>
      </c>
      <c r="J13">
        <v>50</v>
      </c>
      <c r="K13">
        <f t="shared" si="0"/>
        <v>7.5500000000000003E-3</v>
      </c>
      <c r="L13" t="s">
        <v>17</v>
      </c>
      <c r="M13">
        <v>300</v>
      </c>
      <c r="N13" t="s">
        <v>17</v>
      </c>
      <c r="O13" t="s">
        <v>893</v>
      </c>
    </row>
    <row r="14" spans="1:15" x14ac:dyDescent="0.2">
      <c r="A14" t="s">
        <v>190</v>
      </c>
      <c r="B14" t="s">
        <v>239</v>
      </c>
      <c r="C14">
        <v>9</v>
      </c>
      <c r="D14">
        <v>7</v>
      </c>
      <c r="E14">
        <v>3</v>
      </c>
      <c r="F14">
        <v>8</v>
      </c>
      <c r="G14">
        <v>6</v>
      </c>
      <c r="H14">
        <v>2</v>
      </c>
      <c r="I14">
        <v>1.55E-2</v>
      </c>
      <c r="J14">
        <v>50</v>
      </c>
      <c r="K14">
        <f t="shared" si="0"/>
        <v>7.7499999999999999E-3</v>
      </c>
      <c r="L14" t="s">
        <v>17</v>
      </c>
      <c r="M14">
        <v>300</v>
      </c>
      <c r="N14" t="s">
        <v>17</v>
      </c>
      <c r="O14" t="s">
        <v>894</v>
      </c>
    </row>
    <row r="15" spans="1:15" x14ac:dyDescent="0.2">
      <c r="A15" t="s">
        <v>190</v>
      </c>
      <c r="B15" t="s">
        <v>239</v>
      </c>
      <c r="C15">
        <v>9</v>
      </c>
      <c r="D15">
        <v>7</v>
      </c>
      <c r="E15">
        <v>3</v>
      </c>
      <c r="F15">
        <v>8</v>
      </c>
      <c r="G15">
        <v>6</v>
      </c>
      <c r="H15">
        <v>2</v>
      </c>
      <c r="I15">
        <v>9.7000000000000003E-3</v>
      </c>
      <c r="J15">
        <v>50</v>
      </c>
      <c r="K15">
        <f t="shared" si="0"/>
        <v>4.8500000000000001E-3</v>
      </c>
      <c r="L15" t="s">
        <v>17</v>
      </c>
      <c r="M15">
        <v>296</v>
      </c>
      <c r="N15" t="s">
        <v>201</v>
      </c>
      <c r="O15" t="s">
        <v>895</v>
      </c>
    </row>
    <row r="16" spans="1:15" x14ac:dyDescent="0.2">
      <c r="A16" t="s">
        <v>190</v>
      </c>
      <c r="B16" t="s">
        <v>239</v>
      </c>
      <c r="C16">
        <v>15</v>
      </c>
      <c r="D16">
        <v>1</v>
      </c>
      <c r="E16">
        <v>15</v>
      </c>
      <c r="F16">
        <v>14</v>
      </c>
      <c r="G16">
        <v>0</v>
      </c>
      <c r="H16">
        <v>14</v>
      </c>
      <c r="I16">
        <v>1.35E-2</v>
      </c>
      <c r="J16">
        <v>50</v>
      </c>
      <c r="K16">
        <f t="shared" si="0"/>
        <v>6.7500000000000008E-3</v>
      </c>
      <c r="L16" t="s">
        <v>17</v>
      </c>
      <c r="M16">
        <v>300</v>
      </c>
      <c r="N16" t="s">
        <v>17</v>
      </c>
      <c r="O16" t="s">
        <v>896</v>
      </c>
    </row>
    <row r="17" spans="1:15" x14ac:dyDescent="0.2">
      <c r="A17" t="s">
        <v>190</v>
      </c>
      <c r="B17" t="s">
        <v>239</v>
      </c>
      <c r="C17">
        <v>15</v>
      </c>
      <c r="D17">
        <v>1</v>
      </c>
      <c r="E17">
        <v>15</v>
      </c>
      <c r="F17">
        <v>14</v>
      </c>
      <c r="G17">
        <v>0</v>
      </c>
      <c r="H17">
        <v>14</v>
      </c>
      <c r="I17">
        <v>1.37E-2</v>
      </c>
      <c r="J17">
        <v>50</v>
      </c>
      <c r="K17">
        <f t="shared" si="0"/>
        <v>6.8500000000000002E-3</v>
      </c>
      <c r="L17" t="s">
        <v>17</v>
      </c>
      <c r="M17">
        <v>300</v>
      </c>
      <c r="N17" t="s">
        <v>17</v>
      </c>
      <c r="O17" t="s">
        <v>897</v>
      </c>
    </row>
    <row r="18" spans="1:15" x14ac:dyDescent="0.2">
      <c r="A18" t="s">
        <v>190</v>
      </c>
      <c r="B18" t="s">
        <v>239</v>
      </c>
      <c r="C18">
        <v>15</v>
      </c>
      <c r="D18">
        <v>1</v>
      </c>
      <c r="E18">
        <v>15</v>
      </c>
      <c r="F18">
        <v>14</v>
      </c>
      <c r="G18">
        <v>0</v>
      </c>
      <c r="H18">
        <v>14</v>
      </c>
      <c r="I18">
        <v>5.3E-3</v>
      </c>
      <c r="J18">
        <v>50</v>
      </c>
      <c r="K18">
        <f t="shared" si="0"/>
        <v>2.65E-3</v>
      </c>
      <c r="L18" t="s">
        <v>17</v>
      </c>
      <c r="M18">
        <v>296</v>
      </c>
      <c r="N18" t="s">
        <v>201</v>
      </c>
      <c r="O18" t="s">
        <v>898</v>
      </c>
    </row>
    <row r="19" spans="1:15" x14ac:dyDescent="0.2">
      <c r="A19" t="s">
        <v>190</v>
      </c>
      <c r="B19" t="s">
        <v>376</v>
      </c>
      <c r="C19">
        <v>5</v>
      </c>
      <c r="D19">
        <v>4</v>
      </c>
      <c r="E19">
        <v>2</v>
      </c>
      <c r="F19">
        <v>4</v>
      </c>
      <c r="G19">
        <v>1</v>
      </c>
      <c r="H19">
        <v>3</v>
      </c>
      <c r="I19">
        <v>3.4000000000000002E-2</v>
      </c>
      <c r="J19">
        <v>50</v>
      </c>
      <c r="K19">
        <f t="shared" si="0"/>
        <v>1.7000000000000001E-2</v>
      </c>
      <c r="L19" t="s">
        <v>17</v>
      </c>
      <c r="M19">
        <v>300</v>
      </c>
      <c r="N19" t="s">
        <v>17</v>
      </c>
      <c r="O19" t="s">
        <v>899</v>
      </c>
    </row>
    <row r="20" spans="1:15" x14ac:dyDescent="0.2">
      <c r="A20" t="s">
        <v>190</v>
      </c>
      <c r="B20" t="s">
        <v>376</v>
      </c>
      <c r="C20">
        <v>5</v>
      </c>
      <c r="D20">
        <v>4</v>
      </c>
      <c r="E20">
        <v>2</v>
      </c>
      <c r="F20">
        <v>4</v>
      </c>
      <c r="G20">
        <v>1</v>
      </c>
      <c r="H20">
        <v>3</v>
      </c>
      <c r="I20">
        <v>3.61E-2</v>
      </c>
      <c r="J20">
        <v>50</v>
      </c>
      <c r="K20">
        <f t="shared" si="0"/>
        <v>1.805E-2</v>
      </c>
      <c r="L20" t="s">
        <v>17</v>
      </c>
      <c r="M20">
        <v>300</v>
      </c>
      <c r="N20" t="s">
        <v>17</v>
      </c>
      <c r="O20" t="s">
        <v>900</v>
      </c>
    </row>
    <row r="21" spans="1:15" x14ac:dyDescent="0.2">
      <c r="A21" t="s">
        <v>190</v>
      </c>
      <c r="B21" t="s">
        <v>376</v>
      </c>
      <c r="C21">
        <v>5</v>
      </c>
      <c r="D21">
        <v>4</v>
      </c>
      <c r="E21">
        <v>2</v>
      </c>
      <c r="F21">
        <v>4</v>
      </c>
      <c r="G21">
        <v>1</v>
      </c>
      <c r="H21">
        <v>3</v>
      </c>
      <c r="I21">
        <v>3.8800000000000001E-2</v>
      </c>
      <c r="J21">
        <v>50</v>
      </c>
      <c r="K21">
        <f t="shared" si="0"/>
        <v>1.9400000000000001E-2</v>
      </c>
      <c r="L21" t="s">
        <v>17</v>
      </c>
      <c r="M21">
        <v>296</v>
      </c>
      <c r="N21" t="s">
        <v>201</v>
      </c>
      <c r="O21" t="s">
        <v>901</v>
      </c>
    </row>
    <row r="22" spans="1:15" x14ac:dyDescent="0.2">
      <c r="A22" t="s">
        <v>190</v>
      </c>
      <c r="B22" t="s">
        <v>376</v>
      </c>
      <c r="C22">
        <v>9</v>
      </c>
      <c r="D22">
        <v>7</v>
      </c>
      <c r="E22">
        <v>3</v>
      </c>
      <c r="F22">
        <v>8</v>
      </c>
      <c r="G22">
        <v>6</v>
      </c>
      <c r="H22">
        <v>2</v>
      </c>
      <c r="I22">
        <v>1.6E-2</v>
      </c>
      <c r="J22">
        <v>50</v>
      </c>
      <c r="K22">
        <f t="shared" si="0"/>
        <v>8.0000000000000002E-3</v>
      </c>
      <c r="L22" t="s">
        <v>17</v>
      </c>
      <c r="M22">
        <v>300</v>
      </c>
      <c r="N22" t="s">
        <v>17</v>
      </c>
      <c r="O22" t="s">
        <v>902</v>
      </c>
    </row>
    <row r="23" spans="1:15" x14ac:dyDescent="0.2">
      <c r="A23" t="s">
        <v>190</v>
      </c>
      <c r="B23" t="s">
        <v>376</v>
      </c>
      <c r="C23">
        <v>9</v>
      </c>
      <c r="D23">
        <v>7</v>
      </c>
      <c r="E23">
        <v>3</v>
      </c>
      <c r="F23">
        <v>8</v>
      </c>
      <c r="G23">
        <v>6</v>
      </c>
      <c r="H23">
        <v>2</v>
      </c>
      <c r="I23">
        <v>1.6199999999999999E-2</v>
      </c>
      <c r="J23">
        <v>50</v>
      </c>
      <c r="K23">
        <f t="shared" si="0"/>
        <v>8.0999999999999996E-3</v>
      </c>
      <c r="L23" t="s">
        <v>17</v>
      </c>
      <c r="M23">
        <v>300</v>
      </c>
      <c r="N23" t="s">
        <v>17</v>
      </c>
      <c r="O23" t="s">
        <v>903</v>
      </c>
    </row>
    <row r="24" spans="1:15" x14ac:dyDescent="0.2">
      <c r="A24" t="s">
        <v>190</v>
      </c>
      <c r="B24" t="s">
        <v>376</v>
      </c>
      <c r="C24">
        <v>15</v>
      </c>
      <c r="D24">
        <v>1</v>
      </c>
      <c r="E24">
        <v>15</v>
      </c>
      <c r="F24">
        <v>14</v>
      </c>
      <c r="G24">
        <v>0</v>
      </c>
      <c r="H24">
        <v>14</v>
      </c>
      <c r="I24">
        <v>1.0500000000000001E-2</v>
      </c>
      <c r="J24">
        <v>50</v>
      </c>
      <c r="K24">
        <f t="shared" si="0"/>
        <v>5.2500000000000003E-3</v>
      </c>
      <c r="L24" t="s">
        <v>17</v>
      </c>
      <c r="M24">
        <v>300</v>
      </c>
      <c r="N24" t="s">
        <v>17</v>
      </c>
      <c r="O24" t="s">
        <v>904</v>
      </c>
    </row>
    <row r="25" spans="1:15" x14ac:dyDescent="0.2">
      <c r="A25" t="s">
        <v>190</v>
      </c>
      <c r="B25" t="s">
        <v>376</v>
      </c>
      <c r="C25">
        <v>15</v>
      </c>
      <c r="D25">
        <v>1</v>
      </c>
      <c r="E25">
        <v>15</v>
      </c>
      <c r="F25">
        <v>14</v>
      </c>
      <c r="G25">
        <v>0</v>
      </c>
      <c r="H25">
        <v>14</v>
      </c>
      <c r="I25">
        <v>1.01E-2</v>
      </c>
      <c r="J25">
        <v>50</v>
      </c>
      <c r="K25">
        <f t="shared" si="0"/>
        <v>5.0499999999999998E-3</v>
      </c>
      <c r="L25" t="s">
        <v>17</v>
      </c>
      <c r="M25">
        <v>300</v>
      </c>
      <c r="N25" t="s">
        <v>17</v>
      </c>
      <c r="O25" t="s">
        <v>905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C9834-A11B-9B4B-9A8D-3D0054D3958F}">
  <dimension ref="A1:O69"/>
  <sheetViews>
    <sheetView workbookViewId="0">
      <selection activeCell="M165" sqref="M165"/>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818</v>
      </c>
      <c r="B2" t="s">
        <v>239</v>
      </c>
      <c r="C2">
        <v>2</v>
      </c>
      <c r="D2">
        <f>C2-E2</f>
        <v>1</v>
      </c>
      <c r="E2">
        <v>1</v>
      </c>
      <c r="F2">
        <v>1</v>
      </c>
      <c r="G2">
        <f>F2-H2</f>
        <v>1</v>
      </c>
      <c r="H2">
        <f>E2-1</f>
        <v>0</v>
      </c>
      <c r="I2">
        <v>5.0200000000000002E-2</v>
      </c>
      <c r="J2">
        <v>50</v>
      </c>
      <c r="K2">
        <f>J2*I2/100</f>
        <v>2.5100000000000001E-2</v>
      </c>
      <c r="L2" t="s">
        <v>17</v>
      </c>
      <c r="M2">
        <v>296</v>
      </c>
      <c r="N2" t="s">
        <v>201</v>
      </c>
      <c r="O2" t="s">
        <v>906</v>
      </c>
    </row>
    <row r="3" spans="1:15" x14ac:dyDescent="0.2">
      <c r="A3" t="s">
        <v>818</v>
      </c>
      <c r="B3" t="s">
        <v>191</v>
      </c>
      <c r="C3">
        <v>2</v>
      </c>
      <c r="D3">
        <f t="shared" ref="D3:D66" si="0">C3-E3</f>
        <v>1</v>
      </c>
      <c r="E3">
        <v>1</v>
      </c>
      <c r="F3">
        <v>1</v>
      </c>
      <c r="G3">
        <f t="shared" ref="G3:G66" si="1">F3-H3</f>
        <v>1</v>
      </c>
      <c r="H3">
        <f t="shared" ref="H3:H66" si="2">E3-1</f>
        <v>0</v>
      </c>
      <c r="I3">
        <v>3.2300000000000002E-2</v>
      </c>
      <c r="J3">
        <v>50</v>
      </c>
      <c r="K3">
        <f>J3*I3/100</f>
        <v>1.6150000000000001E-2</v>
      </c>
      <c r="L3" t="s">
        <v>17</v>
      </c>
      <c r="M3">
        <v>296</v>
      </c>
      <c r="N3" t="s">
        <v>201</v>
      </c>
      <c r="O3" t="s">
        <v>906</v>
      </c>
    </row>
    <row r="4" spans="1:15" x14ac:dyDescent="0.2">
      <c r="A4" t="s">
        <v>818</v>
      </c>
      <c r="B4" t="s">
        <v>239</v>
      </c>
      <c r="C4">
        <v>2</v>
      </c>
      <c r="D4">
        <f t="shared" si="0"/>
        <v>0</v>
      </c>
      <c r="E4">
        <v>2</v>
      </c>
      <c r="F4">
        <v>1</v>
      </c>
      <c r="G4">
        <f t="shared" si="1"/>
        <v>0</v>
      </c>
      <c r="H4">
        <f t="shared" si="2"/>
        <v>1</v>
      </c>
      <c r="I4">
        <v>5.3999999999999999E-2</v>
      </c>
      <c r="J4">
        <v>50</v>
      </c>
      <c r="K4">
        <f t="shared" ref="K4:K67" si="3">J4*I4/100</f>
        <v>2.7000000000000003E-2</v>
      </c>
      <c r="L4" t="s">
        <v>17</v>
      </c>
      <c r="M4">
        <v>296</v>
      </c>
      <c r="N4" t="s">
        <v>201</v>
      </c>
      <c r="O4" t="s">
        <v>906</v>
      </c>
    </row>
    <row r="5" spans="1:15" x14ac:dyDescent="0.2">
      <c r="A5" t="s">
        <v>818</v>
      </c>
      <c r="B5" t="s">
        <v>191</v>
      </c>
      <c r="C5">
        <v>2</v>
      </c>
      <c r="D5">
        <f t="shared" si="0"/>
        <v>0</v>
      </c>
      <c r="E5">
        <v>2</v>
      </c>
      <c r="F5">
        <v>1</v>
      </c>
      <c r="G5">
        <f t="shared" si="1"/>
        <v>0</v>
      </c>
      <c r="H5">
        <f t="shared" si="2"/>
        <v>1</v>
      </c>
      <c r="I5">
        <v>3.2099999999999997E-2</v>
      </c>
      <c r="J5">
        <v>50</v>
      </c>
      <c r="K5">
        <f t="shared" si="3"/>
        <v>1.6049999999999998E-2</v>
      </c>
      <c r="L5" t="s">
        <v>17</v>
      </c>
      <c r="M5">
        <v>296</v>
      </c>
      <c r="N5" t="s">
        <v>201</v>
      </c>
      <c r="O5" t="s">
        <v>906</v>
      </c>
    </row>
    <row r="6" spans="1:15" x14ac:dyDescent="0.2">
      <c r="A6" t="s">
        <v>818</v>
      </c>
      <c r="B6" t="s">
        <v>239</v>
      </c>
      <c r="C6">
        <v>3</v>
      </c>
      <c r="D6">
        <f t="shared" si="0"/>
        <v>2</v>
      </c>
      <c r="E6">
        <v>1</v>
      </c>
      <c r="F6">
        <v>2</v>
      </c>
      <c r="G6">
        <f t="shared" si="1"/>
        <v>2</v>
      </c>
      <c r="H6">
        <f t="shared" si="2"/>
        <v>0</v>
      </c>
      <c r="I6">
        <v>5.0500000000000003E-2</v>
      </c>
      <c r="J6">
        <v>50</v>
      </c>
      <c r="K6">
        <f t="shared" si="3"/>
        <v>2.5250000000000005E-2</v>
      </c>
      <c r="L6" t="s">
        <v>17</v>
      </c>
      <c r="M6">
        <v>296</v>
      </c>
      <c r="N6" t="s">
        <v>201</v>
      </c>
      <c r="O6" t="s">
        <v>906</v>
      </c>
    </row>
    <row r="7" spans="1:15" x14ac:dyDescent="0.2">
      <c r="A7" t="s">
        <v>818</v>
      </c>
      <c r="B7" t="s">
        <v>191</v>
      </c>
      <c r="C7">
        <v>3</v>
      </c>
      <c r="D7">
        <f t="shared" si="0"/>
        <v>2</v>
      </c>
      <c r="E7">
        <v>1</v>
      </c>
      <c r="F7">
        <v>2</v>
      </c>
      <c r="G7">
        <f t="shared" si="1"/>
        <v>2</v>
      </c>
      <c r="H7">
        <f t="shared" si="2"/>
        <v>0</v>
      </c>
      <c r="I7">
        <v>3.3000000000000002E-2</v>
      </c>
      <c r="J7">
        <v>50</v>
      </c>
      <c r="K7">
        <f t="shared" si="3"/>
        <v>1.6500000000000001E-2</v>
      </c>
      <c r="L7" t="s">
        <v>17</v>
      </c>
      <c r="M7">
        <v>296</v>
      </c>
      <c r="N7" t="s">
        <v>201</v>
      </c>
      <c r="O7" t="s">
        <v>906</v>
      </c>
    </row>
    <row r="8" spans="1:15" x14ac:dyDescent="0.2">
      <c r="A8" t="s">
        <v>818</v>
      </c>
      <c r="B8" t="s">
        <v>239</v>
      </c>
      <c r="C8">
        <v>3</v>
      </c>
      <c r="D8">
        <f t="shared" si="0"/>
        <v>1</v>
      </c>
      <c r="E8">
        <v>2</v>
      </c>
      <c r="F8">
        <v>2</v>
      </c>
      <c r="G8">
        <f t="shared" si="1"/>
        <v>1</v>
      </c>
      <c r="H8">
        <f t="shared" si="2"/>
        <v>1</v>
      </c>
      <c r="I8">
        <v>5.3900000000000003E-2</v>
      </c>
      <c r="J8">
        <v>50</v>
      </c>
      <c r="K8">
        <f t="shared" si="3"/>
        <v>2.6950000000000002E-2</v>
      </c>
      <c r="L8" t="s">
        <v>17</v>
      </c>
      <c r="M8">
        <v>296</v>
      </c>
      <c r="N8" t="s">
        <v>201</v>
      </c>
      <c r="O8" t="s">
        <v>906</v>
      </c>
    </row>
    <row r="9" spans="1:15" x14ac:dyDescent="0.2">
      <c r="A9" t="s">
        <v>818</v>
      </c>
      <c r="B9" t="s">
        <v>191</v>
      </c>
      <c r="C9">
        <v>3</v>
      </c>
      <c r="D9">
        <f t="shared" si="0"/>
        <v>1</v>
      </c>
      <c r="E9">
        <v>2</v>
      </c>
      <c r="F9">
        <v>2</v>
      </c>
      <c r="G9">
        <f t="shared" si="1"/>
        <v>1</v>
      </c>
      <c r="H9">
        <f t="shared" si="2"/>
        <v>1</v>
      </c>
      <c r="I9">
        <v>3.5999999999999997E-2</v>
      </c>
      <c r="J9">
        <v>50</v>
      </c>
      <c r="K9">
        <f t="shared" si="3"/>
        <v>1.7999999999999999E-2</v>
      </c>
      <c r="L9" t="s">
        <v>17</v>
      </c>
      <c r="M9">
        <v>296</v>
      </c>
      <c r="N9" t="s">
        <v>201</v>
      </c>
      <c r="O9" t="s">
        <v>906</v>
      </c>
    </row>
    <row r="10" spans="1:15" x14ac:dyDescent="0.2">
      <c r="A10" t="s">
        <v>818</v>
      </c>
      <c r="B10" t="s">
        <v>239</v>
      </c>
      <c r="C10">
        <v>3</v>
      </c>
      <c r="D10">
        <f t="shared" si="0"/>
        <v>0</v>
      </c>
      <c r="E10">
        <v>3</v>
      </c>
      <c r="F10">
        <v>2</v>
      </c>
      <c r="G10">
        <f t="shared" si="1"/>
        <v>0</v>
      </c>
      <c r="H10">
        <f t="shared" si="2"/>
        <v>2</v>
      </c>
      <c r="I10">
        <v>5.5199999999999999E-2</v>
      </c>
      <c r="J10">
        <v>50</v>
      </c>
      <c r="K10">
        <f t="shared" si="3"/>
        <v>2.76E-2</v>
      </c>
      <c r="L10" t="s">
        <v>17</v>
      </c>
      <c r="M10">
        <v>296</v>
      </c>
      <c r="N10" t="s">
        <v>201</v>
      </c>
      <c r="O10" t="s">
        <v>906</v>
      </c>
    </row>
    <row r="11" spans="1:15" x14ac:dyDescent="0.2">
      <c r="A11" t="s">
        <v>818</v>
      </c>
      <c r="B11" t="s">
        <v>191</v>
      </c>
      <c r="C11">
        <v>3</v>
      </c>
      <c r="D11">
        <f t="shared" si="0"/>
        <v>0</v>
      </c>
      <c r="E11">
        <v>3</v>
      </c>
      <c r="F11">
        <v>2</v>
      </c>
      <c r="G11">
        <f t="shared" si="1"/>
        <v>0</v>
      </c>
      <c r="H11">
        <f t="shared" si="2"/>
        <v>2</v>
      </c>
      <c r="I11">
        <v>3.2500000000000001E-2</v>
      </c>
      <c r="J11">
        <v>50</v>
      </c>
      <c r="K11">
        <f t="shared" si="3"/>
        <v>1.6250000000000001E-2</v>
      </c>
      <c r="L11" t="s">
        <v>17</v>
      </c>
      <c r="M11">
        <v>296</v>
      </c>
      <c r="N11" t="s">
        <v>201</v>
      </c>
      <c r="O11" t="s">
        <v>906</v>
      </c>
    </row>
    <row r="12" spans="1:15" x14ac:dyDescent="0.2">
      <c r="A12" t="s">
        <v>818</v>
      </c>
      <c r="B12" t="s">
        <v>239</v>
      </c>
      <c r="C12">
        <v>4</v>
      </c>
      <c r="D12">
        <f t="shared" si="0"/>
        <v>3</v>
      </c>
      <c r="E12">
        <v>1</v>
      </c>
      <c r="F12">
        <v>3</v>
      </c>
      <c r="G12">
        <f t="shared" si="1"/>
        <v>3</v>
      </c>
      <c r="H12">
        <f t="shared" si="2"/>
        <v>0</v>
      </c>
      <c r="I12">
        <v>4.8599999999999997E-2</v>
      </c>
      <c r="J12">
        <v>50</v>
      </c>
      <c r="K12">
        <f t="shared" si="3"/>
        <v>2.4299999999999999E-2</v>
      </c>
      <c r="L12" t="s">
        <v>17</v>
      </c>
      <c r="M12">
        <v>296</v>
      </c>
      <c r="N12" t="s">
        <v>201</v>
      </c>
      <c r="O12" t="s">
        <v>906</v>
      </c>
    </row>
    <row r="13" spans="1:15" x14ac:dyDescent="0.2">
      <c r="A13" t="s">
        <v>818</v>
      </c>
      <c r="B13" t="s">
        <v>191</v>
      </c>
      <c r="C13">
        <v>4</v>
      </c>
      <c r="D13">
        <f t="shared" si="0"/>
        <v>3</v>
      </c>
      <c r="E13">
        <v>1</v>
      </c>
      <c r="F13">
        <v>3</v>
      </c>
      <c r="G13">
        <f t="shared" si="1"/>
        <v>3</v>
      </c>
      <c r="H13">
        <f t="shared" si="2"/>
        <v>0</v>
      </c>
      <c r="I13">
        <v>2.9899999999999999E-2</v>
      </c>
      <c r="J13">
        <v>50</v>
      </c>
      <c r="K13">
        <f t="shared" si="3"/>
        <v>1.4949999999999998E-2</v>
      </c>
      <c r="L13" t="s">
        <v>17</v>
      </c>
      <c r="M13">
        <v>296</v>
      </c>
      <c r="N13" t="s">
        <v>201</v>
      </c>
      <c r="O13" t="s">
        <v>906</v>
      </c>
    </row>
    <row r="14" spans="1:15" x14ac:dyDescent="0.2">
      <c r="A14" t="s">
        <v>818</v>
      </c>
      <c r="B14" t="s">
        <v>239</v>
      </c>
      <c r="C14">
        <v>4</v>
      </c>
      <c r="D14">
        <f t="shared" si="0"/>
        <v>2</v>
      </c>
      <c r="E14">
        <v>2</v>
      </c>
      <c r="F14">
        <v>3</v>
      </c>
      <c r="G14">
        <f t="shared" si="1"/>
        <v>2</v>
      </c>
      <c r="H14">
        <f t="shared" si="2"/>
        <v>1</v>
      </c>
      <c r="I14">
        <v>5.0299999999999997E-2</v>
      </c>
      <c r="J14">
        <v>50</v>
      </c>
      <c r="K14">
        <f t="shared" si="3"/>
        <v>2.5149999999999995E-2</v>
      </c>
      <c r="L14" t="s">
        <v>17</v>
      </c>
      <c r="M14">
        <v>296</v>
      </c>
      <c r="N14" t="s">
        <v>201</v>
      </c>
      <c r="O14" t="s">
        <v>906</v>
      </c>
    </row>
    <row r="15" spans="1:15" x14ac:dyDescent="0.2">
      <c r="A15" t="s">
        <v>818</v>
      </c>
      <c r="B15" t="s">
        <v>191</v>
      </c>
      <c r="C15">
        <v>4</v>
      </c>
      <c r="D15">
        <f t="shared" si="0"/>
        <v>2</v>
      </c>
      <c r="E15">
        <v>2</v>
      </c>
      <c r="F15">
        <v>3</v>
      </c>
      <c r="G15">
        <f t="shared" si="1"/>
        <v>2</v>
      </c>
      <c r="H15">
        <f t="shared" si="2"/>
        <v>1</v>
      </c>
      <c r="I15">
        <v>3.1199999999999999E-2</v>
      </c>
      <c r="J15">
        <v>50</v>
      </c>
      <c r="K15">
        <f t="shared" si="3"/>
        <v>1.5599999999999998E-2</v>
      </c>
      <c r="L15" t="s">
        <v>17</v>
      </c>
      <c r="M15">
        <v>296</v>
      </c>
      <c r="N15" t="s">
        <v>201</v>
      </c>
      <c r="O15" t="s">
        <v>906</v>
      </c>
    </row>
    <row r="16" spans="1:15" x14ac:dyDescent="0.2">
      <c r="A16" t="s">
        <v>818</v>
      </c>
      <c r="B16" t="s">
        <v>239</v>
      </c>
      <c r="C16">
        <v>4</v>
      </c>
      <c r="D16">
        <f t="shared" si="0"/>
        <v>1</v>
      </c>
      <c r="E16">
        <v>3</v>
      </c>
      <c r="F16">
        <v>3</v>
      </c>
      <c r="G16">
        <f t="shared" si="1"/>
        <v>1</v>
      </c>
      <c r="H16">
        <f t="shared" si="2"/>
        <v>2</v>
      </c>
      <c r="I16">
        <v>5.3900000000000003E-2</v>
      </c>
      <c r="J16">
        <v>50</v>
      </c>
      <c r="K16">
        <f t="shared" si="3"/>
        <v>2.6950000000000002E-2</v>
      </c>
      <c r="L16" t="s">
        <v>17</v>
      </c>
      <c r="M16">
        <v>296</v>
      </c>
      <c r="N16" t="s">
        <v>201</v>
      </c>
      <c r="O16" t="s">
        <v>906</v>
      </c>
    </row>
    <row r="17" spans="1:15" x14ac:dyDescent="0.2">
      <c r="A17" t="s">
        <v>818</v>
      </c>
      <c r="B17" t="s">
        <v>191</v>
      </c>
      <c r="C17">
        <v>4</v>
      </c>
      <c r="D17">
        <f t="shared" si="0"/>
        <v>1</v>
      </c>
      <c r="E17">
        <v>3</v>
      </c>
      <c r="F17">
        <v>3</v>
      </c>
      <c r="G17">
        <f t="shared" si="1"/>
        <v>1</v>
      </c>
      <c r="H17">
        <f t="shared" si="2"/>
        <v>2</v>
      </c>
      <c r="I17">
        <v>3.4099999999999998E-2</v>
      </c>
      <c r="J17">
        <v>50</v>
      </c>
      <c r="K17">
        <f t="shared" si="3"/>
        <v>1.7049999999999999E-2</v>
      </c>
      <c r="L17" t="s">
        <v>17</v>
      </c>
      <c r="M17">
        <v>296</v>
      </c>
      <c r="N17" t="s">
        <v>201</v>
      </c>
      <c r="O17" t="s">
        <v>906</v>
      </c>
    </row>
    <row r="18" spans="1:15" x14ac:dyDescent="0.2">
      <c r="A18" t="s">
        <v>818</v>
      </c>
      <c r="B18" t="s">
        <v>239</v>
      </c>
      <c r="C18">
        <v>4</v>
      </c>
      <c r="D18">
        <f t="shared" si="0"/>
        <v>0</v>
      </c>
      <c r="E18">
        <v>4</v>
      </c>
      <c r="F18">
        <v>3</v>
      </c>
      <c r="G18">
        <f t="shared" si="1"/>
        <v>0</v>
      </c>
      <c r="H18">
        <f t="shared" si="2"/>
        <v>3</v>
      </c>
      <c r="I18">
        <v>5.4699999999999999E-2</v>
      </c>
      <c r="J18">
        <v>50</v>
      </c>
      <c r="K18">
        <f t="shared" si="3"/>
        <v>2.7349999999999999E-2</v>
      </c>
      <c r="L18" t="s">
        <v>17</v>
      </c>
      <c r="M18">
        <v>296</v>
      </c>
      <c r="N18" t="s">
        <v>201</v>
      </c>
      <c r="O18" t="s">
        <v>906</v>
      </c>
    </row>
    <row r="19" spans="1:15" x14ac:dyDescent="0.2">
      <c r="A19" t="s">
        <v>818</v>
      </c>
      <c r="B19" t="s">
        <v>191</v>
      </c>
      <c r="C19">
        <v>4</v>
      </c>
      <c r="D19">
        <f t="shared" si="0"/>
        <v>0</v>
      </c>
      <c r="E19">
        <v>4</v>
      </c>
      <c r="F19">
        <v>3</v>
      </c>
      <c r="G19">
        <f t="shared" si="1"/>
        <v>0</v>
      </c>
      <c r="H19">
        <f t="shared" si="2"/>
        <v>3</v>
      </c>
      <c r="I19">
        <v>3.1800000000000002E-2</v>
      </c>
      <c r="J19">
        <v>50</v>
      </c>
      <c r="K19">
        <f t="shared" si="3"/>
        <v>1.5900000000000001E-2</v>
      </c>
      <c r="L19" t="s">
        <v>17</v>
      </c>
      <c r="M19">
        <v>296</v>
      </c>
      <c r="N19" t="s">
        <v>201</v>
      </c>
      <c r="O19" t="s">
        <v>906</v>
      </c>
    </row>
    <row r="20" spans="1:15" x14ac:dyDescent="0.2">
      <c r="A20" t="s">
        <v>818</v>
      </c>
      <c r="B20" t="s">
        <v>239</v>
      </c>
      <c r="C20">
        <v>5</v>
      </c>
      <c r="D20">
        <f t="shared" si="0"/>
        <v>4</v>
      </c>
      <c r="E20">
        <v>1</v>
      </c>
      <c r="F20">
        <v>4</v>
      </c>
      <c r="G20">
        <f t="shared" si="1"/>
        <v>4</v>
      </c>
      <c r="H20">
        <f t="shared" si="2"/>
        <v>0</v>
      </c>
      <c r="I20">
        <v>4.7E-2</v>
      </c>
      <c r="J20">
        <v>50</v>
      </c>
      <c r="K20">
        <f t="shared" si="3"/>
        <v>2.35E-2</v>
      </c>
      <c r="L20" t="s">
        <v>17</v>
      </c>
      <c r="M20">
        <v>296</v>
      </c>
      <c r="N20" t="s">
        <v>201</v>
      </c>
      <c r="O20" t="s">
        <v>906</v>
      </c>
    </row>
    <row r="21" spans="1:15" x14ac:dyDescent="0.2">
      <c r="A21" t="s">
        <v>818</v>
      </c>
      <c r="B21" t="s">
        <v>191</v>
      </c>
      <c r="C21">
        <v>5</v>
      </c>
      <c r="D21">
        <f t="shared" si="0"/>
        <v>4</v>
      </c>
      <c r="E21">
        <v>1</v>
      </c>
      <c r="F21">
        <v>4</v>
      </c>
      <c r="G21">
        <f t="shared" si="1"/>
        <v>4</v>
      </c>
      <c r="H21">
        <f t="shared" si="2"/>
        <v>0</v>
      </c>
      <c r="I21">
        <v>2.8899999999999999E-2</v>
      </c>
      <c r="J21">
        <v>50</v>
      </c>
      <c r="K21">
        <f t="shared" si="3"/>
        <v>1.4449999999999998E-2</v>
      </c>
      <c r="L21" t="s">
        <v>17</v>
      </c>
      <c r="M21">
        <v>296</v>
      </c>
      <c r="N21" t="s">
        <v>201</v>
      </c>
      <c r="O21" t="s">
        <v>906</v>
      </c>
    </row>
    <row r="22" spans="1:15" x14ac:dyDescent="0.2">
      <c r="A22" t="s">
        <v>818</v>
      </c>
      <c r="B22" t="s">
        <v>239</v>
      </c>
      <c r="C22">
        <v>5</v>
      </c>
      <c r="D22">
        <f t="shared" si="0"/>
        <v>3</v>
      </c>
      <c r="E22">
        <v>2</v>
      </c>
      <c r="F22">
        <v>4</v>
      </c>
      <c r="G22">
        <f t="shared" si="1"/>
        <v>3</v>
      </c>
      <c r="H22">
        <f t="shared" si="2"/>
        <v>1</v>
      </c>
      <c r="I22">
        <v>4.8800000000000003E-2</v>
      </c>
      <c r="J22">
        <v>50</v>
      </c>
      <c r="K22">
        <f t="shared" si="3"/>
        <v>2.4399999999999998E-2</v>
      </c>
      <c r="L22" t="s">
        <v>17</v>
      </c>
      <c r="M22">
        <v>296</v>
      </c>
      <c r="N22" t="s">
        <v>201</v>
      </c>
      <c r="O22" t="s">
        <v>906</v>
      </c>
    </row>
    <row r="23" spans="1:15" x14ac:dyDescent="0.2">
      <c r="A23" t="s">
        <v>818</v>
      </c>
      <c r="B23" t="s">
        <v>191</v>
      </c>
      <c r="C23">
        <v>5</v>
      </c>
      <c r="D23">
        <f t="shared" si="0"/>
        <v>3</v>
      </c>
      <c r="E23">
        <v>2</v>
      </c>
      <c r="F23">
        <v>4</v>
      </c>
      <c r="G23">
        <f t="shared" si="1"/>
        <v>3</v>
      </c>
      <c r="H23">
        <f t="shared" si="2"/>
        <v>1</v>
      </c>
      <c r="I23">
        <v>2.9100000000000001E-2</v>
      </c>
      <c r="J23">
        <v>50</v>
      </c>
      <c r="K23">
        <f t="shared" si="3"/>
        <v>1.455E-2</v>
      </c>
      <c r="L23" t="s">
        <v>17</v>
      </c>
      <c r="M23">
        <v>296</v>
      </c>
      <c r="N23" t="s">
        <v>201</v>
      </c>
      <c r="O23" t="s">
        <v>906</v>
      </c>
    </row>
    <row r="24" spans="1:15" x14ac:dyDescent="0.2">
      <c r="A24" t="s">
        <v>818</v>
      </c>
      <c r="B24" t="s">
        <v>239</v>
      </c>
      <c r="C24">
        <v>5</v>
      </c>
      <c r="D24">
        <f t="shared" si="0"/>
        <v>2</v>
      </c>
      <c r="E24">
        <v>3</v>
      </c>
      <c r="F24">
        <v>4</v>
      </c>
      <c r="G24">
        <f t="shared" si="1"/>
        <v>2</v>
      </c>
      <c r="H24">
        <f t="shared" si="2"/>
        <v>2</v>
      </c>
      <c r="I24">
        <v>4.9799999999999997E-2</v>
      </c>
      <c r="J24">
        <v>50</v>
      </c>
      <c r="K24">
        <f t="shared" si="3"/>
        <v>2.4899999999999999E-2</v>
      </c>
      <c r="L24" t="s">
        <v>17</v>
      </c>
      <c r="M24">
        <v>296</v>
      </c>
      <c r="N24" t="s">
        <v>201</v>
      </c>
      <c r="O24" t="s">
        <v>906</v>
      </c>
    </row>
    <row r="25" spans="1:15" x14ac:dyDescent="0.2">
      <c r="A25" t="s">
        <v>818</v>
      </c>
      <c r="B25" t="s">
        <v>191</v>
      </c>
      <c r="C25">
        <v>5</v>
      </c>
      <c r="D25">
        <f t="shared" si="0"/>
        <v>2</v>
      </c>
      <c r="E25">
        <v>3</v>
      </c>
      <c r="F25">
        <v>4</v>
      </c>
      <c r="G25">
        <f t="shared" si="1"/>
        <v>2</v>
      </c>
      <c r="H25">
        <f t="shared" si="2"/>
        <v>2</v>
      </c>
      <c r="I25">
        <v>3.1E-2</v>
      </c>
      <c r="J25">
        <v>50</v>
      </c>
      <c r="K25">
        <f t="shared" si="3"/>
        <v>1.55E-2</v>
      </c>
      <c r="L25" t="s">
        <v>17</v>
      </c>
      <c r="M25">
        <v>296</v>
      </c>
      <c r="N25" t="s">
        <v>201</v>
      </c>
      <c r="O25" t="s">
        <v>906</v>
      </c>
    </row>
    <row r="26" spans="1:15" x14ac:dyDescent="0.2">
      <c r="A26" t="s">
        <v>818</v>
      </c>
      <c r="B26" t="s">
        <v>239</v>
      </c>
      <c r="C26">
        <v>5</v>
      </c>
      <c r="D26">
        <f t="shared" si="0"/>
        <v>1</v>
      </c>
      <c r="E26">
        <v>4</v>
      </c>
      <c r="F26">
        <v>4</v>
      </c>
      <c r="G26">
        <f t="shared" si="1"/>
        <v>1</v>
      </c>
      <c r="H26">
        <f t="shared" si="2"/>
        <v>3</v>
      </c>
      <c r="I26">
        <v>4.9700000000000001E-2</v>
      </c>
      <c r="J26">
        <v>50</v>
      </c>
      <c r="K26">
        <f t="shared" si="3"/>
        <v>2.4849999999999997E-2</v>
      </c>
      <c r="L26" t="s">
        <v>17</v>
      </c>
      <c r="M26">
        <v>296</v>
      </c>
      <c r="N26" t="s">
        <v>201</v>
      </c>
      <c r="O26" t="s">
        <v>906</v>
      </c>
    </row>
    <row r="27" spans="1:15" x14ac:dyDescent="0.2">
      <c r="A27" t="s">
        <v>818</v>
      </c>
      <c r="B27" t="s">
        <v>191</v>
      </c>
      <c r="C27">
        <v>5</v>
      </c>
      <c r="D27">
        <f t="shared" si="0"/>
        <v>1</v>
      </c>
      <c r="E27">
        <v>4</v>
      </c>
      <c r="F27">
        <v>4</v>
      </c>
      <c r="G27">
        <f t="shared" si="1"/>
        <v>1</v>
      </c>
      <c r="H27">
        <f t="shared" si="2"/>
        <v>3</v>
      </c>
      <c r="I27">
        <v>3.15E-2</v>
      </c>
      <c r="J27">
        <v>50</v>
      </c>
      <c r="K27">
        <f t="shared" si="3"/>
        <v>1.575E-2</v>
      </c>
      <c r="L27" t="s">
        <v>17</v>
      </c>
      <c r="M27">
        <v>296</v>
      </c>
      <c r="N27" t="s">
        <v>201</v>
      </c>
      <c r="O27" t="s">
        <v>906</v>
      </c>
    </row>
    <row r="28" spans="1:15" x14ac:dyDescent="0.2">
      <c r="A28" t="s">
        <v>818</v>
      </c>
      <c r="B28" t="s">
        <v>239</v>
      </c>
      <c r="C28">
        <v>5</v>
      </c>
      <c r="D28">
        <f t="shared" si="0"/>
        <v>0</v>
      </c>
      <c r="E28">
        <v>5</v>
      </c>
      <c r="F28">
        <v>4</v>
      </c>
      <c r="G28">
        <f t="shared" si="1"/>
        <v>0</v>
      </c>
      <c r="H28">
        <f t="shared" si="2"/>
        <v>4</v>
      </c>
      <c r="I28">
        <v>5.4399999999999997E-2</v>
      </c>
      <c r="J28">
        <v>50</v>
      </c>
      <c r="K28">
        <f t="shared" si="3"/>
        <v>2.7199999999999998E-2</v>
      </c>
      <c r="L28" t="s">
        <v>17</v>
      </c>
      <c r="M28">
        <v>296</v>
      </c>
      <c r="N28" t="s">
        <v>201</v>
      </c>
      <c r="O28" t="s">
        <v>906</v>
      </c>
    </row>
    <row r="29" spans="1:15" x14ac:dyDescent="0.2">
      <c r="A29" t="s">
        <v>818</v>
      </c>
      <c r="B29" t="s">
        <v>191</v>
      </c>
      <c r="C29">
        <v>5</v>
      </c>
      <c r="D29">
        <f t="shared" si="0"/>
        <v>0</v>
      </c>
      <c r="E29">
        <v>5</v>
      </c>
      <c r="F29">
        <v>4</v>
      </c>
      <c r="G29">
        <f t="shared" si="1"/>
        <v>0</v>
      </c>
      <c r="H29">
        <f t="shared" si="2"/>
        <v>4</v>
      </c>
      <c r="I29">
        <v>0.03</v>
      </c>
      <c r="J29">
        <v>50</v>
      </c>
      <c r="K29">
        <f t="shared" si="3"/>
        <v>1.4999999999999999E-2</v>
      </c>
      <c r="L29" t="s">
        <v>17</v>
      </c>
      <c r="M29">
        <v>296</v>
      </c>
      <c r="N29" t="s">
        <v>201</v>
      </c>
      <c r="O29" t="s">
        <v>906</v>
      </c>
    </row>
    <row r="30" spans="1:15" x14ac:dyDescent="0.2">
      <c r="A30" t="s">
        <v>818</v>
      </c>
      <c r="B30" t="s">
        <v>239</v>
      </c>
      <c r="C30">
        <v>6</v>
      </c>
      <c r="D30">
        <f t="shared" si="0"/>
        <v>5</v>
      </c>
      <c r="E30">
        <v>1</v>
      </c>
      <c r="F30">
        <v>5</v>
      </c>
      <c r="G30">
        <f t="shared" si="1"/>
        <v>5</v>
      </c>
      <c r="H30">
        <f t="shared" si="2"/>
        <v>0</v>
      </c>
      <c r="I30">
        <v>4.3200000000000002E-2</v>
      </c>
      <c r="J30">
        <v>50</v>
      </c>
      <c r="K30">
        <f t="shared" si="3"/>
        <v>2.1600000000000001E-2</v>
      </c>
      <c r="L30" t="s">
        <v>17</v>
      </c>
      <c r="M30">
        <v>296</v>
      </c>
      <c r="N30" t="s">
        <v>201</v>
      </c>
      <c r="O30" t="s">
        <v>906</v>
      </c>
    </row>
    <row r="31" spans="1:15" x14ac:dyDescent="0.2">
      <c r="A31" t="s">
        <v>818</v>
      </c>
      <c r="B31" t="s">
        <v>191</v>
      </c>
      <c r="C31">
        <v>6</v>
      </c>
      <c r="D31">
        <f t="shared" si="0"/>
        <v>5</v>
      </c>
      <c r="E31">
        <v>1</v>
      </c>
      <c r="F31">
        <v>5</v>
      </c>
      <c r="G31">
        <f t="shared" si="1"/>
        <v>5</v>
      </c>
      <c r="H31">
        <f t="shared" si="2"/>
        <v>0</v>
      </c>
      <c r="I31">
        <v>2.6200000000000001E-2</v>
      </c>
      <c r="J31">
        <v>50</v>
      </c>
      <c r="K31">
        <f t="shared" si="3"/>
        <v>1.3100000000000001E-2</v>
      </c>
      <c r="L31" t="s">
        <v>17</v>
      </c>
      <c r="M31">
        <v>296</v>
      </c>
      <c r="N31" t="s">
        <v>201</v>
      </c>
      <c r="O31" t="s">
        <v>906</v>
      </c>
    </row>
    <row r="32" spans="1:15" x14ac:dyDescent="0.2">
      <c r="A32" t="s">
        <v>818</v>
      </c>
      <c r="B32" t="s">
        <v>239</v>
      </c>
      <c r="C32">
        <v>6</v>
      </c>
      <c r="D32">
        <f t="shared" si="0"/>
        <v>4</v>
      </c>
      <c r="E32">
        <v>2</v>
      </c>
      <c r="F32">
        <v>5</v>
      </c>
      <c r="G32">
        <f t="shared" si="1"/>
        <v>4</v>
      </c>
      <c r="H32">
        <f t="shared" si="2"/>
        <v>1</v>
      </c>
      <c r="I32">
        <v>4.4400000000000002E-2</v>
      </c>
      <c r="J32">
        <v>50</v>
      </c>
      <c r="K32">
        <f t="shared" si="3"/>
        <v>2.2200000000000001E-2</v>
      </c>
      <c r="L32" t="s">
        <v>17</v>
      </c>
      <c r="M32">
        <v>296</v>
      </c>
      <c r="N32" t="s">
        <v>201</v>
      </c>
      <c r="O32" t="s">
        <v>906</v>
      </c>
    </row>
    <row r="33" spans="1:15" x14ac:dyDescent="0.2">
      <c r="A33" t="s">
        <v>818</v>
      </c>
      <c r="B33" t="s">
        <v>191</v>
      </c>
      <c r="C33">
        <v>6</v>
      </c>
      <c r="D33">
        <f t="shared" si="0"/>
        <v>4</v>
      </c>
      <c r="E33">
        <v>2</v>
      </c>
      <c r="F33">
        <v>5</v>
      </c>
      <c r="G33">
        <f t="shared" si="1"/>
        <v>4</v>
      </c>
      <c r="H33">
        <f t="shared" si="2"/>
        <v>1</v>
      </c>
      <c r="I33">
        <v>2.6499999999999999E-2</v>
      </c>
      <c r="J33">
        <v>50</v>
      </c>
      <c r="K33">
        <f t="shared" si="3"/>
        <v>1.325E-2</v>
      </c>
      <c r="L33" t="s">
        <v>17</v>
      </c>
      <c r="M33">
        <v>296</v>
      </c>
      <c r="N33" t="s">
        <v>201</v>
      </c>
      <c r="O33" t="s">
        <v>906</v>
      </c>
    </row>
    <row r="34" spans="1:15" x14ac:dyDescent="0.2">
      <c r="A34" t="s">
        <v>818</v>
      </c>
      <c r="B34" t="s">
        <v>239</v>
      </c>
      <c r="C34">
        <v>6</v>
      </c>
      <c r="D34">
        <f t="shared" si="0"/>
        <v>3</v>
      </c>
      <c r="E34">
        <v>3</v>
      </c>
      <c r="F34">
        <v>5</v>
      </c>
      <c r="G34">
        <f t="shared" si="1"/>
        <v>3</v>
      </c>
      <c r="H34">
        <f t="shared" si="2"/>
        <v>2</v>
      </c>
      <c r="I34">
        <v>4.4499999999999998E-2</v>
      </c>
      <c r="J34">
        <v>50</v>
      </c>
      <c r="K34">
        <f t="shared" si="3"/>
        <v>2.2250000000000002E-2</v>
      </c>
      <c r="L34" t="s">
        <v>17</v>
      </c>
      <c r="M34">
        <v>296</v>
      </c>
      <c r="N34" t="s">
        <v>201</v>
      </c>
      <c r="O34" t="s">
        <v>906</v>
      </c>
    </row>
    <row r="35" spans="1:15" x14ac:dyDescent="0.2">
      <c r="A35" t="s">
        <v>818</v>
      </c>
      <c r="B35" t="s">
        <v>191</v>
      </c>
      <c r="C35">
        <v>6</v>
      </c>
      <c r="D35">
        <f t="shared" si="0"/>
        <v>3</v>
      </c>
      <c r="E35">
        <v>3</v>
      </c>
      <c r="F35">
        <v>5</v>
      </c>
      <c r="G35">
        <f t="shared" si="1"/>
        <v>3</v>
      </c>
      <c r="H35">
        <f t="shared" si="2"/>
        <v>2</v>
      </c>
      <c r="I35">
        <v>2.7799999999999998E-2</v>
      </c>
      <c r="J35">
        <v>50</v>
      </c>
      <c r="K35">
        <f t="shared" si="3"/>
        <v>1.3899999999999999E-2</v>
      </c>
      <c r="L35" t="s">
        <v>17</v>
      </c>
      <c r="M35">
        <v>296</v>
      </c>
      <c r="N35" t="s">
        <v>201</v>
      </c>
      <c r="O35" t="s">
        <v>906</v>
      </c>
    </row>
    <row r="36" spans="1:15" x14ac:dyDescent="0.2">
      <c r="A36" t="s">
        <v>818</v>
      </c>
      <c r="B36" t="s">
        <v>239</v>
      </c>
      <c r="C36">
        <v>6</v>
      </c>
      <c r="D36">
        <f t="shared" si="0"/>
        <v>2</v>
      </c>
      <c r="E36">
        <v>4</v>
      </c>
      <c r="F36">
        <v>5</v>
      </c>
      <c r="G36">
        <f t="shared" si="1"/>
        <v>2</v>
      </c>
      <c r="H36">
        <f t="shared" si="2"/>
        <v>3</v>
      </c>
      <c r="I36">
        <v>4.4699999999999997E-2</v>
      </c>
      <c r="J36">
        <v>50</v>
      </c>
      <c r="K36">
        <f t="shared" si="3"/>
        <v>2.2349999999999998E-2</v>
      </c>
      <c r="L36" t="s">
        <v>17</v>
      </c>
      <c r="M36">
        <v>296</v>
      </c>
      <c r="N36" t="s">
        <v>201</v>
      </c>
      <c r="O36" t="s">
        <v>906</v>
      </c>
    </row>
    <row r="37" spans="1:15" x14ac:dyDescent="0.2">
      <c r="A37" t="s">
        <v>818</v>
      </c>
      <c r="B37" t="s">
        <v>191</v>
      </c>
      <c r="C37">
        <v>6</v>
      </c>
      <c r="D37">
        <f t="shared" si="0"/>
        <v>2</v>
      </c>
      <c r="E37">
        <v>4</v>
      </c>
      <c r="F37">
        <v>5</v>
      </c>
      <c r="G37">
        <f t="shared" si="1"/>
        <v>2</v>
      </c>
      <c r="H37">
        <f t="shared" si="2"/>
        <v>3</v>
      </c>
      <c r="I37">
        <v>2.9700000000000001E-2</v>
      </c>
      <c r="J37">
        <v>50</v>
      </c>
      <c r="K37">
        <f t="shared" si="3"/>
        <v>1.485E-2</v>
      </c>
      <c r="L37" t="s">
        <v>17</v>
      </c>
      <c r="M37">
        <v>296</v>
      </c>
      <c r="N37" t="s">
        <v>201</v>
      </c>
      <c r="O37" t="s">
        <v>906</v>
      </c>
    </row>
    <row r="38" spans="1:15" x14ac:dyDescent="0.2">
      <c r="A38" t="s">
        <v>818</v>
      </c>
      <c r="B38" t="s">
        <v>239</v>
      </c>
      <c r="C38">
        <v>6</v>
      </c>
      <c r="D38">
        <f t="shared" si="0"/>
        <v>1</v>
      </c>
      <c r="E38">
        <v>5</v>
      </c>
      <c r="F38">
        <v>5</v>
      </c>
      <c r="G38">
        <f t="shared" si="1"/>
        <v>1</v>
      </c>
      <c r="H38">
        <f t="shared" si="2"/>
        <v>4</v>
      </c>
      <c r="I38">
        <v>4.7800000000000002E-2</v>
      </c>
      <c r="J38">
        <v>50</v>
      </c>
      <c r="K38">
        <f t="shared" si="3"/>
        <v>2.3900000000000001E-2</v>
      </c>
      <c r="L38" t="s">
        <v>17</v>
      </c>
      <c r="M38">
        <v>296</v>
      </c>
      <c r="N38" t="s">
        <v>201</v>
      </c>
      <c r="O38" t="s">
        <v>906</v>
      </c>
    </row>
    <row r="39" spans="1:15" x14ac:dyDescent="0.2">
      <c r="A39" t="s">
        <v>818</v>
      </c>
      <c r="B39" t="s">
        <v>191</v>
      </c>
      <c r="C39">
        <v>6</v>
      </c>
      <c r="D39">
        <f t="shared" si="0"/>
        <v>1</v>
      </c>
      <c r="E39">
        <v>5</v>
      </c>
      <c r="F39">
        <v>5</v>
      </c>
      <c r="G39">
        <f t="shared" si="1"/>
        <v>1</v>
      </c>
      <c r="H39">
        <f t="shared" si="2"/>
        <v>4</v>
      </c>
      <c r="I39">
        <v>3.0099999999999998E-2</v>
      </c>
      <c r="J39">
        <v>50</v>
      </c>
      <c r="K39">
        <f t="shared" si="3"/>
        <v>1.5049999999999999E-2</v>
      </c>
      <c r="L39" t="s">
        <v>17</v>
      </c>
      <c r="M39">
        <v>296</v>
      </c>
      <c r="N39" t="s">
        <v>201</v>
      </c>
      <c r="O39" t="s">
        <v>906</v>
      </c>
    </row>
    <row r="40" spans="1:15" x14ac:dyDescent="0.2">
      <c r="A40" t="s">
        <v>818</v>
      </c>
      <c r="B40" t="s">
        <v>239</v>
      </c>
      <c r="C40">
        <v>6</v>
      </c>
      <c r="D40">
        <f t="shared" si="0"/>
        <v>0</v>
      </c>
      <c r="E40">
        <v>6</v>
      </c>
      <c r="F40">
        <v>5</v>
      </c>
      <c r="G40">
        <f t="shared" si="1"/>
        <v>0</v>
      </c>
      <c r="H40">
        <f t="shared" si="2"/>
        <v>5</v>
      </c>
      <c r="I40">
        <v>5.1400000000000001E-2</v>
      </c>
      <c r="J40">
        <v>50</v>
      </c>
      <c r="K40">
        <f t="shared" si="3"/>
        <v>2.5700000000000004E-2</v>
      </c>
      <c r="L40" t="s">
        <v>17</v>
      </c>
      <c r="M40">
        <v>296</v>
      </c>
      <c r="N40" t="s">
        <v>201</v>
      </c>
      <c r="O40" t="s">
        <v>906</v>
      </c>
    </row>
    <row r="41" spans="1:15" x14ac:dyDescent="0.2">
      <c r="A41" t="s">
        <v>818</v>
      </c>
      <c r="B41" t="s">
        <v>191</v>
      </c>
      <c r="C41">
        <v>6</v>
      </c>
      <c r="D41">
        <f t="shared" si="0"/>
        <v>0</v>
      </c>
      <c r="E41">
        <v>6</v>
      </c>
      <c r="F41">
        <v>5</v>
      </c>
      <c r="G41">
        <f t="shared" si="1"/>
        <v>0</v>
      </c>
      <c r="H41">
        <f t="shared" si="2"/>
        <v>5</v>
      </c>
      <c r="I41">
        <v>3.0599999999999999E-2</v>
      </c>
      <c r="J41">
        <v>50</v>
      </c>
      <c r="K41">
        <f t="shared" si="3"/>
        <v>1.5300000000000001E-2</v>
      </c>
      <c r="L41" t="s">
        <v>17</v>
      </c>
      <c r="M41">
        <v>296</v>
      </c>
      <c r="N41" t="s">
        <v>201</v>
      </c>
      <c r="O41" t="s">
        <v>906</v>
      </c>
    </row>
    <row r="42" spans="1:15" x14ac:dyDescent="0.2">
      <c r="A42" t="s">
        <v>818</v>
      </c>
      <c r="B42" t="s">
        <v>239</v>
      </c>
      <c r="C42">
        <v>7</v>
      </c>
      <c r="D42">
        <f t="shared" si="0"/>
        <v>6</v>
      </c>
      <c r="E42">
        <v>1</v>
      </c>
      <c r="F42">
        <v>6</v>
      </c>
      <c r="G42">
        <f t="shared" si="1"/>
        <v>6</v>
      </c>
      <c r="H42">
        <f t="shared" si="2"/>
        <v>0</v>
      </c>
      <c r="I42">
        <v>4.1700000000000001E-2</v>
      </c>
      <c r="J42">
        <v>50</v>
      </c>
      <c r="K42">
        <f t="shared" si="3"/>
        <v>2.085E-2</v>
      </c>
      <c r="L42" t="s">
        <v>17</v>
      </c>
      <c r="M42">
        <v>296</v>
      </c>
      <c r="N42" t="s">
        <v>201</v>
      </c>
      <c r="O42" t="s">
        <v>906</v>
      </c>
    </row>
    <row r="43" spans="1:15" x14ac:dyDescent="0.2">
      <c r="A43" t="s">
        <v>818</v>
      </c>
      <c r="B43" t="s">
        <v>191</v>
      </c>
      <c r="C43">
        <v>7</v>
      </c>
      <c r="D43">
        <f t="shared" si="0"/>
        <v>6</v>
      </c>
      <c r="E43">
        <v>1</v>
      </c>
      <c r="F43">
        <v>6</v>
      </c>
      <c r="G43">
        <f t="shared" si="1"/>
        <v>6</v>
      </c>
      <c r="H43">
        <f t="shared" si="2"/>
        <v>0</v>
      </c>
      <c r="I43">
        <v>2.5000000000000001E-2</v>
      </c>
      <c r="J43">
        <v>50</v>
      </c>
      <c r="K43">
        <f t="shared" si="3"/>
        <v>1.2500000000000001E-2</v>
      </c>
      <c r="L43" t="s">
        <v>17</v>
      </c>
      <c r="M43">
        <v>296</v>
      </c>
      <c r="N43" t="s">
        <v>201</v>
      </c>
      <c r="O43" t="s">
        <v>906</v>
      </c>
    </row>
    <row r="44" spans="1:15" x14ac:dyDescent="0.2">
      <c r="A44" t="s">
        <v>818</v>
      </c>
      <c r="B44" t="s">
        <v>239</v>
      </c>
      <c r="C44">
        <v>7</v>
      </c>
      <c r="D44">
        <f t="shared" si="0"/>
        <v>5</v>
      </c>
      <c r="E44">
        <v>2</v>
      </c>
      <c r="F44">
        <v>6</v>
      </c>
      <c r="G44">
        <f t="shared" si="1"/>
        <v>5</v>
      </c>
      <c r="H44">
        <f t="shared" si="2"/>
        <v>1</v>
      </c>
      <c r="I44">
        <v>4.19E-2</v>
      </c>
      <c r="J44">
        <v>50</v>
      </c>
      <c r="K44">
        <f t="shared" si="3"/>
        <v>2.0950000000000003E-2</v>
      </c>
      <c r="L44" t="s">
        <v>17</v>
      </c>
      <c r="M44">
        <v>296</v>
      </c>
      <c r="N44" t="s">
        <v>201</v>
      </c>
      <c r="O44" t="s">
        <v>906</v>
      </c>
    </row>
    <row r="45" spans="1:15" x14ac:dyDescent="0.2">
      <c r="A45" t="s">
        <v>818</v>
      </c>
      <c r="B45" t="s">
        <v>191</v>
      </c>
      <c r="C45">
        <v>7</v>
      </c>
      <c r="D45">
        <f t="shared" si="0"/>
        <v>5</v>
      </c>
      <c r="E45">
        <v>2</v>
      </c>
      <c r="F45">
        <v>6</v>
      </c>
      <c r="G45">
        <f t="shared" si="1"/>
        <v>5</v>
      </c>
      <c r="H45">
        <f t="shared" si="2"/>
        <v>1</v>
      </c>
      <c r="I45">
        <v>2.5399999999999999E-2</v>
      </c>
      <c r="J45">
        <v>50</v>
      </c>
      <c r="K45">
        <f t="shared" si="3"/>
        <v>1.2699999999999999E-2</v>
      </c>
      <c r="L45" t="s">
        <v>17</v>
      </c>
      <c r="M45">
        <v>296</v>
      </c>
      <c r="N45" t="s">
        <v>201</v>
      </c>
      <c r="O45" t="s">
        <v>906</v>
      </c>
    </row>
    <row r="46" spans="1:15" x14ac:dyDescent="0.2">
      <c r="A46" t="s">
        <v>818</v>
      </c>
      <c r="B46" t="s">
        <v>239</v>
      </c>
      <c r="C46">
        <v>7</v>
      </c>
      <c r="D46">
        <f t="shared" si="0"/>
        <v>4</v>
      </c>
      <c r="E46">
        <v>3</v>
      </c>
      <c r="F46">
        <v>6</v>
      </c>
      <c r="G46">
        <f t="shared" si="1"/>
        <v>4</v>
      </c>
      <c r="H46">
        <f t="shared" si="2"/>
        <v>2</v>
      </c>
      <c r="I46">
        <v>4.2599999999999999E-2</v>
      </c>
      <c r="J46">
        <v>50</v>
      </c>
      <c r="K46">
        <f t="shared" si="3"/>
        <v>2.1299999999999999E-2</v>
      </c>
      <c r="L46" t="s">
        <v>17</v>
      </c>
      <c r="M46">
        <v>296</v>
      </c>
      <c r="N46" t="s">
        <v>201</v>
      </c>
      <c r="O46" t="s">
        <v>906</v>
      </c>
    </row>
    <row r="47" spans="1:15" x14ac:dyDescent="0.2">
      <c r="A47" t="s">
        <v>818</v>
      </c>
      <c r="B47" t="s">
        <v>191</v>
      </c>
      <c r="C47">
        <v>7</v>
      </c>
      <c r="D47">
        <f t="shared" si="0"/>
        <v>4</v>
      </c>
      <c r="E47">
        <v>3</v>
      </c>
      <c r="F47">
        <v>6</v>
      </c>
      <c r="G47">
        <f t="shared" si="1"/>
        <v>4</v>
      </c>
      <c r="H47">
        <f t="shared" si="2"/>
        <v>2</v>
      </c>
      <c r="I47">
        <v>2.58E-2</v>
      </c>
      <c r="J47">
        <v>50</v>
      </c>
      <c r="K47">
        <f t="shared" si="3"/>
        <v>1.29E-2</v>
      </c>
      <c r="L47" t="s">
        <v>17</v>
      </c>
      <c r="M47">
        <v>296</v>
      </c>
      <c r="N47" t="s">
        <v>201</v>
      </c>
      <c r="O47" t="s">
        <v>906</v>
      </c>
    </row>
    <row r="48" spans="1:15" x14ac:dyDescent="0.2">
      <c r="A48" t="s">
        <v>818</v>
      </c>
      <c r="B48" t="s">
        <v>239</v>
      </c>
      <c r="C48">
        <v>7</v>
      </c>
      <c r="D48">
        <f t="shared" si="0"/>
        <v>3</v>
      </c>
      <c r="E48">
        <v>4</v>
      </c>
      <c r="F48">
        <v>6</v>
      </c>
      <c r="G48">
        <f t="shared" si="1"/>
        <v>3</v>
      </c>
      <c r="H48">
        <f t="shared" si="2"/>
        <v>3</v>
      </c>
      <c r="I48">
        <v>4.1000000000000002E-2</v>
      </c>
      <c r="J48">
        <v>50</v>
      </c>
      <c r="K48">
        <f t="shared" si="3"/>
        <v>2.0500000000000004E-2</v>
      </c>
      <c r="L48" t="s">
        <v>17</v>
      </c>
      <c r="M48">
        <v>296</v>
      </c>
      <c r="N48" t="s">
        <v>201</v>
      </c>
      <c r="O48" t="s">
        <v>906</v>
      </c>
    </row>
    <row r="49" spans="1:15" x14ac:dyDescent="0.2">
      <c r="A49" t="s">
        <v>818</v>
      </c>
      <c r="B49" t="s">
        <v>191</v>
      </c>
      <c r="C49">
        <v>7</v>
      </c>
      <c r="D49">
        <f t="shared" si="0"/>
        <v>3</v>
      </c>
      <c r="E49">
        <v>4</v>
      </c>
      <c r="F49">
        <v>6</v>
      </c>
      <c r="G49">
        <f t="shared" si="1"/>
        <v>3</v>
      </c>
      <c r="H49">
        <f t="shared" si="2"/>
        <v>3</v>
      </c>
      <c r="I49">
        <v>2.5600000000000001E-2</v>
      </c>
      <c r="J49">
        <v>50</v>
      </c>
      <c r="K49">
        <f t="shared" si="3"/>
        <v>1.2800000000000001E-2</v>
      </c>
      <c r="L49" t="s">
        <v>17</v>
      </c>
      <c r="M49">
        <v>296</v>
      </c>
      <c r="N49" t="s">
        <v>201</v>
      </c>
      <c r="O49" t="s">
        <v>906</v>
      </c>
    </row>
    <row r="50" spans="1:15" x14ac:dyDescent="0.2">
      <c r="A50" t="s">
        <v>818</v>
      </c>
      <c r="B50" t="s">
        <v>239</v>
      </c>
      <c r="C50">
        <v>7</v>
      </c>
      <c r="D50">
        <f t="shared" si="0"/>
        <v>2</v>
      </c>
      <c r="E50">
        <v>5</v>
      </c>
      <c r="F50">
        <v>6</v>
      </c>
      <c r="G50">
        <f t="shared" si="1"/>
        <v>2</v>
      </c>
      <c r="H50">
        <f t="shared" si="2"/>
        <v>4</v>
      </c>
      <c r="I50">
        <v>4.3499999999999997E-2</v>
      </c>
      <c r="J50">
        <v>50</v>
      </c>
      <c r="K50">
        <f t="shared" si="3"/>
        <v>2.1749999999999999E-2</v>
      </c>
      <c r="L50" t="s">
        <v>17</v>
      </c>
      <c r="M50">
        <v>296</v>
      </c>
      <c r="N50" t="s">
        <v>201</v>
      </c>
      <c r="O50" t="s">
        <v>906</v>
      </c>
    </row>
    <row r="51" spans="1:15" x14ac:dyDescent="0.2">
      <c r="A51" t="s">
        <v>818</v>
      </c>
      <c r="B51" t="s">
        <v>191</v>
      </c>
      <c r="C51">
        <v>7</v>
      </c>
      <c r="D51">
        <f t="shared" si="0"/>
        <v>2</v>
      </c>
      <c r="E51">
        <v>5</v>
      </c>
      <c r="F51">
        <v>6</v>
      </c>
      <c r="G51">
        <f t="shared" si="1"/>
        <v>2</v>
      </c>
      <c r="H51">
        <f t="shared" si="2"/>
        <v>4</v>
      </c>
      <c r="I51">
        <v>2.6700000000000002E-2</v>
      </c>
      <c r="J51">
        <v>50</v>
      </c>
      <c r="K51">
        <f t="shared" si="3"/>
        <v>1.3349999999999999E-2</v>
      </c>
      <c r="L51" t="s">
        <v>17</v>
      </c>
      <c r="M51">
        <v>296</v>
      </c>
      <c r="N51" t="s">
        <v>201</v>
      </c>
      <c r="O51" t="s">
        <v>906</v>
      </c>
    </row>
    <row r="52" spans="1:15" x14ac:dyDescent="0.2">
      <c r="A52" t="s">
        <v>818</v>
      </c>
      <c r="B52" t="s">
        <v>239</v>
      </c>
      <c r="C52">
        <v>7</v>
      </c>
      <c r="D52">
        <f t="shared" si="0"/>
        <v>1</v>
      </c>
      <c r="E52">
        <v>6</v>
      </c>
      <c r="F52">
        <v>6</v>
      </c>
      <c r="G52">
        <f t="shared" si="1"/>
        <v>1</v>
      </c>
      <c r="H52">
        <f t="shared" si="2"/>
        <v>5</v>
      </c>
      <c r="I52">
        <v>4.4200000000000003E-2</v>
      </c>
      <c r="J52">
        <v>50</v>
      </c>
      <c r="K52">
        <f t="shared" si="3"/>
        <v>2.2099999999999998E-2</v>
      </c>
      <c r="L52" t="s">
        <v>17</v>
      </c>
      <c r="M52">
        <v>296</v>
      </c>
      <c r="N52" t="s">
        <v>201</v>
      </c>
      <c r="O52" t="s">
        <v>906</v>
      </c>
    </row>
    <row r="53" spans="1:15" x14ac:dyDescent="0.2">
      <c r="A53" t="s">
        <v>818</v>
      </c>
      <c r="B53" t="s">
        <v>191</v>
      </c>
      <c r="C53">
        <v>7</v>
      </c>
      <c r="D53">
        <f t="shared" si="0"/>
        <v>1</v>
      </c>
      <c r="E53">
        <v>6</v>
      </c>
      <c r="F53">
        <v>6</v>
      </c>
      <c r="G53">
        <f t="shared" si="1"/>
        <v>1</v>
      </c>
      <c r="H53">
        <f t="shared" si="2"/>
        <v>5</v>
      </c>
      <c r="I53">
        <v>2.6200000000000001E-2</v>
      </c>
      <c r="J53">
        <v>50</v>
      </c>
      <c r="K53">
        <f t="shared" si="3"/>
        <v>1.3100000000000001E-2</v>
      </c>
      <c r="L53" t="s">
        <v>17</v>
      </c>
      <c r="M53">
        <v>296</v>
      </c>
      <c r="N53" t="s">
        <v>201</v>
      </c>
      <c r="O53" t="s">
        <v>906</v>
      </c>
    </row>
    <row r="54" spans="1:15" x14ac:dyDescent="0.2">
      <c r="A54" t="s">
        <v>818</v>
      </c>
      <c r="B54" t="s">
        <v>239</v>
      </c>
      <c r="C54">
        <v>7</v>
      </c>
      <c r="D54">
        <f t="shared" si="0"/>
        <v>0</v>
      </c>
      <c r="E54">
        <v>7</v>
      </c>
      <c r="F54">
        <v>6</v>
      </c>
      <c r="G54">
        <f t="shared" si="1"/>
        <v>0</v>
      </c>
      <c r="H54">
        <f t="shared" si="2"/>
        <v>6</v>
      </c>
      <c r="I54">
        <v>4.5600000000000002E-2</v>
      </c>
      <c r="J54">
        <v>50</v>
      </c>
      <c r="K54">
        <f t="shared" si="3"/>
        <v>2.2800000000000001E-2</v>
      </c>
      <c r="L54" t="s">
        <v>17</v>
      </c>
      <c r="M54">
        <v>296</v>
      </c>
      <c r="N54" t="s">
        <v>201</v>
      </c>
      <c r="O54" t="s">
        <v>906</v>
      </c>
    </row>
    <row r="55" spans="1:15" x14ac:dyDescent="0.2">
      <c r="A55" t="s">
        <v>818</v>
      </c>
      <c r="B55" t="s">
        <v>191</v>
      </c>
      <c r="C55">
        <v>7</v>
      </c>
      <c r="D55">
        <f t="shared" si="0"/>
        <v>0</v>
      </c>
      <c r="E55">
        <v>7</v>
      </c>
      <c r="F55">
        <v>6</v>
      </c>
      <c r="G55">
        <f t="shared" si="1"/>
        <v>0</v>
      </c>
      <c r="H55">
        <f t="shared" si="2"/>
        <v>6</v>
      </c>
      <c r="I55">
        <v>2.7E-2</v>
      </c>
      <c r="J55">
        <v>50</v>
      </c>
      <c r="K55">
        <f t="shared" si="3"/>
        <v>1.3500000000000002E-2</v>
      </c>
      <c r="L55" t="s">
        <v>17</v>
      </c>
      <c r="M55">
        <v>296</v>
      </c>
      <c r="N55" t="s">
        <v>201</v>
      </c>
      <c r="O55" t="s">
        <v>906</v>
      </c>
    </row>
    <row r="56" spans="1:15" x14ac:dyDescent="0.2">
      <c r="A56" t="s">
        <v>818</v>
      </c>
      <c r="B56" t="s">
        <v>239</v>
      </c>
      <c r="C56">
        <v>8</v>
      </c>
      <c r="D56">
        <f t="shared" si="0"/>
        <v>7</v>
      </c>
      <c r="E56">
        <v>1</v>
      </c>
      <c r="F56">
        <v>7</v>
      </c>
      <c r="G56">
        <f t="shared" si="1"/>
        <v>7</v>
      </c>
      <c r="H56">
        <f t="shared" si="2"/>
        <v>0</v>
      </c>
      <c r="I56">
        <v>3.6900000000000002E-2</v>
      </c>
      <c r="J56">
        <v>50</v>
      </c>
      <c r="K56">
        <f t="shared" si="3"/>
        <v>1.8450000000000001E-2</v>
      </c>
      <c r="L56" t="s">
        <v>17</v>
      </c>
      <c r="M56">
        <v>296</v>
      </c>
      <c r="N56" t="s">
        <v>201</v>
      </c>
      <c r="O56" t="s">
        <v>906</v>
      </c>
    </row>
    <row r="57" spans="1:15" x14ac:dyDescent="0.2">
      <c r="A57" t="s">
        <v>818</v>
      </c>
      <c r="B57" t="s">
        <v>191</v>
      </c>
      <c r="C57">
        <v>8</v>
      </c>
      <c r="D57">
        <f t="shared" si="0"/>
        <v>7</v>
      </c>
      <c r="E57">
        <v>1</v>
      </c>
      <c r="F57">
        <v>7</v>
      </c>
      <c r="G57">
        <f t="shared" si="1"/>
        <v>7</v>
      </c>
      <c r="H57">
        <f t="shared" si="2"/>
        <v>0</v>
      </c>
      <c r="I57">
        <v>2.2200000000000001E-2</v>
      </c>
      <c r="J57">
        <v>50</v>
      </c>
      <c r="K57">
        <f t="shared" si="3"/>
        <v>1.11E-2</v>
      </c>
      <c r="L57" t="s">
        <v>17</v>
      </c>
      <c r="M57">
        <v>296</v>
      </c>
      <c r="N57" t="s">
        <v>201</v>
      </c>
      <c r="O57" t="s">
        <v>906</v>
      </c>
    </row>
    <row r="58" spans="1:15" x14ac:dyDescent="0.2">
      <c r="A58" t="s">
        <v>818</v>
      </c>
      <c r="B58" t="s">
        <v>239</v>
      </c>
      <c r="C58">
        <v>8</v>
      </c>
      <c r="D58">
        <f t="shared" si="0"/>
        <v>5</v>
      </c>
      <c r="E58">
        <v>3</v>
      </c>
      <c r="F58">
        <v>7</v>
      </c>
      <c r="G58">
        <f t="shared" si="1"/>
        <v>5</v>
      </c>
      <c r="H58">
        <f t="shared" si="2"/>
        <v>2</v>
      </c>
      <c r="I58">
        <v>3.8800000000000001E-2</v>
      </c>
      <c r="J58">
        <v>50</v>
      </c>
      <c r="K58">
        <f t="shared" si="3"/>
        <v>1.9400000000000001E-2</v>
      </c>
      <c r="L58" t="s">
        <v>17</v>
      </c>
      <c r="M58">
        <v>296</v>
      </c>
      <c r="N58" t="s">
        <v>201</v>
      </c>
      <c r="O58" t="s">
        <v>906</v>
      </c>
    </row>
    <row r="59" spans="1:15" x14ac:dyDescent="0.2">
      <c r="A59" t="s">
        <v>818</v>
      </c>
      <c r="B59" t="s">
        <v>191</v>
      </c>
      <c r="C59">
        <v>8</v>
      </c>
      <c r="D59">
        <f t="shared" si="0"/>
        <v>5</v>
      </c>
      <c r="E59">
        <v>3</v>
      </c>
      <c r="F59">
        <v>7</v>
      </c>
      <c r="G59">
        <f t="shared" si="1"/>
        <v>5</v>
      </c>
      <c r="H59">
        <f t="shared" si="2"/>
        <v>2</v>
      </c>
      <c r="I59">
        <v>2.3900000000000001E-2</v>
      </c>
      <c r="J59">
        <v>50</v>
      </c>
      <c r="K59">
        <f t="shared" si="3"/>
        <v>1.1950000000000001E-2</v>
      </c>
      <c r="L59" t="s">
        <v>17</v>
      </c>
      <c r="M59">
        <v>296</v>
      </c>
      <c r="N59" t="s">
        <v>201</v>
      </c>
      <c r="O59" t="s">
        <v>906</v>
      </c>
    </row>
    <row r="60" spans="1:15" x14ac:dyDescent="0.2">
      <c r="A60" t="s">
        <v>818</v>
      </c>
      <c r="B60" t="s">
        <v>239</v>
      </c>
      <c r="C60">
        <v>8</v>
      </c>
      <c r="D60">
        <f t="shared" si="0"/>
        <v>4</v>
      </c>
      <c r="E60">
        <v>4</v>
      </c>
      <c r="F60">
        <v>7</v>
      </c>
      <c r="G60">
        <f t="shared" si="1"/>
        <v>4</v>
      </c>
      <c r="H60">
        <f t="shared" si="2"/>
        <v>3</v>
      </c>
      <c r="I60">
        <v>3.9699999999999999E-2</v>
      </c>
      <c r="J60">
        <v>50</v>
      </c>
      <c r="K60">
        <f t="shared" si="3"/>
        <v>1.985E-2</v>
      </c>
      <c r="L60" t="s">
        <v>17</v>
      </c>
      <c r="M60">
        <v>296</v>
      </c>
      <c r="N60" t="s">
        <v>201</v>
      </c>
      <c r="O60" t="s">
        <v>906</v>
      </c>
    </row>
    <row r="61" spans="1:15" x14ac:dyDescent="0.2">
      <c r="A61" t="s">
        <v>818</v>
      </c>
      <c r="B61" t="s">
        <v>191</v>
      </c>
      <c r="C61">
        <v>8</v>
      </c>
      <c r="D61">
        <f t="shared" si="0"/>
        <v>4</v>
      </c>
      <c r="E61">
        <v>4</v>
      </c>
      <c r="F61">
        <v>7</v>
      </c>
      <c r="G61">
        <f t="shared" si="1"/>
        <v>4</v>
      </c>
      <c r="H61">
        <f t="shared" si="2"/>
        <v>3</v>
      </c>
      <c r="I61">
        <v>2.5600000000000001E-2</v>
      </c>
      <c r="J61">
        <v>50</v>
      </c>
      <c r="K61">
        <f t="shared" si="3"/>
        <v>1.2800000000000001E-2</v>
      </c>
      <c r="L61" t="s">
        <v>17</v>
      </c>
      <c r="M61">
        <v>296</v>
      </c>
      <c r="N61" t="s">
        <v>201</v>
      </c>
      <c r="O61" t="s">
        <v>906</v>
      </c>
    </row>
    <row r="62" spans="1:15" x14ac:dyDescent="0.2">
      <c r="A62" t="s">
        <v>818</v>
      </c>
      <c r="B62" t="s">
        <v>239</v>
      </c>
      <c r="C62">
        <v>8</v>
      </c>
      <c r="D62">
        <f t="shared" si="0"/>
        <v>3</v>
      </c>
      <c r="E62">
        <v>5</v>
      </c>
      <c r="F62">
        <v>7</v>
      </c>
      <c r="G62">
        <f t="shared" si="1"/>
        <v>3</v>
      </c>
      <c r="H62">
        <f t="shared" si="2"/>
        <v>4</v>
      </c>
      <c r="I62">
        <v>3.9699999999999999E-2</v>
      </c>
      <c r="J62">
        <v>50</v>
      </c>
      <c r="K62">
        <f t="shared" si="3"/>
        <v>1.985E-2</v>
      </c>
      <c r="L62" t="s">
        <v>17</v>
      </c>
      <c r="M62">
        <v>296</v>
      </c>
      <c r="N62" t="s">
        <v>201</v>
      </c>
      <c r="O62" t="s">
        <v>906</v>
      </c>
    </row>
    <row r="63" spans="1:15" x14ac:dyDescent="0.2">
      <c r="A63" t="s">
        <v>818</v>
      </c>
      <c r="B63" t="s">
        <v>191</v>
      </c>
      <c r="C63">
        <v>8</v>
      </c>
      <c r="D63">
        <f t="shared" si="0"/>
        <v>3</v>
      </c>
      <c r="E63">
        <v>5</v>
      </c>
      <c r="F63">
        <v>7</v>
      </c>
      <c r="G63">
        <f t="shared" si="1"/>
        <v>3</v>
      </c>
      <c r="H63">
        <f t="shared" si="2"/>
        <v>4</v>
      </c>
      <c r="I63">
        <v>2.47E-2</v>
      </c>
      <c r="J63">
        <v>50</v>
      </c>
      <c r="K63">
        <f t="shared" si="3"/>
        <v>1.2349999999999998E-2</v>
      </c>
      <c r="L63" t="s">
        <v>17</v>
      </c>
      <c r="M63">
        <v>296</v>
      </c>
      <c r="N63" t="s">
        <v>201</v>
      </c>
      <c r="O63" t="s">
        <v>906</v>
      </c>
    </row>
    <row r="64" spans="1:15" x14ac:dyDescent="0.2">
      <c r="A64" t="s">
        <v>818</v>
      </c>
      <c r="B64" t="s">
        <v>239</v>
      </c>
      <c r="C64">
        <v>8</v>
      </c>
      <c r="D64">
        <f t="shared" si="0"/>
        <v>2</v>
      </c>
      <c r="E64">
        <v>6</v>
      </c>
      <c r="F64">
        <v>7</v>
      </c>
      <c r="G64">
        <f t="shared" si="1"/>
        <v>2</v>
      </c>
      <c r="H64">
        <f t="shared" si="2"/>
        <v>5</v>
      </c>
      <c r="I64">
        <v>4.1099999999999998E-2</v>
      </c>
      <c r="J64">
        <v>50</v>
      </c>
      <c r="K64">
        <f t="shared" si="3"/>
        <v>2.0549999999999999E-2</v>
      </c>
      <c r="L64" t="s">
        <v>17</v>
      </c>
      <c r="M64">
        <v>296</v>
      </c>
      <c r="N64" t="s">
        <v>201</v>
      </c>
      <c r="O64" t="s">
        <v>906</v>
      </c>
    </row>
    <row r="65" spans="1:15" x14ac:dyDescent="0.2">
      <c r="A65" t="s">
        <v>818</v>
      </c>
      <c r="B65" t="s">
        <v>191</v>
      </c>
      <c r="C65">
        <v>8</v>
      </c>
      <c r="D65">
        <f t="shared" si="0"/>
        <v>2</v>
      </c>
      <c r="E65">
        <v>6</v>
      </c>
      <c r="F65">
        <v>7</v>
      </c>
      <c r="G65">
        <f t="shared" si="1"/>
        <v>2</v>
      </c>
      <c r="H65">
        <f t="shared" si="2"/>
        <v>5</v>
      </c>
      <c r="I65">
        <v>2.5399999999999999E-2</v>
      </c>
      <c r="J65">
        <v>50</v>
      </c>
      <c r="K65">
        <f t="shared" si="3"/>
        <v>1.2699999999999999E-2</v>
      </c>
      <c r="L65" t="s">
        <v>17</v>
      </c>
      <c r="M65">
        <v>296</v>
      </c>
      <c r="N65" t="s">
        <v>201</v>
      </c>
      <c r="O65" t="s">
        <v>906</v>
      </c>
    </row>
    <row r="66" spans="1:15" x14ac:dyDescent="0.2">
      <c r="A66" t="s">
        <v>818</v>
      </c>
      <c r="B66" t="s">
        <v>239</v>
      </c>
      <c r="C66">
        <v>8</v>
      </c>
      <c r="D66">
        <f t="shared" si="0"/>
        <v>1</v>
      </c>
      <c r="E66">
        <v>7</v>
      </c>
      <c r="F66">
        <v>7</v>
      </c>
      <c r="G66">
        <f t="shared" si="1"/>
        <v>1</v>
      </c>
      <c r="H66">
        <f t="shared" si="2"/>
        <v>6</v>
      </c>
      <c r="I66">
        <v>4.2599999999999999E-2</v>
      </c>
      <c r="J66">
        <v>50</v>
      </c>
      <c r="K66">
        <f t="shared" si="3"/>
        <v>2.1299999999999999E-2</v>
      </c>
      <c r="L66" t="s">
        <v>17</v>
      </c>
      <c r="M66">
        <v>296</v>
      </c>
      <c r="N66" t="s">
        <v>201</v>
      </c>
      <c r="O66" t="s">
        <v>906</v>
      </c>
    </row>
    <row r="67" spans="1:15" x14ac:dyDescent="0.2">
      <c r="A67" t="s">
        <v>818</v>
      </c>
      <c r="B67" t="s">
        <v>191</v>
      </c>
      <c r="C67">
        <v>8</v>
      </c>
      <c r="D67">
        <f t="shared" ref="D67:D69" si="4">C67-E67</f>
        <v>1</v>
      </c>
      <c r="E67">
        <v>7</v>
      </c>
      <c r="F67">
        <v>7</v>
      </c>
      <c r="G67">
        <f t="shared" ref="G67:G69" si="5">F67-H67</f>
        <v>1</v>
      </c>
      <c r="H67">
        <f t="shared" ref="H67:H69" si="6">E67-1</f>
        <v>6</v>
      </c>
      <c r="I67">
        <v>2.3900000000000001E-2</v>
      </c>
      <c r="J67">
        <v>50</v>
      </c>
      <c r="K67">
        <f t="shared" si="3"/>
        <v>1.1950000000000001E-2</v>
      </c>
      <c r="L67" t="s">
        <v>17</v>
      </c>
      <c r="M67">
        <v>296</v>
      </c>
      <c r="N67" t="s">
        <v>201</v>
      </c>
      <c r="O67" t="s">
        <v>906</v>
      </c>
    </row>
    <row r="68" spans="1:15" x14ac:dyDescent="0.2">
      <c r="A68" t="s">
        <v>818</v>
      </c>
      <c r="B68" t="s">
        <v>239</v>
      </c>
      <c r="C68">
        <v>8</v>
      </c>
      <c r="D68">
        <f t="shared" si="4"/>
        <v>0</v>
      </c>
      <c r="E68">
        <v>8</v>
      </c>
      <c r="F68">
        <v>7</v>
      </c>
      <c r="G68">
        <f t="shared" si="5"/>
        <v>0</v>
      </c>
      <c r="H68">
        <f t="shared" si="6"/>
        <v>7</v>
      </c>
      <c r="I68">
        <v>4.4200000000000003E-2</v>
      </c>
      <c r="J68">
        <v>50</v>
      </c>
      <c r="K68">
        <f t="shared" ref="K68:K69" si="7">J68*I68/100</f>
        <v>2.2099999999999998E-2</v>
      </c>
      <c r="L68" t="s">
        <v>17</v>
      </c>
      <c r="M68">
        <v>296</v>
      </c>
      <c r="N68" t="s">
        <v>201</v>
      </c>
      <c r="O68" t="s">
        <v>906</v>
      </c>
    </row>
    <row r="69" spans="1:15" x14ac:dyDescent="0.2">
      <c r="A69" t="s">
        <v>818</v>
      </c>
      <c r="B69" t="s">
        <v>191</v>
      </c>
      <c r="C69">
        <v>8</v>
      </c>
      <c r="D69">
        <f t="shared" si="4"/>
        <v>0</v>
      </c>
      <c r="E69">
        <v>8</v>
      </c>
      <c r="F69">
        <v>7</v>
      </c>
      <c r="G69">
        <f t="shared" si="5"/>
        <v>0</v>
      </c>
      <c r="H69">
        <f t="shared" si="6"/>
        <v>7</v>
      </c>
      <c r="I69">
        <v>2.53E-2</v>
      </c>
      <c r="J69">
        <v>50</v>
      </c>
      <c r="K69">
        <f t="shared" si="7"/>
        <v>1.265E-2</v>
      </c>
      <c r="L69" t="s">
        <v>17</v>
      </c>
      <c r="M69">
        <v>296</v>
      </c>
      <c r="N69" t="s">
        <v>201</v>
      </c>
      <c r="O69" t="s">
        <v>906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5DB1-A1DD-304C-8792-6F86CEECB230}">
  <dimension ref="A1:O21"/>
  <sheetViews>
    <sheetView workbookViewId="0">
      <selection activeCell="L27" sqref="L27"/>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57</v>
      </c>
      <c r="C2">
        <v>1</v>
      </c>
      <c r="D2">
        <v>0</v>
      </c>
      <c r="E2">
        <v>1</v>
      </c>
      <c r="F2">
        <v>2</v>
      </c>
      <c r="G2">
        <v>1</v>
      </c>
      <c r="H2">
        <v>2</v>
      </c>
      <c r="I2">
        <v>0.1169</v>
      </c>
      <c r="J2">
        <v>50</v>
      </c>
      <c r="K2">
        <f>J2*I2/100</f>
        <v>5.8450000000000009E-2</v>
      </c>
      <c r="L2" t="s">
        <v>17</v>
      </c>
      <c r="M2">
        <v>296</v>
      </c>
      <c r="N2" t="s">
        <v>201</v>
      </c>
      <c r="O2" t="s">
        <v>993</v>
      </c>
    </row>
    <row r="3" spans="1:15" x14ac:dyDescent="0.2">
      <c r="A3" t="s">
        <v>190</v>
      </c>
      <c r="B3" t="s">
        <v>191</v>
      </c>
      <c r="C3">
        <v>1</v>
      </c>
      <c r="D3">
        <v>0</v>
      </c>
      <c r="E3">
        <v>1</v>
      </c>
      <c r="F3">
        <v>2</v>
      </c>
      <c r="G3">
        <v>1</v>
      </c>
      <c r="H3">
        <v>2</v>
      </c>
      <c r="I3">
        <v>1.8800000000000001E-2</v>
      </c>
      <c r="J3">
        <v>50</v>
      </c>
      <c r="K3">
        <f t="shared" ref="K3:K21" si="0">J3*I3/100</f>
        <v>9.4000000000000004E-3</v>
      </c>
      <c r="L3" t="s">
        <v>17</v>
      </c>
      <c r="M3">
        <v>296</v>
      </c>
      <c r="N3" t="s">
        <v>201</v>
      </c>
      <c r="O3" t="s">
        <v>908</v>
      </c>
    </row>
    <row r="4" spans="1:15" x14ac:dyDescent="0.2">
      <c r="A4" t="s">
        <v>190</v>
      </c>
      <c r="B4" t="s">
        <v>57</v>
      </c>
      <c r="C4">
        <v>2</v>
      </c>
      <c r="D4">
        <v>1</v>
      </c>
      <c r="E4">
        <v>2</v>
      </c>
      <c r="F4">
        <v>3</v>
      </c>
      <c r="G4">
        <v>0</v>
      </c>
      <c r="H4">
        <v>3</v>
      </c>
      <c r="I4">
        <v>0.109</v>
      </c>
      <c r="J4">
        <v>50</v>
      </c>
      <c r="K4">
        <f t="shared" si="0"/>
        <v>5.45E-2</v>
      </c>
      <c r="L4" t="s">
        <v>17</v>
      </c>
      <c r="M4">
        <v>296</v>
      </c>
      <c r="N4" t="s">
        <v>201</v>
      </c>
      <c r="O4" t="s">
        <v>909</v>
      </c>
    </row>
    <row r="5" spans="1:15" x14ac:dyDescent="0.2">
      <c r="A5" t="s">
        <v>190</v>
      </c>
      <c r="B5" t="s">
        <v>191</v>
      </c>
      <c r="C5">
        <v>2</v>
      </c>
      <c r="D5">
        <v>1</v>
      </c>
      <c r="E5">
        <v>2</v>
      </c>
      <c r="F5">
        <v>3</v>
      </c>
      <c r="G5">
        <v>0</v>
      </c>
      <c r="H5">
        <v>3</v>
      </c>
      <c r="I5">
        <v>1.95E-2</v>
      </c>
      <c r="J5">
        <v>50</v>
      </c>
      <c r="K5">
        <f t="shared" si="0"/>
        <v>9.75E-3</v>
      </c>
      <c r="L5" t="s">
        <v>17</v>
      </c>
      <c r="M5">
        <v>296</v>
      </c>
      <c r="N5" t="s">
        <v>201</v>
      </c>
      <c r="O5" t="s">
        <v>910</v>
      </c>
    </row>
    <row r="6" spans="1:15" x14ac:dyDescent="0.2">
      <c r="A6" t="s">
        <v>190</v>
      </c>
      <c r="B6" t="s">
        <v>57</v>
      </c>
      <c r="C6">
        <v>3</v>
      </c>
      <c r="D6">
        <v>0</v>
      </c>
      <c r="E6">
        <v>3</v>
      </c>
      <c r="F6">
        <v>2</v>
      </c>
      <c r="G6">
        <v>1</v>
      </c>
      <c r="H6">
        <v>2</v>
      </c>
      <c r="I6" t="s">
        <v>192</v>
      </c>
      <c r="J6">
        <v>50</v>
      </c>
      <c r="L6" t="s">
        <v>17</v>
      </c>
      <c r="M6">
        <v>296</v>
      </c>
      <c r="N6" t="s">
        <v>201</v>
      </c>
      <c r="O6" t="s">
        <v>911</v>
      </c>
    </row>
    <row r="7" spans="1:15" x14ac:dyDescent="0.2">
      <c r="A7" t="s">
        <v>190</v>
      </c>
      <c r="B7" t="s">
        <v>191</v>
      </c>
      <c r="C7">
        <v>3</v>
      </c>
      <c r="D7">
        <v>0</v>
      </c>
      <c r="E7">
        <v>3</v>
      </c>
      <c r="F7">
        <v>2</v>
      </c>
      <c r="G7">
        <v>1</v>
      </c>
      <c r="H7">
        <v>2</v>
      </c>
      <c r="I7">
        <v>1.9199999999999998E-2</v>
      </c>
      <c r="J7">
        <v>50</v>
      </c>
      <c r="K7">
        <f t="shared" si="0"/>
        <v>9.5999999999999992E-3</v>
      </c>
      <c r="L7" t="s">
        <v>17</v>
      </c>
      <c r="M7">
        <v>296</v>
      </c>
      <c r="N7" t="s">
        <v>201</v>
      </c>
      <c r="O7" t="s">
        <v>910</v>
      </c>
    </row>
    <row r="8" spans="1:15" x14ac:dyDescent="0.2">
      <c r="A8" t="s">
        <v>190</v>
      </c>
      <c r="B8" t="s">
        <v>57</v>
      </c>
      <c r="C8">
        <v>2</v>
      </c>
      <c r="D8">
        <v>1</v>
      </c>
      <c r="E8">
        <v>2</v>
      </c>
      <c r="F8">
        <v>1</v>
      </c>
      <c r="G8">
        <v>0</v>
      </c>
      <c r="H8">
        <v>1</v>
      </c>
      <c r="I8">
        <v>0.1177</v>
      </c>
      <c r="J8">
        <v>50</v>
      </c>
      <c r="K8">
        <f t="shared" si="0"/>
        <v>5.885E-2</v>
      </c>
      <c r="L8" t="s">
        <v>17</v>
      </c>
      <c r="M8">
        <v>296</v>
      </c>
      <c r="N8" t="s">
        <v>201</v>
      </c>
      <c r="O8" t="s">
        <v>912</v>
      </c>
    </row>
    <row r="9" spans="1:15" x14ac:dyDescent="0.2">
      <c r="A9" t="s">
        <v>190</v>
      </c>
      <c r="B9" t="s">
        <v>191</v>
      </c>
      <c r="C9">
        <v>2</v>
      </c>
      <c r="D9">
        <v>1</v>
      </c>
      <c r="E9">
        <v>2</v>
      </c>
      <c r="F9">
        <v>1</v>
      </c>
      <c r="G9">
        <v>0</v>
      </c>
      <c r="H9">
        <v>1</v>
      </c>
      <c r="I9">
        <v>1.9800000000000002E-2</v>
      </c>
      <c r="J9">
        <v>50</v>
      </c>
      <c r="K9">
        <f t="shared" si="0"/>
        <v>9.9000000000000008E-3</v>
      </c>
      <c r="L9" t="s">
        <v>17</v>
      </c>
      <c r="M9">
        <v>296</v>
      </c>
      <c r="N9" t="s">
        <v>201</v>
      </c>
      <c r="O9" t="s">
        <v>908</v>
      </c>
    </row>
    <row r="10" spans="1:15" x14ac:dyDescent="0.2">
      <c r="A10" t="s">
        <v>190</v>
      </c>
      <c r="B10" t="s">
        <v>57</v>
      </c>
      <c r="C10">
        <v>3</v>
      </c>
      <c r="D10">
        <v>1</v>
      </c>
      <c r="E10">
        <v>2</v>
      </c>
      <c r="F10">
        <v>4</v>
      </c>
      <c r="G10">
        <v>1</v>
      </c>
      <c r="H10">
        <v>3</v>
      </c>
      <c r="I10">
        <v>0.1074</v>
      </c>
      <c r="J10">
        <v>50</v>
      </c>
      <c r="K10">
        <f t="shared" si="0"/>
        <v>5.3699999999999998E-2</v>
      </c>
      <c r="L10" t="s">
        <v>17</v>
      </c>
      <c r="M10">
        <v>296</v>
      </c>
      <c r="N10" t="s">
        <v>201</v>
      </c>
      <c r="O10" t="s">
        <v>913</v>
      </c>
    </row>
    <row r="11" spans="1:15" x14ac:dyDescent="0.2">
      <c r="A11" t="s">
        <v>190</v>
      </c>
      <c r="B11" t="s">
        <v>191</v>
      </c>
      <c r="C11">
        <v>3</v>
      </c>
      <c r="D11">
        <v>1</v>
      </c>
      <c r="E11">
        <v>2</v>
      </c>
      <c r="F11">
        <v>4</v>
      </c>
      <c r="G11">
        <v>1</v>
      </c>
      <c r="H11">
        <v>3</v>
      </c>
      <c r="I11">
        <v>2.1399999999999999E-2</v>
      </c>
      <c r="J11">
        <v>50</v>
      </c>
      <c r="K11">
        <f t="shared" si="0"/>
        <v>1.0699999999999998E-2</v>
      </c>
      <c r="L11" t="s">
        <v>17</v>
      </c>
      <c r="M11">
        <v>296</v>
      </c>
      <c r="N11" t="s">
        <v>201</v>
      </c>
      <c r="O11" t="s">
        <v>914</v>
      </c>
    </row>
    <row r="12" spans="1:15" x14ac:dyDescent="0.2">
      <c r="A12" t="s">
        <v>190</v>
      </c>
      <c r="B12" t="s">
        <v>239</v>
      </c>
      <c r="C12">
        <v>3</v>
      </c>
      <c r="D12">
        <v>1</v>
      </c>
      <c r="E12">
        <v>2</v>
      </c>
      <c r="F12">
        <v>4</v>
      </c>
      <c r="G12">
        <v>1</v>
      </c>
      <c r="H12">
        <v>3</v>
      </c>
      <c r="I12">
        <v>3.8699999999999998E-2</v>
      </c>
      <c r="J12">
        <v>50</v>
      </c>
      <c r="K12">
        <f t="shared" si="0"/>
        <v>1.9349999999999999E-2</v>
      </c>
      <c r="L12" t="s">
        <v>17</v>
      </c>
      <c r="M12">
        <v>296</v>
      </c>
      <c r="N12" t="s">
        <v>201</v>
      </c>
      <c r="O12" t="s">
        <v>915</v>
      </c>
    </row>
    <row r="13" spans="1:15" x14ac:dyDescent="0.2">
      <c r="A13" t="s">
        <v>190</v>
      </c>
      <c r="B13" t="s">
        <v>57</v>
      </c>
      <c r="C13">
        <v>3</v>
      </c>
      <c r="D13">
        <v>2</v>
      </c>
      <c r="E13">
        <v>1</v>
      </c>
      <c r="F13">
        <v>4</v>
      </c>
      <c r="G13">
        <v>2</v>
      </c>
      <c r="H13">
        <v>2</v>
      </c>
      <c r="I13">
        <v>0.1055</v>
      </c>
      <c r="J13">
        <v>50</v>
      </c>
      <c r="K13">
        <f t="shared" si="0"/>
        <v>5.2749999999999991E-2</v>
      </c>
      <c r="L13" t="s">
        <v>17</v>
      </c>
      <c r="M13">
        <v>296</v>
      </c>
      <c r="N13" t="s">
        <v>201</v>
      </c>
      <c r="O13" t="s">
        <v>916</v>
      </c>
    </row>
    <row r="14" spans="1:15" x14ac:dyDescent="0.2">
      <c r="A14" t="s">
        <v>190</v>
      </c>
      <c r="B14" t="s">
        <v>191</v>
      </c>
      <c r="C14">
        <v>3</v>
      </c>
      <c r="D14">
        <v>2</v>
      </c>
      <c r="E14">
        <v>1</v>
      </c>
      <c r="F14">
        <v>4</v>
      </c>
      <c r="G14">
        <v>2</v>
      </c>
      <c r="H14">
        <v>2</v>
      </c>
      <c r="I14">
        <v>2.0199999999999999E-2</v>
      </c>
      <c r="J14">
        <v>50</v>
      </c>
      <c r="K14">
        <f t="shared" si="0"/>
        <v>1.01E-2</v>
      </c>
      <c r="L14" t="s">
        <v>17</v>
      </c>
      <c r="M14">
        <v>296</v>
      </c>
      <c r="N14" t="s">
        <v>201</v>
      </c>
      <c r="O14" t="s">
        <v>917</v>
      </c>
    </row>
    <row r="15" spans="1:15" x14ac:dyDescent="0.2">
      <c r="A15" t="s">
        <v>190</v>
      </c>
      <c r="B15" t="s">
        <v>239</v>
      </c>
      <c r="C15">
        <v>3</v>
      </c>
      <c r="D15">
        <v>2</v>
      </c>
      <c r="E15">
        <v>1</v>
      </c>
      <c r="F15">
        <v>4</v>
      </c>
      <c r="G15">
        <v>2</v>
      </c>
      <c r="H15">
        <v>2</v>
      </c>
      <c r="I15">
        <v>3.8600000000000002E-2</v>
      </c>
      <c r="J15">
        <v>50</v>
      </c>
      <c r="K15">
        <f t="shared" si="0"/>
        <v>1.9300000000000001E-2</v>
      </c>
      <c r="L15" t="s">
        <v>17</v>
      </c>
      <c r="M15">
        <v>296</v>
      </c>
      <c r="N15" t="s">
        <v>201</v>
      </c>
      <c r="O15" t="s">
        <v>918</v>
      </c>
    </row>
    <row r="16" spans="1:15" x14ac:dyDescent="0.2">
      <c r="A16" t="s">
        <v>190</v>
      </c>
      <c r="B16" t="s">
        <v>57</v>
      </c>
      <c r="C16">
        <v>4</v>
      </c>
      <c r="D16">
        <v>3</v>
      </c>
      <c r="E16">
        <v>1</v>
      </c>
      <c r="F16">
        <v>3</v>
      </c>
      <c r="G16">
        <v>3</v>
      </c>
      <c r="H16">
        <v>0</v>
      </c>
      <c r="I16">
        <v>9.4E-2</v>
      </c>
      <c r="J16">
        <v>50</v>
      </c>
      <c r="K16">
        <f t="shared" si="0"/>
        <v>4.7E-2</v>
      </c>
      <c r="L16" t="s">
        <v>17</v>
      </c>
      <c r="M16">
        <v>296</v>
      </c>
      <c r="N16" t="s">
        <v>201</v>
      </c>
      <c r="O16" t="s">
        <v>919</v>
      </c>
    </row>
    <row r="17" spans="1:15" x14ac:dyDescent="0.2">
      <c r="A17" t="s">
        <v>190</v>
      </c>
      <c r="B17" t="s">
        <v>191</v>
      </c>
      <c r="C17">
        <v>4</v>
      </c>
      <c r="D17">
        <v>3</v>
      </c>
      <c r="E17">
        <v>1</v>
      </c>
      <c r="F17">
        <v>3</v>
      </c>
      <c r="G17">
        <v>3</v>
      </c>
      <c r="H17">
        <v>0</v>
      </c>
      <c r="I17">
        <v>1.9300000000000001E-2</v>
      </c>
      <c r="J17">
        <v>50</v>
      </c>
      <c r="K17">
        <f t="shared" si="0"/>
        <v>9.6500000000000006E-3</v>
      </c>
      <c r="L17" t="s">
        <v>17</v>
      </c>
      <c r="M17">
        <v>296</v>
      </c>
      <c r="N17" t="s">
        <v>201</v>
      </c>
      <c r="O17" t="s">
        <v>920</v>
      </c>
    </row>
    <row r="18" spans="1:15" x14ac:dyDescent="0.2">
      <c r="A18" t="s">
        <v>190</v>
      </c>
      <c r="B18" t="s">
        <v>239</v>
      </c>
      <c r="C18">
        <v>4</v>
      </c>
      <c r="D18">
        <v>3</v>
      </c>
      <c r="E18">
        <v>1</v>
      </c>
      <c r="F18">
        <v>3</v>
      </c>
      <c r="G18">
        <v>3</v>
      </c>
      <c r="H18">
        <v>0</v>
      </c>
      <c r="I18">
        <v>3.39E-2</v>
      </c>
      <c r="J18">
        <v>50</v>
      </c>
      <c r="K18">
        <f t="shared" si="0"/>
        <v>1.695E-2</v>
      </c>
      <c r="L18" t="s">
        <v>17</v>
      </c>
      <c r="M18">
        <v>296</v>
      </c>
      <c r="N18" t="s">
        <v>201</v>
      </c>
      <c r="O18" t="s">
        <v>921</v>
      </c>
    </row>
    <row r="19" spans="1:15" x14ac:dyDescent="0.2">
      <c r="A19" t="s">
        <v>190</v>
      </c>
      <c r="B19" t="s">
        <v>57</v>
      </c>
      <c r="C19">
        <v>4</v>
      </c>
      <c r="D19">
        <v>2</v>
      </c>
      <c r="E19">
        <v>2</v>
      </c>
      <c r="F19">
        <v>3</v>
      </c>
      <c r="G19">
        <v>2</v>
      </c>
      <c r="H19">
        <v>1</v>
      </c>
      <c r="I19">
        <v>0.1051</v>
      </c>
      <c r="J19">
        <v>50</v>
      </c>
      <c r="K19">
        <f t="shared" si="0"/>
        <v>5.2549999999999999E-2</v>
      </c>
      <c r="L19" t="s">
        <v>17</v>
      </c>
      <c r="M19">
        <v>296</v>
      </c>
      <c r="N19" t="s">
        <v>201</v>
      </c>
      <c r="O19" t="s">
        <v>922</v>
      </c>
    </row>
    <row r="20" spans="1:15" x14ac:dyDescent="0.2">
      <c r="A20" t="s">
        <v>190</v>
      </c>
      <c r="B20" t="s">
        <v>191</v>
      </c>
      <c r="C20">
        <v>4</v>
      </c>
      <c r="D20">
        <v>2</v>
      </c>
      <c r="E20">
        <v>2</v>
      </c>
      <c r="F20">
        <v>3</v>
      </c>
      <c r="G20">
        <v>2</v>
      </c>
      <c r="H20">
        <v>1</v>
      </c>
      <c r="I20">
        <v>1.78E-2</v>
      </c>
      <c r="J20">
        <v>50</v>
      </c>
      <c r="K20">
        <f t="shared" si="0"/>
        <v>8.8999999999999999E-3</v>
      </c>
      <c r="L20" t="s">
        <v>17</v>
      </c>
      <c r="M20">
        <v>296</v>
      </c>
      <c r="N20" t="s">
        <v>201</v>
      </c>
      <c r="O20" t="s">
        <v>923</v>
      </c>
    </row>
    <row r="21" spans="1:15" x14ac:dyDescent="0.2">
      <c r="A21" t="s">
        <v>190</v>
      </c>
      <c r="B21" t="s">
        <v>239</v>
      </c>
      <c r="C21">
        <v>4</v>
      </c>
      <c r="D21">
        <v>2</v>
      </c>
      <c r="E21">
        <v>2</v>
      </c>
      <c r="F21">
        <v>3</v>
      </c>
      <c r="G21">
        <v>2</v>
      </c>
      <c r="H21">
        <v>1</v>
      </c>
      <c r="I21">
        <v>3.3500000000000002E-2</v>
      </c>
      <c r="J21">
        <v>50</v>
      </c>
      <c r="K21">
        <f t="shared" si="0"/>
        <v>1.6750000000000001E-2</v>
      </c>
      <c r="L21" t="s">
        <v>17</v>
      </c>
      <c r="M21">
        <v>296</v>
      </c>
      <c r="N21" t="s">
        <v>201</v>
      </c>
      <c r="O21" t="s">
        <v>924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CC11F-4B89-AF41-912B-0F8544C20279}">
  <dimension ref="A1:O50"/>
  <sheetViews>
    <sheetView workbookViewId="0">
      <selection activeCell="Q20" sqref="Q20"/>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403</v>
      </c>
      <c r="C2">
        <v>9</v>
      </c>
      <c r="D2">
        <v>6</v>
      </c>
      <c r="E2">
        <v>4</v>
      </c>
      <c r="F2">
        <v>8</v>
      </c>
      <c r="G2">
        <v>5</v>
      </c>
      <c r="H2">
        <v>3</v>
      </c>
      <c r="I2">
        <v>0.01</v>
      </c>
      <c r="J2">
        <v>50</v>
      </c>
      <c r="K2">
        <f>J2*I2/100</f>
        <v>5.0000000000000001E-3</v>
      </c>
      <c r="L2">
        <v>0.42920000000000003</v>
      </c>
      <c r="M2">
        <v>296</v>
      </c>
      <c r="N2" t="s">
        <v>201</v>
      </c>
      <c r="O2" t="s">
        <v>925</v>
      </c>
    </row>
    <row r="3" spans="1:15" x14ac:dyDescent="0.2">
      <c r="A3" t="s">
        <v>190</v>
      </c>
      <c r="B3" t="s">
        <v>403</v>
      </c>
      <c r="C3">
        <v>9</v>
      </c>
      <c r="D3">
        <v>7</v>
      </c>
      <c r="E3">
        <v>2</v>
      </c>
      <c r="F3">
        <v>8</v>
      </c>
      <c r="G3">
        <v>6</v>
      </c>
      <c r="H3">
        <v>3</v>
      </c>
      <c r="I3">
        <v>8.5000000000000006E-3</v>
      </c>
      <c r="J3">
        <v>50</v>
      </c>
      <c r="K3">
        <f>J3*I3/100</f>
        <v>4.2500000000000003E-3</v>
      </c>
      <c r="L3">
        <v>0.42920000000000003</v>
      </c>
      <c r="M3">
        <v>296</v>
      </c>
      <c r="N3" t="s">
        <v>201</v>
      </c>
      <c r="O3" t="s">
        <v>926</v>
      </c>
    </row>
    <row r="4" spans="1:15" x14ac:dyDescent="0.2">
      <c r="A4" t="s">
        <v>190</v>
      </c>
      <c r="B4" t="s">
        <v>403</v>
      </c>
      <c r="C4">
        <v>9</v>
      </c>
      <c r="D4">
        <v>7</v>
      </c>
      <c r="E4">
        <v>3</v>
      </c>
      <c r="F4">
        <v>8</v>
      </c>
      <c r="G4">
        <v>6</v>
      </c>
      <c r="H4">
        <v>2</v>
      </c>
      <c r="I4">
        <v>7.4999999999999997E-3</v>
      </c>
      <c r="J4">
        <v>50</v>
      </c>
      <c r="K4">
        <f t="shared" ref="K4:K50" si="0">J4*I4/100</f>
        <v>3.7499999999999999E-3</v>
      </c>
      <c r="L4">
        <v>0.42920000000000003</v>
      </c>
      <c r="M4">
        <v>296</v>
      </c>
      <c r="N4" t="s">
        <v>201</v>
      </c>
      <c r="O4" t="s">
        <v>927</v>
      </c>
    </row>
    <row r="5" spans="1:15" x14ac:dyDescent="0.2">
      <c r="A5" t="s">
        <v>190</v>
      </c>
      <c r="B5" t="s">
        <v>403</v>
      </c>
      <c r="C5">
        <v>10</v>
      </c>
      <c r="D5">
        <v>5</v>
      </c>
      <c r="E5">
        <v>5</v>
      </c>
      <c r="F5">
        <v>9</v>
      </c>
      <c r="G5">
        <v>4</v>
      </c>
      <c r="H5">
        <v>6</v>
      </c>
      <c r="I5">
        <v>1.09E-2</v>
      </c>
      <c r="J5">
        <v>50</v>
      </c>
      <c r="K5">
        <f t="shared" si="0"/>
        <v>5.45E-3</v>
      </c>
      <c r="L5">
        <v>0.42920000000000003</v>
      </c>
      <c r="M5">
        <v>296</v>
      </c>
      <c r="N5" t="s">
        <v>201</v>
      </c>
      <c r="O5" t="s">
        <v>928</v>
      </c>
    </row>
    <row r="6" spans="1:15" x14ac:dyDescent="0.2">
      <c r="A6" t="s">
        <v>190</v>
      </c>
      <c r="B6" t="s">
        <v>403</v>
      </c>
      <c r="C6">
        <v>10</v>
      </c>
      <c r="D6">
        <v>6</v>
      </c>
      <c r="E6">
        <v>5</v>
      </c>
      <c r="F6">
        <v>9</v>
      </c>
      <c r="G6">
        <v>5</v>
      </c>
      <c r="H6">
        <v>4</v>
      </c>
      <c r="I6">
        <v>1.0699999999999999E-2</v>
      </c>
      <c r="J6">
        <v>50</v>
      </c>
      <c r="K6">
        <f t="shared" si="0"/>
        <v>5.3499999999999989E-3</v>
      </c>
      <c r="L6">
        <v>0.42920000000000003</v>
      </c>
      <c r="M6">
        <v>296</v>
      </c>
      <c r="N6" t="s">
        <v>201</v>
      </c>
      <c r="O6" t="s">
        <v>929</v>
      </c>
    </row>
    <row r="7" spans="1:15" x14ac:dyDescent="0.2">
      <c r="A7" t="s">
        <v>190</v>
      </c>
      <c r="B7" t="s">
        <v>403</v>
      </c>
      <c r="C7">
        <v>11</v>
      </c>
      <c r="D7">
        <v>5</v>
      </c>
      <c r="E7">
        <v>6</v>
      </c>
      <c r="F7">
        <v>10</v>
      </c>
      <c r="G7">
        <v>4</v>
      </c>
      <c r="H7">
        <v>7</v>
      </c>
      <c r="I7">
        <v>1.0500000000000001E-2</v>
      </c>
      <c r="J7">
        <v>50</v>
      </c>
      <c r="K7">
        <f t="shared" si="0"/>
        <v>5.2500000000000003E-3</v>
      </c>
      <c r="L7">
        <v>0.42920000000000003</v>
      </c>
      <c r="M7">
        <v>296</v>
      </c>
      <c r="N7" t="s">
        <v>201</v>
      </c>
      <c r="O7" t="s">
        <v>930</v>
      </c>
    </row>
    <row r="8" spans="1:15" x14ac:dyDescent="0.2">
      <c r="A8" t="s">
        <v>190</v>
      </c>
      <c r="B8" t="s">
        <v>403</v>
      </c>
      <c r="C8">
        <v>12</v>
      </c>
      <c r="D8">
        <v>2</v>
      </c>
      <c r="E8">
        <v>10</v>
      </c>
      <c r="F8">
        <v>11</v>
      </c>
      <c r="G8">
        <v>3</v>
      </c>
      <c r="H8">
        <v>9</v>
      </c>
      <c r="I8">
        <v>7.4999999999999997E-3</v>
      </c>
      <c r="J8">
        <v>50</v>
      </c>
      <c r="K8">
        <f t="shared" si="0"/>
        <v>3.7499999999999999E-3</v>
      </c>
      <c r="L8">
        <v>0.42920000000000003</v>
      </c>
      <c r="M8">
        <v>296</v>
      </c>
      <c r="N8" t="s">
        <v>201</v>
      </c>
      <c r="O8" t="s">
        <v>931</v>
      </c>
    </row>
    <row r="9" spans="1:15" x14ac:dyDescent="0.2">
      <c r="A9" t="s">
        <v>190</v>
      </c>
      <c r="B9" t="s">
        <v>403</v>
      </c>
      <c r="C9">
        <v>13</v>
      </c>
      <c r="D9">
        <v>2</v>
      </c>
      <c r="E9">
        <v>12</v>
      </c>
      <c r="F9">
        <v>12</v>
      </c>
      <c r="G9">
        <v>1</v>
      </c>
      <c r="H9">
        <v>11</v>
      </c>
      <c r="I9">
        <v>4.4000000000000003E-3</v>
      </c>
      <c r="J9">
        <v>50</v>
      </c>
      <c r="K9">
        <f t="shared" si="0"/>
        <v>2.2000000000000001E-3</v>
      </c>
      <c r="L9">
        <v>0.42920000000000003</v>
      </c>
      <c r="M9">
        <v>296</v>
      </c>
      <c r="N9" t="s">
        <v>201</v>
      </c>
      <c r="O9" t="s">
        <v>932</v>
      </c>
    </row>
    <row r="10" spans="1:15" x14ac:dyDescent="0.2">
      <c r="A10" t="s">
        <v>190</v>
      </c>
      <c r="B10" t="s">
        <v>403</v>
      </c>
      <c r="C10">
        <v>13</v>
      </c>
      <c r="D10">
        <v>2</v>
      </c>
      <c r="E10">
        <v>11</v>
      </c>
      <c r="F10">
        <v>12</v>
      </c>
      <c r="G10">
        <v>3</v>
      </c>
      <c r="H10">
        <v>10</v>
      </c>
      <c r="I10">
        <v>5.5999999999999999E-3</v>
      </c>
      <c r="J10">
        <v>50</v>
      </c>
      <c r="K10">
        <f t="shared" si="0"/>
        <v>2.7999999999999995E-3</v>
      </c>
      <c r="L10">
        <v>0.42920000000000003</v>
      </c>
      <c r="M10">
        <v>296</v>
      </c>
      <c r="N10" t="s">
        <v>201</v>
      </c>
      <c r="O10" t="s">
        <v>933</v>
      </c>
    </row>
    <row r="11" spans="1:15" x14ac:dyDescent="0.2">
      <c r="A11" t="s">
        <v>190</v>
      </c>
      <c r="B11" t="s">
        <v>403</v>
      </c>
      <c r="C11">
        <v>14</v>
      </c>
      <c r="D11">
        <v>2</v>
      </c>
      <c r="E11">
        <v>13</v>
      </c>
      <c r="F11">
        <v>13</v>
      </c>
      <c r="G11">
        <v>1</v>
      </c>
      <c r="H11">
        <v>12</v>
      </c>
      <c r="I11">
        <v>3.3E-3</v>
      </c>
      <c r="J11">
        <v>50</v>
      </c>
      <c r="K11">
        <f t="shared" si="0"/>
        <v>1.65E-3</v>
      </c>
      <c r="L11">
        <v>0.42920000000000003</v>
      </c>
      <c r="M11">
        <v>296</v>
      </c>
      <c r="N11" t="s">
        <v>201</v>
      </c>
      <c r="O11" t="s">
        <v>934</v>
      </c>
    </row>
    <row r="12" spans="1:15" x14ac:dyDescent="0.2">
      <c r="A12" t="s">
        <v>190</v>
      </c>
      <c r="B12" t="s">
        <v>403</v>
      </c>
      <c r="C12">
        <v>15</v>
      </c>
      <c r="D12">
        <v>0</v>
      </c>
      <c r="E12">
        <v>15</v>
      </c>
      <c r="F12">
        <v>14</v>
      </c>
      <c r="G12">
        <v>1</v>
      </c>
      <c r="H12">
        <v>14</v>
      </c>
      <c r="I12">
        <v>3.7000000000000002E-3</v>
      </c>
      <c r="J12">
        <v>50</v>
      </c>
      <c r="K12">
        <f t="shared" si="0"/>
        <v>1.8500000000000001E-3</v>
      </c>
      <c r="L12">
        <v>0.42920000000000003</v>
      </c>
      <c r="M12">
        <v>296</v>
      </c>
      <c r="N12" t="s">
        <v>201</v>
      </c>
      <c r="O12" t="s">
        <v>935</v>
      </c>
    </row>
    <row r="13" spans="1:15" x14ac:dyDescent="0.2">
      <c r="A13" t="s">
        <v>190</v>
      </c>
      <c r="B13" t="s">
        <v>403</v>
      </c>
      <c r="C13">
        <v>16</v>
      </c>
      <c r="D13">
        <v>0</v>
      </c>
      <c r="E13">
        <v>16</v>
      </c>
      <c r="F13">
        <v>15</v>
      </c>
      <c r="G13">
        <v>1</v>
      </c>
      <c r="H13">
        <v>15</v>
      </c>
      <c r="I13">
        <v>2.0999999999999999E-3</v>
      </c>
      <c r="J13">
        <v>50</v>
      </c>
      <c r="K13">
        <f t="shared" si="0"/>
        <v>1.0499999999999999E-3</v>
      </c>
      <c r="L13">
        <v>0.42920000000000003</v>
      </c>
      <c r="M13">
        <v>296</v>
      </c>
      <c r="N13" t="s">
        <v>201</v>
      </c>
      <c r="O13" t="s">
        <v>936</v>
      </c>
    </row>
    <row r="14" spans="1:15" x14ac:dyDescent="0.2">
      <c r="A14" t="s">
        <v>190</v>
      </c>
      <c r="B14" t="s">
        <v>407</v>
      </c>
      <c r="C14">
        <v>11</v>
      </c>
      <c r="D14">
        <v>2</v>
      </c>
      <c r="E14">
        <v>10</v>
      </c>
      <c r="F14">
        <v>12</v>
      </c>
      <c r="G14">
        <v>1</v>
      </c>
      <c r="H14">
        <v>11</v>
      </c>
      <c r="I14">
        <v>1.23E-2</v>
      </c>
      <c r="J14">
        <v>50</v>
      </c>
      <c r="K14">
        <f t="shared" si="0"/>
        <v>6.1500000000000001E-3</v>
      </c>
      <c r="L14">
        <v>0.5141</v>
      </c>
      <c r="M14">
        <v>296</v>
      </c>
      <c r="N14" t="s">
        <v>937</v>
      </c>
      <c r="O14" t="s">
        <v>938</v>
      </c>
    </row>
    <row r="15" spans="1:15" x14ac:dyDescent="0.2">
      <c r="A15" t="s">
        <v>190</v>
      </c>
      <c r="B15" t="s">
        <v>407</v>
      </c>
      <c r="C15">
        <v>12</v>
      </c>
      <c r="D15">
        <v>0</v>
      </c>
      <c r="E15">
        <v>12</v>
      </c>
      <c r="F15">
        <v>12</v>
      </c>
      <c r="G15">
        <v>1</v>
      </c>
      <c r="H15">
        <v>11</v>
      </c>
      <c r="I15">
        <v>1.52E-2</v>
      </c>
      <c r="J15">
        <v>50</v>
      </c>
      <c r="K15">
        <f t="shared" si="0"/>
        <v>7.6E-3</v>
      </c>
      <c r="L15">
        <v>0.5141</v>
      </c>
      <c r="M15">
        <v>296</v>
      </c>
      <c r="N15" t="s">
        <v>937</v>
      </c>
      <c r="O15" t="s">
        <v>939</v>
      </c>
    </row>
    <row r="16" spans="1:15" x14ac:dyDescent="0.2">
      <c r="A16" t="s">
        <v>190</v>
      </c>
      <c r="B16" t="s">
        <v>407</v>
      </c>
      <c r="C16">
        <v>12</v>
      </c>
      <c r="D16">
        <v>1</v>
      </c>
      <c r="E16">
        <v>12</v>
      </c>
      <c r="F16">
        <v>12</v>
      </c>
      <c r="G16">
        <v>2</v>
      </c>
      <c r="H16">
        <v>11</v>
      </c>
      <c r="I16">
        <v>1.29E-2</v>
      </c>
      <c r="J16">
        <v>50</v>
      </c>
      <c r="K16">
        <f t="shared" si="0"/>
        <v>6.45E-3</v>
      </c>
      <c r="L16">
        <v>0.5141</v>
      </c>
      <c r="M16">
        <v>296</v>
      </c>
      <c r="N16" t="s">
        <v>937</v>
      </c>
      <c r="O16" t="s">
        <v>940</v>
      </c>
    </row>
    <row r="17" spans="1:15" x14ac:dyDescent="0.2">
      <c r="A17" t="s">
        <v>190</v>
      </c>
      <c r="B17" t="s">
        <v>407</v>
      </c>
      <c r="C17">
        <v>13</v>
      </c>
      <c r="D17">
        <v>1</v>
      </c>
      <c r="E17">
        <v>13</v>
      </c>
      <c r="F17">
        <v>14</v>
      </c>
      <c r="G17">
        <v>0</v>
      </c>
      <c r="H17">
        <v>14</v>
      </c>
      <c r="I17">
        <v>7.6E-3</v>
      </c>
      <c r="J17">
        <v>50</v>
      </c>
      <c r="K17">
        <f t="shared" si="0"/>
        <v>3.8E-3</v>
      </c>
      <c r="L17">
        <v>0.5141</v>
      </c>
      <c r="M17">
        <v>296</v>
      </c>
      <c r="N17" t="s">
        <v>937</v>
      </c>
      <c r="O17" t="s">
        <v>941</v>
      </c>
    </row>
    <row r="18" spans="1:15" x14ac:dyDescent="0.2">
      <c r="A18" t="s">
        <v>190</v>
      </c>
      <c r="B18" t="s">
        <v>407</v>
      </c>
      <c r="C18">
        <v>13</v>
      </c>
      <c r="D18">
        <v>0</v>
      </c>
      <c r="E18">
        <v>13</v>
      </c>
      <c r="F18">
        <v>14</v>
      </c>
      <c r="G18">
        <v>1</v>
      </c>
      <c r="H18">
        <v>14</v>
      </c>
      <c r="I18">
        <v>6.7000000000000002E-3</v>
      </c>
      <c r="J18">
        <v>50</v>
      </c>
      <c r="K18">
        <f t="shared" si="0"/>
        <v>3.3500000000000001E-3</v>
      </c>
      <c r="L18">
        <v>0.5141</v>
      </c>
      <c r="M18">
        <v>296</v>
      </c>
      <c r="N18" t="s">
        <v>937</v>
      </c>
      <c r="O18" t="s">
        <v>942</v>
      </c>
    </row>
    <row r="19" spans="1:15" x14ac:dyDescent="0.2">
      <c r="A19" t="s">
        <v>190</v>
      </c>
      <c r="B19" t="s">
        <v>376</v>
      </c>
      <c r="C19">
        <v>4</v>
      </c>
      <c r="D19">
        <v>4</v>
      </c>
      <c r="E19">
        <v>1</v>
      </c>
      <c r="F19">
        <v>3</v>
      </c>
      <c r="G19">
        <v>1</v>
      </c>
      <c r="H19">
        <v>2</v>
      </c>
      <c r="I19">
        <v>4.0399999999999998E-2</v>
      </c>
      <c r="J19">
        <v>50</v>
      </c>
      <c r="K19">
        <f t="shared" si="0"/>
        <v>2.0199999999999999E-2</v>
      </c>
      <c r="L19">
        <v>0.47489999999999999</v>
      </c>
      <c r="M19">
        <v>296</v>
      </c>
      <c r="N19" t="s">
        <v>937</v>
      </c>
      <c r="O19" t="s">
        <v>943</v>
      </c>
    </row>
    <row r="20" spans="1:15" x14ac:dyDescent="0.2">
      <c r="A20" t="s">
        <v>190</v>
      </c>
      <c r="B20" t="s">
        <v>376</v>
      </c>
      <c r="C20">
        <v>5</v>
      </c>
      <c r="D20">
        <v>4</v>
      </c>
      <c r="E20">
        <v>2</v>
      </c>
      <c r="F20">
        <v>4</v>
      </c>
      <c r="G20">
        <v>1</v>
      </c>
      <c r="H20">
        <v>3</v>
      </c>
      <c r="I20">
        <v>4.1200000000000001E-2</v>
      </c>
      <c r="J20">
        <v>50</v>
      </c>
      <c r="K20">
        <f t="shared" si="0"/>
        <v>2.06E-2</v>
      </c>
      <c r="L20">
        <v>0.47489999999999999</v>
      </c>
      <c r="M20">
        <v>296</v>
      </c>
      <c r="N20" t="s">
        <v>937</v>
      </c>
      <c r="O20" t="s">
        <v>944</v>
      </c>
    </row>
    <row r="21" spans="1:15" x14ac:dyDescent="0.2">
      <c r="A21" t="s">
        <v>190</v>
      </c>
      <c r="B21" t="s">
        <v>376</v>
      </c>
      <c r="C21">
        <v>5</v>
      </c>
      <c r="D21">
        <v>4</v>
      </c>
      <c r="E21">
        <v>1</v>
      </c>
      <c r="F21">
        <v>4</v>
      </c>
      <c r="G21">
        <v>3</v>
      </c>
      <c r="H21">
        <v>2</v>
      </c>
      <c r="I21">
        <v>2.35E-2</v>
      </c>
      <c r="J21">
        <v>50</v>
      </c>
      <c r="K21">
        <f t="shared" si="0"/>
        <v>1.175E-2</v>
      </c>
      <c r="L21">
        <v>0.47489999999999999</v>
      </c>
      <c r="M21">
        <v>296</v>
      </c>
      <c r="N21" t="s">
        <v>937</v>
      </c>
      <c r="O21" t="s">
        <v>945</v>
      </c>
    </row>
    <row r="22" spans="1:15" x14ac:dyDescent="0.2">
      <c r="A22" t="s">
        <v>190</v>
      </c>
      <c r="B22" t="s">
        <v>376</v>
      </c>
      <c r="C22">
        <v>6</v>
      </c>
      <c r="D22">
        <v>4</v>
      </c>
      <c r="E22">
        <v>2</v>
      </c>
      <c r="F22">
        <v>6</v>
      </c>
      <c r="G22">
        <v>1</v>
      </c>
      <c r="H22">
        <v>5</v>
      </c>
      <c r="I22">
        <v>3.6999999999999998E-2</v>
      </c>
      <c r="J22">
        <v>50</v>
      </c>
      <c r="K22">
        <f t="shared" si="0"/>
        <v>1.8499999999999999E-2</v>
      </c>
      <c r="L22">
        <v>0.47489999999999999</v>
      </c>
      <c r="M22">
        <v>296</v>
      </c>
      <c r="N22" t="s">
        <v>937</v>
      </c>
      <c r="O22" t="s">
        <v>946</v>
      </c>
    </row>
    <row r="23" spans="1:15" x14ac:dyDescent="0.2">
      <c r="A23" t="s">
        <v>190</v>
      </c>
      <c r="B23" t="s">
        <v>376</v>
      </c>
      <c r="C23">
        <v>7</v>
      </c>
      <c r="D23">
        <v>4</v>
      </c>
      <c r="E23">
        <v>4</v>
      </c>
      <c r="F23">
        <v>6</v>
      </c>
      <c r="G23">
        <v>1</v>
      </c>
      <c r="H23">
        <v>5</v>
      </c>
      <c r="I23">
        <v>3.3099999999999997E-2</v>
      </c>
      <c r="J23">
        <v>50</v>
      </c>
      <c r="K23">
        <f t="shared" si="0"/>
        <v>1.6549999999999999E-2</v>
      </c>
      <c r="L23">
        <v>0.47489999999999999</v>
      </c>
      <c r="M23">
        <v>296</v>
      </c>
      <c r="N23" t="s">
        <v>937</v>
      </c>
      <c r="O23" t="s">
        <v>947</v>
      </c>
    </row>
    <row r="24" spans="1:15" x14ac:dyDescent="0.2">
      <c r="A24" t="s">
        <v>190</v>
      </c>
      <c r="B24" t="s">
        <v>407</v>
      </c>
      <c r="C24">
        <v>8</v>
      </c>
      <c r="D24">
        <v>5</v>
      </c>
      <c r="E24">
        <v>4</v>
      </c>
      <c r="F24">
        <v>7</v>
      </c>
      <c r="G24">
        <v>2</v>
      </c>
      <c r="H24">
        <v>5</v>
      </c>
      <c r="I24">
        <v>3.4099999999999998E-2</v>
      </c>
      <c r="J24">
        <v>50</v>
      </c>
      <c r="K24">
        <f t="shared" si="0"/>
        <v>1.7049999999999999E-2</v>
      </c>
      <c r="L24">
        <v>0.5141</v>
      </c>
      <c r="M24">
        <v>296</v>
      </c>
      <c r="N24" t="s">
        <v>937</v>
      </c>
      <c r="O24" t="s">
        <v>948</v>
      </c>
    </row>
    <row r="25" spans="1:15" x14ac:dyDescent="0.2">
      <c r="A25" t="s">
        <v>190</v>
      </c>
      <c r="B25" t="s">
        <v>407</v>
      </c>
      <c r="C25">
        <v>2</v>
      </c>
      <c r="D25">
        <v>0</v>
      </c>
      <c r="E25">
        <v>2</v>
      </c>
      <c r="F25">
        <v>3</v>
      </c>
      <c r="G25">
        <v>3</v>
      </c>
      <c r="H25">
        <v>1</v>
      </c>
      <c r="I25">
        <v>7.3400000000000007E-2</v>
      </c>
      <c r="J25">
        <v>50</v>
      </c>
      <c r="K25">
        <f t="shared" si="0"/>
        <v>3.6700000000000003E-2</v>
      </c>
      <c r="L25">
        <v>0.5141</v>
      </c>
      <c r="M25">
        <v>296</v>
      </c>
      <c r="N25" t="s">
        <v>937</v>
      </c>
      <c r="O25" t="s">
        <v>949</v>
      </c>
    </row>
    <row r="26" spans="1:15" x14ac:dyDescent="0.2">
      <c r="A26" t="s">
        <v>190</v>
      </c>
      <c r="B26" t="s">
        <v>376</v>
      </c>
      <c r="C26">
        <v>9</v>
      </c>
      <c r="D26">
        <v>3</v>
      </c>
      <c r="E26">
        <v>7</v>
      </c>
      <c r="F26">
        <v>8</v>
      </c>
      <c r="G26">
        <v>0</v>
      </c>
      <c r="H26">
        <v>8</v>
      </c>
      <c r="I26">
        <v>2.41E-2</v>
      </c>
      <c r="J26">
        <v>50</v>
      </c>
      <c r="K26">
        <f t="shared" si="0"/>
        <v>1.205E-2</v>
      </c>
      <c r="L26">
        <v>0.47489999999999999</v>
      </c>
      <c r="M26">
        <v>296</v>
      </c>
      <c r="N26" t="s">
        <v>937</v>
      </c>
      <c r="O26" t="s">
        <v>950</v>
      </c>
    </row>
    <row r="27" spans="1:15" x14ac:dyDescent="0.2">
      <c r="A27" t="s">
        <v>190</v>
      </c>
      <c r="B27" t="s">
        <v>407</v>
      </c>
      <c r="C27">
        <v>5</v>
      </c>
      <c r="D27">
        <v>1</v>
      </c>
      <c r="E27">
        <v>4</v>
      </c>
      <c r="F27">
        <v>5</v>
      </c>
      <c r="G27">
        <v>4</v>
      </c>
      <c r="H27">
        <v>1</v>
      </c>
      <c r="I27">
        <v>5.3400000000000003E-2</v>
      </c>
      <c r="J27">
        <v>50</v>
      </c>
      <c r="K27">
        <f t="shared" si="0"/>
        <v>2.6699999999999998E-2</v>
      </c>
      <c r="L27">
        <v>0.5141</v>
      </c>
      <c r="M27">
        <v>296</v>
      </c>
      <c r="N27" t="s">
        <v>937</v>
      </c>
      <c r="O27" t="s">
        <v>951</v>
      </c>
    </row>
    <row r="28" spans="1:15" x14ac:dyDescent="0.2">
      <c r="A28" t="s">
        <v>190</v>
      </c>
      <c r="B28" t="s">
        <v>376</v>
      </c>
      <c r="C28">
        <v>10</v>
      </c>
      <c r="D28">
        <v>3</v>
      </c>
      <c r="E28">
        <v>7</v>
      </c>
      <c r="F28">
        <v>9</v>
      </c>
      <c r="G28">
        <v>2</v>
      </c>
      <c r="H28">
        <v>8</v>
      </c>
      <c r="I28">
        <v>3.2899999999999999E-2</v>
      </c>
      <c r="J28">
        <v>50</v>
      </c>
      <c r="K28">
        <f t="shared" si="0"/>
        <v>1.6449999999999999E-2</v>
      </c>
      <c r="L28">
        <v>0.47489999999999999</v>
      </c>
      <c r="M28">
        <v>296</v>
      </c>
      <c r="N28" t="s">
        <v>937</v>
      </c>
      <c r="O28" t="s">
        <v>952</v>
      </c>
    </row>
    <row r="29" spans="1:15" x14ac:dyDescent="0.2">
      <c r="A29" t="s">
        <v>190</v>
      </c>
      <c r="B29" t="s">
        <v>407</v>
      </c>
      <c r="C29">
        <v>6</v>
      </c>
      <c r="D29">
        <v>0</v>
      </c>
      <c r="E29">
        <v>6</v>
      </c>
      <c r="F29">
        <v>7</v>
      </c>
      <c r="G29">
        <v>3</v>
      </c>
      <c r="H29">
        <v>5</v>
      </c>
      <c r="I29">
        <v>4.8300000000000003E-2</v>
      </c>
      <c r="J29">
        <v>50</v>
      </c>
      <c r="K29">
        <f t="shared" si="0"/>
        <v>2.4150000000000001E-2</v>
      </c>
      <c r="L29">
        <v>0.5141</v>
      </c>
      <c r="M29">
        <v>296</v>
      </c>
      <c r="N29" t="s">
        <v>937</v>
      </c>
      <c r="O29" t="s">
        <v>953</v>
      </c>
    </row>
    <row r="30" spans="1:15" x14ac:dyDescent="0.2">
      <c r="A30" t="s">
        <v>190</v>
      </c>
      <c r="B30" t="s">
        <v>376</v>
      </c>
      <c r="C30">
        <v>10</v>
      </c>
      <c r="D30">
        <v>7</v>
      </c>
      <c r="E30">
        <v>4</v>
      </c>
      <c r="F30">
        <v>9</v>
      </c>
      <c r="G30">
        <v>6</v>
      </c>
      <c r="H30">
        <v>3</v>
      </c>
      <c r="I30">
        <v>1.49E-2</v>
      </c>
      <c r="J30">
        <v>50</v>
      </c>
      <c r="K30">
        <f t="shared" si="0"/>
        <v>7.45E-3</v>
      </c>
      <c r="L30">
        <v>0.47489999999999999</v>
      </c>
      <c r="M30">
        <v>296</v>
      </c>
      <c r="N30" t="s">
        <v>937</v>
      </c>
      <c r="O30" t="s">
        <v>954</v>
      </c>
    </row>
    <row r="31" spans="1:15" x14ac:dyDescent="0.2">
      <c r="A31" t="s">
        <v>190</v>
      </c>
      <c r="B31" t="s">
        <v>407</v>
      </c>
      <c r="C31">
        <v>7</v>
      </c>
      <c r="D31">
        <v>0</v>
      </c>
      <c r="E31">
        <v>7</v>
      </c>
      <c r="F31">
        <v>7</v>
      </c>
      <c r="G31">
        <v>3</v>
      </c>
      <c r="H31">
        <v>4</v>
      </c>
      <c r="I31">
        <v>6.3200000000000006E-2</v>
      </c>
      <c r="J31">
        <v>50</v>
      </c>
      <c r="K31">
        <f t="shared" si="0"/>
        <v>3.1600000000000003E-2</v>
      </c>
      <c r="L31">
        <v>0.5141</v>
      </c>
      <c r="M31">
        <v>296</v>
      </c>
      <c r="N31" t="s">
        <v>937</v>
      </c>
      <c r="O31" t="s">
        <v>955</v>
      </c>
    </row>
    <row r="32" spans="1:15" x14ac:dyDescent="0.2">
      <c r="A32" t="s">
        <v>190</v>
      </c>
      <c r="B32" t="s">
        <v>376</v>
      </c>
      <c r="C32">
        <v>11</v>
      </c>
      <c r="D32">
        <v>4</v>
      </c>
      <c r="E32">
        <v>8</v>
      </c>
      <c r="F32">
        <v>10</v>
      </c>
      <c r="G32">
        <v>3</v>
      </c>
      <c r="H32">
        <v>7</v>
      </c>
      <c r="I32">
        <v>2.8000000000000001E-2</v>
      </c>
      <c r="J32">
        <v>50</v>
      </c>
      <c r="K32">
        <f t="shared" si="0"/>
        <v>1.4000000000000002E-2</v>
      </c>
      <c r="L32">
        <v>0.47489999999999999</v>
      </c>
      <c r="M32">
        <v>296</v>
      </c>
      <c r="N32" t="s">
        <v>937</v>
      </c>
      <c r="O32" t="s">
        <v>956</v>
      </c>
    </row>
    <row r="33" spans="1:15" x14ac:dyDescent="0.2">
      <c r="A33" t="s">
        <v>190</v>
      </c>
      <c r="B33" t="s">
        <v>407</v>
      </c>
      <c r="C33">
        <v>7</v>
      </c>
      <c r="D33">
        <v>1</v>
      </c>
      <c r="E33">
        <v>6</v>
      </c>
      <c r="F33">
        <v>7</v>
      </c>
      <c r="G33">
        <v>4</v>
      </c>
      <c r="H33">
        <v>3</v>
      </c>
      <c r="I33">
        <v>4.4900000000000002E-2</v>
      </c>
      <c r="J33">
        <v>50</v>
      </c>
      <c r="K33">
        <f t="shared" si="0"/>
        <v>2.2450000000000001E-2</v>
      </c>
      <c r="L33">
        <v>0.5141</v>
      </c>
      <c r="M33">
        <v>296</v>
      </c>
      <c r="N33" t="s">
        <v>937</v>
      </c>
      <c r="O33" t="s">
        <v>957</v>
      </c>
    </row>
    <row r="34" spans="1:15" x14ac:dyDescent="0.2">
      <c r="A34" t="s">
        <v>190</v>
      </c>
      <c r="B34" t="s">
        <v>376</v>
      </c>
      <c r="C34">
        <v>12</v>
      </c>
      <c r="D34">
        <v>2</v>
      </c>
      <c r="E34">
        <v>10</v>
      </c>
      <c r="F34">
        <v>11</v>
      </c>
      <c r="G34">
        <v>3</v>
      </c>
      <c r="H34">
        <v>9</v>
      </c>
      <c r="I34">
        <v>1.43E-2</v>
      </c>
      <c r="J34">
        <v>50</v>
      </c>
      <c r="K34">
        <f t="shared" si="0"/>
        <v>7.1500000000000001E-3</v>
      </c>
      <c r="L34">
        <v>0.47489999999999999</v>
      </c>
      <c r="M34">
        <v>296</v>
      </c>
      <c r="N34" t="s">
        <v>937</v>
      </c>
      <c r="O34" t="s">
        <v>958</v>
      </c>
    </row>
    <row r="35" spans="1:15" x14ac:dyDescent="0.2">
      <c r="A35" t="s">
        <v>190</v>
      </c>
      <c r="B35" t="s">
        <v>407</v>
      </c>
      <c r="C35">
        <v>7</v>
      </c>
      <c r="D35">
        <v>1</v>
      </c>
      <c r="E35">
        <v>7</v>
      </c>
      <c r="F35">
        <v>8</v>
      </c>
      <c r="G35">
        <v>2</v>
      </c>
      <c r="H35">
        <v>6</v>
      </c>
      <c r="I35">
        <v>5.5899999999999998E-2</v>
      </c>
      <c r="J35">
        <v>50</v>
      </c>
      <c r="K35">
        <f t="shared" si="0"/>
        <v>2.7949999999999999E-2</v>
      </c>
      <c r="L35">
        <v>0.5141</v>
      </c>
      <c r="M35">
        <v>296</v>
      </c>
      <c r="N35" t="s">
        <v>937</v>
      </c>
      <c r="O35" t="s">
        <v>959</v>
      </c>
    </row>
    <row r="36" spans="1:15" x14ac:dyDescent="0.2">
      <c r="A36" t="s">
        <v>190</v>
      </c>
      <c r="B36" t="s">
        <v>376</v>
      </c>
      <c r="C36">
        <v>12</v>
      </c>
      <c r="D36">
        <v>4</v>
      </c>
      <c r="E36">
        <v>9</v>
      </c>
      <c r="F36">
        <v>11</v>
      </c>
      <c r="G36">
        <v>3</v>
      </c>
      <c r="H36">
        <v>8</v>
      </c>
      <c r="I36">
        <v>2.3900000000000001E-2</v>
      </c>
      <c r="J36">
        <v>50</v>
      </c>
      <c r="K36">
        <f t="shared" si="0"/>
        <v>1.1950000000000001E-2</v>
      </c>
      <c r="L36">
        <v>0.47489999999999999</v>
      </c>
      <c r="M36">
        <v>296</v>
      </c>
      <c r="N36" t="s">
        <v>937</v>
      </c>
      <c r="O36" t="s">
        <v>960</v>
      </c>
    </row>
    <row r="37" spans="1:15" x14ac:dyDescent="0.2">
      <c r="A37" t="s">
        <v>190</v>
      </c>
      <c r="B37" t="s">
        <v>407</v>
      </c>
      <c r="C37">
        <v>8</v>
      </c>
      <c r="D37">
        <v>5</v>
      </c>
      <c r="E37">
        <v>3</v>
      </c>
      <c r="F37">
        <v>9</v>
      </c>
      <c r="G37">
        <v>6</v>
      </c>
      <c r="H37">
        <v>4</v>
      </c>
      <c r="I37">
        <v>2.2700000000000001E-2</v>
      </c>
      <c r="J37">
        <v>50</v>
      </c>
      <c r="K37">
        <f t="shared" si="0"/>
        <v>1.1350000000000001E-2</v>
      </c>
      <c r="L37">
        <v>0.5141</v>
      </c>
      <c r="M37">
        <v>296</v>
      </c>
      <c r="N37" t="s">
        <v>937</v>
      </c>
      <c r="O37" t="s">
        <v>961</v>
      </c>
    </row>
    <row r="38" spans="1:15" x14ac:dyDescent="0.2">
      <c r="A38" t="s">
        <v>190</v>
      </c>
      <c r="B38" t="s">
        <v>376</v>
      </c>
      <c r="C38">
        <v>13</v>
      </c>
      <c r="D38">
        <v>2</v>
      </c>
      <c r="E38">
        <v>12</v>
      </c>
      <c r="F38">
        <v>12</v>
      </c>
      <c r="G38">
        <v>1</v>
      </c>
      <c r="H38">
        <v>11</v>
      </c>
      <c r="I38">
        <v>9.4000000000000004E-3</v>
      </c>
      <c r="J38">
        <v>50</v>
      </c>
      <c r="K38">
        <f t="shared" si="0"/>
        <v>4.7000000000000002E-3</v>
      </c>
      <c r="L38">
        <v>0.47489999999999999</v>
      </c>
      <c r="M38">
        <v>296</v>
      </c>
      <c r="N38" t="s">
        <v>937</v>
      </c>
      <c r="O38" t="s">
        <v>962</v>
      </c>
    </row>
    <row r="39" spans="1:15" x14ac:dyDescent="0.2">
      <c r="A39" t="s">
        <v>190</v>
      </c>
      <c r="B39" t="s">
        <v>407</v>
      </c>
      <c r="C39">
        <v>9</v>
      </c>
      <c r="D39">
        <v>3</v>
      </c>
      <c r="E39">
        <v>7</v>
      </c>
      <c r="F39">
        <v>10</v>
      </c>
      <c r="G39">
        <v>2</v>
      </c>
      <c r="H39">
        <v>8</v>
      </c>
      <c r="I39">
        <v>2.7799999999999998E-2</v>
      </c>
      <c r="J39">
        <v>50</v>
      </c>
      <c r="K39">
        <f t="shared" si="0"/>
        <v>1.3899999999999999E-2</v>
      </c>
      <c r="L39">
        <v>0.5141</v>
      </c>
      <c r="M39">
        <v>296</v>
      </c>
      <c r="N39" t="s">
        <v>937</v>
      </c>
      <c r="O39" t="s">
        <v>963</v>
      </c>
    </row>
    <row r="40" spans="1:15" x14ac:dyDescent="0.2">
      <c r="A40" t="s">
        <v>190</v>
      </c>
      <c r="B40" t="s">
        <v>376</v>
      </c>
      <c r="C40">
        <v>13</v>
      </c>
      <c r="D40">
        <v>2</v>
      </c>
      <c r="E40">
        <v>11</v>
      </c>
      <c r="F40">
        <v>12</v>
      </c>
      <c r="G40">
        <v>3</v>
      </c>
      <c r="H40">
        <v>10</v>
      </c>
      <c r="I40">
        <v>1.0800000000000001E-2</v>
      </c>
      <c r="J40">
        <v>50</v>
      </c>
      <c r="K40">
        <f t="shared" si="0"/>
        <v>5.4000000000000003E-3</v>
      </c>
      <c r="L40">
        <v>0.47489999999999999</v>
      </c>
      <c r="M40">
        <v>296</v>
      </c>
      <c r="N40" t="s">
        <v>937</v>
      </c>
      <c r="O40" t="s">
        <v>964</v>
      </c>
    </row>
    <row r="41" spans="1:15" x14ac:dyDescent="0.2">
      <c r="A41" t="s">
        <v>190</v>
      </c>
      <c r="B41" t="s">
        <v>407</v>
      </c>
      <c r="C41">
        <v>9</v>
      </c>
      <c r="D41">
        <v>4</v>
      </c>
      <c r="E41">
        <v>5</v>
      </c>
      <c r="F41">
        <v>10</v>
      </c>
      <c r="G41">
        <v>5</v>
      </c>
      <c r="H41">
        <v>6</v>
      </c>
      <c r="I41">
        <v>3.0700000000000002E-2</v>
      </c>
      <c r="J41">
        <v>50</v>
      </c>
      <c r="K41">
        <f t="shared" si="0"/>
        <v>1.5350000000000001E-2</v>
      </c>
      <c r="L41">
        <v>0.5141</v>
      </c>
      <c r="M41">
        <v>296</v>
      </c>
      <c r="N41" t="s">
        <v>937</v>
      </c>
      <c r="O41" t="s">
        <v>965</v>
      </c>
    </row>
    <row r="42" spans="1:15" x14ac:dyDescent="0.2">
      <c r="A42" t="s">
        <v>190</v>
      </c>
      <c r="B42" t="s">
        <v>376</v>
      </c>
      <c r="C42">
        <v>14</v>
      </c>
      <c r="D42">
        <v>2</v>
      </c>
      <c r="E42">
        <v>13</v>
      </c>
      <c r="F42">
        <v>13</v>
      </c>
      <c r="G42">
        <v>1</v>
      </c>
      <c r="H42">
        <v>12</v>
      </c>
      <c r="I42">
        <v>4.1000000000000003E-3</v>
      </c>
      <c r="J42">
        <v>50</v>
      </c>
      <c r="K42">
        <f t="shared" si="0"/>
        <v>2.0500000000000002E-3</v>
      </c>
      <c r="L42">
        <v>0.47489999999999999</v>
      </c>
      <c r="M42">
        <v>296</v>
      </c>
      <c r="N42" t="s">
        <v>937</v>
      </c>
      <c r="O42" t="s">
        <v>966</v>
      </c>
    </row>
    <row r="43" spans="1:15" x14ac:dyDescent="0.2">
      <c r="A43" t="s">
        <v>190</v>
      </c>
      <c r="B43" t="s">
        <v>407</v>
      </c>
      <c r="C43">
        <v>9</v>
      </c>
      <c r="D43">
        <v>6</v>
      </c>
      <c r="E43">
        <v>3</v>
      </c>
      <c r="F43">
        <v>10</v>
      </c>
      <c r="G43">
        <v>7</v>
      </c>
      <c r="H43">
        <v>4</v>
      </c>
      <c r="I43">
        <v>2.1899999999999999E-2</v>
      </c>
      <c r="J43">
        <v>50</v>
      </c>
      <c r="K43">
        <f t="shared" si="0"/>
        <v>1.095E-2</v>
      </c>
      <c r="L43">
        <v>0.5141</v>
      </c>
      <c r="M43">
        <v>296</v>
      </c>
      <c r="N43" t="s">
        <v>937</v>
      </c>
      <c r="O43" t="s">
        <v>967</v>
      </c>
    </row>
    <row r="44" spans="1:15" x14ac:dyDescent="0.2">
      <c r="A44" t="s">
        <v>190</v>
      </c>
      <c r="B44" t="s">
        <v>376</v>
      </c>
      <c r="C44">
        <v>14</v>
      </c>
      <c r="D44">
        <v>1</v>
      </c>
      <c r="E44">
        <v>13</v>
      </c>
      <c r="F44">
        <v>13</v>
      </c>
      <c r="G44">
        <v>2</v>
      </c>
      <c r="H44">
        <v>12</v>
      </c>
      <c r="I44">
        <v>4.4000000000000003E-3</v>
      </c>
      <c r="J44">
        <v>50</v>
      </c>
      <c r="K44">
        <f t="shared" si="0"/>
        <v>2.2000000000000001E-3</v>
      </c>
      <c r="L44">
        <v>0.47489999999999999</v>
      </c>
      <c r="M44">
        <v>296</v>
      </c>
      <c r="N44" t="s">
        <v>937</v>
      </c>
      <c r="O44" t="s">
        <v>968</v>
      </c>
    </row>
    <row r="45" spans="1:15" x14ac:dyDescent="0.2">
      <c r="A45" t="s">
        <v>190</v>
      </c>
      <c r="B45" t="s">
        <v>407</v>
      </c>
      <c r="C45">
        <v>11</v>
      </c>
      <c r="D45">
        <v>1</v>
      </c>
      <c r="E45">
        <v>11</v>
      </c>
      <c r="F45">
        <v>11</v>
      </c>
      <c r="G45">
        <v>2</v>
      </c>
      <c r="H45">
        <v>10</v>
      </c>
      <c r="I45">
        <v>1.6799999999999999E-2</v>
      </c>
      <c r="J45">
        <v>50</v>
      </c>
      <c r="K45">
        <f t="shared" si="0"/>
        <v>8.3999999999999995E-3</v>
      </c>
      <c r="L45">
        <v>0.5141</v>
      </c>
      <c r="M45">
        <v>296</v>
      </c>
      <c r="N45" t="s">
        <v>937</v>
      </c>
      <c r="O45" t="s">
        <v>969</v>
      </c>
    </row>
    <row r="46" spans="1:15" x14ac:dyDescent="0.2">
      <c r="A46" t="s">
        <v>190</v>
      </c>
      <c r="B46" t="s">
        <v>376</v>
      </c>
      <c r="C46">
        <v>14</v>
      </c>
      <c r="D46">
        <v>3</v>
      </c>
      <c r="E46">
        <v>12</v>
      </c>
      <c r="F46">
        <v>13</v>
      </c>
      <c r="G46">
        <v>2</v>
      </c>
      <c r="H46">
        <v>11</v>
      </c>
      <c r="I46">
        <v>9.1000000000000004E-3</v>
      </c>
      <c r="J46">
        <v>50</v>
      </c>
      <c r="K46">
        <f t="shared" si="0"/>
        <v>4.5500000000000002E-3</v>
      </c>
      <c r="L46">
        <v>0.47489999999999999</v>
      </c>
      <c r="M46">
        <v>296</v>
      </c>
      <c r="N46" t="s">
        <v>937</v>
      </c>
      <c r="O46" t="s">
        <v>970</v>
      </c>
    </row>
    <row r="47" spans="1:15" x14ac:dyDescent="0.2">
      <c r="A47" t="s">
        <v>190</v>
      </c>
      <c r="B47" t="s">
        <v>407</v>
      </c>
      <c r="C47">
        <v>10</v>
      </c>
      <c r="D47">
        <v>3</v>
      </c>
      <c r="E47">
        <v>8</v>
      </c>
      <c r="F47">
        <v>11</v>
      </c>
      <c r="G47">
        <v>2</v>
      </c>
      <c r="H47">
        <v>9</v>
      </c>
      <c r="I47">
        <v>2.1399999999999999E-2</v>
      </c>
      <c r="J47">
        <v>50</v>
      </c>
      <c r="K47">
        <f t="shared" si="0"/>
        <v>1.0699999999999998E-2</v>
      </c>
      <c r="L47">
        <v>0.5141</v>
      </c>
      <c r="M47">
        <v>296</v>
      </c>
      <c r="N47" t="s">
        <v>937</v>
      </c>
      <c r="O47" t="s">
        <v>971</v>
      </c>
    </row>
    <row r="48" spans="1:15" x14ac:dyDescent="0.2">
      <c r="A48" t="s">
        <v>190</v>
      </c>
      <c r="B48" t="s">
        <v>376</v>
      </c>
      <c r="C48">
        <v>16</v>
      </c>
      <c r="D48">
        <v>0</v>
      </c>
      <c r="E48">
        <v>16</v>
      </c>
      <c r="F48">
        <v>15</v>
      </c>
      <c r="G48">
        <v>1</v>
      </c>
      <c r="H48">
        <v>15</v>
      </c>
      <c r="I48">
        <v>4.4999999999999997E-3</v>
      </c>
      <c r="J48">
        <v>50</v>
      </c>
      <c r="K48">
        <f t="shared" si="0"/>
        <v>2.2499999999999998E-3</v>
      </c>
      <c r="L48">
        <v>0.47489999999999999</v>
      </c>
      <c r="M48">
        <v>296</v>
      </c>
      <c r="N48" t="s">
        <v>937</v>
      </c>
      <c r="O48" t="s">
        <v>972</v>
      </c>
    </row>
    <row r="49" spans="1:15" x14ac:dyDescent="0.2">
      <c r="A49" t="s">
        <v>190</v>
      </c>
      <c r="B49" t="s">
        <v>403</v>
      </c>
      <c r="C49">
        <v>3</v>
      </c>
      <c r="D49">
        <v>1</v>
      </c>
      <c r="E49">
        <v>3</v>
      </c>
      <c r="F49">
        <v>2</v>
      </c>
      <c r="G49">
        <v>2</v>
      </c>
      <c r="H49">
        <v>0</v>
      </c>
      <c r="I49">
        <v>2.6499999999999999E-2</v>
      </c>
      <c r="J49">
        <v>50</v>
      </c>
      <c r="K49">
        <f t="shared" si="0"/>
        <v>1.325E-2</v>
      </c>
      <c r="L49">
        <v>0.42920000000000003</v>
      </c>
      <c r="M49">
        <v>296</v>
      </c>
      <c r="N49" t="s">
        <v>201</v>
      </c>
      <c r="O49" t="s">
        <v>973</v>
      </c>
    </row>
    <row r="50" spans="1:15" x14ac:dyDescent="0.2">
      <c r="A50" t="s">
        <v>190</v>
      </c>
      <c r="B50" t="s">
        <v>376</v>
      </c>
      <c r="C50">
        <v>3</v>
      </c>
      <c r="D50">
        <v>1</v>
      </c>
      <c r="E50">
        <v>3</v>
      </c>
      <c r="F50">
        <v>2</v>
      </c>
      <c r="G50">
        <v>2</v>
      </c>
      <c r="H50">
        <v>0</v>
      </c>
      <c r="I50">
        <v>5.9799999999999999E-2</v>
      </c>
      <c r="J50">
        <v>50</v>
      </c>
      <c r="K50">
        <f t="shared" si="0"/>
        <v>2.9899999999999996E-2</v>
      </c>
      <c r="L50">
        <v>0.47489999999999999</v>
      </c>
      <c r="M50">
        <v>296</v>
      </c>
      <c r="N50" t="s">
        <v>201</v>
      </c>
      <c r="O50" t="s">
        <v>974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8867-ABCE-A846-BF13-C60FD3F34581}">
  <dimension ref="A1:O59"/>
  <sheetViews>
    <sheetView workbookViewId="0">
      <selection activeCell="A2" sqref="A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403</v>
      </c>
      <c r="C2">
        <v>9</v>
      </c>
      <c r="D2">
        <v>6</v>
      </c>
      <c r="E2">
        <v>4</v>
      </c>
      <c r="F2">
        <v>8</v>
      </c>
      <c r="G2">
        <v>5</v>
      </c>
      <c r="H2">
        <v>3</v>
      </c>
      <c r="I2">
        <v>0.01</v>
      </c>
      <c r="J2">
        <v>50</v>
      </c>
      <c r="K2">
        <f>J2*I2/100</f>
        <v>5.0000000000000001E-3</v>
      </c>
      <c r="L2" t="s">
        <v>17</v>
      </c>
      <c r="M2">
        <v>296</v>
      </c>
      <c r="N2" t="s">
        <v>992</v>
      </c>
      <c r="O2" t="s">
        <v>975</v>
      </c>
    </row>
    <row r="3" spans="1:15" x14ac:dyDescent="0.2">
      <c r="A3" t="s">
        <v>190</v>
      </c>
      <c r="B3" t="s">
        <v>403</v>
      </c>
      <c r="C3">
        <v>9</v>
      </c>
      <c r="D3">
        <v>7</v>
      </c>
      <c r="E3">
        <v>2</v>
      </c>
      <c r="F3">
        <v>8</v>
      </c>
      <c r="G3">
        <v>6</v>
      </c>
      <c r="H3">
        <v>3</v>
      </c>
      <c r="I3">
        <v>8.5000000000000006E-3</v>
      </c>
      <c r="J3">
        <v>50</v>
      </c>
      <c r="K3">
        <f>J3*I3/100</f>
        <v>4.2500000000000003E-3</v>
      </c>
      <c r="L3" t="s">
        <v>17</v>
      </c>
      <c r="M3">
        <v>296</v>
      </c>
      <c r="N3" t="s">
        <v>992</v>
      </c>
      <c r="O3" t="s">
        <v>976</v>
      </c>
    </row>
    <row r="4" spans="1:15" x14ac:dyDescent="0.2">
      <c r="A4" t="s">
        <v>190</v>
      </c>
      <c r="B4" t="s">
        <v>403</v>
      </c>
      <c r="C4">
        <v>9</v>
      </c>
      <c r="D4">
        <v>7</v>
      </c>
      <c r="E4">
        <v>3</v>
      </c>
      <c r="F4">
        <v>8</v>
      </c>
      <c r="G4">
        <v>6</v>
      </c>
      <c r="H4">
        <v>2</v>
      </c>
      <c r="I4">
        <v>7.4999999999999997E-3</v>
      </c>
      <c r="J4">
        <v>50</v>
      </c>
      <c r="K4">
        <f t="shared" ref="K4:K59" si="0">J4*I4/100</f>
        <v>3.7499999999999999E-3</v>
      </c>
      <c r="L4" t="s">
        <v>17</v>
      </c>
      <c r="M4">
        <v>296</v>
      </c>
      <c r="N4" t="s">
        <v>992</v>
      </c>
      <c r="O4" t="s">
        <v>976</v>
      </c>
    </row>
    <row r="5" spans="1:15" x14ac:dyDescent="0.2">
      <c r="A5" t="s">
        <v>190</v>
      </c>
      <c r="B5" t="s">
        <v>403</v>
      </c>
      <c r="C5">
        <v>10</v>
      </c>
      <c r="D5">
        <v>5</v>
      </c>
      <c r="E5">
        <v>5</v>
      </c>
      <c r="F5">
        <v>9</v>
      </c>
      <c r="G5">
        <v>4</v>
      </c>
      <c r="H5">
        <v>6</v>
      </c>
      <c r="I5">
        <v>1.09E-2</v>
      </c>
      <c r="J5">
        <v>50</v>
      </c>
      <c r="K5">
        <f t="shared" si="0"/>
        <v>5.45E-3</v>
      </c>
      <c r="L5" t="s">
        <v>17</v>
      </c>
      <c r="M5">
        <v>296</v>
      </c>
      <c r="N5" t="s">
        <v>992</v>
      </c>
      <c r="O5" t="s">
        <v>976</v>
      </c>
    </row>
    <row r="6" spans="1:15" x14ac:dyDescent="0.2">
      <c r="A6" t="s">
        <v>190</v>
      </c>
      <c r="B6" t="s">
        <v>403</v>
      </c>
      <c r="C6">
        <v>10</v>
      </c>
      <c r="D6">
        <v>6</v>
      </c>
      <c r="E6">
        <v>5</v>
      </c>
      <c r="F6">
        <v>9</v>
      </c>
      <c r="G6">
        <v>5</v>
      </c>
      <c r="H6">
        <v>4</v>
      </c>
      <c r="I6">
        <v>1.0699999999999999E-2</v>
      </c>
      <c r="J6">
        <v>50</v>
      </c>
      <c r="K6">
        <f t="shared" si="0"/>
        <v>5.3499999999999989E-3</v>
      </c>
      <c r="L6" t="s">
        <v>17</v>
      </c>
      <c r="M6">
        <v>296</v>
      </c>
      <c r="N6" t="s">
        <v>992</v>
      </c>
      <c r="O6" t="s">
        <v>976</v>
      </c>
    </row>
    <row r="7" spans="1:15" x14ac:dyDescent="0.2">
      <c r="A7" t="s">
        <v>190</v>
      </c>
      <c r="B7" t="s">
        <v>403</v>
      </c>
      <c r="C7">
        <v>11</v>
      </c>
      <c r="D7">
        <v>5</v>
      </c>
      <c r="E7">
        <v>6</v>
      </c>
      <c r="F7">
        <v>10</v>
      </c>
      <c r="G7">
        <v>4</v>
      </c>
      <c r="H7">
        <v>7</v>
      </c>
      <c r="I7">
        <v>1.0500000000000001E-2</v>
      </c>
      <c r="J7">
        <v>50</v>
      </c>
      <c r="K7">
        <f t="shared" si="0"/>
        <v>5.2500000000000003E-3</v>
      </c>
      <c r="L7" t="s">
        <v>17</v>
      </c>
      <c r="M7">
        <v>296</v>
      </c>
      <c r="N7" t="s">
        <v>992</v>
      </c>
      <c r="O7" t="s">
        <v>976</v>
      </c>
    </row>
    <row r="8" spans="1:15" x14ac:dyDescent="0.2">
      <c r="A8" t="s">
        <v>190</v>
      </c>
      <c r="B8" t="s">
        <v>403</v>
      </c>
      <c r="C8">
        <v>12</v>
      </c>
      <c r="D8">
        <v>2</v>
      </c>
      <c r="E8">
        <v>10</v>
      </c>
      <c r="F8">
        <v>11</v>
      </c>
      <c r="G8">
        <v>3</v>
      </c>
      <c r="H8">
        <v>9</v>
      </c>
      <c r="I8">
        <v>7.4999999999999997E-3</v>
      </c>
      <c r="J8">
        <v>50</v>
      </c>
      <c r="K8">
        <f t="shared" si="0"/>
        <v>3.7499999999999999E-3</v>
      </c>
      <c r="L8" t="s">
        <v>17</v>
      </c>
      <c r="M8">
        <v>296</v>
      </c>
      <c r="N8" t="s">
        <v>992</v>
      </c>
      <c r="O8" t="s">
        <v>976</v>
      </c>
    </row>
    <row r="9" spans="1:15" x14ac:dyDescent="0.2">
      <c r="A9" t="s">
        <v>190</v>
      </c>
      <c r="B9" t="s">
        <v>403</v>
      </c>
      <c r="C9">
        <v>13</v>
      </c>
      <c r="D9">
        <v>2</v>
      </c>
      <c r="E9">
        <v>12</v>
      </c>
      <c r="F9">
        <v>12</v>
      </c>
      <c r="G9">
        <v>1</v>
      </c>
      <c r="H9">
        <v>11</v>
      </c>
      <c r="I9">
        <v>4.4000000000000003E-3</v>
      </c>
      <c r="J9">
        <v>50</v>
      </c>
      <c r="K9">
        <f t="shared" si="0"/>
        <v>2.2000000000000001E-3</v>
      </c>
      <c r="L9" t="s">
        <v>17</v>
      </c>
      <c r="M9">
        <v>296</v>
      </c>
      <c r="N9" t="s">
        <v>992</v>
      </c>
      <c r="O9" t="s">
        <v>976</v>
      </c>
    </row>
    <row r="10" spans="1:15" x14ac:dyDescent="0.2">
      <c r="A10" t="s">
        <v>190</v>
      </c>
      <c r="B10" t="s">
        <v>403</v>
      </c>
      <c r="C10">
        <v>13</v>
      </c>
      <c r="D10">
        <v>2</v>
      </c>
      <c r="E10">
        <v>11</v>
      </c>
      <c r="F10">
        <v>12</v>
      </c>
      <c r="G10">
        <v>3</v>
      </c>
      <c r="H10">
        <v>10</v>
      </c>
      <c r="I10">
        <v>5.5999999999999999E-3</v>
      </c>
      <c r="J10">
        <v>50</v>
      </c>
      <c r="K10">
        <f t="shared" si="0"/>
        <v>2.7999999999999995E-3</v>
      </c>
      <c r="L10" t="s">
        <v>17</v>
      </c>
      <c r="M10">
        <v>296</v>
      </c>
      <c r="N10" t="s">
        <v>992</v>
      </c>
      <c r="O10" t="s">
        <v>976</v>
      </c>
    </row>
    <row r="11" spans="1:15" x14ac:dyDescent="0.2">
      <c r="A11" t="s">
        <v>190</v>
      </c>
      <c r="B11" t="s">
        <v>403</v>
      </c>
      <c r="C11">
        <v>14</v>
      </c>
      <c r="D11">
        <v>2</v>
      </c>
      <c r="E11">
        <v>13</v>
      </c>
      <c r="F11">
        <v>13</v>
      </c>
      <c r="G11">
        <v>1</v>
      </c>
      <c r="H11">
        <v>12</v>
      </c>
      <c r="I11">
        <v>3.3E-3</v>
      </c>
      <c r="J11">
        <v>50</v>
      </c>
      <c r="K11">
        <f t="shared" si="0"/>
        <v>1.65E-3</v>
      </c>
      <c r="L11" t="s">
        <v>17</v>
      </c>
      <c r="M11">
        <v>296</v>
      </c>
      <c r="N11" t="s">
        <v>992</v>
      </c>
      <c r="O11" t="s">
        <v>976</v>
      </c>
    </row>
    <row r="12" spans="1:15" x14ac:dyDescent="0.2">
      <c r="A12" t="s">
        <v>190</v>
      </c>
      <c r="B12" t="s">
        <v>403</v>
      </c>
      <c r="C12">
        <v>15</v>
      </c>
      <c r="D12">
        <v>0</v>
      </c>
      <c r="E12">
        <v>15</v>
      </c>
      <c r="F12">
        <v>14</v>
      </c>
      <c r="G12">
        <v>1</v>
      </c>
      <c r="H12">
        <v>14</v>
      </c>
      <c r="I12">
        <v>3.7000000000000002E-3</v>
      </c>
      <c r="J12">
        <v>50</v>
      </c>
      <c r="K12">
        <f t="shared" si="0"/>
        <v>1.8500000000000001E-3</v>
      </c>
      <c r="L12" t="s">
        <v>17</v>
      </c>
      <c r="M12">
        <v>296</v>
      </c>
      <c r="N12" t="s">
        <v>992</v>
      </c>
      <c r="O12" t="s">
        <v>976</v>
      </c>
    </row>
    <row r="13" spans="1:15" x14ac:dyDescent="0.2">
      <c r="A13" t="s">
        <v>190</v>
      </c>
      <c r="B13" t="s">
        <v>403</v>
      </c>
      <c r="C13">
        <v>16</v>
      </c>
      <c r="D13">
        <v>0</v>
      </c>
      <c r="E13">
        <v>16</v>
      </c>
      <c r="F13">
        <v>15</v>
      </c>
      <c r="G13">
        <v>1</v>
      </c>
      <c r="H13">
        <v>15</v>
      </c>
      <c r="I13">
        <v>2.0999999999999999E-3</v>
      </c>
      <c r="J13">
        <v>50</v>
      </c>
      <c r="K13">
        <f t="shared" si="0"/>
        <v>1.0499999999999999E-3</v>
      </c>
      <c r="L13" t="s">
        <v>17</v>
      </c>
      <c r="M13">
        <v>296</v>
      </c>
      <c r="N13" t="s">
        <v>992</v>
      </c>
      <c r="O13" t="s">
        <v>976</v>
      </c>
    </row>
    <row r="14" spans="1:15" x14ac:dyDescent="0.2">
      <c r="A14" t="s">
        <v>190</v>
      </c>
      <c r="B14" t="s">
        <v>403</v>
      </c>
      <c r="C14">
        <v>3</v>
      </c>
      <c r="D14">
        <v>1</v>
      </c>
      <c r="E14">
        <v>3</v>
      </c>
      <c r="F14">
        <v>2</v>
      </c>
      <c r="G14">
        <v>2</v>
      </c>
      <c r="H14">
        <v>0</v>
      </c>
      <c r="I14">
        <v>2.6499999999999999E-2</v>
      </c>
      <c r="J14">
        <v>50</v>
      </c>
      <c r="K14">
        <f t="shared" si="0"/>
        <v>1.325E-2</v>
      </c>
      <c r="L14" t="s">
        <v>17</v>
      </c>
      <c r="M14">
        <v>296</v>
      </c>
      <c r="N14" t="s">
        <v>201</v>
      </c>
      <c r="O14" t="s">
        <v>977</v>
      </c>
    </row>
    <row r="15" spans="1:15" x14ac:dyDescent="0.2">
      <c r="A15" t="s">
        <v>190</v>
      </c>
      <c r="B15" t="s">
        <v>376</v>
      </c>
      <c r="C15">
        <v>4</v>
      </c>
      <c r="D15">
        <v>4</v>
      </c>
      <c r="E15">
        <v>1</v>
      </c>
      <c r="F15">
        <v>3</v>
      </c>
      <c r="G15">
        <v>1</v>
      </c>
      <c r="H15">
        <v>2</v>
      </c>
      <c r="I15">
        <v>4.0399999999999998E-2</v>
      </c>
      <c r="J15">
        <v>50</v>
      </c>
      <c r="K15">
        <f t="shared" si="0"/>
        <v>2.0199999999999999E-2</v>
      </c>
      <c r="L15" t="s">
        <v>17</v>
      </c>
      <c r="M15">
        <v>296</v>
      </c>
      <c r="N15" t="s">
        <v>992</v>
      </c>
      <c r="O15" t="s">
        <v>978</v>
      </c>
    </row>
    <row r="16" spans="1:15" x14ac:dyDescent="0.2">
      <c r="A16" t="s">
        <v>190</v>
      </c>
      <c r="B16" t="s">
        <v>376</v>
      </c>
      <c r="C16">
        <v>5</v>
      </c>
      <c r="D16">
        <v>4</v>
      </c>
      <c r="E16">
        <v>2</v>
      </c>
      <c r="F16">
        <v>4</v>
      </c>
      <c r="G16">
        <v>1</v>
      </c>
      <c r="H16">
        <v>3</v>
      </c>
      <c r="I16">
        <v>4.1200000000000001E-2</v>
      </c>
      <c r="J16">
        <v>50</v>
      </c>
      <c r="K16">
        <f t="shared" si="0"/>
        <v>2.06E-2</v>
      </c>
      <c r="L16" t="s">
        <v>17</v>
      </c>
      <c r="M16">
        <v>296</v>
      </c>
      <c r="N16" t="s">
        <v>992</v>
      </c>
      <c r="O16" t="s">
        <v>978</v>
      </c>
    </row>
    <row r="17" spans="1:15" x14ac:dyDescent="0.2">
      <c r="A17" t="s">
        <v>190</v>
      </c>
      <c r="B17" t="s">
        <v>376</v>
      </c>
      <c r="C17">
        <v>5</v>
      </c>
      <c r="D17">
        <v>4</v>
      </c>
      <c r="E17">
        <v>1</v>
      </c>
      <c r="F17">
        <v>4</v>
      </c>
      <c r="G17">
        <v>3</v>
      </c>
      <c r="H17">
        <v>2</v>
      </c>
      <c r="I17">
        <v>2.35E-2</v>
      </c>
      <c r="J17">
        <v>50</v>
      </c>
      <c r="K17">
        <f t="shared" si="0"/>
        <v>1.175E-2</v>
      </c>
      <c r="L17" t="s">
        <v>17</v>
      </c>
      <c r="M17">
        <v>296</v>
      </c>
      <c r="N17" t="s">
        <v>992</v>
      </c>
      <c r="O17" t="s">
        <v>978</v>
      </c>
    </row>
    <row r="18" spans="1:15" x14ac:dyDescent="0.2">
      <c r="A18" t="s">
        <v>190</v>
      </c>
      <c r="B18" t="s">
        <v>376</v>
      </c>
      <c r="C18">
        <v>6</v>
      </c>
      <c r="D18">
        <v>4</v>
      </c>
      <c r="E18">
        <v>2</v>
      </c>
      <c r="F18">
        <v>6</v>
      </c>
      <c r="G18">
        <v>1</v>
      </c>
      <c r="H18">
        <v>5</v>
      </c>
      <c r="I18">
        <v>3.6999999999999998E-2</v>
      </c>
      <c r="J18">
        <v>50</v>
      </c>
      <c r="K18">
        <f t="shared" si="0"/>
        <v>1.8499999999999999E-2</v>
      </c>
      <c r="L18" t="s">
        <v>17</v>
      </c>
      <c r="M18">
        <v>296</v>
      </c>
      <c r="N18" t="s">
        <v>992</v>
      </c>
      <c r="O18" t="s">
        <v>978</v>
      </c>
    </row>
    <row r="19" spans="1:15" x14ac:dyDescent="0.2">
      <c r="A19" t="s">
        <v>190</v>
      </c>
      <c r="B19" t="s">
        <v>376</v>
      </c>
      <c r="C19">
        <v>7</v>
      </c>
      <c r="D19">
        <v>4</v>
      </c>
      <c r="E19">
        <v>4</v>
      </c>
      <c r="F19">
        <v>6</v>
      </c>
      <c r="G19">
        <v>1</v>
      </c>
      <c r="H19">
        <v>5</v>
      </c>
      <c r="I19">
        <v>3.3099999999999997E-2</v>
      </c>
      <c r="J19">
        <v>50</v>
      </c>
      <c r="K19">
        <f t="shared" si="0"/>
        <v>1.6549999999999999E-2</v>
      </c>
      <c r="L19" t="s">
        <v>17</v>
      </c>
      <c r="M19">
        <v>296</v>
      </c>
      <c r="N19" t="s">
        <v>992</v>
      </c>
      <c r="O19" t="s">
        <v>978</v>
      </c>
    </row>
    <row r="20" spans="1:15" x14ac:dyDescent="0.2">
      <c r="A20" t="s">
        <v>190</v>
      </c>
      <c r="B20" t="s">
        <v>376</v>
      </c>
      <c r="C20">
        <v>8</v>
      </c>
      <c r="D20">
        <v>5</v>
      </c>
      <c r="E20">
        <v>4</v>
      </c>
      <c r="F20">
        <v>7</v>
      </c>
      <c r="G20">
        <v>2</v>
      </c>
      <c r="H20">
        <v>5</v>
      </c>
      <c r="I20">
        <v>3.4099999999999998E-2</v>
      </c>
      <c r="J20">
        <v>50</v>
      </c>
      <c r="K20">
        <f t="shared" si="0"/>
        <v>1.7049999999999999E-2</v>
      </c>
      <c r="L20" t="s">
        <v>17</v>
      </c>
      <c r="M20">
        <v>296</v>
      </c>
      <c r="N20" t="s">
        <v>992</v>
      </c>
      <c r="O20" t="s">
        <v>978</v>
      </c>
    </row>
    <row r="21" spans="1:15" x14ac:dyDescent="0.2">
      <c r="A21" t="s">
        <v>190</v>
      </c>
      <c r="B21" t="s">
        <v>376</v>
      </c>
      <c r="C21">
        <v>9</v>
      </c>
      <c r="D21">
        <v>3</v>
      </c>
      <c r="E21">
        <v>7</v>
      </c>
      <c r="F21">
        <v>8</v>
      </c>
      <c r="G21">
        <v>0</v>
      </c>
      <c r="H21">
        <v>8</v>
      </c>
      <c r="I21">
        <v>2.41E-2</v>
      </c>
      <c r="J21">
        <v>50</v>
      </c>
      <c r="K21">
        <f t="shared" si="0"/>
        <v>1.205E-2</v>
      </c>
      <c r="L21" t="s">
        <v>17</v>
      </c>
      <c r="M21">
        <v>296</v>
      </c>
      <c r="N21" t="s">
        <v>992</v>
      </c>
      <c r="O21" t="s">
        <v>978</v>
      </c>
    </row>
    <row r="22" spans="1:15" x14ac:dyDescent="0.2">
      <c r="A22" t="s">
        <v>190</v>
      </c>
      <c r="B22" t="s">
        <v>376</v>
      </c>
      <c r="C22">
        <v>10</v>
      </c>
      <c r="D22">
        <v>3</v>
      </c>
      <c r="E22">
        <v>7</v>
      </c>
      <c r="F22">
        <v>9</v>
      </c>
      <c r="G22">
        <v>2</v>
      </c>
      <c r="H22">
        <v>8</v>
      </c>
      <c r="I22">
        <v>3.2899999999999999E-2</v>
      </c>
      <c r="J22">
        <v>50</v>
      </c>
      <c r="K22">
        <f t="shared" si="0"/>
        <v>1.6449999999999999E-2</v>
      </c>
      <c r="L22" t="s">
        <v>17</v>
      </c>
      <c r="M22">
        <v>296</v>
      </c>
      <c r="N22" t="s">
        <v>992</v>
      </c>
      <c r="O22" t="s">
        <v>978</v>
      </c>
    </row>
    <row r="23" spans="1:15" x14ac:dyDescent="0.2">
      <c r="A23" t="s">
        <v>190</v>
      </c>
      <c r="B23" t="s">
        <v>376</v>
      </c>
      <c r="C23">
        <v>10</v>
      </c>
      <c r="D23">
        <v>7</v>
      </c>
      <c r="E23">
        <v>4</v>
      </c>
      <c r="F23">
        <v>9</v>
      </c>
      <c r="G23">
        <v>6</v>
      </c>
      <c r="H23">
        <v>3</v>
      </c>
      <c r="I23">
        <v>1.49E-2</v>
      </c>
      <c r="J23">
        <v>50</v>
      </c>
      <c r="K23">
        <f t="shared" si="0"/>
        <v>7.45E-3</v>
      </c>
      <c r="L23" t="s">
        <v>17</v>
      </c>
      <c r="M23">
        <v>296</v>
      </c>
      <c r="N23" t="s">
        <v>992</v>
      </c>
      <c r="O23" t="s">
        <v>978</v>
      </c>
    </row>
    <row r="24" spans="1:15" x14ac:dyDescent="0.2">
      <c r="A24" t="s">
        <v>190</v>
      </c>
      <c r="B24" t="s">
        <v>376</v>
      </c>
      <c r="C24">
        <v>11</v>
      </c>
      <c r="D24">
        <v>4</v>
      </c>
      <c r="E24">
        <v>8</v>
      </c>
      <c r="F24">
        <v>10</v>
      </c>
      <c r="G24">
        <v>3</v>
      </c>
      <c r="H24">
        <v>7</v>
      </c>
      <c r="I24">
        <v>2.8000000000000001E-2</v>
      </c>
      <c r="J24">
        <v>50</v>
      </c>
      <c r="K24">
        <f t="shared" si="0"/>
        <v>1.4000000000000002E-2</v>
      </c>
      <c r="L24" t="s">
        <v>17</v>
      </c>
      <c r="M24">
        <v>296</v>
      </c>
      <c r="N24" t="s">
        <v>992</v>
      </c>
      <c r="O24" t="s">
        <v>978</v>
      </c>
    </row>
    <row r="25" spans="1:15" x14ac:dyDescent="0.2">
      <c r="A25" t="s">
        <v>190</v>
      </c>
      <c r="B25" t="s">
        <v>376</v>
      </c>
      <c r="C25">
        <v>12</v>
      </c>
      <c r="D25">
        <v>4</v>
      </c>
      <c r="E25">
        <v>9</v>
      </c>
      <c r="F25">
        <v>11</v>
      </c>
      <c r="G25">
        <v>3</v>
      </c>
      <c r="H25">
        <v>8</v>
      </c>
      <c r="I25">
        <v>2.3900000000000001E-2</v>
      </c>
      <c r="J25">
        <v>50</v>
      </c>
      <c r="K25">
        <f t="shared" si="0"/>
        <v>1.1950000000000001E-2</v>
      </c>
      <c r="L25" t="s">
        <v>17</v>
      </c>
      <c r="M25">
        <v>296</v>
      </c>
      <c r="N25" t="s">
        <v>992</v>
      </c>
      <c r="O25" t="s">
        <v>978</v>
      </c>
    </row>
    <row r="26" spans="1:15" x14ac:dyDescent="0.2">
      <c r="A26" t="s">
        <v>190</v>
      </c>
      <c r="B26" t="s">
        <v>376</v>
      </c>
      <c r="C26">
        <v>12</v>
      </c>
      <c r="D26">
        <v>2</v>
      </c>
      <c r="E26">
        <v>10</v>
      </c>
      <c r="F26">
        <v>11</v>
      </c>
      <c r="G26">
        <v>3</v>
      </c>
      <c r="H26">
        <v>9</v>
      </c>
      <c r="I26">
        <v>1.43E-2</v>
      </c>
      <c r="J26">
        <v>50</v>
      </c>
      <c r="K26">
        <f t="shared" si="0"/>
        <v>7.1500000000000001E-3</v>
      </c>
      <c r="L26" t="s">
        <v>17</v>
      </c>
      <c r="M26">
        <v>296</v>
      </c>
      <c r="N26" t="s">
        <v>992</v>
      </c>
      <c r="O26" t="s">
        <v>978</v>
      </c>
    </row>
    <row r="27" spans="1:15" x14ac:dyDescent="0.2">
      <c r="A27" t="s">
        <v>190</v>
      </c>
      <c r="B27" t="s">
        <v>376</v>
      </c>
      <c r="C27">
        <v>13</v>
      </c>
      <c r="D27">
        <v>2</v>
      </c>
      <c r="E27">
        <v>12</v>
      </c>
      <c r="F27">
        <v>12</v>
      </c>
      <c r="G27">
        <v>1</v>
      </c>
      <c r="H27">
        <v>11</v>
      </c>
      <c r="I27">
        <v>9.4000000000000004E-3</v>
      </c>
      <c r="J27">
        <v>50</v>
      </c>
      <c r="K27">
        <f t="shared" si="0"/>
        <v>4.7000000000000002E-3</v>
      </c>
      <c r="L27" t="s">
        <v>17</v>
      </c>
      <c r="M27">
        <v>296</v>
      </c>
      <c r="N27" t="s">
        <v>992</v>
      </c>
      <c r="O27" t="s">
        <v>978</v>
      </c>
    </row>
    <row r="28" spans="1:15" x14ac:dyDescent="0.2">
      <c r="A28" t="s">
        <v>190</v>
      </c>
      <c r="B28" t="s">
        <v>376</v>
      </c>
      <c r="C28">
        <v>13</v>
      </c>
      <c r="D28">
        <v>2</v>
      </c>
      <c r="E28">
        <v>11</v>
      </c>
      <c r="F28">
        <v>12</v>
      </c>
      <c r="G28">
        <v>3</v>
      </c>
      <c r="H28">
        <v>10</v>
      </c>
      <c r="I28">
        <v>1.0800000000000001E-2</v>
      </c>
      <c r="J28">
        <v>50</v>
      </c>
      <c r="K28">
        <f t="shared" si="0"/>
        <v>5.4000000000000003E-3</v>
      </c>
      <c r="L28" t="s">
        <v>17</v>
      </c>
      <c r="M28">
        <v>296</v>
      </c>
      <c r="N28" t="s">
        <v>992</v>
      </c>
      <c r="O28" t="s">
        <v>978</v>
      </c>
    </row>
    <row r="29" spans="1:15" x14ac:dyDescent="0.2">
      <c r="A29" t="s">
        <v>190</v>
      </c>
      <c r="B29" t="s">
        <v>376</v>
      </c>
      <c r="C29">
        <v>3</v>
      </c>
      <c r="D29">
        <v>1</v>
      </c>
      <c r="E29">
        <v>3</v>
      </c>
      <c r="F29">
        <v>2</v>
      </c>
      <c r="G29">
        <v>2</v>
      </c>
      <c r="H29">
        <v>0</v>
      </c>
      <c r="I29">
        <v>5.9799999999999999E-2</v>
      </c>
      <c r="J29">
        <v>50</v>
      </c>
      <c r="K29">
        <f t="shared" si="0"/>
        <v>2.9899999999999996E-2</v>
      </c>
      <c r="L29" t="s">
        <v>17</v>
      </c>
      <c r="M29">
        <v>296</v>
      </c>
      <c r="N29" t="s">
        <v>201</v>
      </c>
      <c r="O29" t="s">
        <v>979</v>
      </c>
    </row>
    <row r="30" spans="1:15" x14ac:dyDescent="0.2">
      <c r="A30" t="s">
        <v>190</v>
      </c>
      <c r="B30" t="s">
        <v>407</v>
      </c>
      <c r="C30">
        <v>2</v>
      </c>
      <c r="D30">
        <v>0</v>
      </c>
      <c r="E30">
        <v>2</v>
      </c>
      <c r="F30">
        <v>3</v>
      </c>
      <c r="G30">
        <v>3</v>
      </c>
      <c r="H30">
        <v>1</v>
      </c>
      <c r="I30">
        <v>7.3400000000000007E-2</v>
      </c>
      <c r="J30">
        <v>50</v>
      </c>
      <c r="K30">
        <f t="shared" si="0"/>
        <v>3.6700000000000003E-2</v>
      </c>
      <c r="L30" t="s">
        <v>17</v>
      </c>
      <c r="M30">
        <v>296</v>
      </c>
      <c r="N30" t="s">
        <v>992</v>
      </c>
      <c r="O30" t="s">
        <v>980</v>
      </c>
    </row>
    <row r="31" spans="1:15" x14ac:dyDescent="0.2">
      <c r="A31" t="s">
        <v>190</v>
      </c>
      <c r="B31" t="s">
        <v>407</v>
      </c>
      <c r="C31">
        <v>5</v>
      </c>
      <c r="D31">
        <v>1</v>
      </c>
      <c r="E31">
        <v>4</v>
      </c>
      <c r="F31">
        <v>5</v>
      </c>
      <c r="G31">
        <v>4</v>
      </c>
      <c r="H31">
        <v>1</v>
      </c>
      <c r="I31">
        <v>5.3400000000000003E-2</v>
      </c>
      <c r="J31">
        <v>50</v>
      </c>
      <c r="K31">
        <f t="shared" si="0"/>
        <v>2.6699999999999998E-2</v>
      </c>
      <c r="L31" t="s">
        <v>17</v>
      </c>
      <c r="M31">
        <v>296</v>
      </c>
      <c r="N31" t="s">
        <v>992</v>
      </c>
      <c r="O31" t="s">
        <v>980</v>
      </c>
    </row>
    <row r="32" spans="1:15" x14ac:dyDescent="0.2">
      <c r="A32" t="s">
        <v>190</v>
      </c>
      <c r="B32" t="s">
        <v>407</v>
      </c>
      <c r="C32">
        <v>6</v>
      </c>
      <c r="D32">
        <v>0</v>
      </c>
      <c r="E32">
        <v>6</v>
      </c>
      <c r="F32">
        <v>7</v>
      </c>
      <c r="G32">
        <v>3</v>
      </c>
      <c r="H32">
        <v>5</v>
      </c>
      <c r="I32">
        <v>4.8300000000000003E-2</v>
      </c>
      <c r="J32">
        <v>50</v>
      </c>
      <c r="K32">
        <f t="shared" si="0"/>
        <v>2.4150000000000001E-2</v>
      </c>
      <c r="L32" t="s">
        <v>17</v>
      </c>
      <c r="M32">
        <v>296</v>
      </c>
      <c r="N32" t="s">
        <v>992</v>
      </c>
      <c r="O32" t="s">
        <v>980</v>
      </c>
    </row>
    <row r="33" spans="1:15" x14ac:dyDescent="0.2">
      <c r="A33" t="s">
        <v>190</v>
      </c>
      <c r="B33" t="s">
        <v>407</v>
      </c>
      <c r="C33">
        <v>7</v>
      </c>
      <c r="D33">
        <v>0</v>
      </c>
      <c r="E33">
        <v>7</v>
      </c>
      <c r="F33">
        <v>7</v>
      </c>
      <c r="G33">
        <v>3</v>
      </c>
      <c r="H33">
        <v>4</v>
      </c>
      <c r="I33">
        <v>6.3200000000000006E-2</v>
      </c>
      <c r="J33">
        <v>50</v>
      </c>
      <c r="K33">
        <f t="shared" si="0"/>
        <v>3.1600000000000003E-2</v>
      </c>
      <c r="L33" t="s">
        <v>17</v>
      </c>
      <c r="M33">
        <v>296</v>
      </c>
      <c r="N33" t="s">
        <v>992</v>
      </c>
      <c r="O33" t="s">
        <v>980</v>
      </c>
    </row>
    <row r="34" spans="1:15" x14ac:dyDescent="0.2">
      <c r="A34" t="s">
        <v>190</v>
      </c>
      <c r="B34" t="s">
        <v>407</v>
      </c>
      <c r="C34">
        <v>7</v>
      </c>
      <c r="D34">
        <v>1</v>
      </c>
      <c r="E34">
        <v>6</v>
      </c>
      <c r="F34">
        <v>7</v>
      </c>
      <c r="G34">
        <v>4</v>
      </c>
      <c r="H34">
        <v>3</v>
      </c>
      <c r="I34">
        <v>4.4900000000000002E-2</v>
      </c>
      <c r="J34">
        <v>50</v>
      </c>
      <c r="K34">
        <f t="shared" si="0"/>
        <v>2.2450000000000001E-2</v>
      </c>
      <c r="L34" t="s">
        <v>17</v>
      </c>
      <c r="M34">
        <v>296</v>
      </c>
      <c r="N34" t="s">
        <v>992</v>
      </c>
      <c r="O34" t="s">
        <v>980</v>
      </c>
    </row>
    <row r="35" spans="1:15" x14ac:dyDescent="0.2">
      <c r="A35" t="s">
        <v>190</v>
      </c>
      <c r="B35" t="s">
        <v>407</v>
      </c>
      <c r="C35">
        <v>7</v>
      </c>
      <c r="D35">
        <v>1</v>
      </c>
      <c r="E35">
        <v>7</v>
      </c>
      <c r="F35">
        <v>8</v>
      </c>
      <c r="G35">
        <v>2</v>
      </c>
      <c r="H35">
        <v>6</v>
      </c>
      <c r="I35">
        <v>5.5899999999999998E-2</v>
      </c>
      <c r="J35">
        <v>50</v>
      </c>
      <c r="K35">
        <f t="shared" si="0"/>
        <v>2.7949999999999999E-2</v>
      </c>
      <c r="L35" t="s">
        <v>17</v>
      </c>
      <c r="M35">
        <v>296</v>
      </c>
      <c r="N35" t="s">
        <v>992</v>
      </c>
      <c r="O35" t="s">
        <v>980</v>
      </c>
    </row>
    <row r="36" spans="1:15" x14ac:dyDescent="0.2">
      <c r="A36" t="s">
        <v>190</v>
      </c>
      <c r="B36" t="s">
        <v>407</v>
      </c>
      <c r="C36">
        <v>8</v>
      </c>
      <c r="D36">
        <v>5</v>
      </c>
      <c r="E36">
        <v>3</v>
      </c>
      <c r="F36">
        <v>9</v>
      </c>
      <c r="G36">
        <v>6</v>
      </c>
      <c r="H36">
        <v>4</v>
      </c>
      <c r="I36">
        <v>2.2700000000000001E-2</v>
      </c>
      <c r="J36">
        <v>50</v>
      </c>
      <c r="K36">
        <f t="shared" si="0"/>
        <v>1.1350000000000001E-2</v>
      </c>
      <c r="L36" t="s">
        <v>17</v>
      </c>
      <c r="M36">
        <v>296</v>
      </c>
      <c r="N36" t="s">
        <v>992</v>
      </c>
      <c r="O36" t="s">
        <v>980</v>
      </c>
    </row>
    <row r="37" spans="1:15" x14ac:dyDescent="0.2">
      <c r="A37" t="s">
        <v>190</v>
      </c>
      <c r="B37" t="s">
        <v>407</v>
      </c>
      <c r="C37">
        <v>9</v>
      </c>
      <c r="D37">
        <v>3</v>
      </c>
      <c r="E37">
        <v>7</v>
      </c>
      <c r="F37">
        <v>10</v>
      </c>
      <c r="G37">
        <v>2</v>
      </c>
      <c r="H37">
        <v>8</v>
      </c>
      <c r="I37">
        <v>2.7799999999999998E-2</v>
      </c>
      <c r="J37">
        <v>50</v>
      </c>
      <c r="K37">
        <f t="shared" si="0"/>
        <v>1.3899999999999999E-2</v>
      </c>
      <c r="L37" t="s">
        <v>17</v>
      </c>
      <c r="M37">
        <v>296</v>
      </c>
      <c r="N37" t="s">
        <v>992</v>
      </c>
      <c r="O37" t="s">
        <v>980</v>
      </c>
    </row>
    <row r="38" spans="1:15" x14ac:dyDescent="0.2">
      <c r="A38" t="s">
        <v>190</v>
      </c>
      <c r="B38" t="s">
        <v>407</v>
      </c>
      <c r="C38">
        <v>9</v>
      </c>
      <c r="D38">
        <v>4</v>
      </c>
      <c r="E38">
        <v>5</v>
      </c>
      <c r="F38">
        <v>10</v>
      </c>
      <c r="G38">
        <v>5</v>
      </c>
      <c r="H38">
        <v>6</v>
      </c>
      <c r="I38">
        <v>3.0700000000000002E-2</v>
      </c>
      <c r="J38">
        <v>50</v>
      </c>
      <c r="K38">
        <f t="shared" si="0"/>
        <v>1.5350000000000001E-2</v>
      </c>
      <c r="L38" t="s">
        <v>17</v>
      </c>
      <c r="M38">
        <v>296</v>
      </c>
      <c r="N38" t="s">
        <v>992</v>
      </c>
      <c r="O38" t="s">
        <v>980</v>
      </c>
    </row>
    <row r="39" spans="1:15" x14ac:dyDescent="0.2">
      <c r="A39" t="s">
        <v>190</v>
      </c>
      <c r="B39" t="s">
        <v>407</v>
      </c>
      <c r="C39">
        <v>9</v>
      </c>
      <c r="D39">
        <v>6</v>
      </c>
      <c r="E39">
        <v>3</v>
      </c>
      <c r="F39">
        <v>10</v>
      </c>
      <c r="G39">
        <v>7</v>
      </c>
      <c r="H39">
        <v>4</v>
      </c>
      <c r="I39">
        <v>2.1899999999999999E-2</v>
      </c>
      <c r="J39">
        <v>50</v>
      </c>
      <c r="K39">
        <f t="shared" si="0"/>
        <v>1.095E-2</v>
      </c>
      <c r="L39" t="s">
        <v>17</v>
      </c>
      <c r="M39">
        <v>296</v>
      </c>
      <c r="N39" t="s">
        <v>992</v>
      </c>
      <c r="O39" t="s">
        <v>980</v>
      </c>
    </row>
    <row r="40" spans="1:15" x14ac:dyDescent="0.2">
      <c r="A40" t="s">
        <v>190</v>
      </c>
      <c r="B40" t="s">
        <v>407</v>
      </c>
      <c r="C40">
        <v>10</v>
      </c>
      <c r="D40">
        <v>3</v>
      </c>
      <c r="E40">
        <v>8</v>
      </c>
      <c r="F40">
        <v>11</v>
      </c>
      <c r="G40">
        <v>2</v>
      </c>
      <c r="H40">
        <v>9</v>
      </c>
      <c r="I40">
        <v>2.1399999999999999E-2</v>
      </c>
      <c r="J40">
        <v>50</v>
      </c>
      <c r="K40">
        <f t="shared" si="0"/>
        <v>1.0699999999999998E-2</v>
      </c>
      <c r="L40" t="s">
        <v>17</v>
      </c>
      <c r="M40">
        <v>296</v>
      </c>
      <c r="N40" t="s">
        <v>992</v>
      </c>
      <c r="O40" t="s">
        <v>980</v>
      </c>
    </row>
    <row r="41" spans="1:15" x14ac:dyDescent="0.2">
      <c r="A41" t="s">
        <v>190</v>
      </c>
      <c r="B41" t="s">
        <v>407</v>
      </c>
      <c r="C41">
        <v>11</v>
      </c>
      <c r="D41">
        <v>1</v>
      </c>
      <c r="E41">
        <v>11</v>
      </c>
      <c r="F41">
        <v>11</v>
      </c>
      <c r="G41">
        <v>2</v>
      </c>
      <c r="H41">
        <v>10</v>
      </c>
      <c r="I41">
        <v>1.6799999999999999E-2</v>
      </c>
      <c r="J41">
        <v>50</v>
      </c>
      <c r="K41">
        <f t="shared" si="0"/>
        <v>8.3999999999999995E-3</v>
      </c>
      <c r="L41" t="s">
        <v>17</v>
      </c>
      <c r="M41">
        <v>296</v>
      </c>
      <c r="N41" t="s">
        <v>992</v>
      </c>
      <c r="O41" t="s">
        <v>980</v>
      </c>
    </row>
    <row r="42" spans="1:15" x14ac:dyDescent="0.2">
      <c r="A42" t="s">
        <v>190</v>
      </c>
      <c r="B42" t="s">
        <v>407</v>
      </c>
      <c r="C42">
        <v>10</v>
      </c>
      <c r="D42">
        <v>4</v>
      </c>
      <c r="E42">
        <v>7</v>
      </c>
      <c r="F42">
        <v>11</v>
      </c>
      <c r="G42">
        <v>3</v>
      </c>
      <c r="H42">
        <v>8</v>
      </c>
      <c r="I42">
        <v>3.3399999999999999E-2</v>
      </c>
      <c r="J42">
        <v>50</v>
      </c>
      <c r="K42">
        <f t="shared" si="0"/>
        <v>1.67E-2</v>
      </c>
      <c r="L42" t="s">
        <v>17</v>
      </c>
      <c r="M42">
        <v>296</v>
      </c>
      <c r="N42" t="s">
        <v>992</v>
      </c>
      <c r="O42" t="s">
        <v>980</v>
      </c>
    </row>
    <row r="43" spans="1:15" x14ac:dyDescent="0.2">
      <c r="A43" t="s">
        <v>190</v>
      </c>
      <c r="B43" t="s">
        <v>407</v>
      </c>
      <c r="C43">
        <v>14</v>
      </c>
      <c r="D43">
        <v>2</v>
      </c>
      <c r="E43">
        <v>13</v>
      </c>
      <c r="F43">
        <v>13</v>
      </c>
      <c r="G43">
        <v>1</v>
      </c>
      <c r="H43">
        <v>12</v>
      </c>
      <c r="I43">
        <v>4.1000000000000003E-3</v>
      </c>
      <c r="J43">
        <v>50</v>
      </c>
      <c r="K43">
        <f t="shared" si="0"/>
        <v>2.0500000000000002E-3</v>
      </c>
      <c r="L43" t="s">
        <v>17</v>
      </c>
      <c r="M43">
        <v>296</v>
      </c>
      <c r="N43" t="s">
        <v>992</v>
      </c>
      <c r="O43" t="s">
        <v>981</v>
      </c>
    </row>
    <row r="44" spans="1:15" x14ac:dyDescent="0.2">
      <c r="A44" t="s">
        <v>190</v>
      </c>
      <c r="B44" t="s">
        <v>407</v>
      </c>
      <c r="C44">
        <v>14</v>
      </c>
      <c r="D44">
        <v>3</v>
      </c>
      <c r="E44">
        <v>12</v>
      </c>
      <c r="F44">
        <v>13</v>
      </c>
      <c r="G44">
        <v>2</v>
      </c>
      <c r="H44">
        <v>11</v>
      </c>
      <c r="I44">
        <v>9.1000000000000004E-3</v>
      </c>
      <c r="J44">
        <v>50</v>
      </c>
      <c r="K44">
        <f t="shared" si="0"/>
        <v>4.5500000000000002E-3</v>
      </c>
      <c r="L44" t="s">
        <v>17</v>
      </c>
      <c r="M44">
        <v>296</v>
      </c>
      <c r="N44" t="s">
        <v>992</v>
      </c>
      <c r="O44" t="s">
        <v>981</v>
      </c>
    </row>
    <row r="45" spans="1:15" x14ac:dyDescent="0.2">
      <c r="A45" t="s">
        <v>190</v>
      </c>
      <c r="B45" t="s">
        <v>407</v>
      </c>
      <c r="C45">
        <v>14</v>
      </c>
      <c r="D45">
        <v>1</v>
      </c>
      <c r="E45">
        <v>13</v>
      </c>
      <c r="F45">
        <v>13</v>
      </c>
      <c r="G45">
        <v>2</v>
      </c>
      <c r="H45">
        <v>12</v>
      </c>
      <c r="I45">
        <v>4.4000000000000003E-3</v>
      </c>
      <c r="J45">
        <v>50</v>
      </c>
      <c r="K45">
        <f t="shared" si="0"/>
        <v>2.2000000000000001E-3</v>
      </c>
      <c r="L45" t="s">
        <v>17</v>
      </c>
      <c r="M45">
        <v>296</v>
      </c>
      <c r="N45" t="s">
        <v>992</v>
      </c>
      <c r="O45" t="s">
        <v>981</v>
      </c>
    </row>
    <row r="46" spans="1:15" x14ac:dyDescent="0.2">
      <c r="A46" t="s">
        <v>190</v>
      </c>
      <c r="B46" t="s">
        <v>407</v>
      </c>
      <c r="C46">
        <v>16</v>
      </c>
      <c r="D46">
        <v>0</v>
      </c>
      <c r="E46">
        <v>16</v>
      </c>
      <c r="F46">
        <v>15</v>
      </c>
      <c r="G46">
        <v>1</v>
      </c>
      <c r="H46">
        <v>15</v>
      </c>
      <c r="I46">
        <v>4.4999999999999997E-3</v>
      </c>
      <c r="J46">
        <v>50</v>
      </c>
      <c r="K46">
        <f t="shared" si="0"/>
        <v>2.2499999999999998E-3</v>
      </c>
      <c r="L46" t="s">
        <v>17</v>
      </c>
      <c r="M46">
        <v>296</v>
      </c>
      <c r="N46" t="s">
        <v>992</v>
      </c>
      <c r="O46" t="s">
        <v>981</v>
      </c>
    </row>
    <row r="47" spans="1:15" x14ac:dyDescent="0.2">
      <c r="A47" t="s">
        <v>190</v>
      </c>
      <c r="B47" t="s">
        <v>407</v>
      </c>
      <c r="C47">
        <v>11</v>
      </c>
      <c r="D47">
        <v>2</v>
      </c>
      <c r="E47">
        <v>10</v>
      </c>
      <c r="F47">
        <v>12</v>
      </c>
      <c r="G47">
        <v>1</v>
      </c>
      <c r="H47">
        <v>11</v>
      </c>
      <c r="I47">
        <v>1.23E-2</v>
      </c>
      <c r="J47">
        <v>50</v>
      </c>
      <c r="K47">
        <f t="shared" si="0"/>
        <v>6.1500000000000001E-3</v>
      </c>
      <c r="L47" t="s">
        <v>17</v>
      </c>
      <c r="M47">
        <v>296</v>
      </c>
      <c r="N47" t="s">
        <v>992</v>
      </c>
      <c r="O47" t="s">
        <v>982</v>
      </c>
    </row>
    <row r="48" spans="1:15" x14ac:dyDescent="0.2">
      <c r="A48" t="s">
        <v>190</v>
      </c>
      <c r="B48" t="s">
        <v>407</v>
      </c>
      <c r="C48">
        <v>12</v>
      </c>
      <c r="D48">
        <v>0</v>
      </c>
      <c r="E48">
        <v>12</v>
      </c>
      <c r="F48">
        <v>12</v>
      </c>
      <c r="G48">
        <v>1</v>
      </c>
      <c r="H48">
        <v>11</v>
      </c>
      <c r="I48">
        <v>1.52E-2</v>
      </c>
      <c r="J48">
        <v>50</v>
      </c>
      <c r="K48">
        <f t="shared" si="0"/>
        <v>7.6E-3</v>
      </c>
      <c r="L48" t="s">
        <v>17</v>
      </c>
      <c r="M48">
        <v>296</v>
      </c>
      <c r="N48" t="s">
        <v>992</v>
      </c>
      <c r="O48" t="s">
        <v>982</v>
      </c>
    </row>
    <row r="49" spans="1:15" x14ac:dyDescent="0.2">
      <c r="A49" t="s">
        <v>190</v>
      </c>
      <c r="B49" t="s">
        <v>407</v>
      </c>
      <c r="C49">
        <v>12</v>
      </c>
      <c r="D49">
        <v>1</v>
      </c>
      <c r="E49">
        <v>12</v>
      </c>
      <c r="F49">
        <v>12</v>
      </c>
      <c r="G49">
        <v>2</v>
      </c>
      <c r="H49">
        <v>11</v>
      </c>
      <c r="I49">
        <v>1.29E-2</v>
      </c>
      <c r="J49">
        <v>50</v>
      </c>
      <c r="K49">
        <f t="shared" si="0"/>
        <v>6.45E-3</v>
      </c>
      <c r="L49" t="s">
        <v>17</v>
      </c>
      <c r="M49">
        <v>296</v>
      </c>
      <c r="N49" t="s">
        <v>992</v>
      </c>
      <c r="O49" t="s">
        <v>982</v>
      </c>
    </row>
    <row r="50" spans="1:15" x14ac:dyDescent="0.2">
      <c r="A50" t="s">
        <v>190</v>
      </c>
      <c r="B50" t="s">
        <v>407</v>
      </c>
      <c r="C50">
        <v>13</v>
      </c>
      <c r="D50">
        <v>1</v>
      </c>
      <c r="E50">
        <v>13</v>
      </c>
      <c r="F50">
        <v>14</v>
      </c>
      <c r="G50">
        <v>0</v>
      </c>
      <c r="H50">
        <v>14</v>
      </c>
      <c r="I50">
        <v>7.6E-3</v>
      </c>
      <c r="J50">
        <v>50</v>
      </c>
      <c r="K50">
        <f t="shared" si="0"/>
        <v>3.8E-3</v>
      </c>
      <c r="L50" t="s">
        <v>17</v>
      </c>
      <c r="M50">
        <v>296</v>
      </c>
      <c r="N50" t="s">
        <v>992</v>
      </c>
      <c r="O50" t="s">
        <v>983</v>
      </c>
    </row>
    <row r="51" spans="1:15" x14ac:dyDescent="0.2">
      <c r="A51" t="s">
        <v>190</v>
      </c>
      <c r="B51" t="s">
        <v>407</v>
      </c>
      <c r="C51">
        <v>13</v>
      </c>
      <c r="D51">
        <v>0</v>
      </c>
      <c r="E51">
        <v>13</v>
      </c>
      <c r="F51">
        <v>14</v>
      </c>
      <c r="G51">
        <v>1</v>
      </c>
      <c r="H51">
        <v>14</v>
      </c>
      <c r="I51">
        <v>6.7000000000000002E-3</v>
      </c>
      <c r="J51">
        <v>50</v>
      </c>
      <c r="K51">
        <f t="shared" si="0"/>
        <v>3.3500000000000001E-3</v>
      </c>
      <c r="L51" t="s">
        <v>17</v>
      </c>
      <c r="M51">
        <v>296</v>
      </c>
      <c r="N51" t="s">
        <v>992</v>
      </c>
      <c r="O51" t="s">
        <v>983</v>
      </c>
    </row>
    <row r="52" spans="1:15" x14ac:dyDescent="0.2">
      <c r="A52" t="s">
        <v>190</v>
      </c>
      <c r="B52" t="s">
        <v>407</v>
      </c>
      <c r="C52">
        <v>9</v>
      </c>
      <c r="D52">
        <v>0</v>
      </c>
      <c r="E52">
        <v>9</v>
      </c>
      <c r="F52">
        <v>8</v>
      </c>
      <c r="G52">
        <v>1</v>
      </c>
      <c r="H52">
        <v>8</v>
      </c>
      <c r="I52">
        <v>2.1999999999999999E-2</v>
      </c>
      <c r="J52">
        <v>50</v>
      </c>
      <c r="K52">
        <f t="shared" si="0"/>
        <v>1.0999999999999999E-2</v>
      </c>
      <c r="L52" t="s">
        <v>17</v>
      </c>
      <c r="M52">
        <v>296</v>
      </c>
      <c r="N52" t="s">
        <v>992</v>
      </c>
      <c r="O52" t="s">
        <v>984</v>
      </c>
    </row>
    <row r="53" spans="1:15" x14ac:dyDescent="0.2">
      <c r="A53" t="s">
        <v>190</v>
      </c>
      <c r="B53" t="s">
        <v>407</v>
      </c>
      <c r="C53">
        <v>6</v>
      </c>
      <c r="D53">
        <v>2</v>
      </c>
      <c r="E53">
        <v>5</v>
      </c>
      <c r="F53">
        <v>5</v>
      </c>
      <c r="G53">
        <v>1</v>
      </c>
      <c r="H53">
        <v>4</v>
      </c>
      <c r="I53">
        <v>5.5E-2</v>
      </c>
      <c r="J53">
        <v>50</v>
      </c>
      <c r="K53">
        <f t="shared" si="0"/>
        <v>2.75E-2</v>
      </c>
      <c r="L53" t="s">
        <v>17</v>
      </c>
      <c r="M53">
        <v>296</v>
      </c>
      <c r="N53" t="s">
        <v>992</v>
      </c>
      <c r="O53" t="s">
        <v>985</v>
      </c>
    </row>
    <row r="54" spans="1:15" x14ac:dyDescent="0.2">
      <c r="A54" t="s">
        <v>190</v>
      </c>
      <c r="B54" t="s">
        <v>407</v>
      </c>
      <c r="C54">
        <v>3</v>
      </c>
      <c r="D54">
        <v>2</v>
      </c>
      <c r="E54">
        <v>2</v>
      </c>
      <c r="F54">
        <v>2</v>
      </c>
      <c r="G54">
        <v>1</v>
      </c>
      <c r="H54">
        <v>1</v>
      </c>
      <c r="I54">
        <v>5.6000000000000001E-2</v>
      </c>
      <c r="J54">
        <v>50</v>
      </c>
      <c r="K54">
        <f t="shared" si="0"/>
        <v>2.8000000000000004E-2</v>
      </c>
      <c r="L54" t="s">
        <v>17</v>
      </c>
      <c r="M54">
        <v>296</v>
      </c>
      <c r="N54" t="s">
        <v>992</v>
      </c>
      <c r="O54" t="s">
        <v>986</v>
      </c>
    </row>
    <row r="55" spans="1:15" x14ac:dyDescent="0.2">
      <c r="A55" t="s">
        <v>190</v>
      </c>
      <c r="B55" t="s">
        <v>407</v>
      </c>
      <c r="C55">
        <v>9</v>
      </c>
      <c r="D55">
        <v>2</v>
      </c>
      <c r="E55">
        <v>7</v>
      </c>
      <c r="F55">
        <v>8</v>
      </c>
      <c r="G55">
        <v>2</v>
      </c>
      <c r="H55">
        <v>6</v>
      </c>
      <c r="I55">
        <v>4.5999999999999999E-2</v>
      </c>
      <c r="J55">
        <v>50</v>
      </c>
      <c r="K55">
        <f t="shared" si="0"/>
        <v>2.3E-2</v>
      </c>
      <c r="L55" t="s">
        <v>17</v>
      </c>
      <c r="M55">
        <v>296</v>
      </c>
      <c r="N55" t="s">
        <v>992</v>
      </c>
      <c r="O55" t="s">
        <v>987</v>
      </c>
    </row>
    <row r="56" spans="1:15" x14ac:dyDescent="0.2">
      <c r="A56" t="s">
        <v>190</v>
      </c>
      <c r="B56" t="s">
        <v>407</v>
      </c>
      <c r="C56">
        <v>8</v>
      </c>
      <c r="D56">
        <v>5</v>
      </c>
      <c r="E56">
        <v>4</v>
      </c>
      <c r="F56">
        <v>7</v>
      </c>
      <c r="G56">
        <v>5</v>
      </c>
      <c r="H56">
        <v>3</v>
      </c>
      <c r="I56">
        <v>3.1E-2</v>
      </c>
      <c r="J56">
        <v>50</v>
      </c>
      <c r="K56">
        <f t="shared" si="0"/>
        <v>1.55E-2</v>
      </c>
      <c r="L56" t="s">
        <v>17</v>
      </c>
      <c r="M56">
        <v>296</v>
      </c>
      <c r="N56" t="s">
        <v>992</v>
      </c>
      <c r="O56" t="s">
        <v>988</v>
      </c>
    </row>
    <row r="57" spans="1:15" x14ac:dyDescent="0.2">
      <c r="A57" t="s">
        <v>190</v>
      </c>
      <c r="B57" t="s">
        <v>403</v>
      </c>
      <c r="C57">
        <v>5</v>
      </c>
      <c r="D57">
        <v>1</v>
      </c>
      <c r="E57">
        <v>5</v>
      </c>
      <c r="F57">
        <v>4</v>
      </c>
      <c r="G57">
        <v>1</v>
      </c>
      <c r="H57">
        <v>4</v>
      </c>
      <c r="I57">
        <v>2.7E-2</v>
      </c>
      <c r="J57">
        <v>50</v>
      </c>
      <c r="K57">
        <f t="shared" si="0"/>
        <v>1.3500000000000002E-2</v>
      </c>
      <c r="L57" t="s">
        <v>17</v>
      </c>
      <c r="M57">
        <v>296</v>
      </c>
      <c r="N57" t="s">
        <v>992</v>
      </c>
      <c r="O57" t="s">
        <v>989</v>
      </c>
    </row>
    <row r="58" spans="1:15" x14ac:dyDescent="0.2">
      <c r="A58" t="s">
        <v>190</v>
      </c>
      <c r="B58" t="s">
        <v>376</v>
      </c>
      <c r="C58">
        <v>5</v>
      </c>
      <c r="D58">
        <v>1</v>
      </c>
      <c r="E58">
        <v>5</v>
      </c>
      <c r="F58">
        <v>4</v>
      </c>
      <c r="G58">
        <v>1</v>
      </c>
      <c r="H58">
        <v>4</v>
      </c>
      <c r="I58">
        <v>7.4999999999999997E-2</v>
      </c>
      <c r="J58">
        <v>50</v>
      </c>
      <c r="K58">
        <f t="shared" si="0"/>
        <v>3.7499999999999999E-2</v>
      </c>
      <c r="L58" t="s">
        <v>17</v>
      </c>
      <c r="M58">
        <v>296</v>
      </c>
      <c r="N58" t="s">
        <v>992</v>
      </c>
      <c r="O58" t="s">
        <v>990</v>
      </c>
    </row>
    <row r="59" spans="1:15" x14ac:dyDescent="0.2">
      <c r="A59" t="s">
        <v>190</v>
      </c>
      <c r="B59" t="s">
        <v>407</v>
      </c>
      <c r="C59">
        <v>5</v>
      </c>
      <c r="D59">
        <v>1</v>
      </c>
      <c r="E59">
        <v>5</v>
      </c>
      <c r="F59">
        <v>4</v>
      </c>
      <c r="G59">
        <v>1</v>
      </c>
      <c r="H59">
        <v>4</v>
      </c>
      <c r="I59">
        <v>9.2999999999999999E-2</v>
      </c>
      <c r="J59">
        <v>50</v>
      </c>
      <c r="K59">
        <f t="shared" si="0"/>
        <v>4.6500000000000007E-2</v>
      </c>
      <c r="L59" t="s">
        <v>17</v>
      </c>
      <c r="M59">
        <v>296</v>
      </c>
      <c r="N59" t="s">
        <v>992</v>
      </c>
      <c r="O59" t="s">
        <v>991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9180-F9CA-BF4B-846F-F24AE6774DBA}">
  <dimension ref="A1:O15"/>
  <sheetViews>
    <sheetView workbookViewId="0">
      <selection activeCell="C15" sqref="C15"/>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239</v>
      </c>
      <c r="C2">
        <v>6</v>
      </c>
      <c r="D2">
        <v>6</v>
      </c>
      <c r="E2">
        <v>1</v>
      </c>
      <c r="F2">
        <v>5</v>
      </c>
      <c r="G2">
        <v>1</v>
      </c>
      <c r="H2">
        <v>4</v>
      </c>
      <c r="I2">
        <v>3.7409999999999999E-2</v>
      </c>
      <c r="J2">
        <v>50</v>
      </c>
      <c r="K2">
        <f>J2*I2/100</f>
        <v>1.8704999999999999E-2</v>
      </c>
      <c r="L2" t="s">
        <v>17</v>
      </c>
      <c r="M2">
        <v>296</v>
      </c>
      <c r="N2" t="s">
        <v>201</v>
      </c>
      <c r="O2" t="s">
        <v>994</v>
      </c>
    </row>
    <row r="3" spans="1:15" x14ac:dyDescent="0.2">
      <c r="A3" t="s">
        <v>190</v>
      </c>
      <c r="B3" t="s">
        <v>239</v>
      </c>
      <c r="C3">
        <v>6</v>
      </c>
      <c r="D3">
        <v>5</v>
      </c>
      <c r="E3">
        <v>1</v>
      </c>
      <c r="F3">
        <v>5</v>
      </c>
      <c r="G3">
        <v>2</v>
      </c>
      <c r="H3">
        <v>4</v>
      </c>
      <c r="I3">
        <v>2.46E-2</v>
      </c>
      <c r="J3">
        <v>50</v>
      </c>
      <c r="K3">
        <f>J3*I3/100</f>
        <v>1.23E-2</v>
      </c>
      <c r="L3" t="s">
        <v>17</v>
      </c>
      <c r="M3">
        <v>296</v>
      </c>
      <c r="N3" t="s">
        <v>201</v>
      </c>
      <c r="O3" t="s">
        <v>995</v>
      </c>
    </row>
    <row r="4" spans="1:15" x14ac:dyDescent="0.2">
      <c r="A4" t="s">
        <v>190</v>
      </c>
      <c r="B4" t="s">
        <v>239</v>
      </c>
      <c r="C4">
        <v>9</v>
      </c>
      <c r="D4">
        <v>4</v>
      </c>
      <c r="E4">
        <v>5</v>
      </c>
      <c r="F4">
        <v>8</v>
      </c>
      <c r="G4">
        <v>1</v>
      </c>
      <c r="H4">
        <v>8</v>
      </c>
      <c r="I4">
        <v>2.3599999999999999E-2</v>
      </c>
      <c r="J4">
        <v>50</v>
      </c>
      <c r="K4">
        <f t="shared" ref="K4:K15" si="0">J4*I4/100</f>
        <v>1.18E-2</v>
      </c>
      <c r="L4" t="s">
        <v>17</v>
      </c>
      <c r="M4">
        <v>296</v>
      </c>
      <c r="N4" t="s">
        <v>201</v>
      </c>
      <c r="O4" t="s">
        <v>996</v>
      </c>
    </row>
    <row r="5" spans="1:15" x14ac:dyDescent="0.2">
      <c r="A5" t="s">
        <v>190</v>
      </c>
      <c r="B5" t="s">
        <v>239</v>
      </c>
      <c r="C5">
        <v>5</v>
      </c>
      <c r="D5">
        <v>0</v>
      </c>
      <c r="E5">
        <v>5</v>
      </c>
      <c r="F5">
        <v>4</v>
      </c>
      <c r="G5">
        <v>1</v>
      </c>
      <c r="H5">
        <v>4</v>
      </c>
      <c r="I5">
        <v>3.9E-2</v>
      </c>
      <c r="J5">
        <v>50</v>
      </c>
      <c r="K5">
        <f t="shared" si="0"/>
        <v>1.95E-2</v>
      </c>
      <c r="L5" t="s">
        <v>17</v>
      </c>
      <c r="M5">
        <v>296</v>
      </c>
      <c r="N5" t="s">
        <v>201</v>
      </c>
      <c r="O5" t="s">
        <v>997</v>
      </c>
    </row>
    <row r="6" spans="1:15" x14ac:dyDescent="0.2">
      <c r="A6" t="s">
        <v>190</v>
      </c>
      <c r="B6" t="s">
        <v>239</v>
      </c>
      <c r="C6">
        <v>6</v>
      </c>
      <c r="D6">
        <v>1</v>
      </c>
      <c r="E6">
        <v>6</v>
      </c>
      <c r="F6">
        <v>5</v>
      </c>
      <c r="G6">
        <v>2</v>
      </c>
      <c r="H6">
        <v>3</v>
      </c>
      <c r="I6">
        <v>4.1099999999999998E-2</v>
      </c>
      <c r="J6">
        <v>50</v>
      </c>
      <c r="K6">
        <f t="shared" si="0"/>
        <v>2.0549999999999999E-2</v>
      </c>
      <c r="L6" t="s">
        <v>17</v>
      </c>
      <c r="M6">
        <v>296</v>
      </c>
      <c r="N6" t="s">
        <v>201</v>
      </c>
      <c r="O6" t="s">
        <v>998</v>
      </c>
    </row>
    <row r="7" spans="1:15" x14ac:dyDescent="0.2">
      <c r="A7" t="s">
        <v>190</v>
      </c>
      <c r="B7" t="s">
        <v>239</v>
      </c>
      <c r="C7">
        <v>6</v>
      </c>
      <c r="D7">
        <v>1</v>
      </c>
      <c r="E7">
        <v>6</v>
      </c>
      <c r="F7">
        <v>6</v>
      </c>
      <c r="G7">
        <v>2</v>
      </c>
      <c r="H7">
        <v>5</v>
      </c>
      <c r="I7">
        <v>3.5099999999999999E-2</v>
      </c>
      <c r="J7">
        <v>50</v>
      </c>
      <c r="K7">
        <f t="shared" si="0"/>
        <v>1.755E-2</v>
      </c>
      <c r="L7" t="s">
        <v>17</v>
      </c>
      <c r="M7">
        <v>296</v>
      </c>
      <c r="N7" t="s">
        <v>201</v>
      </c>
      <c r="O7" t="s">
        <v>999</v>
      </c>
    </row>
    <row r="8" spans="1:15" x14ac:dyDescent="0.2">
      <c r="A8" t="s">
        <v>190</v>
      </c>
      <c r="B8" t="s">
        <v>239</v>
      </c>
      <c r="C8">
        <v>6</v>
      </c>
      <c r="D8">
        <v>1</v>
      </c>
      <c r="E8">
        <v>6</v>
      </c>
      <c r="F8">
        <v>7</v>
      </c>
      <c r="G8">
        <v>2</v>
      </c>
      <c r="H8">
        <v>5</v>
      </c>
      <c r="I8">
        <v>4.0399999999999998E-2</v>
      </c>
      <c r="J8">
        <v>50</v>
      </c>
      <c r="K8">
        <f t="shared" si="0"/>
        <v>2.0199999999999999E-2</v>
      </c>
      <c r="L8" t="s">
        <v>17</v>
      </c>
      <c r="M8">
        <v>296</v>
      </c>
      <c r="N8" t="s">
        <v>201</v>
      </c>
      <c r="O8" t="s">
        <v>1000</v>
      </c>
    </row>
    <row r="9" spans="1:15" x14ac:dyDescent="0.2">
      <c r="A9" t="s">
        <v>190</v>
      </c>
      <c r="B9" t="s">
        <v>376</v>
      </c>
      <c r="C9">
        <v>3</v>
      </c>
      <c r="D9">
        <v>2</v>
      </c>
      <c r="E9">
        <v>1</v>
      </c>
      <c r="F9">
        <v>2</v>
      </c>
      <c r="G9">
        <v>2</v>
      </c>
      <c r="H9">
        <v>1</v>
      </c>
      <c r="I9">
        <v>5.9200000000000003E-2</v>
      </c>
      <c r="J9">
        <v>50</v>
      </c>
      <c r="K9">
        <f t="shared" si="0"/>
        <v>2.9600000000000001E-2</v>
      </c>
      <c r="L9" t="s">
        <v>17</v>
      </c>
      <c r="M9">
        <v>296</v>
      </c>
      <c r="N9" t="s">
        <v>201</v>
      </c>
      <c r="O9" t="s">
        <v>1001</v>
      </c>
    </row>
    <row r="10" spans="1:15" x14ac:dyDescent="0.2">
      <c r="A10" t="s">
        <v>190</v>
      </c>
      <c r="B10" t="s">
        <v>58</v>
      </c>
      <c r="C10">
        <v>6</v>
      </c>
      <c r="D10">
        <v>1</v>
      </c>
      <c r="E10">
        <v>6</v>
      </c>
      <c r="F10">
        <v>5</v>
      </c>
      <c r="G10">
        <v>2</v>
      </c>
      <c r="H10">
        <v>3</v>
      </c>
      <c r="I10">
        <v>7.4800000000000005E-2</v>
      </c>
      <c r="J10">
        <v>50</v>
      </c>
      <c r="K10">
        <f t="shared" si="0"/>
        <v>3.7400000000000003E-2</v>
      </c>
      <c r="L10" t="s">
        <v>17</v>
      </c>
      <c r="M10">
        <v>296</v>
      </c>
      <c r="N10" t="s">
        <v>201</v>
      </c>
      <c r="O10" t="s">
        <v>1002</v>
      </c>
    </row>
    <row r="11" spans="1:15" x14ac:dyDescent="0.2">
      <c r="A11" t="s">
        <v>190</v>
      </c>
      <c r="B11" t="s">
        <v>58</v>
      </c>
      <c r="C11">
        <v>6</v>
      </c>
      <c r="D11">
        <v>1</v>
      </c>
      <c r="E11">
        <v>6</v>
      </c>
      <c r="F11">
        <v>6</v>
      </c>
      <c r="G11">
        <v>2</v>
      </c>
      <c r="H11">
        <v>5</v>
      </c>
      <c r="I11">
        <v>5.8500000000000003E-2</v>
      </c>
      <c r="J11">
        <v>50</v>
      </c>
      <c r="K11">
        <f t="shared" si="0"/>
        <v>2.9250000000000002E-2</v>
      </c>
      <c r="L11" t="s">
        <v>17</v>
      </c>
      <c r="M11">
        <v>296</v>
      </c>
      <c r="N11" t="s">
        <v>201</v>
      </c>
      <c r="O11" t="s">
        <v>1003</v>
      </c>
    </row>
    <row r="12" spans="1:15" x14ac:dyDescent="0.2">
      <c r="A12" t="s">
        <v>190</v>
      </c>
      <c r="B12" t="s">
        <v>58</v>
      </c>
      <c r="C12">
        <v>6</v>
      </c>
      <c r="D12">
        <v>1</v>
      </c>
      <c r="E12">
        <v>6</v>
      </c>
      <c r="F12">
        <v>7</v>
      </c>
      <c r="G12">
        <v>2</v>
      </c>
      <c r="H12">
        <v>5</v>
      </c>
      <c r="I12">
        <v>6.88E-2</v>
      </c>
      <c r="J12">
        <v>50</v>
      </c>
      <c r="K12">
        <f t="shared" si="0"/>
        <v>3.44E-2</v>
      </c>
      <c r="L12" t="s">
        <v>17</v>
      </c>
      <c r="M12">
        <v>296</v>
      </c>
      <c r="N12" t="s">
        <v>201</v>
      </c>
      <c r="O12" t="s">
        <v>1004</v>
      </c>
    </row>
    <row r="13" spans="1:15" x14ac:dyDescent="0.2">
      <c r="A13" t="s">
        <v>190</v>
      </c>
      <c r="B13" t="s">
        <v>191</v>
      </c>
      <c r="C13">
        <v>6</v>
      </c>
      <c r="D13">
        <v>1</v>
      </c>
      <c r="E13">
        <v>6</v>
      </c>
      <c r="F13">
        <v>5</v>
      </c>
      <c r="G13">
        <v>2</v>
      </c>
      <c r="H13">
        <v>3</v>
      </c>
      <c r="I13">
        <v>1.72E-2</v>
      </c>
      <c r="J13">
        <v>50</v>
      </c>
      <c r="K13">
        <f t="shared" si="0"/>
        <v>8.6E-3</v>
      </c>
      <c r="L13" t="s">
        <v>17</v>
      </c>
      <c r="M13">
        <v>296</v>
      </c>
      <c r="N13" t="s">
        <v>201</v>
      </c>
      <c r="O13" t="s">
        <v>1005</v>
      </c>
    </row>
    <row r="14" spans="1:15" x14ac:dyDescent="0.2">
      <c r="A14" t="s">
        <v>190</v>
      </c>
      <c r="B14" t="s">
        <v>191</v>
      </c>
      <c r="C14">
        <v>6</v>
      </c>
      <c r="D14">
        <v>1</v>
      </c>
      <c r="E14">
        <v>6</v>
      </c>
      <c r="F14">
        <v>6</v>
      </c>
      <c r="G14">
        <v>2</v>
      </c>
      <c r="H14">
        <v>5</v>
      </c>
      <c r="I14">
        <v>1.52E-2</v>
      </c>
      <c r="J14">
        <v>50</v>
      </c>
      <c r="K14">
        <f t="shared" si="0"/>
        <v>7.6E-3</v>
      </c>
      <c r="L14" t="s">
        <v>17</v>
      </c>
      <c r="M14">
        <v>296</v>
      </c>
      <c r="N14" t="s">
        <v>201</v>
      </c>
      <c r="O14" t="s">
        <v>1006</v>
      </c>
    </row>
    <row r="15" spans="1:15" x14ac:dyDescent="0.2">
      <c r="A15" t="s">
        <v>190</v>
      </c>
      <c r="B15" t="s">
        <v>191</v>
      </c>
      <c r="C15">
        <v>6</v>
      </c>
      <c r="D15">
        <v>1</v>
      </c>
      <c r="E15">
        <v>6</v>
      </c>
      <c r="F15">
        <v>7</v>
      </c>
      <c r="G15">
        <v>2</v>
      </c>
      <c r="H15">
        <v>5</v>
      </c>
      <c r="I15">
        <v>1.66E-2</v>
      </c>
      <c r="J15">
        <v>50</v>
      </c>
      <c r="K15">
        <f t="shared" si="0"/>
        <v>8.3000000000000001E-3</v>
      </c>
      <c r="L15" t="s">
        <v>17</v>
      </c>
      <c r="M15">
        <v>296</v>
      </c>
      <c r="N15" t="s">
        <v>201</v>
      </c>
      <c r="O15" t="s">
        <v>1007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7B00-69A1-7E4F-8001-33941A5F7772}">
  <dimension ref="A1:O343"/>
  <sheetViews>
    <sheetView topLeftCell="A3" workbookViewId="0">
      <selection activeCell="G18" sqref="G18"/>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32</v>
      </c>
      <c r="C2" s="7">
        <v>7</v>
      </c>
      <c r="D2" s="7">
        <v>3</v>
      </c>
      <c r="E2" s="7">
        <v>5</v>
      </c>
      <c r="F2" s="7">
        <v>8</v>
      </c>
      <c r="G2" s="7">
        <v>3</v>
      </c>
      <c r="H2" s="7">
        <v>6</v>
      </c>
      <c r="I2" s="8">
        <v>9.0499999999999997E-2</v>
      </c>
      <c r="J2" s="7">
        <f>K2/I2*100</f>
        <v>6.6298342541436464</v>
      </c>
      <c r="K2">
        <v>6.0000000000000001E-3</v>
      </c>
      <c r="L2" t="s">
        <v>17</v>
      </c>
      <c r="M2">
        <v>296</v>
      </c>
      <c r="N2" t="s">
        <v>1032</v>
      </c>
      <c r="O2" t="s">
        <v>1031</v>
      </c>
    </row>
    <row r="3" spans="1:15" x14ac:dyDescent="0.2">
      <c r="A3" t="s">
        <v>190</v>
      </c>
      <c r="B3" t="s">
        <v>32</v>
      </c>
      <c r="C3" s="7">
        <v>7</v>
      </c>
      <c r="D3" s="7">
        <v>4</v>
      </c>
      <c r="E3" s="7">
        <v>4</v>
      </c>
      <c r="F3" s="7">
        <v>8</v>
      </c>
      <c r="G3" s="7">
        <v>4</v>
      </c>
      <c r="H3" s="7">
        <v>5</v>
      </c>
      <c r="I3" s="8">
        <v>9.11E-2</v>
      </c>
      <c r="J3" s="7">
        <f t="shared" ref="J3:J66" si="0">K3/I3*100</f>
        <v>7.6838638858397363</v>
      </c>
      <c r="K3">
        <v>7.0000000000000001E-3</v>
      </c>
      <c r="L3" t="s">
        <v>17</v>
      </c>
      <c r="M3">
        <v>296</v>
      </c>
      <c r="N3" t="s">
        <v>1032</v>
      </c>
      <c r="O3" t="s">
        <v>1031</v>
      </c>
    </row>
    <row r="4" spans="1:15" x14ac:dyDescent="0.2">
      <c r="A4" t="s">
        <v>190</v>
      </c>
      <c r="B4" t="s">
        <v>32</v>
      </c>
      <c r="C4" s="7">
        <v>7</v>
      </c>
      <c r="D4" s="7">
        <v>2</v>
      </c>
      <c r="E4" s="7">
        <v>6</v>
      </c>
      <c r="F4" s="7">
        <v>8</v>
      </c>
      <c r="G4" s="7">
        <v>2</v>
      </c>
      <c r="H4" s="7">
        <v>7</v>
      </c>
      <c r="I4" s="8">
        <v>9.1800000000000007E-2</v>
      </c>
      <c r="J4" s="7">
        <f t="shared" si="0"/>
        <v>6.5359477124182996</v>
      </c>
      <c r="K4">
        <v>6.0000000000000001E-3</v>
      </c>
      <c r="L4" t="s">
        <v>17</v>
      </c>
      <c r="M4">
        <v>296</v>
      </c>
      <c r="N4" t="s">
        <v>1032</v>
      </c>
      <c r="O4" t="s">
        <v>1031</v>
      </c>
    </row>
    <row r="5" spans="1:15" x14ac:dyDescent="0.2">
      <c r="A5" t="s">
        <v>190</v>
      </c>
      <c r="B5" t="s">
        <v>32</v>
      </c>
      <c r="C5" s="7">
        <v>6</v>
      </c>
      <c r="D5" s="7">
        <v>2</v>
      </c>
      <c r="E5" s="7">
        <v>4</v>
      </c>
      <c r="F5" s="7">
        <v>7</v>
      </c>
      <c r="G5" s="7">
        <v>2</v>
      </c>
      <c r="H5" s="7">
        <v>5</v>
      </c>
      <c r="I5" s="8">
        <v>0.125</v>
      </c>
      <c r="J5" s="7">
        <f t="shared" si="0"/>
        <v>4</v>
      </c>
      <c r="K5">
        <v>5.0000000000000001E-3</v>
      </c>
      <c r="L5" t="s">
        <v>17</v>
      </c>
      <c r="M5">
        <v>296</v>
      </c>
      <c r="N5" t="s">
        <v>1032</v>
      </c>
      <c r="O5" t="s">
        <v>1031</v>
      </c>
    </row>
    <row r="6" spans="1:15" x14ac:dyDescent="0.2">
      <c r="A6" t="s">
        <v>190</v>
      </c>
      <c r="B6" t="s">
        <v>32</v>
      </c>
      <c r="C6" s="7">
        <v>4</v>
      </c>
      <c r="D6" s="7">
        <v>1</v>
      </c>
      <c r="E6" s="7">
        <v>4</v>
      </c>
      <c r="F6" s="7">
        <v>4</v>
      </c>
      <c r="G6" s="7">
        <v>2</v>
      </c>
      <c r="H6" s="7">
        <v>3</v>
      </c>
      <c r="I6" s="8">
        <v>0.11</v>
      </c>
      <c r="J6" s="7">
        <f t="shared" si="0"/>
        <v>5.454545454545455</v>
      </c>
      <c r="K6">
        <v>6.0000000000000001E-3</v>
      </c>
      <c r="L6" t="s">
        <v>17</v>
      </c>
      <c r="M6">
        <v>296</v>
      </c>
      <c r="N6" t="s">
        <v>1032</v>
      </c>
      <c r="O6" t="s">
        <v>1031</v>
      </c>
    </row>
    <row r="7" spans="1:15" x14ac:dyDescent="0.2">
      <c r="A7" t="s">
        <v>190</v>
      </c>
      <c r="B7" t="s">
        <v>32</v>
      </c>
      <c r="C7" s="7">
        <v>6</v>
      </c>
      <c r="D7" s="7">
        <v>3</v>
      </c>
      <c r="E7" s="7">
        <v>3</v>
      </c>
      <c r="F7" s="7">
        <v>7</v>
      </c>
      <c r="G7" s="7">
        <v>3</v>
      </c>
      <c r="H7" s="7">
        <v>4</v>
      </c>
      <c r="I7" s="8">
        <v>0.121</v>
      </c>
      <c r="J7" s="7">
        <f t="shared" si="0"/>
        <v>5.785123966942149</v>
      </c>
      <c r="K7">
        <v>7.0000000000000001E-3</v>
      </c>
      <c r="L7" t="s">
        <v>17</v>
      </c>
      <c r="M7">
        <v>296</v>
      </c>
      <c r="N7" t="s">
        <v>1032</v>
      </c>
      <c r="O7" t="s">
        <v>1031</v>
      </c>
    </row>
    <row r="8" spans="1:15" x14ac:dyDescent="0.2">
      <c r="A8" t="s">
        <v>190</v>
      </c>
      <c r="B8" t="s">
        <v>32</v>
      </c>
      <c r="C8" s="7">
        <v>7</v>
      </c>
      <c r="D8" s="7">
        <v>0</v>
      </c>
      <c r="E8" s="7">
        <v>7</v>
      </c>
      <c r="F8" s="7">
        <v>8</v>
      </c>
      <c r="G8" s="7">
        <v>0</v>
      </c>
      <c r="H8" s="7">
        <v>8</v>
      </c>
      <c r="I8" s="8">
        <v>8.0100000000000005E-2</v>
      </c>
      <c r="J8" s="7">
        <f t="shared" si="0"/>
        <v>7.4906367041198507</v>
      </c>
      <c r="K8">
        <v>6.0000000000000001E-3</v>
      </c>
      <c r="L8" t="s">
        <v>17</v>
      </c>
      <c r="M8">
        <v>296</v>
      </c>
      <c r="N8" t="s">
        <v>1032</v>
      </c>
      <c r="O8" t="s">
        <v>1031</v>
      </c>
    </row>
    <row r="9" spans="1:15" x14ac:dyDescent="0.2">
      <c r="A9" t="s">
        <v>190</v>
      </c>
      <c r="B9" t="s">
        <v>32</v>
      </c>
      <c r="C9" s="7">
        <v>7</v>
      </c>
      <c r="D9" s="7">
        <v>1</v>
      </c>
      <c r="E9" s="7">
        <v>7</v>
      </c>
      <c r="F9" s="7">
        <v>8</v>
      </c>
      <c r="G9" s="7">
        <v>1</v>
      </c>
      <c r="H9" s="7">
        <v>8</v>
      </c>
      <c r="I9" s="8">
        <v>8.3000000000000004E-2</v>
      </c>
      <c r="J9" s="7">
        <f t="shared" si="0"/>
        <v>6.024096385542169</v>
      </c>
      <c r="K9">
        <v>5.0000000000000001E-3</v>
      </c>
      <c r="L9" t="s">
        <v>17</v>
      </c>
      <c r="M9">
        <v>296</v>
      </c>
      <c r="N9" t="s">
        <v>1032</v>
      </c>
      <c r="O9" t="s">
        <v>1031</v>
      </c>
    </row>
    <row r="10" spans="1:15" x14ac:dyDescent="0.2">
      <c r="A10" t="s">
        <v>190</v>
      </c>
      <c r="B10" t="s">
        <v>32</v>
      </c>
      <c r="C10" s="7">
        <v>7</v>
      </c>
      <c r="D10" s="7">
        <v>5</v>
      </c>
      <c r="E10" s="7">
        <v>3</v>
      </c>
      <c r="F10" s="7">
        <v>8</v>
      </c>
      <c r="G10" s="7">
        <v>5</v>
      </c>
      <c r="H10" s="7">
        <v>4</v>
      </c>
      <c r="I10" s="8">
        <v>9.4299999999999995E-2</v>
      </c>
      <c r="J10" s="7">
        <f t="shared" si="0"/>
        <v>5.3022269353128317</v>
      </c>
      <c r="K10">
        <v>5.0000000000000001E-3</v>
      </c>
      <c r="L10" t="s">
        <v>17</v>
      </c>
      <c r="M10">
        <v>296</v>
      </c>
      <c r="N10" t="s">
        <v>1032</v>
      </c>
      <c r="O10" t="s">
        <v>1031</v>
      </c>
    </row>
    <row r="11" spans="1:15" x14ac:dyDescent="0.2">
      <c r="A11" t="s">
        <v>190</v>
      </c>
      <c r="B11" t="s">
        <v>32</v>
      </c>
      <c r="C11" s="7">
        <v>6</v>
      </c>
      <c r="D11" s="7">
        <v>1</v>
      </c>
      <c r="E11" s="7">
        <v>5</v>
      </c>
      <c r="F11" s="7">
        <v>7</v>
      </c>
      <c r="G11" s="7">
        <v>1</v>
      </c>
      <c r="H11" s="7">
        <v>6</v>
      </c>
      <c r="I11" s="8">
        <v>0.108</v>
      </c>
      <c r="J11" s="7">
        <f t="shared" si="0"/>
        <v>3.7037037037037033</v>
      </c>
      <c r="K11">
        <v>4.0000000000000001E-3</v>
      </c>
      <c r="L11" t="s">
        <v>17</v>
      </c>
      <c r="M11">
        <v>296</v>
      </c>
      <c r="N11" t="s">
        <v>1032</v>
      </c>
      <c r="O11" t="s">
        <v>1031</v>
      </c>
    </row>
    <row r="12" spans="1:15" x14ac:dyDescent="0.2">
      <c r="A12" t="s">
        <v>190</v>
      </c>
      <c r="B12" t="s">
        <v>32</v>
      </c>
      <c r="C12" s="7">
        <v>6</v>
      </c>
      <c r="D12" s="7">
        <v>3</v>
      </c>
      <c r="E12" s="7">
        <v>4</v>
      </c>
      <c r="F12" s="7">
        <v>7</v>
      </c>
      <c r="G12" s="7">
        <v>3</v>
      </c>
      <c r="H12" s="7">
        <v>5</v>
      </c>
      <c r="I12" s="8">
        <v>9.7299999999999998E-2</v>
      </c>
      <c r="J12" s="7">
        <f t="shared" si="0"/>
        <v>5.1387461459403907</v>
      </c>
      <c r="K12">
        <v>5.0000000000000001E-3</v>
      </c>
      <c r="L12" t="s">
        <v>17</v>
      </c>
      <c r="M12">
        <v>296</v>
      </c>
      <c r="N12" t="s">
        <v>1032</v>
      </c>
      <c r="O12" t="s">
        <v>1031</v>
      </c>
    </row>
    <row r="13" spans="1:15" x14ac:dyDescent="0.2">
      <c r="A13" t="s">
        <v>190</v>
      </c>
      <c r="B13" t="s">
        <v>32</v>
      </c>
      <c r="C13" s="7">
        <v>6</v>
      </c>
      <c r="D13" s="7">
        <v>2</v>
      </c>
      <c r="E13" s="7">
        <v>5</v>
      </c>
      <c r="F13" s="7">
        <v>7</v>
      </c>
      <c r="G13" s="7">
        <v>2</v>
      </c>
      <c r="H13" s="7">
        <v>6</v>
      </c>
      <c r="I13" s="8">
        <v>9.8000000000000004E-2</v>
      </c>
      <c r="J13" s="7">
        <f t="shared" si="0"/>
        <v>6.1224489795918364</v>
      </c>
      <c r="K13">
        <v>6.0000000000000001E-3</v>
      </c>
      <c r="L13" t="s">
        <v>17</v>
      </c>
      <c r="M13">
        <v>296</v>
      </c>
      <c r="N13" t="s">
        <v>1032</v>
      </c>
      <c r="O13" t="s">
        <v>1031</v>
      </c>
    </row>
    <row r="14" spans="1:15" x14ac:dyDescent="0.2">
      <c r="A14" t="s">
        <v>190</v>
      </c>
      <c r="B14" t="s">
        <v>32</v>
      </c>
      <c r="C14" s="7">
        <v>6</v>
      </c>
      <c r="D14" s="7">
        <v>4</v>
      </c>
      <c r="E14" s="7">
        <v>3</v>
      </c>
      <c r="F14" s="7">
        <v>7</v>
      </c>
      <c r="G14" s="7">
        <v>3</v>
      </c>
      <c r="H14" s="7">
        <v>4</v>
      </c>
      <c r="I14" s="8">
        <v>0.126</v>
      </c>
      <c r="J14" s="7">
        <f t="shared" si="0"/>
        <v>5.5555555555555562</v>
      </c>
      <c r="K14">
        <v>7.0000000000000001E-3</v>
      </c>
      <c r="L14" t="s">
        <v>17</v>
      </c>
      <c r="M14">
        <v>296</v>
      </c>
      <c r="N14" t="s">
        <v>1032</v>
      </c>
      <c r="O14" t="s">
        <v>1031</v>
      </c>
    </row>
    <row r="15" spans="1:15" x14ac:dyDescent="0.2">
      <c r="A15" t="s">
        <v>190</v>
      </c>
      <c r="B15" t="s">
        <v>32</v>
      </c>
      <c r="C15" s="7">
        <v>5</v>
      </c>
      <c r="D15" s="7">
        <v>2</v>
      </c>
      <c r="E15" s="7">
        <v>3</v>
      </c>
      <c r="F15" s="7">
        <v>6</v>
      </c>
      <c r="G15" s="7">
        <v>2</v>
      </c>
      <c r="H15" s="7">
        <v>4</v>
      </c>
      <c r="I15" s="8">
        <v>0.15</v>
      </c>
      <c r="J15" s="7">
        <f t="shared" si="0"/>
        <v>4</v>
      </c>
      <c r="K15">
        <v>6.0000000000000001E-3</v>
      </c>
      <c r="L15" t="s">
        <v>17</v>
      </c>
      <c r="M15">
        <v>296</v>
      </c>
      <c r="N15" t="s">
        <v>1032</v>
      </c>
      <c r="O15" t="s">
        <v>1031</v>
      </c>
    </row>
    <row r="16" spans="1:15" x14ac:dyDescent="0.2">
      <c r="A16" t="s">
        <v>190</v>
      </c>
      <c r="B16" t="s">
        <v>32</v>
      </c>
      <c r="C16" s="7">
        <v>6</v>
      </c>
      <c r="D16" s="7">
        <v>0</v>
      </c>
      <c r="E16" s="7">
        <v>6</v>
      </c>
      <c r="F16" s="7">
        <v>7</v>
      </c>
      <c r="G16" s="7">
        <v>0</v>
      </c>
      <c r="H16" s="7">
        <v>7</v>
      </c>
      <c r="I16" s="8">
        <v>8.8499999999999995E-2</v>
      </c>
      <c r="J16" s="7">
        <f t="shared" si="0"/>
        <v>5.6497175141242941</v>
      </c>
      <c r="K16">
        <v>5.0000000000000001E-3</v>
      </c>
      <c r="L16" t="s">
        <v>17</v>
      </c>
      <c r="M16">
        <v>296</v>
      </c>
      <c r="N16" t="s">
        <v>1032</v>
      </c>
      <c r="O16" t="s">
        <v>1031</v>
      </c>
    </row>
    <row r="17" spans="1:15" x14ac:dyDescent="0.2">
      <c r="A17" t="s">
        <v>190</v>
      </c>
      <c r="B17" t="s">
        <v>32</v>
      </c>
      <c r="C17" s="7">
        <v>6</v>
      </c>
      <c r="D17" s="7">
        <v>1</v>
      </c>
      <c r="E17" s="7">
        <v>6</v>
      </c>
      <c r="F17" s="7">
        <v>7</v>
      </c>
      <c r="G17" s="7">
        <v>1</v>
      </c>
      <c r="H17" s="7">
        <v>7</v>
      </c>
      <c r="I17" s="8">
        <v>9.01E-2</v>
      </c>
      <c r="J17" s="7">
        <f t="shared" si="0"/>
        <v>4.4395116537180908</v>
      </c>
      <c r="K17">
        <v>4.0000000000000001E-3</v>
      </c>
      <c r="L17" t="s">
        <v>17</v>
      </c>
      <c r="M17">
        <v>296</v>
      </c>
      <c r="N17" t="s">
        <v>1032</v>
      </c>
      <c r="O17" t="s">
        <v>1031</v>
      </c>
    </row>
    <row r="18" spans="1:15" x14ac:dyDescent="0.2">
      <c r="A18" t="s">
        <v>190</v>
      </c>
      <c r="B18" t="s">
        <v>32</v>
      </c>
      <c r="C18" s="7">
        <v>5</v>
      </c>
      <c r="D18" s="7">
        <v>1</v>
      </c>
      <c r="E18" s="7">
        <v>4</v>
      </c>
      <c r="F18" s="7">
        <v>5</v>
      </c>
      <c r="G18" s="7">
        <v>2</v>
      </c>
      <c r="H18" s="7">
        <v>3</v>
      </c>
      <c r="I18" s="8">
        <v>0.17699999999999999</v>
      </c>
      <c r="J18" s="7">
        <f t="shared" si="0"/>
        <v>2.259887005649718</v>
      </c>
      <c r="K18">
        <v>4.0000000000000001E-3</v>
      </c>
      <c r="L18" t="s">
        <v>17</v>
      </c>
      <c r="M18">
        <v>296</v>
      </c>
      <c r="N18" t="s">
        <v>1032</v>
      </c>
      <c r="O18" t="s">
        <v>1031</v>
      </c>
    </row>
    <row r="19" spans="1:15" x14ac:dyDescent="0.2">
      <c r="A19" t="s">
        <v>190</v>
      </c>
      <c r="B19" t="s">
        <v>32</v>
      </c>
      <c r="C19" s="7">
        <v>5</v>
      </c>
      <c r="D19" s="7">
        <v>1</v>
      </c>
      <c r="E19" s="7">
        <v>4</v>
      </c>
      <c r="F19" s="7">
        <v>6</v>
      </c>
      <c r="G19" s="7">
        <v>1</v>
      </c>
      <c r="H19" s="7">
        <v>5</v>
      </c>
      <c r="I19" s="8">
        <v>0.124</v>
      </c>
      <c r="J19" s="7">
        <f t="shared" si="0"/>
        <v>4.838709677419355</v>
      </c>
      <c r="K19">
        <v>6.0000000000000001E-3</v>
      </c>
      <c r="L19" t="s">
        <v>17</v>
      </c>
      <c r="M19">
        <v>296</v>
      </c>
      <c r="N19" t="s">
        <v>1032</v>
      </c>
      <c r="O19" t="s">
        <v>1031</v>
      </c>
    </row>
    <row r="20" spans="1:15" x14ac:dyDescent="0.2">
      <c r="A20" t="s">
        <v>190</v>
      </c>
      <c r="B20" t="s">
        <v>32</v>
      </c>
      <c r="C20" s="7">
        <v>5</v>
      </c>
      <c r="D20" s="7">
        <v>3</v>
      </c>
      <c r="E20" s="7">
        <v>2</v>
      </c>
      <c r="F20" s="7">
        <v>6</v>
      </c>
      <c r="G20" s="7">
        <v>3</v>
      </c>
      <c r="H20" s="7">
        <v>3</v>
      </c>
      <c r="I20" s="8">
        <v>0.126</v>
      </c>
      <c r="J20" s="7">
        <f t="shared" si="0"/>
        <v>5.5555555555555562</v>
      </c>
      <c r="K20">
        <v>7.0000000000000001E-3</v>
      </c>
      <c r="L20" t="s">
        <v>17</v>
      </c>
      <c r="M20">
        <v>296</v>
      </c>
      <c r="N20" t="s">
        <v>1032</v>
      </c>
      <c r="O20" t="s">
        <v>1031</v>
      </c>
    </row>
    <row r="21" spans="1:15" x14ac:dyDescent="0.2">
      <c r="A21" t="s">
        <v>190</v>
      </c>
      <c r="B21" t="s">
        <v>32</v>
      </c>
      <c r="C21" s="7">
        <v>6</v>
      </c>
      <c r="D21" s="7">
        <v>5</v>
      </c>
      <c r="E21" s="7">
        <v>1</v>
      </c>
      <c r="F21" s="7">
        <v>7</v>
      </c>
      <c r="G21" s="7">
        <v>5</v>
      </c>
      <c r="H21" s="7">
        <v>2</v>
      </c>
      <c r="I21" s="8">
        <v>9.9299999999999999E-2</v>
      </c>
      <c r="J21" s="7">
        <f t="shared" si="0"/>
        <v>7.0493454179254789</v>
      </c>
      <c r="K21">
        <v>7.0000000000000001E-3</v>
      </c>
      <c r="L21" t="s">
        <v>17</v>
      </c>
      <c r="M21">
        <v>296</v>
      </c>
      <c r="N21" t="s">
        <v>1032</v>
      </c>
      <c r="O21" t="s">
        <v>1031</v>
      </c>
    </row>
    <row r="22" spans="1:15" x14ac:dyDescent="0.2">
      <c r="A22" t="s">
        <v>190</v>
      </c>
      <c r="B22" t="s">
        <v>32</v>
      </c>
      <c r="C22" s="7">
        <v>5</v>
      </c>
      <c r="D22" s="7">
        <v>2</v>
      </c>
      <c r="E22" s="7">
        <v>4</v>
      </c>
      <c r="F22" s="7">
        <v>6</v>
      </c>
      <c r="G22" s="7">
        <v>2</v>
      </c>
      <c r="H22" s="7">
        <v>5</v>
      </c>
      <c r="I22" s="8">
        <v>0.105</v>
      </c>
      <c r="J22" s="7">
        <f t="shared" si="0"/>
        <v>7.6190476190476195</v>
      </c>
      <c r="K22">
        <v>8.0000000000000002E-3</v>
      </c>
      <c r="L22" t="s">
        <v>17</v>
      </c>
      <c r="M22">
        <v>296</v>
      </c>
      <c r="N22" t="s">
        <v>1032</v>
      </c>
      <c r="O22" t="s">
        <v>1031</v>
      </c>
    </row>
    <row r="23" spans="1:15" x14ac:dyDescent="0.2">
      <c r="A23" t="s">
        <v>190</v>
      </c>
      <c r="B23" t="s">
        <v>32</v>
      </c>
      <c r="C23" s="7">
        <v>5</v>
      </c>
      <c r="D23" s="7">
        <v>3</v>
      </c>
      <c r="E23" s="7">
        <v>3</v>
      </c>
      <c r="F23" s="7">
        <v>6</v>
      </c>
      <c r="G23" s="7">
        <v>3</v>
      </c>
      <c r="H23" s="7">
        <v>4</v>
      </c>
      <c r="I23" s="8">
        <v>0.1</v>
      </c>
      <c r="J23" s="7">
        <f t="shared" si="0"/>
        <v>6.9999999999999991</v>
      </c>
      <c r="K23">
        <v>7.0000000000000001E-3</v>
      </c>
      <c r="L23" t="s">
        <v>17</v>
      </c>
      <c r="M23">
        <v>296</v>
      </c>
      <c r="N23" t="s">
        <v>1032</v>
      </c>
      <c r="O23" t="s">
        <v>1031</v>
      </c>
    </row>
    <row r="24" spans="1:15" x14ac:dyDescent="0.2">
      <c r="A24" t="s">
        <v>190</v>
      </c>
      <c r="B24" t="s">
        <v>32</v>
      </c>
      <c r="C24" s="7">
        <v>7</v>
      </c>
      <c r="D24" s="7">
        <v>1</v>
      </c>
      <c r="E24" s="7">
        <v>7</v>
      </c>
      <c r="F24" s="7">
        <v>7</v>
      </c>
      <c r="G24" s="7">
        <v>1</v>
      </c>
      <c r="H24" s="7">
        <v>6</v>
      </c>
      <c r="I24" s="8">
        <v>9.8199999999999996E-2</v>
      </c>
      <c r="J24" s="7">
        <f t="shared" si="0"/>
        <v>6.1099796334012222</v>
      </c>
      <c r="K24">
        <v>6.0000000000000001E-3</v>
      </c>
      <c r="L24" t="s">
        <v>17</v>
      </c>
      <c r="M24">
        <v>296</v>
      </c>
      <c r="N24" t="s">
        <v>1032</v>
      </c>
      <c r="O24" t="s">
        <v>1031</v>
      </c>
    </row>
    <row r="25" spans="1:15" x14ac:dyDescent="0.2">
      <c r="A25" t="s">
        <v>190</v>
      </c>
      <c r="B25" t="s">
        <v>32</v>
      </c>
      <c r="C25" s="7">
        <v>5</v>
      </c>
      <c r="D25" s="7">
        <v>4</v>
      </c>
      <c r="E25" s="7">
        <v>2</v>
      </c>
      <c r="F25" s="7">
        <v>6</v>
      </c>
      <c r="G25" s="7">
        <v>4</v>
      </c>
      <c r="H25" s="7">
        <v>3</v>
      </c>
      <c r="I25" s="8">
        <v>9.3700000000000006E-2</v>
      </c>
      <c r="J25" s="7">
        <f t="shared" si="0"/>
        <v>7.4706510138740665</v>
      </c>
      <c r="K25">
        <v>7.0000000000000001E-3</v>
      </c>
      <c r="L25" t="s">
        <v>17</v>
      </c>
      <c r="M25">
        <v>296</v>
      </c>
      <c r="N25" t="s">
        <v>1032</v>
      </c>
      <c r="O25" t="s">
        <v>1031</v>
      </c>
    </row>
    <row r="26" spans="1:15" x14ac:dyDescent="0.2">
      <c r="A26" t="s">
        <v>190</v>
      </c>
      <c r="B26" t="s">
        <v>32</v>
      </c>
      <c r="C26" s="7">
        <v>5</v>
      </c>
      <c r="D26" s="7">
        <v>1</v>
      </c>
      <c r="E26" s="7">
        <v>5</v>
      </c>
      <c r="F26" s="7">
        <v>6</v>
      </c>
      <c r="G26" s="7">
        <v>1</v>
      </c>
      <c r="H26" s="7">
        <v>6</v>
      </c>
      <c r="I26" s="8">
        <v>0.1</v>
      </c>
      <c r="J26" s="7">
        <f t="shared" si="0"/>
        <v>10</v>
      </c>
      <c r="K26">
        <v>0.01</v>
      </c>
      <c r="L26" t="s">
        <v>17</v>
      </c>
      <c r="M26">
        <v>296</v>
      </c>
      <c r="N26" t="s">
        <v>1032</v>
      </c>
      <c r="O26" t="s">
        <v>1031</v>
      </c>
    </row>
    <row r="27" spans="1:15" x14ac:dyDescent="0.2">
      <c r="A27" t="s">
        <v>190</v>
      </c>
      <c r="B27" t="s">
        <v>32</v>
      </c>
      <c r="C27" s="7">
        <v>4</v>
      </c>
      <c r="D27" s="7">
        <v>2</v>
      </c>
      <c r="E27" s="7">
        <v>2</v>
      </c>
      <c r="F27" s="7">
        <v>5</v>
      </c>
      <c r="G27" s="7">
        <v>2</v>
      </c>
      <c r="H27" s="7">
        <v>3</v>
      </c>
      <c r="I27" s="8">
        <v>0.156</v>
      </c>
      <c r="J27" s="7">
        <f t="shared" si="0"/>
        <v>4.4871794871794872</v>
      </c>
      <c r="K27">
        <v>7.0000000000000001E-3</v>
      </c>
      <c r="L27" t="s">
        <v>17</v>
      </c>
      <c r="M27">
        <v>296</v>
      </c>
      <c r="N27" t="s">
        <v>1032</v>
      </c>
      <c r="O27" t="s">
        <v>1031</v>
      </c>
    </row>
    <row r="28" spans="1:15" x14ac:dyDescent="0.2">
      <c r="A28" t="s">
        <v>190</v>
      </c>
      <c r="B28" t="s">
        <v>32</v>
      </c>
      <c r="C28" s="7">
        <v>5</v>
      </c>
      <c r="D28" s="7">
        <v>3</v>
      </c>
      <c r="E28" s="7">
        <v>2</v>
      </c>
      <c r="F28" s="7">
        <v>6</v>
      </c>
      <c r="G28" s="7">
        <v>2</v>
      </c>
      <c r="H28" s="7">
        <v>5</v>
      </c>
      <c r="I28" s="8">
        <v>0.121</v>
      </c>
      <c r="J28" s="7">
        <f t="shared" si="0"/>
        <v>5.785123966942149</v>
      </c>
      <c r="K28">
        <v>7.0000000000000001E-3</v>
      </c>
      <c r="L28" t="s">
        <v>17</v>
      </c>
      <c r="M28">
        <v>296</v>
      </c>
      <c r="N28" t="s">
        <v>1032</v>
      </c>
      <c r="O28" t="s">
        <v>1031</v>
      </c>
    </row>
    <row r="29" spans="1:15" x14ac:dyDescent="0.2">
      <c r="A29" t="s">
        <v>190</v>
      </c>
      <c r="B29" t="s">
        <v>32</v>
      </c>
      <c r="C29" s="7">
        <v>4</v>
      </c>
      <c r="D29" s="7">
        <v>1</v>
      </c>
      <c r="E29" s="7">
        <v>3</v>
      </c>
      <c r="F29" s="7">
        <v>5</v>
      </c>
      <c r="G29" s="7">
        <v>1</v>
      </c>
      <c r="H29" s="7">
        <v>4</v>
      </c>
      <c r="I29" s="8">
        <v>0.14599999999999999</v>
      </c>
      <c r="J29" s="7">
        <f t="shared" si="0"/>
        <v>4.1095890410958908</v>
      </c>
      <c r="K29">
        <v>6.0000000000000001E-3</v>
      </c>
      <c r="L29" t="s">
        <v>17</v>
      </c>
      <c r="M29">
        <v>296</v>
      </c>
      <c r="N29" t="s">
        <v>1032</v>
      </c>
      <c r="O29" t="s">
        <v>1031</v>
      </c>
    </row>
    <row r="30" spans="1:15" x14ac:dyDescent="0.2">
      <c r="A30" t="s">
        <v>190</v>
      </c>
      <c r="B30" t="s">
        <v>32</v>
      </c>
      <c r="C30" s="7">
        <v>1</v>
      </c>
      <c r="D30" s="7">
        <v>0</v>
      </c>
      <c r="E30" s="7">
        <v>1</v>
      </c>
      <c r="F30" s="7">
        <v>1</v>
      </c>
      <c r="G30" s="7">
        <v>1</v>
      </c>
      <c r="H30" s="7">
        <v>0</v>
      </c>
      <c r="I30" s="8">
        <v>0.20499999999999999</v>
      </c>
      <c r="J30" s="7">
        <f t="shared" si="0"/>
        <v>2.4390243902439024</v>
      </c>
      <c r="K30">
        <v>5.0000000000000001E-3</v>
      </c>
      <c r="L30" t="s">
        <v>17</v>
      </c>
      <c r="M30">
        <v>296</v>
      </c>
      <c r="N30" t="s">
        <v>1032</v>
      </c>
      <c r="O30" t="s">
        <v>1031</v>
      </c>
    </row>
    <row r="31" spans="1:15" x14ac:dyDescent="0.2">
      <c r="A31" t="s">
        <v>190</v>
      </c>
      <c r="B31" t="s">
        <v>32</v>
      </c>
      <c r="C31" s="7">
        <v>4</v>
      </c>
      <c r="D31" s="7">
        <v>2</v>
      </c>
      <c r="E31" s="7">
        <v>3</v>
      </c>
      <c r="F31" s="7">
        <v>5</v>
      </c>
      <c r="G31" s="7">
        <v>2</v>
      </c>
      <c r="H31" s="7">
        <v>4</v>
      </c>
      <c r="I31" s="8">
        <v>0.113</v>
      </c>
      <c r="J31" s="7">
        <f t="shared" si="0"/>
        <v>5.3097345132743365</v>
      </c>
      <c r="K31">
        <v>6.0000000000000001E-3</v>
      </c>
      <c r="L31" t="s">
        <v>17</v>
      </c>
      <c r="M31">
        <v>296</v>
      </c>
      <c r="N31" t="s">
        <v>1032</v>
      </c>
      <c r="O31" t="s">
        <v>1031</v>
      </c>
    </row>
    <row r="32" spans="1:15" x14ac:dyDescent="0.2">
      <c r="A32" t="s">
        <v>190</v>
      </c>
      <c r="B32" t="s">
        <v>32</v>
      </c>
      <c r="C32" s="7">
        <v>6</v>
      </c>
      <c r="D32" s="7">
        <v>0</v>
      </c>
      <c r="E32" s="7">
        <v>6</v>
      </c>
      <c r="F32" s="7">
        <v>6</v>
      </c>
      <c r="G32" s="7">
        <v>2</v>
      </c>
      <c r="H32" s="7">
        <v>5</v>
      </c>
      <c r="I32" s="8">
        <v>0.10299999999999999</v>
      </c>
      <c r="J32" s="7">
        <f t="shared" si="0"/>
        <v>6.7961165048543704</v>
      </c>
      <c r="K32">
        <v>7.0000000000000001E-3</v>
      </c>
      <c r="L32" t="s">
        <v>17</v>
      </c>
      <c r="M32">
        <v>296</v>
      </c>
      <c r="N32" t="s">
        <v>1032</v>
      </c>
      <c r="O32" t="s">
        <v>1031</v>
      </c>
    </row>
    <row r="33" spans="1:15" x14ac:dyDescent="0.2">
      <c r="A33" t="s">
        <v>190</v>
      </c>
      <c r="B33" t="s">
        <v>32</v>
      </c>
      <c r="C33" s="7">
        <v>4</v>
      </c>
      <c r="D33" s="7">
        <v>3</v>
      </c>
      <c r="E33" s="7">
        <v>1</v>
      </c>
      <c r="F33" s="7">
        <v>5</v>
      </c>
      <c r="G33" s="7">
        <v>3</v>
      </c>
      <c r="H33" s="7">
        <v>2</v>
      </c>
      <c r="I33" s="8">
        <v>0.128</v>
      </c>
      <c r="J33" s="7">
        <f t="shared" si="0"/>
        <v>6.25</v>
      </c>
      <c r="K33">
        <v>8.0000000000000002E-3</v>
      </c>
      <c r="L33" t="s">
        <v>17</v>
      </c>
      <c r="M33">
        <v>296</v>
      </c>
      <c r="N33" t="s">
        <v>1032</v>
      </c>
      <c r="O33" t="s">
        <v>1031</v>
      </c>
    </row>
    <row r="34" spans="1:15" x14ac:dyDescent="0.2">
      <c r="A34" t="s">
        <v>190</v>
      </c>
      <c r="B34" t="s">
        <v>32</v>
      </c>
      <c r="C34" s="7">
        <v>4</v>
      </c>
      <c r="D34" s="7">
        <v>3</v>
      </c>
      <c r="E34" s="7">
        <v>2</v>
      </c>
      <c r="F34" s="7">
        <v>5</v>
      </c>
      <c r="G34" s="7">
        <v>3</v>
      </c>
      <c r="H34" s="7">
        <v>3</v>
      </c>
      <c r="I34" s="8">
        <v>0.10100000000000001</v>
      </c>
      <c r="J34" s="7">
        <f t="shared" si="0"/>
        <v>6.9306930693069297</v>
      </c>
      <c r="K34">
        <v>7.0000000000000001E-3</v>
      </c>
      <c r="L34" t="s">
        <v>17</v>
      </c>
      <c r="M34">
        <v>296</v>
      </c>
      <c r="N34" t="s">
        <v>1032</v>
      </c>
      <c r="O34" t="s">
        <v>1031</v>
      </c>
    </row>
    <row r="35" spans="1:15" x14ac:dyDescent="0.2">
      <c r="A35" t="s">
        <v>190</v>
      </c>
      <c r="B35" t="s">
        <v>32</v>
      </c>
      <c r="C35" s="7">
        <v>4</v>
      </c>
      <c r="D35" s="7">
        <v>3</v>
      </c>
      <c r="E35" s="7">
        <v>1</v>
      </c>
      <c r="F35" s="7">
        <v>5</v>
      </c>
      <c r="G35" s="7">
        <v>2</v>
      </c>
      <c r="H35" s="7">
        <v>4</v>
      </c>
      <c r="I35" s="8">
        <v>0.11799999999999999</v>
      </c>
      <c r="J35" s="7">
        <f t="shared" si="0"/>
        <v>6.7796610169491522</v>
      </c>
      <c r="K35">
        <v>8.0000000000000002E-3</v>
      </c>
      <c r="L35" t="s">
        <v>17</v>
      </c>
      <c r="M35">
        <v>296</v>
      </c>
      <c r="N35" t="s">
        <v>1032</v>
      </c>
      <c r="O35" t="s">
        <v>1031</v>
      </c>
    </row>
    <row r="36" spans="1:15" x14ac:dyDescent="0.2">
      <c r="A36" t="s">
        <v>190</v>
      </c>
      <c r="B36" t="s">
        <v>32</v>
      </c>
      <c r="C36" s="7">
        <v>4</v>
      </c>
      <c r="D36" s="7">
        <v>0</v>
      </c>
      <c r="E36" s="7">
        <v>4</v>
      </c>
      <c r="F36" s="7">
        <v>5</v>
      </c>
      <c r="G36" s="7">
        <v>0</v>
      </c>
      <c r="H36" s="7">
        <v>5</v>
      </c>
      <c r="I36" s="8">
        <v>0.11899999999999999</v>
      </c>
      <c r="J36" s="7">
        <f t="shared" si="0"/>
        <v>7.5630252100840334</v>
      </c>
      <c r="K36">
        <v>8.9999999999999993E-3</v>
      </c>
      <c r="L36" t="s">
        <v>17</v>
      </c>
      <c r="M36">
        <v>296</v>
      </c>
      <c r="N36" t="s">
        <v>1032</v>
      </c>
      <c r="O36" t="s">
        <v>1031</v>
      </c>
    </row>
    <row r="37" spans="1:15" x14ac:dyDescent="0.2">
      <c r="A37" t="s">
        <v>190</v>
      </c>
      <c r="B37" t="s">
        <v>32</v>
      </c>
      <c r="C37" s="7">
        <v>4</v>
      </c>
      <c r="D37" s="7">
        <v>1</v>
      </c>
      <c r="E37" s="7">
        <v>4</v>
      </c>
      <c r="F37" s="7">
        <v>5</v>
      </c>
      <c r="G37" s="7">
        <v>1</v>
      </c>
      <c r="H37" s="7">
        <v>5</v>
      </c>
      <c r="I37" s="8">
        <v>0.11899999999999999</v>
      </c>
      <c r="J37" s="7">
        <f t="shared" si="0"/>
        <v>5.882352941176471</v>
      </c>
      <c r="K37">
        <v>7.0000000000000001E-3</v>
      </c>
      <c r="L37" t="s">
        <v>17</v>
      </c>
      <c r="M37">
        <v>296</v>
      </c>
      <c r="N37" t="s">
        <v>1032</v>
      </c>
      <c r="O37" t="s">
        <v>1031</v>
      </c>
    </row>
    <row r="38" spans="1:15" x14ac:dyDescent="0.2">
      <c r="A38" t="s">
        <v>190</v>
      </c>
      <c r="B38" t="s">
        <v>32</v>
      </c>
      <c r="C38" s="7">
        <v>6</v>
      </c>
      <c r="D38" s="7">
        <v>1</v>
      </c>
      <c r="E38" s="7">
        <v>6</v>
      </c>
      <c r="F38" s="7">
        <v>6</v>
      </c>
      <c r="G38" s="7">
        <v>1</v>
      </c>
      <c r="H38" s="7">
        <v>5</v>
      </c>
      <c r="I38" s="8">
        <v>0.122</v>
      </c>
      <c r="J38" s="7">
        <f t="shared" si="0"/>
        <v>4.918032786885246</v>
      </c>
      <c r="K38">
        <v>6.0000000000000001E-3</v>
      </c>
      <c r="L38" t="s">
        <v>17</v>
      </c>
      <c r="M38">
        <v>296</v>
      </c>
      <c r="N38" t="s">
        <v>1032</v>
      </c>
      <c r="O38" t="s">
        <v>1031</v>
      </c>
    </row>
    <row r="39" spans="1:15" x14ac:dyDescent="0.2">
      <c r="A39" t="s">
        <v>190</v>
      </c>
      <c r="B39" t="s">
        <v>32</v>
      </c>
      <c r="C39" s="7">
        <v>3</v>
      </c>
      <c r="D39" s="7">
        <v>1</v>
      </c>
      <c r="E39" s="7">
        <v>2</v>
      </c>
      <c r="F39" s="7">
        <v>4</v>
      </c>
      <c r="G39" s="7">
        <v>1</v>
      </c>
      <c r="H39" s="7">
        <v>3</v>
      </c>
      <c r="I39" s="8">
        <v>0.17399999999999999</v>
      </c>
      <c r="J39" s="7">
        <f t="shared" si="0"/>
        <v>2.8735632183908049</v>
      </c>
      <c r="K39">
        <v>5.0000000000000001E-3</v>
      </c>
      <c r="L39" t="s">
        <v>17</v>
      </c>
      <c r="M39">
        <v>296</v>
      </c>
      <c r="N39" t="s">
        <v>1032</v>
      </c>
      <c r="O39" t="s">
        <v>1031</v>
      </c>
    </row>
    <row r="40" spans="1:15" x14ac:dyDescent="0.2">
      <c r="A40" t="s">
        <v>190</v>
      </c>
      <c r="B40" t="s">
        <v>32</v>
      </c>
      <c r="C40" s="7">
        <v>4</v>
      </c>
      <c r="D40" s="7">
        <v>2</v>
      </c>
      <c r="E40" s="7">
        <v>2</v>
      </c>
      <c r="F40" s="7">
        <v>5</v>
      </c>
      <c r="G40" s="7">
        <v>1</v>
      </c>
      <c r="H40" s="7">
        <v>5</v>
      </c>
      <c r="I40" s="8">
        <v>0.152</v>
      </c>
      <c r="J40" s="7">
        <f t="shared" si="0"/>
        <v>3.9473684210526319</v>
      </c>
      <c r="K40">
        <v>6.0000000000000001E-3</v>
      </c>
      <c r="L40" t="s">
        <v>17</v>
      </c>
      <c r="M40">
        <v>296</v>
      </c>
      <c r="N40" t="s">
        <v>1032</v>
      </c>
      <c r="O40" t="s">
        <v>1031</v>
      </c>
    </row>
    <row r="41" spans="1:15" x14ac:dyDescent="0.2">
      <c r="A41" t="s">
        <v>190</v>
      </c>
      <c r="B41" t="s">
        <v>32</v>
      </c>
      <c r="C41" s="7">
        <v>4</v>
      </c>
      <c r="D41" s="7">
        <v>4</v>
      </c>
      <c r="E41" s="7">
        <v>0</v>
      </c>
      <c r="F41" s="7">
        <v>5</v>
      </c>
      <c r="G41" s="7">
        <v>4</v>
      </c>
      <c r="H41" s="7">
        <v>1</v>
      </c>
      <c r="I41" s="8">
        <v>0.106</v>
      </c>
      <c r="J41" s="7">
        <f t="shared" si="0"/>
        <v>6.6037735849056602</v>
      </c>
      <c r="K41">
        <v>7.0000000000000001E-3</v>
      </c>
      <c r="L41" t="s">
        <v>17</v>
      </c>
      <c r="M41">
        <v>296</v>
      </c>
      <c r="N41" t="s">
        <v>1032</v>
      </c>
      <c r="O41" t="s">
        <v>1031</v>
      </c>
    </row>
    <row r="42" spans="1:15" x14ac:dyDescent="0.2">
      <c r="A42" t="s">
        <v>190</v>
      </c>
      <c r="B42" t="s">
        <v>32</v>
      </c>
      <c r="C42" s="7">
        <v>4</v>
      </c>
      <c r="D42" s="7">
        <v>4</v>
      </c>
      <c r="E42" s="7">
        <v>1</v>
      </c>
      <c r="F42" s="7">
        <v>5</v>
      </c>
      <c r="G42" s="7">
        <v>4</v>
      </c>
      <c r="H42" s="7">
        <v>2</v>
      </c>
      <c r="I42" s="8">
        <v>0.10199999999999999</v>
      </c>
      <c r="J42" s="7">
        <f t="shared" si="0"/>
        <v>4.9019607843137258</v>
      </c>
      <c r="K42">
        <v>5.0000000000000001E-3</v>
      </c>
      <c r="L42" t="s">
        <v>17</v>
      </c>
      <c r="M42">
        <v>296</v>
      </c>
      <c r="N42" t="s">
        <v>1032</v>
      </c>
      <c r="O42" t="s">
        <v>1031</v>
      </c>
    </row>
    <row r="43" spans="1:15" x14ac:dyDescent="0.2">
      <c r="A43" t="s">
        <v>190</v>
      </c>
      <c r="B43" t="s">
        <v>32</v>
      </c>
      <c r="C43" s="7">
        <v>3</v>
      </c>
      <c r="D43" s="7">
        <v>2</v>
      </c>
      <c r="E43" s="7">
        <v>1</v>
      </c>
      <c r="F43" s="7">
        <v>4</v>
      </c>
      <c r="G43" s="7">
        <v>2</v>
      </c>
      <c r="H43" s="7">
        <v>2</v>
      </c>
      <c r="I43" s="8">
        <v>0.158</v>
      </c>
      <c r="J43" s="7">
        <f t="shared" si="0"/>
        <v>3.79746835443038</v>
      </c>
      <c r="K43">
        <v>6.0000000000000001E-3</v>
      </c>
      <c r="L43" t="s">
        <v>17</v>
      </c>
      <c r="M43">
        <v>296</v>
      </c>
      <c r="N43" t="s">
        <v>1032</v>
      </c>
      <c r="O43" t="s">
        <v>1031</v>
      </c>
    </row>
    <row r="44" spans="1:15" x14ac:dyDescent="0.2">
      <c r="A44" t="s">
        <v>190</v>
      </c>
      <c r="B44" t="s">
        <v>32</v>
      </c>
      <c r="C44" s="7">
        <v>5</v>
      </c>
      <c r="D44" s="7">
        <v>0</v>
      </c>
      <c r="E44" s="7">
        <v>5</v>
      </c>
      <c r="F44" s="7">
        <v>5</v>
      </c>
      <c r="G44" s="7">
        <v>2</v>
      </c>
      <c r="H44" s="7">
        <v>4</v>
      </c>
      <c r="I44" s="8">
        <v>0.114</v>
      </c>
      <c r="J44" s="7">
        <f t="shared" si="0"/>
        <v>5.2631578947368416</v>
      </c>
      <c r="K44">
        <v>6.0000000000000001E-3</v>
      </c>
      <c r="L44" t="s">
        <v>17</v>
      </c>
      <c r="M44">
        <v>296</v>
      </c>
      <c r="N44" t="s">
        <v>1032</v>
      </c>
      <c r="O44" t="s">
        <v>1031</v>
      </c>
    </row>
    <row r="45" spans="1:15" x14ac:dyDescent="0.2">
      <c r="A45" t="s">
        <v>190</v>
      </c>
      <c r="B45" t="s">
        <v>32</v>
      </c>
      <c r="C45" s="7">
        <v>3</v>
      </c>
      <c r="D45" s="7">
        <v>3</v>
      </c>
      <c r="E45" s="7">
        <v>0</v>
      </c>
      <c r="F45" s="7">
        <v>4</v>
      </c>
      <c r="G45" s="7">
        <v>2</v>
      </c>
      <c r="H45" s="7">
        <v>3</v>
      </c>
      <c r="I45" s="8">
        <v>0.125</v>
      </c>
      <c r="J45" s="7">
        <f t="shared" si="0"/>
        <v>5.6000000000000005</v>
      </c>
      <c r="K45">
        <v>7.0000000000000001E-3</v>
      </c>
      <c r="L45" t="s">
        <v>17</v>
      </c>
      <c r="M45">
        <v>296</v>
      </c>
      <c r="N45" t="s">
        <v>1032</v>
      </c>
      <c r="O45" t="s">
        <v>1031</v>
      </c>
    </row>
    <row r="46" spans="1:15" x14ac:dyDescent="0.2">
      <c r="A46" t="s">
        <v>190</v>
      </c>
      <c r="B46" t="s">
        <v>32</v>
      </c>
      <c r="C46" s="7">
        <v>3</v>
      </c>
      <c r="D46" s="7">
        <v>2</v>
      </c>
      <c r="E46" s="7">
        <v>2</v>
      </c>
      <c r="F46" s="7">
        <v>4</v>
      </c>
      <c r="G46" s="7">
        <v>2</v>
      </c>
      <c r="H46" s="7">
        <v>3</v>
      </c>
      <c r="I46" s="8">
        <v>0.11700000000000001</v>
      </c>
      <c r="J46" s="7">
        <f t="shared" si="0"/>
        <v>6.8376068376068373</v>
      </c>
      <c r="K46">
        <v>8.0000000000000002E-3</v>
      </c>
      <c r="L46" t="s">
        <v>17</v>
      </c>
      <c r="M46">
        <v>296</v>
      </c>
      <c r="N46" t="s">
        <v>1032</v>
      </c>
      <c r="O46" t="s">
        <v>1031</v>
      </c>
    </row>
    <row r="47" spans="1:15" x14ac:dyDescent="0.2">
      <c r="A47" t="s">
        <v>190</v>
      </c>
      <c r="B47" t="s">
        <v>32</v>
      </c>
      <c r="C47" s="7">
        <v>3</v>
      </c>
      <c r="D47" s="7">
        <v>0</v>
      </c>
      <c r="E47" s="7">
        <v>3</v>
      </c>
      <c r="F47" s="7">
        <v>4</v>
      </c>
      <c r="G47" s="7">
        <v>0</v>
      </c>
      <c r="H47" s="7">
        <v>4</v>
      </c>
      <c r="I47" s="8">
        <v>0.153</v>
      </c>
      <c r="J47" s="7">
        <f t="shared" si="0"/>
        <v>5.2287581699346406</v>
      </c>
      <c r="K47">
        <v>8.0000000000000002E-3</v>
      </c>
      <c r="L47" t="s">
        <v>17</v>
      </c>
      <c r="M47">
        <v>296</v>
      </c>
      <c r="N47" t="s">
        <v>1032</v>
      </c>
      <c r="O47" t="s">
        <v>1031</v>
      </c>
    </row>
    <row r="48" spans="1:15" x14ac:dyDescent="0.2">
      <c r="A48" t="s">
        <v>190</v>
      </c>
      <c r="B48" t="s">
        <v>32</v>
      </c>
      <c r="C48" s="7">
        <v>3</v>
      </c>
      <c r="D48" s="7">
        <v>3</v>
      </c>
      <c r="E48" s="7">
        <v>0</v>
      </c>
      <c r="F48" s="7">
        <v>4</v>
      </c>
      <c r="G48" s="7">
        <v>3</v>
      </c>
      <c r="H48" s="7">
        <v>1</v>
      </c>
      <c r="I48" s="8">
        <v>0.123</v>
      </c>
      <c r="J48" s="7">
        <f t="shared" si="0"/>
        <v>5.691056910569106</v>
      </c>
      <c r="K48">
        <v>7.0000000000000001E-3</v>
      </c>
      <c r="L48" t="s">
        <v>17</v>
      </c>
      <c r="M48">
        <v>296</v>
      </c>
      <c r="N48" t="s">
        <v>1032</v>
      </c>
      <c r="O48" t="s">
        <v>1031</v>
      </c>
    </row>
    <row r="49" spans="1:15" x14ac:dyDescent="0.2">
      <c r="A49" t="s">
        <v>190</v>
      </c>
      <c r="B49" t="s">
        <v>32</v>
      </c>
      <c r="C49" s="7">
        <v>3</v>
      </c>
      <c r="D49" s="7">
        <v>3</v>
      </c>
      <c r="E49" s="7">
        <v>1</v>
      </c>
      <c r="F49" s="7">
        <v>4</v>
      </c>
      <c r="G49" s="7">
        <v>3</v>
      </c>
      <c r="H49" s="7">
        <v>2</v>
      </c>
      <c r="I49" s="8">
        <v>0.11</v>
      </c>
      <c r="J49" s="7">
        <f t="shared" si="0"/>
        <v>5.454545454545455</v>
      </c>
      <c r="K49">
        <v>6.0000000000000001E-3</v>
      </c>
      <c r="L49" t="s">
        <v>17</v>
      </c>
      <c r="M49">
        <v>296</v>
      </c>
      <c r="N49" t="s">
        <v>1032</v>
      </c>
      <c r="O49" t="s">
        <v>1031</v>
      </c>
    </row>
    <row r="50" spans="1:15" x14ac:dyDescent="0.2">
      <c r="A50" t="s">
        <v>190</v>
      </c>
      <c r="B50" t="s">
        <v>32</v>
      </c>
      <c r="C50" s="7">
        <v>3</v>
      </c>
      <c r="D50" s="7">
        <v>1</v>
      </c>
      <c r="E50" s="7">
        <v>3</v>
      </c>
      <c r="F50" s="7">
        <v>4</v>
      </c>
      <c r="G50" s="7">
        <v>1</v>
      </c>
      <c r="H50" s="7">
        <v>4</v>
      </c>
      <c r="I50" s="8">
        <v>0.127</v>
      </c>
      <c r="J50" s="7">
        <f t="shared" si="0"/>
        <v>5.5118110236220472</v>
      </c>
      <c r="K50">
        <v>7.0000000000000001E-3</v>
      </c>
      <c r="L50" t="s">
        <v>17</v>
      </c>
      <c r="M50">
        <v>296</v>
      </c>
      <c r="N50" t="s">
        <v>1032</v>
      </c>
      <c r="O50" t="s">
        <v>1031</v>
      </c>
    </row>
    <row r="51" spans="1:15" x14ac:dyDescent="0.2">
      <c r="A51" t="s">
        <v>190</v>
      </c>
      <c r="B51" t="s">
        <v>32</v>
      </c>
      <c r="C51" s="7">
        <v>4</v>
      </c>
      <c r="D51" s="7">
        <v>0</v>
      </c>
      <c r="E51" s="7">
        <v>4</v>
      </c>
      <c r="F51" s="7">
        <v>4</v>
      </c>
      <c r="G51" s="7">
        <v>2</v>
      </c>
      <c r="H51" s="7">
        <v>3</v>
      </c>
      <c r="I51" s="8">
        <v>0.13</v>
      </c>
      <c r="J51" s="7">
        <f t="shared" si="0"/>
        <v>6.1538461538461533</v>
      </c>
      <c r="K51">
        <v>8.0000000000000002E-3</v>
      </c>
      <c r="L51" t="s">
        <v>17</v>
      </c>
      <c r="M51">
        <v>296</v>
      </c>
      <c r="N51" t="s">
        <v>1032</v>
      </c>
      <c r="O51" t="s">
        <v>1031</v>
      </c>
    </row>
    <row r="52" spans="1:15" x14ac:dyDescent="0.2">
      <c r="A52" t="s">
        <v>190</v>
      </c>
      <c r="B52" t="s">
        <v>32</v>
      </c>
      <c r="C52" s="7">
        <v>2</v>
      </c>
      <c r="D52" s="7">
        <v>1</v>
      </c>
      <c r="E52" s="7">
        <v>1</v>
      </c>
      <c r="F52" s="7">
        <v>3</v>
      </c>
      <c r="G52" s="7">
        <v>1</v>
      </c>
      <c r="H52" s="7">
        <v>2</v>
      </c>
      <c r="I52" s="8">
        <v>0.191</v>
      </c>
      <c r="J52" s="7">
        <f t="shared" si="0"/>
        <v>4.7120418848167533</v>
      </c>
      <c r="K52">
        <v>8.9999999999999993E-3</v>
      </c>
      <c r="L52" t="s">
        <v>17</v>
      </c>
      <c r="M52">
        <v>296</v>
      </c>
      <c r="N52" t="s">
        <v>1032</v>
      </c>
      <c r="O52" t="s">
        <v>1031</v>
      </c>
    </row>
    <row r="53" spans="1:15" x14ac:dyDescent="0.2">
      <c r="A53" t="s">
        <v>190</v>
      </c>
      <c r="B53" t="s">
        <v>32</v>
      </c>
      <c r="C53" s="7">
        <v>7</v>
      </c>
      <c r="D53" s="7">
        <v>2</v>
      </c>
      <c r="E53" s="7">
        <v>6</v>
      </c>
      <c r="F53" s="7">
        <v>7</v>
      </c>
      <c r="G53" s="7">
        <v>2</v>
      </c>
      <c r="H53" s="7">
        <v>5</v>
      </c>
      <c r="I53" s="8">
        <v>0.115</v>
      </c>
      <c r="J53" s="7">
        <f t="shared" si="0"/>
        <v>6.9565217391304346</v>
      </c>
      <c r="K53">
        <v>8.0000000000000002E-3</v>
      </c>
      <c r="L53" t="s">
        <v>17</v>
      </c>
      <c r="M53">
        <v>296</v>
      </c>
      <c r="N53" t="s">
        <v>1032</v>
      </c>
      <c r="O53" t="s">
        <v>1031</v>
      </c>
    </row>
    <row r="54" spans="1:15" x14ac:dyDescent="0.2">
      <c r="A54" t="s">
        <v>190</v>
      </c>
      <c r="B54" t="s">
        <v>32</v>
      </c>
      <c r="C54" s="7">
        <v>3</v>
      </c>
      <c r="D54" s="7">
        <v>0</v>
      </c>
      <c r="E54" s="7">
        <v>3</v>
      </c>
      <c r="F54" s="7">
        <v>3</v>
      </c>
      <c r="G54" s="7">
        <v>2</v>
      </c>
      <c r="H54" s="7">
        <v>2</v>
      </c>
      <c r="I54" s="8">
        <v>0.16200000000000001</v>
      </c>
      <c r="J54" s="7">
        <f t="shared" si="0"/>
        <v>4.3209876543209873</v>
      </c>
      <c r="K54">
        <v>7.0000000000000001E-3</v>
      </c>
      <c r="L54" t="s">
        <v>17</v>
      </c>
      <c r="M54">
        <v>296</v>
      </c>
      <c r="N54" t="s">
        <v>1032</v>
      </c>
      <c r="O54" t="s">
        <v>1031</v>
      </c>
    </row>
    <row r="55" spans="1:15" x14ac:dyDescent="0.2">
      <c r="A55" t="s">
        <v>190</v>
      </c>
      <c r="B55" t="s">
        <v>32</v>
      </c>
      <c r="C55" s="7">
        <v>2</v>
      </c>
      <c r="D55" s="7">
        <v>2</v>
      </c>
      <c r="E55" s="7">
        <v>0</v>
      </c>
      <c r="F55" s="7">
        <v>3</v>
      </c>
      <c r="G55" s="7">
        <v>2</v>
      </c>
      <c r="H55" s="7">
        <v>1</v>
      </c>
      <c r="I55" s="8">
        <v>0.159</v>
      </c>
      <c r="J55" s="7">
        <f t="shared" si="0"/>
        <v>5.0314465408805038</v>
      </c>
      <c r="K55">
        <v>8.0000000000000002E-3</v>
      </c>
      <c r="L55" t="s">
        <v>17</v>
      </c>
      <c r="M55">
        <v>296</v>
      </c>
      <c r="N55" t="s">
        <v>1032</v>
      </c>
      <c r="O55" t="s">
        <v>1031</v>
      </c>
    </row>
    <row r="56" spans="1:15" x14ac:dyDescent="0.2">
      <c r="A56" t="s">
        <v>190</v>
      </c>
      <c r="B56" t="s">
        <v>32</v>
      </c>
      <c r="C56" s="7">
        <v>2</v>
      </c>
      <c r="D56" s="7">
        <v>0</v>
      </c>
      <c r="E56" s="7">
        <v>2</v>
      </c>
      <c r="F56" s="7">
        <v>3</v>
      </c>
      <c r="G56" s="7">
        <v>0</v>
      </c>
      <c r="H56" s="7">
        <v>3</v>
      </c>
      <c r="I56" s="8">
        <v>0.189</v>
      </c>
      <c r="J56" s="7">
        <f t="shared" si="0"/>
        <v>3.7037037037037033</v>
      </c>
      <c r="K56">
        <v>7.0000000000000001E-3</v>
      </c>
      <c r="L56" t="s">
        <v>17</v>
      </c>
      <c r="M56">
        <v>296</v>
      </c>
      <c r="N56" t="s">
        <v>1032</v>
      </c>
      <c r="O56" t="s">
        <v>1031</v>
      </c>
    </row>
    <row r="57" spans="1:15" x14ac:dyDescent="0.2">
      <c r="A57" t="s">
        <v>190</v>
      </c>
      <c r="B57" t="s">
        <v>32</v>
      </c>
      <c r="C57" s="7">
        <v>2</v>
      </c>
      <c r="D57" s="7">
        <v>2</v>
      </c>
      <c r="E57" s="7">
        <v>1</v>
      </c>
      <c r="F57" s="7">
        <v>3</v>
      </c>
      <c r="G57" s="7">
        <v>2</v>
      </c>
      <c r="H57" s="7">
        <v>2</v>
      </c>
      <c r="I57" s="8">
        <v>0.13200000000000001</v>
      </c>
      <c r="J57" s="7">
        <f t="shared" si="0"/>
        <v>4.5454545454545459</v>
      </c>
      <c r="K57">
        <v>6.0000000000000001E-3</v>
      </c>
      <c r="L57" t="s">
        <v>17</v>
      </c>
      <c r="M57">
        <v>296</v>
      </c>
      <c r="N57" t="s">
        <v>1032</v>
      </c>
      <c r="O57" t="s">
        <v>1031</v>
      </c>
    </row>
    <row r="58" spans="1:15" x14ac:dyDescent="0.2">
      <c r="A58" t="s">
        <v>190</v>
      </c>
      <c r="B58" t="s">
        <v>32</v>
      </c>
      <c r="C58" s="7">
        <v>2</v>
      </c>
      <c r="D58" s="7">
        <v>1</v>
      </c>
      <c r="E58" s="7">
        <v>2</v>
      </c>
      <c r="F58" s="7">
        <v>3</v>
      </c>
      <c r="G58" s="7">
        <v>1</v>
      </c>
      <c r="H58" s="7">
        <v>3</v>
      </c>
      <c r="I58" s="8">
        <v>0.14799999999999999</v>
      </c>
      <c r="J58" s="7">
        <f t="shared" si="0"/>
        <v>4.7297297297297298</v>
      </c>
      <c r="K58">
        <v>7.0000000000000001E-3</v>
      </c>
      <c r="L58" t="s">
        <v>17</v>
      </c>
      <c r="M58">
        <v>296</v>
      </c>
      <c r="N58" t="s">
        <v>1032</v>
      </c>
      <c r="O58" t="s">
        <v>1031</v>
      </c>
    </row>
    <row r="59" spans="1:15" x14ac:dyDescent="0.2">
      <c r="A59" t="s">
        <v>190</v>
      </c>
      <c r="B59" t="s">
        <v>32</v>
      </c>
      <c r="C59" s="7">
        <v>3</v>
      </c>
      <c r="D59" s="7">
        <v>1</v>
      </c>
      <c r="E59" s="7">
        <v>2</v>
      </c>
      <c r="F59" s="7">
        <v>3</v>
      </c>
      <c r="G59" s="7">
        <v>0</v>
      </c>
      <c r="H59" s="7">
        <v>3</v>
      </c>
      <c r="I59" s="8">
        <v>0.20100000000000001</v>
      </c>
      <c r="J59" s="7">
        <f t="shared" si="0"/>
        <v>3.4825870646766171</v>
      </c>
      <c r="K59">
        <v>7.0000000000000001E-3</v>
      </c>
      <c r="L59" t="s">
        <v>17</v>
      </c>
      <c r="M59">
        <v>296</v>
      </c>
      <c r="N59" t="s">
        <v>1032</v>
      </c>
      <c r="O59" t="s">
        <v>1031</v>
      </c>
    </row>
    <row r="60" spans="1:15" x14ac:dyDescent="0.2">
      <c r="A60" t="s">
        <v>190</v>
      </c>
      <c r="B60" t="s">
        <v>32</v>
      </c>
      <c r="C60" s="7">
        <v>4</v>
      </c>
      <c r="D60" s="7">
        <v>1</v>
      </c>
      <c r="E60" s="7">
        <v>4</v>
      </c>
      <c r="F60" s="7">
        <v>4</v>
      </c>
      <c r="G60" s="7">
        <v>1</v>
      </c>
      <c r="H60" s="7">
        <v>3</v>
      </c>
      <c r="I60" s="8">
        <v>0.16600000000000001</v>
      </c>
      <c r="J60" s="7">
        <f t="shared" si="0"/>
        <v>4.8192771084337345</v>
      </c>
      <c r="K60">
        <v>8.0000000000000002E-3</v>
      </c>
      <c r="L60" t="s">
        <v>17</v>
      </c>
      <c r="M60">
        <v>296</v>
      </c>
      <c r="N60" t="s">
        <v>1032</v>
      </c>
      <c r="O60" t="s">
        <v>1031</v>
      </c>
    </row>
    <row r="61" spans="1:15" x14ac:dyDescent="0.2">
      <c r="A61" t="s">
        <v>190</v>
      </c>
      <c r="B61" t="s">
        <v>32</v>
      </c>
      <c r="C61" s="7">
        <v>1</v>
      </c>
      <c r="D61" s="7">
        <v>1</v>
      </c>
      <c r="E61" s="7">
        <v>0</v>
      </c>
      <c r="F61" s="7">
        <v>2</v>
      </c>
      <c r="G61" s="7">
        <v>1</v>
      </c>
      <c r="H61" s="7">
        <v>1</v>
      </c>
      <c r="I61" s="8">
        <v>0.193</v>
      </c>
      <c r="J61" s="7">
        <f t="shared" si="0"/>
        <v>4.6632124352331594</v>
      </c>
      <c r="K61">
        <v>8.9999999999999993E-3</v>
      </c>
      <c r="L61" t="s">
        <v>17</v>
      </c>
      <c r="M61">
        <v>296</v>
      </c>
      <c r="N61" t="s">
        <v>1032</v>
      </c>
      <c r="O61" t="s">
        <v>1031</v>
      </c>
    </row>
    <row r="62" spans="1:15" x14ac:dyDescent="0.2">
      <c r="A62" t="s">
        <v>190</v>
      </c>
      <c r="B62" t="s">
        <v>32</v>
      </c>
      <c r="C62" s="7">
        <v>4</v>
      </c>
      <c r="D62" s="7">
        <v>2</v>
      </c>
      <c r="E62" s="7">
        <v>2</v>
      </c>
      <c r="F62" s="7">
        <v>4</v>
      </c>
      <c r="G62" s="7">
        <v>1</v>
      </c>
      <c r="H62" s="7">
        <v>3</v>
      </c>
      <c r="I62" s="8">
        <v>0.17100000000000001</v>
      </c>
      <c r="J62" s="7">
        <f t="shared" si="0"/>
        <v>4.6783625730994149</v>
      </c>
      <c r="K62">
        <v>8.0000000000000002E-3</v>
      </c>
      <c r="L62" t="s">
        <v>17</v>
      </c>
      <c r="M62">
        <v>296</v>
      </c>
      <c r="N62" t="s">
        <v>1032</v>
      </c>
      <c r="O62" t="s">
        <v>1031</v>
      </c>
    </row>
    <row r="63" spans="1:15" x14ac:dyDescent="0.2">
      <c r="A63" t="s">
        <v>190</v>
      </c>
      <c r="B63" t="s">
        <v>32</v>
      </c>
      <c r="C63" s="7">
        <v>6</v>
      </c>
      <c r="D63" s="7">
        <v>2</v>
      </c>
      <c r="E63" s="7">
        <v>5</v>
      </c>
      <c r="F63" s="7">
        <v>6</v>
      </c>
      <c r="G63" s="7">
        <v>2</v>
      </c>
      <c r="H63" s="7">
        <v>4</v>
      </c>
      <c r="I63" s="8">
        <v>0.13900000000000001</v>
      </c>
      <c r="J63" s="7">
        <f t="shared" si="0"/>
        <v>7.9136690647482011</v>
      </c>
      <c r="K63">
        <v>1.0999999999999999E-2</v>
      </c>
      <c r="L63" t="s">
        <v>17</v>
      </c>
      <c r="M63">
        <v>296</v>
      </c>
      <c r="N63" t="s">
        <v>1032</v>
      </c>
      <c r="O63" t="s">
        <v>1031</v>
      </c>
    </row>
    <row r="64" spans="1:15" x14ac:dyDescent="0.2">
      <c r="A64" t="s">
        <v>190</v>
      </c>
      <c r="B64" t="s">
        <v>32</v>
      </c>
      <c r="C64" s="7">
        <v>1</v>
      </c>
      <c r="D64" s="7">
        <v>0</v>
      </c>
      <c r="E64" s="7">
        <v>1</v>
      </c>
      <c r="F64" s="7">
        <v>2</v>
      </c>
      <c r="G64" s="7">
        <v>0</v>
      </c>
      <c r="H64" s="7">
        <v>2</v>
      </c>
      <c r="I64" s="8">
        <v>0.20200000000000001</v>
      </c>
      <c r="J64" s="7">
        <f t="shared" si="0"/>
        <v>5.9405940594059405</v>
      </c>
      <c r="K64">
        <v>1.2E-2</v>
      </c>
      <c r="L64" t="s">
        <v>17</v>
      </c>
      <c r="M64">
        <v>296</v>
      </c>
      <c r="N64" t="s">
        <v>1032</v>
      </c>
      <c r="O64" t="s">
        <v>1031</v>
      </c>
    </row>
    <row r="65" spans="1:15" x14ac:dyDescent="0.2">
      <c r="A65" t="s">
        <v>190</v>
      </c>
      <c r="B65" t="s">
        <v>32</v>
      </c>
      <c r="C65" s="7">
        <v>1</v>
      </c>
      <c r="D65" s="7">
        <v>1</v>
      </c>
      <c r="E65" s="7">
        <v>1</v>
      </c>
      <c r="F65" s="7">
        <v>2</v>
      </c>
      <c r="G65" s="7">
        <v>1</v>
      </c>
      <c r="H65" s="7">
        <v>2</v>
      </c>
      <c r="I65" s="8">
        <v>0.184</v>
      </c>
      <c r="J65" s="7">
        <f t="shared" si="0"/>
        <v>3.2608695652173911</v>
      </c>
      <c r="K65">
        <v>6.0000000000000001E-3</v>
      </c>
      <c r="L65" t="s">
        <v>17</v>
      </c>
      <c r="M65">
        <v>296</v>
      </c>
      <c r="N65" t="s">
        <v>1032</v>
      </c>
      <c r="O65" t="s">
        <v>1031</v>
      </c>
    </row>
    <row r="66" spans="1:15" x14ac:dyDescent="0.2">
      <c r="A66" t="s">
        <v>190</v>
      </c>
      <c r="B66" t="s">
        <v>32</v>
      </c>
      <c r="C66" s="7">
        <v>2</v>
      </c>
      <c r="D66" s="7">
        <v>1</v>
      </c>
      <c r="E66" s="7">
        <v>2</v>
      </c>
      <c r="F66" s="7">
        <v>1</v>
      </c>
      <c r="G66" s="7">
        <v>0</v>
      </c>
      <c r="H66" s="7">
        <v>1</v>
      </c>
      <c r="I66" s="8">
        <v>0.18099999999999999</v>
      </c>
      <c r="J66" s="7">
        <f t="shared" si="0"/>
        <v>3.8674033149171274</v>
      </c>
      <c r="K66">
        <v>7.0000000000000001E-3</v>
      </c>
      <c r="L66" t="s">
        <v>17</v>
      </c>
      <c r="M66">
        <v>296</v>
      </c>
      <c r="N66" t="s">
        <v>1032</v>
      </c>
      <c r="O66" t="s">
        <v>1031</v>
      </c>
    </row>
    <row r="67" spans="1:15" x14ac:dyDescent="0.2">
      <c r="A67" t="s">
        <v>190</v>
      </c>
      <c r="B67" t="s">
        <v>32</v>
      </c>
      <c r="C67" s="7">
        <v>3</v>
      </c>
      <c r="D67" s="7">
        <v>1</v>
      </c>
      <c r="E67" s="7">
        <v>3</v>
      </c>
      <c r="F67" s="7">
        <v>3</v>
      </c>
      <c r="G67" s="7">
        <v>1</v>
      </c>
      <c r="H67" s="7">
        <v>2</v>
      </c>
      <c r="I67" s="8">
        <v>0.17299999999999999</v>
      </c>
      <c r="J67" s="7">
        <f t="shared" ref="J67:J130" si="1">K67/I67*100</f>
        <v>4.6242774566473992</v>
      </c>
      <c r="K67">
        <v>8.0000000000000002E-3</v>
      </c>
      <c r="L67" t="s">
        <v>17</v>
      </c>
      <c r="M67">
        <v>296</v>
      </c>
      <c r="N67" t="s">
        <v>1032</v>
      </c>
      <c r="O67" t="s">
        <v>1031</v>
      </c>
    </row>
    <row r="68" spans="1:15" x14ac:dyDescent="0.2">
      <c r="A68" t="s">
        <v>190</v>
      </c>
      <c r="B68" t="s">
        <v>32</v>
      </c>
      <c r="C68" s="7">
        <v>5</v>
      </c>
      <c r="D68" s="7">
        <v>2</v>
      </c>
      <c r="E68" s="7">
        <v>4</v>
      </c>
      <c r="F68" s="7">
        <v>5</v>
      </c>
      <c r="G68" s="7">
        <v>2</v>
      </c>
      <c r="H68" s="7">
        <v>3</v>
      </c>
      <c r="I68" s="8">
        <v>0.152</v>
      </c>
      <c r="J68" s="7">
        <f t="shared" si="1"/>
        <v>5.9210526315789469</v>
      </c>
      <c r="K68">
        <v>8.9999999999999993E-3</v>
      </c>
      <c r="L68" t="s">
        <v>17</v>
      </c>
      <c r="M68">
        <v>296</v>
      </c>
      <c r="N68" t="s">
        <v>1032</v>
      </c>
      <c r="O68" t="s">
        <v>1031</v>
      </c>
    </row>
    <row r="69" spans="1:15" x14ac:dyDescent="0.2">
      <c r="A69" t="s">
        <v>190</v>
      </c>
      <c r="B69" t="s">
        <v>32</v>
      </c>
      <c r="C69" s="7">
        <v>0</v>
      </c>
      <c r="D69" s="7">
        <v>0</v>
      </c>
      <c r="E69" s="7">
        <v>0</v>
      </c>
      <c r="F69" s="7">
        <v>1</v>
      </c>
      <c r="G69" s="7">
        <v>0</v>
      </c>
      <c r="H69" s="7">
        <v>1</v>
      </c>
      <c r="I69" s="8">
        <v>0.214</v>
      </c>
      <c r="J69" s="7">
        <f t="shared" si="1"/>
        <v>3.2710280373831777</v>
      </c>
      <c r="K69">
        <v>7.0000000000000001E-3</v>
      </c>
      <c r="L69" t="s">
        <v>17</v>
      </c>
      <c r="M69">
        <v>296</v>
      </c>
      <c r="N69" t="s">
        <v>1032</v>
      </c>
      <c r="O69" t="s">
        <v>1031</v>
      </c>
    </row>
    <row r="70" spans="1:15" x14ac:dyDescent="0.2">
      <c r="A70" t="s">
        <v>190</v>
      </c>
      <c r="B70" t="s">
        <v>32</v>
      </c>
      <c r="C70" s="7">
        <v>7</v>
      </c>
      <c r="D70" s="7">
        <v>3</v>
      </c>
      <c r="E70" s="7">
        <v>5</v>
      </c>
      <c r="F70" s="7">
        <v>7</v>
      </c>
      <c r="G70" s="7">
        <v>3</v>
      </c>
      <c r="H70" s="7">
        <v>4</v>
      </c>
      <c r="I70" s="8">
        <v>0.14599999999999999</v>
      </c>
      <c r="J70" s="7">
        <f t="shared" si="1"/>
        <v>4.794520547945206</v>
      </c>
      <c r="K70">
        <v>7.0000000000000001E-3</v>
      </c>
      <c r="L70" t="s">
        <v>17</v>
      </c>
      <c r="M70">
        <v>296</v>
      </c>
      <c r="N70" t="s">
        <v>1032</v>
      </c>
      <c r="O70" t="s">
        <v>1031</v>
      </c>
    </row>
    <row r="71" spans="1:15" x14ac:dyDescent="0.2">
      <c r="A71" t="s">
        <v>190</v>
      </c>
      <c r="B71" t="s">
        <v>32</v>
      </c>
      <c r="C71" s="7">
        <v>5</v>
      </c>
      <c r="D71" s="7">
        <v>3</v>
      </c>
      <c r="E71" s="7">
        <v>2</v>
      </c>
      <c r="F71" s="7">
        <v>5</v>
      </c>
      <c r="G71" s="7">
        <v>2</v>
      </c>
      <c r="H71" s="7">
        <v>3</v>
      </c>
      <c r="I71" s="8">
        <v>0.161</v>
      </c>
      <c r="J71" s="7">
        <f t="shared" si="1"/>
        <v>4.9689440993788816</v>
      </c>
      <c r="K71">
        <v>8.0000000000000002E-3</v>
      </c>
      <c r="L71" t="s">
        <v>17</v>
      </c>
      <c r="M71">
        <v>296</v>
      </c>
      <c r="N71" t="s">
        <v>1032</v>
      </c>
      <c r="O71" t="s">
        <v>1031</v>
      </c>
    </row>
    <row r="72" spans="1:15" x14ac:dyDescent="0.2">
      <c r="A72" t="s">
        <v>190</v>
      </c>
      <c r="B72" t="s">
        <v>32</v>
      </c>
      <c r="C72" s="7">
        <v>2</v>
      </c>
      <c r="D72" s="7">
        <v>1</v>
      </c>
      <c r="E72" s="7">
        <v>2</v>
      </c>
      <c r="F72" s="7">
        <v>2</v>
      </c>
      <c r="G72" s="7">
        <v>1</v>
      </c>
      <c r="H72" s="7">
        <v>1</v>
      </c>
      <c r="I72" s="8">
        <v>0.19400000000000001</v>
      </c>
      <c r="J72" s="7">
        <f t="shared" si="1"/>
        <v>4.6391752577319583</v>
      </c>
      <c r="K72">
        <v>8.9999999999999993E-3</v>
      </c>
      <c r="L72" t="s">
        <v>17</v>
      </c>
      <c r="M72">
        <v>296</v>
      </c>
      <c r="N72" t="s">
        <v>1032</v>
      </c>
      <c r="O72" t="s">
        <v>1031</v>
      </c>
    </row>
    <row r="73" spans="1:15" x14ac:dyDescent="0.2">
      <c r="A73" t="s">
        <v>190</v>
      </c>
      <c r="B73" t="s">
        <v>32</v>
      </c>
      <c r="C73" s="7">
        <v>4</v>
      </c>
      <c r="D73" s="7">
        <v>2</v>
      </c>
      <c r="E73" s="7">
        <v>3</v>
      </c>
      <c r="F73" s="7">
        <v>4</v>
      </c>
      <c r="G73" s="7">
        <v>2</v>
      </c>
      <c r="H73" s="7">
        <v>2</v>
      </c>
      <c r="I73" s="8">
        <v>0.16600000000000001</v>
      </c>
      <c r="J73" s="7">
        <f t="shared" si="1"/>
        <v>4.2168674698795181</v>
      </c>
      <c r="K73">
        <v>7.0000000000000001E-3</v>
      </c>
      <c r="L73" t="s">
        <v>17</v>
      </c>
      <c r="M73">
        <v>296</v>
      </c>
      <c r="N73" t="s">
        <v>1032</v>
      </c>
      <c r="O73" t="s">
        <v>1031</v>
      </c>
    </row>
    <row r="74" spans="1:15" x14ac:dyDescent="0.2">
      <c r="A74" t="s">
        <v>190</v>
      </c>
      <c r="B74" t="s">
        <v>32</v>
      </c>
      <c r="C74" s="7">
        <v>4</v>
      </c>
      <c r="D74" s="7">
        <v>1</v>
      </c>
      <c r="E74" s="7">
        <v>4</v>
      </c>
      <c r="F74" s="7">
        <v>3</v>
      </c>
      <c r="G74" s="7">
        <v>0</v>
      </c>
      <c r="H74" s="7">
        <v>3</v>
      </c>
      <c r="I74" s="8">
        <v>0.161</v>
      </c>
      <c r="J74" s="7">
        <f t="shared" si="1"/>
        <v>3.7267080745341614</v>
      </c>
      <c r="K74">
        <v>6.0000000000000001E-3</v>
      </c>
      <c r="L74" t="s">
        <v>17</v>
      </c>
      <c r="M74">
        <v>296</v>
      </c>
      <c r="N74" t="s">
        <v>1032</v>
      </c>
      <c r="O74" t="s">
        <v>1031</v>
      </c>
    </row>
    <row r="75" spans="1:15" x14ac:dyDescent="0.2">
      <c r="A75" t="s">
        <v>190</v>
      </c>
      <c r="B75" t="s">
        <v>32</v>
      </c>
      <c r="C75" s="7">
        <v>4</v>
      </c>
      <c r="D75" s="7">
        <v>3</v>
      </c>
      <c r="E75" s="7">
        <v>1</v>
      </c>
      <c r="F75" s="7">
        <v>4</v>
      </c>
      <c r="G75" s="7">
        <v>2</v>
      </c>
      <c r="H75" s="7">
        <v>2</v>
      </c>
      <c r="I75" s="8">
        <v>0.16600000000000001</v>
      </c>
      <c r="J75" s="7">
        <f t="shared" si="1"/>
        <v>4.2168674698795181</v>
      </c>
      <c r="K75">
        <v>7.0000000000000001E-3</v>
      </c>
      <c r="L75" t="s">
        <v>17</v>
      </c>
      <c r="M75">
        <v>296</v>
      </c>
      <c r="N75" t="s">
        <v>1032</v>
      </c>
      <c r="O75" t="s">
        <v>1031</v>
      </c>
    </row>
    <row r="76" spans="1:15" x14ac:dyDescent="0.2">
      <c r="A76" t="s">
        <v>190</v>
      </c>
      <c r="B76" t="s">
        <v>32</v>
      </c>
      <c r="C76" s="7">
        <v>3</v>
      </c>
      <c r="D76" s="7">
        <v>3</v>
      </c>
      <c r="E76" s="7">
        <v>0</v>
      </c>
      <c r="F76" s="7">
        <v>3</v>
      </c>
      <c r="G76" s="7">
        <v>2</v>
      </c>
      <c r="H76" s="7">
        <v>1</v>
      </c>
      <c r="I76" s="8">
        <v>0.153</v>
      </c>
      <c r="J76" s="7">
        <f t="shared" si="1"/>
        <v>5.2287581699346406</v>
      </c>
      <c r="K76">
        <v>8.0000000000000002E-3</v>
      </c>
      <c r="L76" t="s">
        <v>17</v>
      </c>
      <c r="M76">
        <v>296</v>
      </c>
      <c r="N76" t="s">
        <v>1032</v>
      </c>
      <c r="O76" t="s">
        <v>1031</v>
      </c>
    </row>
    <row r="77" spans="1:15" x14ac:dyDescent="0.2">
      <c r="A77" t="s">
        <v>190</v>
      </c>
      <c r="B77" t="s">
        <v>32</v>
      </c>
      <c r="C77" s="7">
        <v>1</v>
      </c>
      <c r="D77" s="7">
        <v>1</v>
      </c>
      <c r="E77" s="7">
        <v>1</v>
      </c>
      <c r="F77" s="7">
        <v>1</v>
      </c>
      <c r="G77" s="7">
        <v>1</v>
      </c>
      <c r="H77" s="7">
        <v>0</v>
      </c>
      <c r="I77" s="8">
        <v>0.20799999999999999</v>
      </c>
      <c r="J77" s="7">
        <f t="shared" si="1"/>
        <v>4.3269230769230766</v>
      </c>
      <c r="K77">
        <v>8.9999999999999993E-3</v>
      </c>
      <c r="L77" t="s">
        <v>17</v>
      </c>
      <c r="M77">
        <v>296</v>
      </c>
      <c r="N77" t="s">
        <v>1032</v>
      </c>
      <c r="O77" t="s">
        <v>1031</v>
      </c>
    </row>
    <row r="78" spans="1:15" x14ac:dyDescent="0.2">
      <c r="A78" t="s">
        <v>190</v>
      </c>
      <c r="B78" t="s">
        <v>32</v>
      </c>
      <c r="C78" s="7">
        <v>5</v>
      </c>
      <c r="D78" s="7">
        <v>0</v>
      </c>
      <c r="E78" s="7">
        <v>5</v>
      </c>
      <c r="F78" s="7">
        <v>4</v>
      </c>
      <c r="G78" s="7">
        <v>1</v>
      </c>
      <c r="H78" s="7">
        <v>4</v>
      </c>
      <c r="I78" s="8">
        <v>0.11</v>
      </c>
      <c r="J78" s="7">
        <f t="shared" si="1"/>
        <v>7.2727272727272725</v>
      </c>
      <c r="K78">
        <v>8.0000000000000002E-3</v>
      </c>
      <c r="L78" t="s">
        <v>17</v>
      </c>
      <c r="M78">
        <v>296</v>
      </c>
      <c r="N78" t="s">
        <v>1032</v>
      </c>
      <c r="O78" t="s">
        <v>1031</v>
      </c>
    </row>
    <row r="79" spans="1:15" x14ac:dyDescent="0.2">
      <c r="A79" t="s">
        <v>190</v>
      </c>
      <c r="B79" t="s">
        <v>32</v>
      </c>
      <c r="C79" s="7">
        <v>3</v>
      </c>
      <c r="D79" s="7">
        <v>2</v>
      </c>
      <c r="E79" s="7">
        <v>2</v>
      </c>
      <c r="F79" s="7">
        <v>3</v>
      </c>
      <c r="G79" s="7">
        <v>2</v>
      </c>
      <c r="H79" s="7">
        <v>1</v>
      </c>
      <c r="I79" s="8">
        <v>0.161</v>
      </c>
      <c r="J79" s="7">
        <f t="shared" si="1"/>
        <v>4.3478260869565215</v>
      </c>
      <c r="K79">
        <v>7.0000000000000001E-3</v>
      </c>
      <c r="L79" t="s">
        <v>17</v>
      </c>
      <c r="M79">
        <v>296</v>
      </c>
      <c r="N79" t="s">
        <v>1032</v>
      </c>
      <c r="O79" t="s">
        <v>1031</v>
      </c>
    </row>
    <row r="80" spans="1:15" x14ac:dyDescent="0.2">
      <c r="A80" t="s">
        <v>190</v>
      </c>
      <c r="B80" t="s">
        <v>32</v>
      </c>
      <c r="C80" s="7">
        <v>2</v>
      </c>
      <c r="D80" s="7">
        <v>2</v>
      </c>
      <c r="E80" s="7">
        <v>1</v>
      </c>
      <c r="F80" s="7">
        <v>2</v>
      </c>
      <c r="G80" s="7">
        <v>2</v>
      </c>
      <c r="H80" s="7">
        <v>0</v>
      </c>
      <c r="I80" s="8">
        <v>0.154</v>
      </c>
      <c r="J80" s="7">
        <f t="shared" si="1"/>
        <v>3.8961038961038961</v>
      </c>
      <c r="K80">
        <v>6.0000000000000001E-3</v>
      </c>
      <c r="L80" t="s">
        <v>17</v>
      </c>
      <c r="M80">
        <v>296</v>
      </c>
      <c r="N80" t="s">
        <v>1032</v>
      </c>
      <c r="O80" t="s">
        <v>1031</v>
      </c>
    </row>
    <row r="81" spans="1:15" x14ac:dyDescent="0.2">
      <c r="A81" t="s">
        <v>190</v>
      </c>
      <c r="B81" t="s">
        <v>32</v>
      </c>
      <c r="C81" s="7">
        <v>5</v>
      </c>
      <c r="D81" s="7">
        <v>3</v>
      </c>
      <c r="E81" s="7">
        <v>3</v>
      </c>
      <c r="F81" s="7">
        <v>5</v>
      </c>
      <c r="G81" s="7">
        <v>3</v>
      </c>
      <c r="H81" s="7">
        <v>2</v>
      </c>
      <c r="I81" s="8">
        <v>0.124</v>
      </c>
      <c r="J81" s="7">
        <f t="shared" si="1"/>
        <v>4.032258064516129</v>
      </c>
      <c r="K81">
        <v>5.0000000000000001E-3</v>
      </c>
      <c r="L81" t="s">
        <v>17</v>
      </c>
      <c r="M81">
        <v>296</v>
      </c>
      <c r="N81" t="s">
        <v>1032</v>
      </c>
      <c r="O81" t="s">
        <v>1031</v>
      </c>
    </row>
    <row r="82" spans="1:15" x14ac:dyDescent="0.2">
      <c r="A82" t="s">
        <v>190</v>
      </c>
      <c r="B82" t="s">
        <v>32</v>
      </c>
      <c r="C82" s="7">
        <v>1</v>
      </c>
      <c r="D82" s="7">
        <v>1</v>
      </c>
      <c r="E82" s="7">
        <v>0</v>
      </c>
      <c r="F82" s="7">
        <v>1</v>
      </c>
      <c r="G82" s="7">
        <v>1</v>
      </c>
      <c r="H82" s="7">
        <v>1</v>
      </c>
      <c r="I82" s="8">
        <v>0.20300000000000001</v>
      </c>
      <c r="J82" s="7">
        <f t="shared" si="1"/>
        <v>1.9704433497536946</v>
      </c>
      <c r="K82">
        <v>4.0000000000000001E-3</v>
      </c>
      <c r="L82" t="s">
        <v>17</v>
      </c>
      <c r="M82">
        <v>296</v>
      </c>
      <c r="N82" t="s">
        <v>1032</v>
      </c>
      <c r="O82" t="s">
        <v>1031</v>
      </c>
    </row>
    <row r="83" spans="1:15" x14ac:dyDescent="0.2">
      <c r="A83" t="s">
        <v>190</v>
      </c>
      <c r="B83" t="s">
        <v>32</v>
      </c>
      <c r="C83" s="7">
        <v>2</v>
      </c>
      <c r="D83" s="7">
        <v>2</v>
      </c>
      <c r="E83" s="7">
        <v>0</v>
      </c>
      <c r="F83" s="7">
        <v>2</v>
      </c>
      <c r="G83" s="7">
        <v>2</v>
      </c>
      <c r="H83" s="7">
        <v>1</v>
      </c>
      <c r="I83" s="8">
        <v>0.15</v>
      </c>
      <c r="J83" s="7">
        <f t="shared" si="1"/>
        <v>4</v>
      </c>
      <c r="K83">
        <v>6.0000000000000001E-3</v>
      </c>
      <c r="L83" t="s">
        <v>17</v>
      </c>
      <c r="M83">
        <v>296</v>
      </c>
      <c r="N83" t="s">
        <v>1032</v>
      </c>
      <c r="O83" t="s">
        <v>1031</v>
      </c>
    </row>
    <row r="84" spans="1:15" x14ac:dyDescent="0.2">
      <c r="A84" t="s">
        <v>190</v>
      </c>
      <c r="B84" t="s">
        <v>32</v>
      </c>
      <c r="C84" s="7">
        <v>4</v>
      </c>
      <c r="D84" s="7">
        <v>3</v>
      </c>
      <c r="E84" s="7">
        <v>2</v>
      </c>
      <c r="F84" s="7">
        <v>4</v>
      </c>
      <c r="G84" s="7">
        <v>3</v>
      </c>
      <c r="H84" s="7">
        <v>1</v>
      </c>
      <c r="I84" s="8">
        <v>0.11600000000000001</v>
      </c>
      <c r="J84" s="7">
        <f t="shared" si="1"/>
        <v>6.0344827586206895</v>
      </c>
      <c r="K84">
        <v>7.0000000000000001E-3</v>
      </c>
      <c r="L84" t="s">
        <v>17</v>
      </c>
      <c r="M84">
        <v>296</v>
      </c>
      <c r="N84" t="s">
        <v>1032</v>
      </c>
      <c r="O84" t="s">
        <v>1031</v>
      </c>
    </row>
    <row r="85" spans="1:15" x14ac:dyDescent="0.2">
      <c r="A85" t="s">
        <v>190</v>
      </c>
      <c r="B85" t="s">
        <v>32</v>
      </c>
      <c r="C85" s="7">
        <v>3</v>
      </c>
      <c r="D85" s="7">
        <v>2</v>
      </c>
      <c r="E85" s="7">
        <v>1</v>
      </c>
      <c r="F85" s="7">
        <v>3</v>
      </c>
      <c r="G85" s="7">
        <v>2</v>
      </c>
      <c r="H85" s="7">
        <v>2</v>
      </c>
      <c r="I85" s="8">
        <v>0.153</v>
      </c>
      <c r="J85" s="7">
        <f t="shared" si="1"/>
        <v>5.2287581699346406</v>
      </c>
      <c r="K85">
        <v>8.0000000000000002E-3</v>
      </c>
      <c r="L85" t="s">
        <v>17</v>
      </c>
      <c r="M85">
        <v>296</v>
      </c>
      <c r="N85" t="s">
        <v>1032</v>
      </c>
      <c r="O85" t="s">
        <v>1031</v>
      </c>
    </row>
    <row r="86" spans="1:15" x14ac:dyDescent="0.2">
      <c r="A86" t="s">
        <v>190</v>
      </c>
      <c r="B86" t="s">
        <v>32</v>
      </c>
      <c r="C86" s="7">
        <v>3</v>
      </c>
      <c r="D86" s="7">
        <v>3</v>
      </c>
      <c r="E86" s="7">
        <v>1</v>
      </c>
      <c r="F86" s="7">
        <v>3</v>
      </c>
      <c r="G86" s="7">
        <v>3</v>
      </c>
      <c r="H86" s="7">
        <v>0</v>
      </c>
      <c r="I86" s="8">
        <v>0.115</v>
      </c>
      <c r="J86" s="7">
        <f t="shared" si="1"/>
        <v>6.9565217391304346</v>
      </c>
      <c r="K86">
        <v>8.0000000000000002E-3</v>
      </c>
      <c r="L86" t="s">
        <v>17</v>
      </c>
      <c r="M86">
        <v>296</v>
      </c>
      <c r="N86" t="s">
        <v>1032</v>
      </c>
      <c r="O86" t="s">
        <v>1031</v>
      </c>
    </row>
    <row r="87" spans="1:15" x14ac:dyDescent="0.2">
      <c r="A87" t="s">
        <v>190</v>
      </c>
      <c r="B87" t="s">
        <v>32</v>
      </c>
      <c r="C87" s="7">
        <v>3</v>
      </c>
      <c r="D87" s="7">
        <v>3</v>
      </c>
      <c r="E87" s="7">
        <v>0</v>
      </c>
      <c r="F87" s="7">
        <v>3</v>
      </c>
      <c r="G87" s="7">
        <v>3</v>
      </c>
      <c r="H87" s="7">
        <v>1</v>
      </c>
      <c r="I87" s="8">
        <v>0.113</v>
      </c>
      <c r="J87" s="7">
        <f t="shared" si="1"/>
        <v>5.3097345132743365</v>
      </c>
      <c r="K87">
        <v>6.0000000000000001E-3</v>
      </c>
      <c r="L87" t="s">
        <v>17</v>
      </c>
      <c r="M87">
        <v>296</v>
      </c>
      <c r="N87" t="s">
        <v>1032</v>
      </c>
      <c r="O87" t="s">
        <v>1031</v>
      </c>
    </row>
    <row r="88" spans="1:15" x14ac:dyDescent="0.2">
      <c r="A88" t="s">
        <v>190</v>
      </c>
      <c r="B88" t="s">
        <v>32</v>
      </c>
      <c r="C88" s="7">
        <v>4</v>
      </c>
      <c r="D88" s="7">
        <v>3</v>
      </c>
      <c r="E88" s="7">
        <v>1</v>
      </c>
      <c r="F88" s="7">
        <v>4</v>
      </c>
      <c r="G88" s="7">
        <v>3</v>
      </c>
      <c r="H88" s="7">
        <v>2</v>
      </c>
      <c r="I88" s="8">
        <v>0.11</v>
      </c>
      <c r="J88" s="7">
        <f t="shared" si="1"/>
        <v>6.3636363636363642</v>
      </c>
      <c r="K88">
        <v>7.0000000000000001E-3</v>
      </c>
      <c r="L88" t="s">
        <v>17</v>
      </c>
      <c r="M88">
        <v>296</v>
      </c>
      <c r="N88" t="s">
        <v>1032</v>
      </c>
      <c r="O88" t="s">
        <v>1031</v>
      </c>
    </row>
    <row r="89" spans="1:15" x14ac:dyDescent="0.2">
      <c r="A89" t="s">
        <v>190</v>
      </c>
      <c r="B89" t="s">
        <v>32</v>
      </c>
      <c r="C89" s="7">
        <v>7</v>
      </c>
      <c r="D89" s="7">
        <v>4</v>
      </c>
      <c r="E89" s="7">
        <v>4</v>
      </c>
      <c r="F89" s="7">
        <v>7</v>
      </c>
      <c r="G89" s="7">
        <v>4</v>
      </c>
      <c r="H89" s="7">
        <v>3</v>
      </c>
      <c r="I89" s="8">
        <v>0.105</v>
      </c>
      <c r="J89" s="7">
        <f t="shared" si="1"/>
        <v>7.6190476190476195</v>
      </c>
      <c r="K89">
        <v>8.0000000000000002E-3</v>
      </c>
      <c r="L89" t="s">
        <v>17</v>
      </c>
      <c r="M89">
        <v>296</v>
      </c>
      <c r="N89" t="s">
        <v>1032</v>
      </c>
      <c r="O89" t="s">
        <v>1031</v>
      </c>
    </row>
    <row r="90" spans="1:15" x14ac:dyDescent="0.2">
      <c r="A90" t="s">
        <v>190</v>
      </c>
      <c r="B90" t="s">
        <v>32</v>
      </c>
      <c r="C90" s="7">
        <v>5</v>
      </c>
      <c r="D90" s="7">
        <v>3</v>
      </c>
      <c r="E90" s="7">
        <v>2</v>
      </c>
      <c r="F90" s="7">
        <v>5</v>
      </c>
      <c r="G90" s="7">
        <v>3</v>
      </c>
      <c r="H90" s="7">
        <v>3</v>
      </c>
      <c r="I90" s="8">
        <v>0.11600000000000001</v>
      </c>
      <c r="J90" s="7">
        <f t="shared" si="1"/>
        <v>7.7586206896551708</v>
      </c>
      <c r="K90">
        <v>8.9999999999999993E-3</v>
      </c>
      <c r="L90" t="s">
        <v>17</v>
      </c>
      <c r="M90">
        <v>296</v>
      </c>
      <c r="N90" t="s">
        <v>1032</v>
      </c>
      <c r="O90" t="s">
        <v>1031</v>
      </c>
    </row>
    <row r="91" spans="1:15" x14ac:dyDescent="0.2">
      <c r="A91" t="s">
        <v>190</v>
      </c>
      <c r="B91" t="s">
        <v>32</v>
      </c>
      <c r="C91" s="7">
        <v>2</v>
      </c>
      <c r="D91" s="7">
        <v>1</v>
      </c>
      <c r="E91" s="7">
        <v>1</v>
      </c>
      <c r="F91" s="7">
        <v>2</v>
      </c>
      <c r="G91" s="7">
        <v>1</v>
      </c>
      <c r="H91" s="7">
        <v>2</v>
      </c>
      <c r="I91" s="8">
        <v>0.19</v>
      </c>
      <c r="J91" s="7">
        <f t="shared" si="1"/>
        <v>4.2105263157894735</v>
      </c>
      <c r="K91">
        <v>8.0000000000000002E-3</v>
      </c>
      <c r="L91" t="s">
        <v>17</v>
      </c>
      <c r="M91">
        <v>296</v>
      </c>
      <c r="N91" t="s">
        <v>1032</v>
      </c>
      <c r="O91" t="s">
        <v>1031</v>
      </c>
    </row>
    <row r="92" spans="1:15" x14ac:dyDescent="0.2">
      <c r="A92" t="s">
        <v>190</v>
      </c>
      <c r="B92" t="s">
        <v>32</v>
      </c>
      <c r="C92" s="7">
        <v>6</v>
      </c>
      <c r="D92" s="7">
        <v>1</v>
      </c>
      <c r="E92" s="7">
        <v>6</v>
      </c>
      <c r="F92" s="7">
        <v>5</v>
      </c>
      <c r="G92" s="7">
        <v>0</v>
      </c>
      <c r="H92" s="7">
        <v>5</v>
      </c>
      <c r="I92" s="8">
        <v>0.111</v>
      </c>
      <c r="J92" s="7">
        <f t="shared" si="1"/>
        <v>5.4054054054054053</v>
      </c>
      <c r="K92">
        <v>6.0000000000000001E-3</v>
      </c>
      <c r="L92" t="s">
        <v>17</v>
      </c>
      <c r="M92">
        <v>296</v>
      </c>
      <c r="N92" t="s">
        <v>1032</v>
      </c>
      <c r="O92" t="s">
        <v>1031</v>
      </c>
    </row>
    <row r="93" spans="1:15" x14ac:dyDescent="0.2">
      <c r="A93" t="s">
        <v>190</v>
      </c>
      <c r="B93" t="s">
        <v>32</v>
      </c>
      <c r="C93" s="7">
        <v>6</v>
      </c>
      <c r="D93" s="7">
        <v>4</v>
      </c>
      <c r="E93" s="7">
        <v>3</v>
      </c>
      <c r="F93" s="7">
        <v>6</v>
      </c>
      <c r="G93" s="7">
        <v>4</v>
      </c>
      <c r="H93" s="7">
        <v>2</v>
      </c>
      <c r="I93" s="8">
        <v>9.8900000000000002E-2</v>
      </c>
      <c r="J93" s="7">
        <f t="shared" si="1"/>
        <v>7.0778564206268966</v>
      </c>
      <c r="K93">
        <v>7.0000000000000001E-3</v>
      </c>
      <c r="L93" t="s">
        <v>17</v>
      </c>
      <c r="M93">
        <v>296</v>
      </c>
      <c r="N93" t="s">
        <v>1032</v>
      </c>
      <c r="O93" t="s">
        <v>1031</v>
      </c>
    </row>
    <row r="94" spans="1:15" x14ac:dyDescent="0.2">
      <c r="A94" t="s">
        <v>190</v>
      </c>
      <c r="B94" t="s">
        <v>32</v>
      </c>
      <c r="C94" s="7">
        <v>7</v>
      </c>
      <c r="D94" s="7">
        <v>5</v>
      </c>
      <c r="E94" s="7">
        <v>3</v>
      </c>
      <c r="F94" s="7">
        <v>7</v>
      </c>
      <c r="G94" s="7">
        <v>5</v>
      </c>
      <c r="H94" s="7">
        <v>2</v>
      </c>
      <c r="I94" s="8">
        <v>9.0200000000000002E-2</v>
      </c>
      <c r="J94" s="7">
        <f t="shared" si="1"/>
        <v>7.7605321507760534</v>
      </c>
      <c r="K94">
        <v>7.0000000000000001E-3</v>
      </c>
      <c r="L94" t="s">
        <v>17</v>
      </c>
      <c r="M94">
        <v>296</v>
      </c>
      <c r="N94" t="s">
        <v>1032</v>
      </c>
      <c r="O94" t="s">
        <v>1031</v>
      </c>
    </row>
    <row r="95" spans="1:15" x14ac:dyDescent="0.2">
      <c r="A95" t="s">
        <v>190</v>
      </c>
      <c r="B95" t="s">
        <v>32</v>
      </c>
      <c r="C95" s="7">
        <v>7</v>
      </c>
      <c r="D95" s="7">
        <v>5</v>
      </c>
      <c r="E95" s="7">
        <v>2</v>
      </c>
      <c r="F95" s="7">
        <v>7</v>
      </c>
      <c r="G95" s="7">
        <v>5</v>
      </c>
      <c r="H95" s="7">
        <v>3</v>
      </c>
      <c r="I95" s="8">
        <v>8.8900000000000007E-2</v>
      </c>
      <c r="J95" s="7">
        <f t="shared" si="1"/>
        <v>8.9988751406074243</v>
      </c>
      <c r="K95">
        <v>8.0000000000000002E-3</v>
      </c>
      <c r="L95" t="s">
        <v>17</v>
      </c>
      <c r="M95">
        <v>296</v>
      </c>
      <c r="N95" t="s">
        <v>1032</v>
      </c>
      <c r="O95" t="s">
        <v>1031</v>
      </c>
    </row>
    <row r="96" spans="1:15" x14ac:dyDescent="0.2">
      <c r="A96" t="s">
        <v>190</v>
      </c>
      <c r="B96" t="s">
        <v>32</v>
      </c>
      <c r="C96" s="7">
        <v>7</v>
      </c>
      <c r="D96" s="7">
        <v>0</v>
      </c>
      <c r="E96" s="7">
        <v>7</v>
      </c>
      <c r="F96" s="7">
        <v>6</v>
      </c>
      <c r="G96" s="7">
        <v>1</v>
      </c>
      <c r="H96" s="7">
        <v>6</v>
      </c>
      <c r="I96" s="8">
        <v>8.8300000000000003E-2</v>
      </c>
      <c r="J96" s="7">
        <f t="shared" si="1"/>
        <v>10.192525481313702</v>
      </c>
      <c r="K96">
        <v>8.9999999999999993E-3</v>
      </c>
      <c r="L96" t="s">
        <v>17</v>
      </c>
      <c r="M96">
        <v>296</v>
      </c>
      <c r="N96" t="s">
        <v>1032</v>
      </c>
      <c r="O96" t="s">
        <v>1031</v>
      </c>
    </row>
    <row r="97" spans="1:15" x14ac:dyDescent="0.2">
      <c r="A97" t="s">
        <v>190</v>
      </c>
      <c r="B97" t="s">
        <v>32</v>
      </c>
      <c r="C97" s="7">
        <v>5</v>
      </c>
      <c r="D97" s="7">
        <v>2</v>
      </c>
      <c r="E97" s="7">
        <v>3</v>
      </c>
      <c r="F97" s="7">
        <v>5</v>
      </c>
      <c r="G97" s="7">
        <v>2</v>
      </c>
      <c r="H97" s="7">
        <v>4</v>
      </c>
      <c r="I97" s="8">
        <v>0.14399999999999999</v>
      </c>
      <c r="J97" s="7">
        <f t="shared" si="1"/>
        <v>5.5555555555555562</v>
      </c>
      <c r="K97">
        <v>8.0000000000000002E-3</v>
      </c>
      <c r="L97" t="s">
        <v>17</v>
      </c>
      <c r="M97">
        <v>296</v>
      </c>
      <c r="N97" t="s">
        <v>1032</v>
      </c>
      <c r="O97" t="s">
        <v>1031</v>
      </c>
    </row>
    <row r="98" spans="1:15" x14ac:dyDescent="0.2">
      <c r="A98" t="s">
        <v>190</v>
      </c>
      <c r="B98" t="s">
        <v>32</v>
      </c>
      <c r="C98" s="7">
        <v>4</v>
      </c>
      <c r="D98" s="7">
        <v>2</v>
      </c>
      <c r="E98" s="7">
        <v>3</v>
      </c>
      <c r="F98" s="7">
        <v>3</v>
      </c>
      <c r="G98" s="7">
        <v>1</v>
      </c>
      <c r="H98" s="7">
        <v>2</v>
      </c>
      <c r="I98" s="8">
        <v>0.16400000000000001</v>
      </c>
      <c r="J98" s="7">
        <f t="shared" si="1"/>
        <v>4.2682926829268286</v>
      </c>
      <c r="K98">
        <v>7.0000000000000001E-3</v>
      </c>
      <c r="L98" t="s">
        <v>17</v>
      </c>
      <c r="M98">
        <v>296</v>
      </c>
      <c r="N98" t="s">
        <v>1032</v>
      </c>
      <c r="O98" t="s">
        <v>1031</v>
      </c>
    </row>
    <row r="99" spans="1:15" x14ac:dyDescent="0.2">
      <c r="A99" t="s">
        <v>190</v>
      </c>
      <c r="B99" t="s">
        <v>32</v>
      </c>
      <c r="C99" s="7">
        <v>5</v>
      </c>
      <c r="D99" s="7">
        <v>4</v>
      </c>
      <c r="E99" s="7">
        <v>1</v>
      </c>
      <c r="F99" s="7">
        <v>5</v>
      </c>
      <c r="G99" s="7">
        <v>3</v>
      </c>
      <c r="H99" s="7">
        <v>2</v>
      </c>
      <c r="I99" s="8">
        <v>0.13600000000000001</v>
      </c>
      <c r="J99" s="7">
        <f t="shared" si="1"/>
        <v>4.4117647058823524</v>
      </c>
      <c r="K99">
        <v>6.0000000000000001E-3</v>
      </c>
      <c r="L99" t="s">
        <v>17</v>
      </c>
      <c r="M99">
        <v>296</v>
      </c>
      <c r="N99" t="s">
        <v>1032</v>
      </c>
      <c r="O99" t="s">
        <v>1031</v>
      </c>
    </row>
    <row r="100" spans="1:15" x14ac:dyDescent="0.2">
      <c r="A100" t="s">
        <v>190</v>
      </c>
      <c r="B100" t="s">
        <v>32</v>
      </c>
      <c r="C100" s="7">
        <v>2</v>
      </c>
      <c r="D100" s="7">
        <v>1</v>
      </c>
      <c r="E100" s="7">
        <v>2</v>
      </c>
      <c r="F100" s="7">
        <v>1</v>
      </c>
      <c r="G100" s="7">
        <v>1</v>
      </c>
      <c r="H100" s="7">
        <v>1</v>
      </c>
      <c r="I100" s="8">
        <v>0.17699999999999999</v>
      </c>
      <c r="J100" s="7">
        <f t="shared" si="1"/>
        <v>3.9548022598870061</v>
      </c>
      <c r="K100">
        <v>7.0000000000000001E-3</v>
      </c>
      <c r="L100" t="s">
        <v>17</v>
      </c>
      <c r="M100">
        <v>296</v>
      </c>
      <c r="N100" t="s">
        <v>1032</v>
      </c>
      <c r="O100" t="s">
        <v>1031</v>
      </c>
    </row>
    <row r="101" spans="1:15" x14ac:dyDescent="0.2">
      <c r="A101" t="s">
        <v>190</v>
      </c>
      <c r="B101" t="s">
        <v>32</v>
      </c>
      <c r="C101" s="7">
        <v>2</v>
      </c>
      <c r="D101" s="7">
        <v>0</v>
      </c>
      <c r="E101" s="7">
        <v>2</v>
      </c>
      <c r="F101" s="7">
        <v>1</v>
      </c>
      <c r="G101" s="7">
        <v>0</v>
      </c>
      <c r="H101" s="7">
        <v>1</v>
      </c>
      <c r="I101" s="8">
        <v>0.21099999999999999</v>
      </c>
      <c r="J101" s="7">
        <f t="shared" si="1"/>
        <v>3.7914691943127963</v>
      </c>
      <c r="K101">
        <v>8.0000000000000002E-3</v>
      </c>
      <c r="L101" t="s">
        <v>17</v>
      </c>
      <c r="M101">
        <v>296</v>
      </c>
      <c r="N101" t="s">
        <v>1032</v>
      </c>
      <c r="O101" t="s">
        <v>1031</v>
      </c>
    </row>
    <row r="102" spans="1:15" x14ac:dyDescent="0.2">
      <c r="A102" t="s">
        <v>190</v>
      </c>
      <c r="B102" t="s">
        <v>32</v>
      </c>
      <c r="C102" s="7">
        <v>4</v>
      </c>
      <c r="D102" s="7">
        <v>1</v>
      </c>
      <c r="E102" s="7">
        <v>3</v>
      </c>
      <c r="F102" s="7">
        <v>4</v>
      </c>
      <c r="G102" s="7">
        <v>1</v>
      </c>
      <c r="H102" s="7">
        <v>4</v>
      </c>
      <c r="I102" s="8">
        <v>0.152</v>
      </c>
      <c r="J102" s="7">
        <f t="shared" si="1"/>
        <v>5.9210526315789469</v>
      </c>
      <c r="K102">
        <v>8.9999999999999993E-3</v>
      </c>
      <c r="L102" t="s">
        <v>17</v>
      </c>
      <c r="M102">
        <v>296</v>
      </c>
      <c r="N102" t="s">
        <v>1032</v>
      </c>
      <c r="O102" t="s">
        <v>1031</v>
      </c>
    </row>
    <row r="103" spans="1:15" x14ac:dyDescent="0.2">
      <c r="A103" t="s">
        <v>190</v>
      </c>
      <c r="B103" t="s">
        <v>32</v>
      </c>
      <c r="C103" s="7">
        <v>2</v>
      </c>
      <c r="D103" s="7">
        <v>1</v>
      </c>
      <c r="E103" s="7">
        <v>1</v>
      </c>
      <c r="F103" s="7">
        <v>1</v>
      </c>
      <c r="G103" s="7">
        <v>1</v>
      </c>
      <c r="H103" s="7">
        <v>0</v>
      </c>
      <c r="I103" s="8">
        <v>0.19800000000000001</v>
      </c>
      <c r="J103" s="7">
        <f t="shared" si="1"/>
        <v>3.535353535353535</v>
      </c>
      <c r="K103">
        <v>7.0000000000000001E-3</v>
      </c>
      <c r="L103" t="s">
        <v>17</v>
      </c>
      <c r="M103">
        <v>296</v>
      </c>
      <c r="N103" t="s">
        <v>1032</v>
      </c>
      <c r="O103" t="s">
        <v>1031</v>
      </c>
    </row>
    <row r="104" spans="1:15" x14ac:dyDescent="0.2">
      <c r="A104" t="s">
        <v>190</v>
      </c>
      <c r="B104" t="s">
        <v>32</v>
      </c>
      <c r="C104" s="7">
        <v>8</v>
      </c>
      <c r="D104" s="7">
        <v>3</v>
      </c>
      <c r="E104" s="7">
        <v>5</v>
      </c>
      <c r="F104" s="7">
        <v>8</v>
      </c>
      <c r="G104" s="7">
        <v>3</v>
      </c>
      <c r="H104" s="7">
        <v>6</v>
      </c>
      <c r="I104" s="8">
        <v>0.10299999999999999</v>
      </c>
      <c r="J104" s="7">
        <f t="shared" si="1"/>
        <v>5.825242718446602</v>
      </c>
      <c r="K104">
        <v>6.0000000000000001E-3</v>
      </c>
      <c r="L104" t="s">
        <v>17</v>
      </c>
      <c r="M104">
        <v>296</v>
      </c>
      <c r="N104" t="s">
        <v>1032</v>
      </c>
      <c r="O104" t="s">
        <v>1031</v>
      </c>
    </row>
    <row r="105" spans="1:15" x14ac:dyDescent="0.2">
      <c r="A105" t="s">
        <v>190</v>
      </c>
      <c r="B105" t="s">
        <v>32</v>
      </c>
      <c r="C105" s="7">
        <v>3</v>
      </c>
      <c r="D105" s="7">
        <v>1</v>
      </c>
      <c r="E105" s="7">
        <v>3</v>
      </c>
      <c r="F105" s="7">
        <v>2</v>
      </c>
      <c r="G105" s="7">
        <v>1</v>
      </c>
      <c r="H105" s="7">
        <v>2</v>
      </c>
      <c r="I105" s="8">
        <v>0.15</v>
      </c>
      <c r="J105" s="7">
        <f t="shared" si="1"/>
        <v>4.666666666666667</v>
      </c>
      <c r="K105">
        <v>7.0000000000000001E-3</v>
      </c>
      <c r="L105" t="s">
        <v>17</v>
      </c>
      <c r="M105">
        <v>296</v>
      </c>
      <c r="N105" t="s">
        <v>1032</v>
      </c>
      <c r="O105" t="s">
        <v>1031</v>
      </c>
    </row>
    <row r="106" spans="1:15" x14ac:dyDescent="0.2">
      <c r="A106" t="s">
        <v>190</v>
      </c>
      <c r="B106" t="s">
        <v>32</v>
      </c>
      <c r="C106" s="7">
        <v>3</v>
      </c>
      <c r="D106" s="7">
        <v>0</v>
      </c>
      <c r="E106" s="7">
        <v>3</v>
      </c>
      <c r="F106" s="7">
        <v>2</v>
      </c>
      <c r="G106" s="7">
        <v>0</v>
      </c>
      <c r="H106" s="7">
        <v>2</v>
      </c>
      <c r="I106" s="8">
        <v>0.191</v>
      </c>
      <c r="J106" s="7">
        <f t="shared" si="1"/>
        <v>4.1884816753926701</v>
      </c>
      <c r="K106">
        <v>8.0000000000000002E-3</v>
      </c>
      <c r="L106" t="s">
        <v>17</v>
      </c>
      <c r="M106">
        <v>296</v>
      </c>
      <c r="N106" t="s">
        <v>1032</v>
      </c>
      <c r="O106" t="s">
        <v>1031</v>
      </c>
    </row>
    <row r="107" spans="1:15" x14ac:dyDescent="0.2">
      <c r="A107" t="s">
        <v>190</v>
      </c>
      <c r="B107" t="s">
        <v>32</v>
      </c>
      <c r="C107" s="7">
        <v>3</v>
      </c>
      <c r="D107" s="7">
        <v>3</v>
      </c>
      <c r="E107" s="7">
        <v>1</v>
      </c>
      <c r="F107" s="7">
        <v>2</v>
      </c>
      <c r="G107" s="7">
        <v>2</v>
      </c>
      <c r="H107" s="7">
        <v>0</v>
      </c>
      <c r="I107" s="8">
        <v>0.14099999999999999</v>
      </c>
      <c r="J107" s="7">
        <f t="shared" si="1"/>
        <v>4.255319148936171</v>
      </c>
      <c r="K107">
        <v>6.0000000000000001E-3</v>
      </c>
      <c r="L107" t="s">
        <v>17</v>
      </c>
      <c r="M107">
        <v>296</v>
      </c>
      <c r="N107" t="s">
        <v>1032</v>
      </c>
      <c r="O107" t="s">
        <v>1031</v>
      </c>
    </row>
    <row r="108" spans="1:15" x14ac:dyDescent="0.2">
      <c r="A108" t="s">
        <v>190</v>
      </c>
      <c r="B108" t="s">
        <v>32</v>
      </c>
      <c r="C108" s="7">
        <v>3</v>
      </c>
      <c r="D108" s="7">
        <v>3</v>
      </c>
      <c r="E108" s="7">
        <v>0</v>
      </c>
      <c r="F108" s="7">
        <v>2</v>
      </c>
      <c r="G108" s="7">
        <v>2</v>
      </c>
      <c r="H108" s="7">
        <v>1</v>
      </c>
      <c r="I108" s="8">
        <v>0.126</v>
      </c>
      <c r="J108" s="7">
        <f t="shared" si="1"/>
        <v>7.9365079365079358</v>
      </c>
      <c r="K108">
        <v>0.01</v>
      </c>
      <c r="L108" t="s">
        <v>17</v>
      </c>
      <c r="M108">
        <v>296</v>
      </c>
      <c r="N108" t="s">
        <v>1032</v>
      </c>
      <c r="O108" t="s">
        <v>1031</v>
      </c>
    </row>
    <row r="109" spans="1:15" x14ac:dyDescent="0.2">
      <c r="A109" t="s">
        <v>190</v>
      </c>
      <c r="B109" t="s">
        <v>32</v>
      </c>
      <c r="C109" s="7">
        <v>5</v>
      </c>
      <c r="D109" s="7">
        <v>1</v>
      </c>
      <c r="E109" s="7">
        <v>4</v>
      </c>
      <c r="F109" s="7">
        <v>5</v>
      </c>
      <c r="G109" s="7">
        <v>1</v>
      </c>
      <c r="H109" s="7">
        <v>5</v>
      </c>
      <c r="I109" s="8">
        <v>0.13700000000000001</v>
      </c>
      <c r="J109" s="7">
        <f t="shared" si="1"/>
        <v>5.1094890510948909</v>
      </c>
      <c r="K109">
        <v>7.0000000000000001E-3</v>
      </c>
      <c r="L109" t="s">
        <v>17</v>
      </c>
      <c r="M109">
        <v>296</v>
      </c>
      <c r="N109" t="s">
        <v>1032</v>
      </c>
      <c r="O109" t="s">
        <v>1031</v>
      </c>
    </row>
    <row r="110" spans="1:15" x14ac:dyDescent="0.2">
      <c r="A110" t="s">
        <v>190</v>
      </c>
      <c r="B110" t="s">
        <v>32</v>
      </c>
      <c r="C110" s="7">
        <v>3</v>
      </c>
      <c r="D110" s="7">
        <v>2</v>
      </c>
      <c r="E110" s="7">
        <v>2</v>
      </c>
      <c r="F110" s="7">
        <v>3</v>
      </c>
      <c r="G110" s="7">
        <v>0</v>
      </c>
      <c r="H110" s="7">
        <v>3</v>
      </c>
      <c r="I110" s="8">
        <v>0.161</v>
      </c>
      <c r="J110" s="7">
        <f t="shared" si="1"/>
        <v>3.7267080745341614</v>
      </c>
      <c r="K110">
        <v>6.0000000000000001E-3</v>
      </c>
      <c r="L110" t="s">
        <v>17</v>
      </c>
      <c r="M110">
        <v>296</v>
      </c>
      <c r="N110" t="s">
        <v>1032</v>
      </c>
      <c r="O110" t="s">
        <v>1031</v>
      </c>
    </row>
    <row r="111" spans="1:15" x14ac:dyDescent="0.2">
      <c r="A111" t="s">
        <v>190</v>
      </c>
      <c r="B111" t="s">
        <v>32</v>
      </c>
      <c r="C111" s="7">
        <v>3</v>
      </c>
      <c r="D111" s="7">
        <v>2</v>
      </c>
      <c r="E111" s="7">
        <v>2</v>
      </c>
      <c r="F111" s="7">
        <v>2</v>
      </c>
      <c r="G111" s="7">
        <v>2</v>
      </c>
      <c r="H111" s="7">
        <v>1</v>
      </c>
      <c r="I111" s="8">
        <v>0.129</v>
      </c>
      <c r="J111" s="7">
        <f t="shared" si="1"/>
        <v>5.4263565891472867</v>
      </c>
      <c r="K111">
        <v>7.0000000000000001E-3</v>
      </c>
      <c r="L111" t="s">
        <v>17</v>
      </c>
      <c r="M111">
        <v>296</v>
      </c>
      <c r="N111" t="s">
        <v>1032</v>
      </c>
      <c r="O111" t="s">
        <v>1031</v>
      </c>
    </row>
    <row r="112" spans="1:15" x14ac:dyDescent="0.2">
      <c r="A112" t="s">
        <v>190</v>
      </c>
      <c r="B112" t="s">
        <v>32</v>
      </c>
      <c r="C112" s="7">
        <v>4</v>
      </c>
      <c r="D112" s="7">
        <v>1</v>
      </c>
      <c r="E112" s="7">
        <v>4</v>
      </c>
      <c r="F112" s="7">
        <v>3</v>
      </c>
      <c r="G112" s="7">
        <v>1</v>
      </c>
      <c r="H112" s="7">
        <v>3</v>
      </c>
      <c r="I112" s="8">
        <v>0.13500000000000001</v>
      </c>
      <c r="J112" s="7">
        <f t="shared" si="1"/>
        <v>5.9259259259259256</v>
      </c>
      <c r="K112">
        <v>8.0000000000000002E-3</v>
      </c>
      <c r="L112" t="s">
        <v>17</v>
      </c>
      <c r="M112">
        <v>296</v>
      </c>
      <c r="N112" t="s">
        <v>1032</v>
      </c>
      <c r="O112" t="s">
        <v>1031</v>
      </c>
    </row>
    <row r="113" spans="1:15" x14ac:dyDescent="0.2">
      <c r="A113" t="s">
        <v>190</v>
      </c>
      <c r="B113" t="s">
        <v>32</v>
      </c>
      <c r="C113" s="7">
        <v>3</v>
      </c>
      <c r="D113" s="7">
        <v>1</v>
      </c>
      <c r="E113" s="7">
        <v>2</v>
      </c>
      <c r="F113" s="7">
        <v>2</v>
      </c>
      <c r="G113" s="7">
        <v>1</v>
      </c>
      <c r="H113" s="7">
        <v>1</v>
      </c>
      <c r="I113" s="8">
        <v>0.193</v>
      </c>
      <c r="J113" s="7">
        <f t="shared" si="1"/>
        <v>4.6632124352331594</v>
      </c>
      <c r="K113">
        <v>8.9999999999999993E-3</v>
      </c>
      <c r="L113" t="s">
        <v>17</v>
      </c>
      <c r="M113">
        <v>296</v>
      </c>
      <c r="N113" t="s">
        <v>1032</v>
      </c>
      <c r="O113" t="s">
        <v>1031</v>
      </c>
    </row>
    <row r="114" spans="1:15" x14ac:dyDescent="0.2">
      <c r="A114" t="s">
        <v>190</v>
      </c>
      <c r="B114" t="s">
        <v>32</v>
      </c>
      <c r="C114" s="7">
        <v>3</v>
      </c>
      <c r="D114" s="7">
        <v>2</v>
      </c>
      <c r="E114" s="7">
        <v>1</v>
      </c>
      <c r="F114" s="7">
        <v>2</v>
      </c>
      <c r="G114" s="7">
        <v>2</v>
      </c>
      <c r="H114" s="7">
        <v>0</v>
      </c>
      <c r="I114" s="8">
        <v>0.14899999999999999</v>
      </c>
      <c r="J114" s="7">
        <f t="shared" si="1"/>
        <v>6.0402684563758386</v>
      </c>
      <c r="K114">
        <v>8.9999999999999993E-3</v>
      </c>
      <c r="L114" t="s">
        <v>17</v>
      </c>
      <c r="M114">
        <v>296</v>
      </c>
      <c r="N114" t="s">
        <v>1032</v>
      </c>
      <c r="O114" t="s">
        <v>1031</v>
      </c>
    </row>
    <row r="115" spans="1:15" x14ac:dyDescent="0.2">
      <c r="A115" t="s">
        <v>190</v>
      </c>
      <c r="B115" t="s">
        <v>32</v>
      </c>
      <c r="C115" s="7">
        <v>4</v>
      </c>
      <c r="D115" s="7">
        <v>0</v>
      </c>
      <c r="E115" s="7">
        <v>4</v>
      </c>
      <c r="F115" s="7">
        <v>3</v>
      </c>
      <c r="G115" s="7">
        <v>0</v>
      </c>
      <c r="H115" s="7">
        <v>3</v>
      </c>
      <c r="I115" s="8">
        <v>0.157</v>
      </c>
      <c r="J115" s="7">
        <f t="shared" si="1"/>
        <v>5.7324840764331206</v>
      </c>
      <c r="K115">
        <v>8.9999999999999993E-3</v>
      </c>
      <c r="L115" t="s">
        <v>17</v>
      </c>
      <c r="M115">
        <v>296</v>
      </c>
      <c r="N115" t="s">
        <v>1032</v>
      </c>
      <c r="O115" t="s">
        <v>1031</v>
      </c>
    </row>
    <row r="116" spans="1:15" x14ac:dyDescent="0.2">
      <c r="A116" t="s">
        <v>190</v>
      </c>
      <c r="B116" t="s">
        <v>32</v>
      </c>
      <c r="C116" s="7">
        <v>4</v>
      </c>
      <c r="D116" s="7">
        <v>2</v>
      </c>
      <c r="E116" s="7">
        <v>2</v>
      </c>
      <c r="F116" s="7">
        <v>3</v>
      </c>
      <c r="G116" s="7">
        <v>1</v>
      </c>
      <c r="H116" s="7">
        <v>3</v>
      </c>
      <c r="I116" s="8">
        <v>0.156</v>
      </c>
      <c r="J116" s="7">
        <f t="shared" si="1"/>
        <v>5.1282051282051277</v>
      </c>
      <c r="K116">
        <v>8.0000000000000002E-3</v>
      </c>
      <c r="L116" t="s">
        <v>17</v>
      </c>
      <c r="M116">
        <v>296</v>
      </c>
      <c r="N116" t="s">
        <v>1032</v>
      </c>
      <c r="O116" t="s">
        <v>1031</v>
      </c>
    </row>
    <row r="117" spans="1:15" x14ac:dyDescent="0.2">
      <c r="A117" t="s">
        <v>190</v>
      </c>
      <c r="B117" t="s">
        <v>32</v>
      </c>
      <c r="C117" s="7">
        <v>4</v>
      </c>
      <c r="D117" s="7">
        <v>3</v>
      </c>
      <c r="E117" s="7">
        <v>2</v>
      </c>
      <c r="F117" s="7">
        <v>3</v>
      </c>
      <c r="G117" s="7">
        <v>2</v>
      </c>
      <c r="H117" s="7">
        <v>1</v>
      </c>
      <c r="I117" s="8">
        <v>0.157</v>
      </c>
      <c r="J117" s="7">
        <f t="shared" si="1"/>
        <v>4.4585987261146505</v>
      </c>
      <c r="K117">
        <v>7.0000000000000001E-3</v>
      </c>
      <c r="L117" t="s">
        <v>17</v>
      </c>
      <c r="M117">
        <v>296</v>
      </c>
      <c r="N117" t="s">
        <v>1032</v>
      </c>
      <c r="O117" t="s">
        <v>1031</v>
      </c>
    </row>
    <row r="118" spans="1:15" x14ac:dyDescent="0.2">
      <c r="A118" t="s">
        <v>190</v>
      </c>
      <c r="B118" t="s">
        <v>32</v>
      </c>
      <c r="C118" s="7">
        <v>5</v>
      </c>
      <c r="D118" s="7">
        <v>2</v>
      </c>
      <c r="E118" s="7">
        <v>4</v>
      </c>
      <c r="F118" s="7">
        <v>5</v>
      </c>
      <c r="G118" s="7">
        <v>0</v>
      </c>
      <c r="H118" s="7">
        <v>5</v>
      </c>
      <c r="I118" s="8">
        <v>0.112</v>
      </c>
      <c r="J118" s="7">
        <f t="shared" si="1"/>
        <v>7.1428571428571423</v>
      </c>
      <c r="K118">
        <v>8.0000000000000002E-3</v>
      </c>
      <c r="L118" t="s">
        <v>17</v>
      </c>
      <c r="M118">
        <v>296</v>
      </c>
      <c r="N118" t="s">
        <v>1032</v>
      </c>
      <c r="O118" t="s">
        <v>1031</v>
      </c>
    </row>
    <row r="119" spans="1:15" x14ac:dyDescent="0.2">
      <c r="A119" t="s">
        <v>190</v>
      </c>
      <c r="B119" t="s">
        <v>32</v>
      </c>
      <c r="C119" s="7">
        <v>4</v>
      </c>
      <c r="D119" s="7">
        <v>2</v>
      </c>
      <c r="E119" s="7">
        <v>3</v>
      </c>
      <c r="F119" s="7">
        <v>3</v>
      </c>
      <c r="G119" s="7">
        <v>2</v>
      </c>
      <c r="H119" s="7">
        <v>2</v>
      </c>
      <c r="I119" s="8">
        <v>0.11799999999999999</v>
      </c>
      <c r="J119" s="7">
        <f t="shared" si="1"/>
        <v>5.9322033898305087</v>
      </c>
      <c r="K119">
        <v>7.0000000000000001E-3</v>
      </c>
      <c r="L119" t="s">
        <v>17</v>
      </c>
      <c r="M119">
        <v>296</v>
      </c>
      <c r="N119" t="s">
        <v>1032</v>
      </c>
      <c r="O119" t="s">
        <v>1031</v>
      </c>
    </row>
    <row r="120" spans="1:15" x14ac:dyDescent="0.2">
      <c r="A120" t="s">
        <v>190</v>
      </c>
      <c r="B120" t="s">
        <v>32</v>
      </c>
      <c r="C120" s="7">
        <v>6</v>
      </c>
      <c r="D120" s="7">
        <v>1</v>
      </c>
      <c r="E120" s="7">
        <v>5</v>
      </c>
      <c r="F120" s="7">
        <v>6</v>
      </c>
      <c r="G120" s="7">
        <v>1</v>
      </c>
      <c r="H120" s="7">
        <v>6</v>
      </c>
      <c r="I120" s="8">
        <v>0.121</v>
      </c>
      <c r="J120" s="7">
        <f t="shared" si="1"/>
        <v>4.9586776859504136</v>
      </c>
      <c r="K120">
        <v>6.0000000000000001E-3</v>
      </c>
      <c r="L120" t="s">
        <v>17</v>
      </c>
      <c r="M120">
        <v>296</v>
      </c>
      <c r="N120" t="s">
        <v>1032</v>
      </c>
      <c r="O120" t="s">
        <v>1031</v>
      </c>
    </row>
    <row r="121" spans="1:15" x14ac:dyDescent="0.2">
      <c r="A121" t="s">
        <v>190</v>
      </c>
      <c r="B121" t="s">
        <v>32</v>
      </c>
      <c r="C121" s="7">
        <v>5</v>
      </c>
      <c r="D121" s="7">
        <v>1</v>
      </c>
      <c r="E121" s="7">
        <v>5</v>
      </c>
      <c r="F121" s="7">
        <v>4</v>
      </c>
      <c r="G121" s="7">
        <v>1</v>
      </c>
      <c r="H121" s="7">
        <v>4</v>
      </c>
      <c r="I121" s="8">
        <v>0.111</v>
      </c>
      <c r="J121" s="7">
        <f t="shared" si="1"/>
        <v>6.3063063063063058</v>
      </c>
      <c r="K121">
        <v>7.0000000000000001E-3</v>
      </c>
      <c r="L121" t="s">
        <v>17</v>
      </c>
      <c r="M121">
        <v>296</v>
      </c>
      <c r="N121" t="s">
        <v>1032</v>
      </c>
      <c r="O121" t="s">
        <v>1031</v>
      </c>
    </row>
    <row r="122" spans="1:15" x14ac:dyDescent="0.2">
      <c r="A122" t="s">
        <v>190</v>
      </c>
      <c r="B122" t="s">
        <v>32</v>
      </c>
      <c r="C122" s="7">
        <v>5</v>
      </c>
      <c r="D122" s="7">
        <v>0</v>
      </c>
      <c r="E122" s="7">
        <v>5</v>
      </c>
      <c r="F122" s="7">
        <v>4</v>
      </c>
      <c r="G122" s="7">
        <v>0</v>
      </c>
      <c r="H122" s="7">
        <v>4</v>
      </c>
      <c r="I122" s="8">
        <v>0.121</v>
      </c>
      <c r="J122" s="7">
        <f t="shared" si="1"/>
        <v>6.6115702479338845</v>
      </c>
      <c r="K122">
        <v>8.0000000000000002E-3</v>
      </c>
      <c r="L122" t="s">
        <v>17</v>
      </c>
      <c r="M122">
        <v>296</v>
      </c>
      <c r="N122" t="s">
        <v>1032</v>
      </c>
      <c r="O122" t="s">
        <v>1031</v>
      </c>
    </row>
    <row r="123" spans="1:15" x14ac:dyDescent="0.2">
      <c r="A123" t="s">
        <v>190</v>
      </c>
      <c r="B123" t="s">
        <v>32</v>
      </c>
      <c r="C123" s="7">
        <v>8</v>
      </c>
      <c r="D123" s="7">
        <v>2</v>
      </c>
      <c r="E123" s="7">
        <v>6</v>
      </c>
      <c r="F123" s="7">
        <v>8</v>
      </c>
      <c r="G123" s="7">
        <v>2</v>
      </c>
      <c r="H123" s="7">
        <v>7</v>
      </c>
      <c r="I123" s="8">
        <v>0.112</v>
      </c>
      <c r="J123" s="7">
        <f t="shared" si="1"/>
        <v>8.0357142857142847</v>
      </c>
      <c r="K123">
        <v>8.9999999999999993E-3</v>
      </c>
      <c r="L123" t="s">
        <v>17</v>
      </c>
      <c r="M123">
        <v>296</v>
      </c>
      <c r="N123" t="s">
        <v>1032</v>
      </c>
      <c r="O123" t="s">
        <v>1031</v>
      </c>
    </row>
    <row r="124" spans="1:15" x14ac:dyDescent="0.2">
      <c r="A124" t="s">
        <v>190</v>
      </c>
      <c r="B124" t="s">
        <v>32</v>
      </c>
      <c r="C124" s="7">
        <v>4</v>
      </c>
      <c r="D124" s="7">
        <v>3</v>
      </c>
      <c r="E124" s="7">
        <v>1</v>
      </c>
      <c r="F124" s="7">
        <v>3</v>
      </c>
      <c r="G124" s="7">
        <v>2</v>
      </c>
      <c r="H124" s="7">
        <v>2</v>
      </c>
      <c r="I124" s="8">
        <v>0.11899999999999999</v>
      </c>
      <c r="J124" s="7">
        <f t="shared" si="1"/>
        <v>5.0420168067226889</v>
      </c>
      <c r="K124">
        <v>6.0000000000000001E-3</v>
      </c>
      <c r="L124" t="s">
        <v>17</v>
      </c>
      <c r="M124">
        <v>296</v>
      </c>
      <c r="N124" t="s">
        <v>1032</v>
      </c>
      <c r="O124" t="s">
        <v>1031</v>
      </c>
    </row>
    <row r="125" spans="1:15" x14ac:dyDescent="0.2">
      <c r="A125" t="s">
        <v>190</v>
      </c>
      <c r="B125" t="s">
        <v>32</v>
      </c>
      <c r="C125" s="7">
        <v>4</v>
      </c>
      <c r="D125" s="7">
        <v>1</v>
      </c>
      <c r="E125" s="7">
        <v>3</v>
      </c>
      <c r="F125" s="7">
        <v>3</v>
      </c>
      <c r="G125" s="7">
        <v>1</v>
      </c>
      <c r="H125" s="7">
        <v>2</v>
      </c>
      <c r="I125" s="8">
        <v>0.17899999999999999</v>
      </c>
      <c r="J125" s="7">
        <f t="shared" si="1"/>
        <v>2.7932960893854752</v>
      </c>
      <c r="K125">
        <v>5.0000000000000001E-3</v>
      </c>
      <c r="L125" t="s">
        <v>17</v>
      </c>
      <c r="M125">
        <v>296</v>
      </c>
      <c r="N125" t="s">
        <v>1032</v>
      </c>
      <c r="O125" t="s">
        <v>1031</v>
      </c>
    </row>
    <row r="126" spans="1:15" x14ac:dyDescent="0.2">
      <c r="A126" t="s">
        <v>190</v>
      </c>
      <c r="B126" t="s">
        <v>32</v>
      </c>
      <c r="C126" s="7">
        <v>4</v>
      </c>
      <c r="D126" s="7">
        <v>2</v>
      </c>
      <c r="E126" s="7">
        <v>2</v>
      </c>
      <c r="F126" s="7">
        <v>3</v>
      </c>
      <c r="G126" s="7">
        <v>2</v>
      </c>
      <c r="H126" s="7">
        <v>1</v>
      </c>
      <c r="I126" s="8">
        <v>0.159</v>
      </c>
      <c r="J126" s="7">
        <f t="shared" si="1"/>
        <v>3.7735849056603774</v>
      </c>
      <c r="K126">
        <v>6.0000000000000001E-3</v>
      </c>
      <c r="L126" t="s">
        <v>17</v>
      </c>
      <c r="M126">
        <v>296</v>
      </c>
      <c r="N126" t="s">
        <v>1032</v>
      </c>
      <c r="O126" t="s">
        <v>1031</v>
      </c>
    </row>
    <row r="127" spans="1:15" x14ac:dyDescent="0.2">
      <c r="A127" t="s">
        <v>190</v>
      </c>
      <c r="B127" t="s">
        <v>32</v>
      </c>
      <c r="C127" s="7">
        <v>4</v>
      </c>
      <c r="D127" s="7">
        <v>3</v>
      </c>
      <c r="E127" s="7">
        <v>2</v>
      </c>
      <c r="F127" s="7">
        <v>3</v>
      </c>
      <c r="G127" s="7">
        <v>3</v>
      </c>
      <c r="H127" s="7">
        <v>1</v>
      </c>
      <c r="I127" s="8">
        <v>0.114</v>
      </c>
      <c r="J127" s="7">
        <f t="shared" si="1"/>
        <v>6.140350877192982</v>
      </c>
      <c r="K127">
        <v>7.0000000000000001E-3</v>
      </c>
      <c r="L127" t="s">
        <v>17</v>
      </c>
      <c r="M127">
        <v>296</v>
      </c>
      <c r="N127" t="s">
        <v>1032</v>
      </c>
      <c r="O127" t="s">
        <v>1031</v>
      </c>
    </row>
    <row r="128" spans="1:15" x14ac:dyDescent="0.2">
      <c r="A128" t="s">
        <v>190</v>
      </c>
      <c r="B128" t="s">
        <v>32</v>
      </c>
      <c r="C128" s="7">
        <v>4</v>
      </c>
      <c r="D128" s="7">
        <v>3</v>
      </c>
      <c r="E128" s="7">
        <v>1</v>
      </c>
      <c r="F128" s="7">
        <v>3</v>
      </c>
      <c r="G128" s="7">
        <v>3</v>
      </c>
      <c r="H128" s="7">
        <v>0</v>
      </c>
      <c r="I128" s="8">
        <v>0.11600000000000001</v>
      </c>
      <c r="J128" s="7">
        <f t="shared" si="1"/>
        <v>6.8965517241379306</v>
      </c>
      <c r="K128">
        <v>8.0000000000000002E-3</v>
      </c>
      <c r="L128" t="s">
        <v>17</v>
      </c>
      <c r="M128">
        <v>296</v>
      </c>
      <c r="N128" t="s">
        <v>1032</v>
      </c>
      <c r="O128" t="s">
        <v>1031</v>
      </c>
    </row>
    <row r="129" spans="1:15" x14ac:dyDescent="0.2">
      <c r="A129" t="s">
        <v>190</v>
      </c>
      <c r="B129" t="s">
        <v>32</v>
      </c>
      <c r="C129" s="7">
        <v>6</v>
      </c>
      <c r="D129" s="7">
        <v>1</v>
      </c>
      <c r="E129" s="7">
        <v>6</v>
      </c>
      <c r="F129" s="7">
        <v>5</v>
      </c>
      <c r="G129" s="7">
        <v>1</v>
      </c>
      <c r="H129" s="7">
        <v>5</v>
      </c>
      <c r="I129" s="8">
        <v>9.8400000000000001E-2</v>
      </c>
      <c r="J129" s="7">
        <f t="shared" si="1"/>
        <v>6.0975609756097562</v>
      </c>
      <c r="K129">
        <v>6.0000000000000001E-3</v>
      </c>
      <c r="L129" t="s">
        <v>17</v>
      </c>
      <c r="M129">
        <v>296</v>
      </c>
      <c r="N129" t="s">
        <v>1032</v>
      </c>
      <c r="O129" t="s">
        <v>1031</v>
      </c>
    </row>
    <row r="130" spans="1:15" x14ac:dyDescent="0.2">
      <c r="A130" t="s">
        <v>190</v>
      </c>
      <c r="B130" t="s">
        <v>32</v>
      </c>
      <c r="C130" s="7">
        <v>6</v>
      </c>
      <c r="D130" s="7">
        <v>0</v>
      </c>
      <c r="E130" s="7">
        <v>6</v>
      </c>
      <c r="F130" s="7">
        <v>5</v>
      </c>
      <c r="G130" s="7">
        <v>0</v>
      </c>
      <c r="H130" s="7">
        <v>5</v>
      </c>
      <c r="I130" s="8">
        <v>9.9400000000000002E-2</v>
      </c>
      <c r="J130" s="7">
        <f t="shared" si="1"/>
        <v>7.042253521126761</v>
      </c>
      <c r="K130">
        <v>7.0000000000000001E-3</v>
      </c>
      <c r="L130" t="s">
        <v>17</v>
      </c>
      <c r="M130">
        <v>296</v>
      </c>
      <c r="N130" t="s">
        <v>1032</v>
      </c>
      <c r="O130" t="s">
        <v>1031</v>
      </c>
    </row>
    <row r="131" spans="1:15" x14ac:dyDescent="0.2">
      <c r="A131" t="s">
        <v>190</v>
      </c>
      <c r="B131" t="s">
        <v>32</v>
      </c>
      <c r="C131" s="7">
        <v>5</v>
      </c>
      <c r="D131" s="7">
        <v>2</v>
      </c>
      <c r="E131" s="7">
        <v>4</v>
      </c>
      <c r="F131" s="7">
        <v>4</v>
      </c>
      <c r="G131" s="7">
        <v>2</v>
      </c>
      <c r="H131" s="7">
        <v>3</v>
      </c>
      <c r="I131" s="8">
        <v>0.112</v>
      </c>
      <c r="J131" s="7">
        <f t="shared" ref="J131:J194" si="2">K131/I131*100</f>
        <v>7.1428571428571423</v>
      </c>
      <c r="K131">
        <v>8.0000000000000002E-3</v>
      </c>
      <c r="L131" t="s">
        <v>17</v>
      </c>
      <c r="M131">
        <v>296</v>
      </c>
      <c r="N131" t="s">
        <v>1032</v>
      </c>
      <c r="O131" t="s">
        <v>1031</v>
      </c>
    </row>
    <row r="132" spans="1:15" x14ac:dyDescent="0.2">
      <c r="A132" t="s">
        <v>190</v>
      </c>
      <c r="B132" t="s">
        <v>32</v>
      </c>
      <c r="C132" s="7">
        <v>7</v>
      </c>
      <c r="D132" s="7">
        <v>3</v>
      </c>
      <c r="E132" s="7">
        <v>5</v>
      </c>
      <c r="F132" s="7">
        <v>7</v>
      </c>
      <c r="G132" s="7">
        <v>1</v>
      </c>
      <c r="H132" s="7">
        <v>6</v>
      </c>
      <c r="I132" s="8">
        <v>0.112</v>
      </c>
      <c r="J132" s="7">
        <f t="shared" si="2"/>
        <v>5.3571428571428568</v>
      </c>
      <c r="K132">
        <v>6.0000000000000001E-3</v>
      </c>
      <c r="L132" t="s">
        <v>17</v>
      </c>
      <c r="M132">
        <v>296</v>
      </c>
      <c r="N132" t="s">
        <v>1032</v>
      </c>
      <c r="O132" t="s">
        <v>1031</v>
      </c>
    </row>
    <row r="133" spans="1:15" x14ac:dyDescent="0.2">
      <c r="A133" t="s">
        <v>190</v>
      </c>
      <c r="B133" t="s">
        <v>32</v>
      </c>
      <c r="C133" s="7">
        <v>7</v>
      </c>
      <c r="D133" s="7">
        <v>2</v>
      </c>
      <c r="E133" s="7">
        <v>6</v>
      </c>
      <c r="F133" s="7">
        <v>7</v>
      </c>
      <c r="G133" s="7">
        <v>0</v>
      </c>
      <c r="H133" s="7">
        <v>7</v>
      </c>
      <c r="I133" s="8">
        <v>9.8400000000000001E-2</v>
      </c>
      <c r="J133" s="7">
        <f t="shared" si="2"/>
        <v>7.1138211382113816</v>
      </c>
      <c r="K133">
        <v>7.0000000000000001E-3</v>
      </c>
      <c r="L133" t="s">
        <v>17</v>
      </c>
      <c r="M133">
        <v>296</v>
      </c>
      <c r="N133" t="s">
        <v>1032</v>
      </c>
      <c r="O133" t="s">
        <v>1031</v>
      </c>
    </row>
    <row r="134" spans="1:15" x14ac:dyDescent="0.2">
      <c r="A134" t="s">
        <v>190</v>
      </c>
      <c r="B134" t="s">
        <v>32</v>
      </c>
      <c r="C134" s="7">
        <v>5</v>
      </c>
      <c r="D134" s="7">
        <v>1</v>
      </c>
      <c r="E134" s="7">
        <v>4</v>
      </c>
      <c r="F134" s="7">
        <v>4</v>
      </c>
      <c r="G134" s="7">
        <v>1</v>
      </c>
      <c r="H134" s="7">
        <v>3</v>
      </c>
      <c r="I134" s="8">
        <v>0.153</v>
      </c>
      <c r="J134" s="7">
        <f t="shared" si="2"/>
        <v>5.2287581699346406</v>
      </c>
      <c r="K134">
        <v>8.0000000000000002E-3</v>
      </c>
      <c r="L134" t="s">
        <v>17</v>
      </c>
      <c r="M134">
        <v>296</v>
      </c>
      <c r="N134" t="s">
        <v>1032</v>
      </c>
      <c r="O134" t="s">
        <v>1031</v>
      </c>
    </row>
    <row r="135" spans="1:15" x14ac:dyDescent="0.2">
      <c r="A135" t="s">
        <v>190</v>
      </c>
      <c r="B135" t="s">
        <v>32</v>
      </c>
      <c r="C135" s="7">
        <v>7</v>
      </c>
      <c r="D135" s="7">
        <v>1</v>
      </c>
      <c r="E135" s="7">
        <v>7</v>
      </c>
      <c r="F135" s="7">
        <v>6</v>
      </c>
      <c r="G135" s="7">
        <v>1</v>
      </c>
      <c r="H135" s="7">
        <v>6</v>
      </c>
      <c r="I135" s="8">
        <v>9.35E-2</v>
      </c>
      <c r="J135" s="7">
        <f t="shared" si="2"/>
        <v>6.4171122994652414</v>
      </c>
      <c r="K135">
        <v>6.0000000000000001E-3</v>
      </c>
      <c r="L135" t="s">
        <v>17</v>
      </c>
      <c r="M135">
        <v>296</v>
      </c>
      <c r="N135" t="s">
        <v>1032</v>
      </c>
      <c r="O135" t="s">
        <v>1031</v>
      </c>
    </row>
    <row r="136" spans="1:15" x14ac:dyDescent="0.2">
      <c r="A136" t="s">
        <v>190</v>
      </c>
      <c r="B136" t="s">
        <v>32</v>
      </c>
      <c r="C136" s="7">
        <v>7</v>
      </c>
      <c r="D136" s="7">
        <v>0</v>
      </c>
      <c r="E136" s="7">
        <v>7</v>
      </c>
      <c r="F136" s="7">
        <v>6</v>
      </c>
      <c r="G136" s="7">
        <v>0</v>
      </c>
      <c r="H136" s="7">
        <v>6</v>
      </c>
      <c r="I136" s="8">
        <v>8.9899999999999994E-2</v>
      </c>
      <c r="J136" s="7">
        <f t="shared" si="2"/>
        <v>6.6740823136818701</v>
      </c>
      <c r="K136">
        <v>6.0000000000000001E-3</v>
      </c>
      <c r="L136" t="s">
        <v>17</v>
      </c>
      <c r="M136">
        <v>296</v>
      </c>
      <c r="N136" t="s">
        <v>1032</v>
      </c>
      <c r="O136" t="s">
        <v>1031</v>
      </c>
    </row>
    <row r="137" spans="1:15" x14ac:dyDescent="0.2">
      <c r="A137" t="s">
        <v>190</v>
      </c>
      <c r="B137" t="s">
        <v>32</v>
      </c>
      <c r="C137" s="7">
        <v>5</v>
      </c>
      <c r="D137" s="7">
        <v>3</v>
      </c>
      <c r="E137" s="7">
        <v>3</v>
      </c>
      <c r="F137" s="7">
        <v>4</v>
      </c>
      <c r="G137" s="7">
        <v>3</v>
      </c>
      <c r="H137" s="7">
        <v>2</v>
      </c>
      <c r="I137" s="8">
        <v>0.10100000000000001</v>
      </c>
      <c r="J137" s="7">
        <f t="shared" si="2"/>
        <v>5.9405940594059405</v>
      </c>
      <c r="K137">
        <v>6.0000000000000001E-3</v>
      </c>
      <c r="L137" t="s">
        <v>17</v>
      </c>
      <c r="M137">
        <v>296</v>
      </c>
      <c r="N137" t="s">
        <v>1032</v>
      </c>
      <c r="O137" t="s">
        <v>1031</v>
      </c>
    </row>
    <row r="138" spans="1:15" x14ac:dyDescent="0.2">
      <c r="A138" t="s">
        <v>190</v>
      </c>
      <c r="B138" t="s">
        <v>32</v>
      </c>
      <c r="C138" s="7">
        <v>6</v>
      </c>
      <c r="D138" s="7">
        <v>2</v>
      </c>
      <c r="E138" s="7">
        <v>5</v>
      </c>
      <c r="F138" s="7">
        <v>5</v>
      </c>
      <c r="G138" s="7">
        <v>2</v>
      </c>
      <c r="H138" s="7">
        <v>4</v>
      </c>
      <c r="I138" s="8">
        <v>0.105</v>
      </c>
      <c r="J138" s="7">
        <f t="shared" si="2"/>
        <v>4.7619047619047628</v>
      </c>
      <c r="K138">
        <v>5.0000000000000001E-3</v>
      </c>
      <c r="L138" t="s">
        <v>17</v>
      </c>
      <c r="M138">
        <v>296</v>
      </c>
      <c r="N138" t="s">
        <v>1032</v>
      </c>
      <c r="O138" t="s">
        <v>1031</v>
      </c>
    </row>
    <row r="139" spans="1:15" x14ac:dyDescent="0.2">
      <c r="A139" t="s">
        <v>190</v>
      </c>
      <c r="B139" t="s">
        <v>32</v>
      </c>
      <c r="C139" s="7">
        <v>5</v>
      </c>
      <c r="D139" s="7">
        <v>4</v>
      </c>
      <c r="E139" s="7">
        <v>2</v>
      </c>
      <c r="F139" s="7">
        <v>4</v>
      </c>
      <c r="G139" s="7">
        <v>4</v>
      </c>
      <c r="H139" s="7">
        <v>1</v>
      </c>
      <c r="I139" s="8">
        <v>0.10100000000000001</v>
      </c>
      <c r="J139" s="7">
        <f t="shared" si="2"/>
        <v>6.9306930693069297</v>
      </c>
      <c r="K139">
        <v>7.0000000000000001E-3</v>
      </c>
      <c r="L139" t="s">
        <v>17</v>
      </c>
      <c r="M139">
        <v>296</v>
      </c>
      <c r="N139" t="s">
        <v>1032</v>
      </c>
      <c r="O139" t="s">
        <v>1031</v>
      </c>
    </row>
    <row r="140" spans="1:15" x14ac:dyDescent="0.2">
      <c r="A140" t="s">
        <v>190</v>
      </c>
      <c r="B140" t="s">
        <v>32</v>
      </c>
      <c r="C140" s="7">
        <v>5</v>
      </c>
      <c r="D140" s="7">
        <v>4</v>
      </c>
      <c r="E140" s="7">
        <v>1</v>
      </c>
      <c r="F140" s="7">
        <v>4</v>
      </c>
      <c r="G140" s="7">
        <v>4</v>
      </c>
      <c r="H140" s="7">
        <v>0</v>
      </c>
      <c r="I140" s="8">
        <v>0.104</v>
      </c>
      <c r="J140" s="7">
        <f t="shared" si="2"/>
        <v>7.6923076923076925</v>
      </c>
      <c r="K140">
        <v>8.0000000000000002E-3</v>
      </c>
      <c r="L140" t="s">
        <v>17</v>
      </c>
      <c r="M140">
        <v>296</v>
      </c>
      <c r="N140" t="s">
        <v>1032</v>
      </c>
      <c r="O140" t="s">
        <v>1031</v>
      </c>
    </row>
    <row r="141" spans="1:15" x14ac:dyDescent="0.2">
      <c r="A141" t="s">
        <v>190</v>
      </c>
      <c r="B141" t="s">
        <v>32</v>
      </c>
      <c r="C141" s="7">
        <v>6</v>
      </c>
      <c r="D141" s="7">
        <v>1</v>
      </c>
      <c r="E141" s="7">
        <v>5</v>
      </c>
      <c r="F141" s="7">
        <v>5</v>
      </c>
      <c r="G141" s="7">
        <v>1</v>
      </c>
      <c r="H141" s="7">
        <v>4</v>
      </c>
      <c r="I141" s="8">
        <v>0.13300000000000001</v>
      </c>
      <c r="J141" s="7">
        <f t="shared" si="2"/>
        <v>6.7669172932330826</v>
      </c>
      <c r="K141">
        <v>8.9999999999999993E-3</v>
      </c>
      <c r="L141" t="s">
        <v>17</v>
      </c>
      <c r="M141">
        <v>296</v>
      </c>
      <c r="N141" t="s">
        <v>1032</v>
      </c>
      <c r="O141" t="s">
        <v>1031</v>
      </c>
    </row>
    <row r="142" spans="1:15" x14ac:dyDescent="0.2">
      <c r="A142" t="s">
        <v>190</v>
      </c>
      <c r="B142" t="s">
        <v>32</v>
      </c>
      <c r="C142" s="7">
        <v>8</v>
      </c>
      <c r="D142" s="7">
        <v>1</v>
      </c>
      <c r="E142" s="7">
        <v>8</v>
      </c>
      <c r="F142" s="7">
        <v>7</v>
      </c>
      <c r="G142" s="7">
        <v>1</v>
      </c>
      <c r="H142" s="7">
        <v>7</v>
      </c>
      <c r="I142" s="8">
        <v>8.48E-2</v>
      </c>
      <c r="J142" s="7">
        <f t="shared" si="2"/>
        <v>8.2547169811320753</v>
      </c>
      <c r="K142">
        <v>7.0000000000000001E-3</v>
      </c>
      <c r="L142" t="s">
        <v>17</v>
      </c>
      <c r="M142">
        <v>296</v>
      </c>
      <c r="N142" t="s">
        <v>1032</v>
      </c>
      <c r="O142" t="s">
        <v>1031</v>
      </c>
    </row>
    <row r="143" spans="1:15" x14ac:dyDescent="0.2">
      <c r="A143" t="s">
        <v>190</v>
      </c>
      <c r="B143" t="s">
        <v>32</v>
      </c>
      <c r="C143" s="7">
        <v>8</v>
      </c>
      <c r="D143" s="7">
        <v>0</v>
      </c>
      <c r="E143" s="7">
        <v>8</v>
      </c>
      <c r="F143" s="7">
        <v>7</v>
      </c>
      <c r="G143" s="7">
        <v>0</v>
      </c>
      <c r="H143" s="7">
        <v>7</v>
      </c>
      <c r="I143" s="8">
        <v>8.1500000000000003E-2</v>
      </c>
      <c r="J143" s="7">
        <f t="shared" si="2"/>
        <v>7.3619631901840492</v>
      </c>
      <c r="K143">
        <v>6.0000000000000001E-3</v>
      </c>
      <c r="L143" t="s">
        <v>17</v>
      </c>
      <c r="M143">
        <v>296</v>
      </c>
      <c r="N143" t="s">
        <v>1032</v>
      </c>
      <c r="O143" t="s">
        <v>1031</v>
      </c>
    </row>
    <row r="144" spans="1:15" x14ac:dyDescent="0.2">
      <c r="A144" t="s">
        <v>190</v>
      </c>
      <c r="B144" t="s">
        <v>32</v>
      </c>
      <c r="C144" s="7">
        <v>6</v>
      </c>
      <c r="D144" s="7">
        <v>3</v>
      </c>
      <c r="E144" s="7">
        <v>4</v>
      </c>
      <c r="F144" s="7">
        <v>5</v>
      </c>
      <c r="G144" s="7">
        <v>3</v>
      </c>
      <c r="H144" s="7">
        <v>3</v>
      </c>
      <c r="I144" s="8">
        <v>0.10100000000000001</v>
      </c>
      <c r="J144" s="7">
        <f t="shared" si="2"/>
        <v>4.9504950495049505</v>
      </c>
      <c r="K144">
        <v>5.0000000000000001E-3</v>
      </c>
      <c r="L144" t="s">
        <v>17</v>
      </c>
      <c r="M144">
        <v>296</v>
      </c>
      <c r="N144" t="s">
        <v>1032</v>
      </c>
      <c r="O144" t="s">
        <v>1031</v>
      </c>
    </row>
    <row r="145" spans="1:15" x14ac:dyDescent="0.2">
      <c r="A145" t="s">
        <v>190</v>
      </c>
      <c r="B145" t="s">
        <v>32</v>
      </c>
      <c r="C145" s="7">
        <v>7</v>
      </c>
      <c r="D145" s="7">
        <v>2</v>
      </c>
      <c r="E145" s="7">
        <v>6</v>
      </c>
      <c r="F145" s="7">
        <v>6</v>
      </c>
      <c r="G145" s="7">
        <v>2</v>
      </c>
      <c r="H145" s="7">
        <v>5</v>
      </c>
      <c r="I145" s="8">
        <v>9.9199999999999997E-2</v>
      </c>
      <c r="J145" s="7">
        <f t="shared" si="2"/>
        <v>6.0483870967741939</v>
      </c>
      <c r="K145">
        <v>6.0000000000000001E-3</v>
      </c>
      <c r="L145" t="s">
        <v>17</v>
      </c>
      <c r="M145">
        <v>296</v>
      </c>
      <c r="N145" t="s">
        <v>1032</v>
      </c>
      <c r="O145" t="s">
        <v>1031</v>
      </c>
    </row>
    <row r="146" spans="1:15" x14ac:dyDescent="0.2">
      <c r="A146" t="s">
        <v>190</v>
      </c>
      <c r="B146" t="s">
        <v>32</v>
      </c>
      <c r="C146" s="7">
        <v>7</v>
      </c>
      <c r="D146" s="7">
        <v>1</v>
      </c>
      <c r="E146" s="7">
        <v>6</v>
      </c>
      <c r="F146" s="7">
        <v>6</v>
      </c>
      <c r="G146" s="7">
        <v>1</v>
      </c>
      <c r="H146" s="7">
        <v>5</v>
      </c>
      <c r="I146" s="8">
        <v>0.11</v>
      </c>
      <c r="J146" s="7">
        <f t="shared" si="2"/>
        <v>6.3636363636363642</v>
      </c>
      <c r="K146">
        <v>7.0000000000000001E-3</v>
      </c>
      <c r="L146" t="s">
        <v>17</v>
      </c>
      <c r="M146">
        <v>296</v>
      </c>
      <c r="N146" t="s">
        <v>1032</v>
      </c>
      <c r="O146" t="s">
        <v>1031</v>
      </c>
    </row>
    <row r="147" spans="1:15" x14ac:dyDescent="0.2">
      <c r="A147" t="s">
        <v>190</v>
      </c>
      <c r="B147" t="s">
        <v>32</v>
      </c>
      <c r="C147" s="7">
        <v>6</v>
      </c>
      <c r="D147" s="7">
        <v>2</v>
      </c>
      <c r="E147" s="7">
        <v>4</v>
      </c>
      <c r="F147" s="7">
        <v>5</v>
      </c>
      <c r="G147" s="7">
        <v>2</v>
      </c>
      <c r="H147" s="7">
        <v>3</v>
      </c>
      <c r="I147" s="8">
        <v>0.154</v>
      </c>
      <c r="J147" s="7">
        <f t="shared" si="2"/>
        <v>5.1948051948051948</v>
      </c>
      <c r="K147">
        <v>8.0000000000000002E-3</v>
      </c>
      <c r="L147" t="s">
        <v>17</v>
      </c>
      <c r="M147">
        <v>296</v>
      </c>
      <c r="N147" t="s">
        <v>1032</v>
      </c>
      <c r="O147" t="s">
        <v>1031</v>
      </c>
    </row>
    <row r="148" spans="1:15" x14ac:dyDescent="0.2">
      <c r="A148" t="s">
        <v>190</v>
      </c>
      <c r="B148" t="s">
        <v>32</v>
      </c>
      <c r="C148" s="7">
        <v>6</v>
      </c>
      <c r="D148" s="7">
        <v>3</v>
      </c>
      <c r="E148" s="7">
        <v>3</v>
      </c>
      <c r="F148" s="7">
        <v>5</v>
      </c>
      <c r="G148" s="7">
        <v>3</v>
      </c>
      <c r="H148" s="7">
        <v>2</v>
      </c>
      <c r="I148" s="8">
        <v>0.123</v>
      </c>
      <c r="J148" s="7">
        <f t="shared" si="2"/>
        <v>5.691056910569106</v>
      </c>
      <c r="K148">
        <v>7.0000000000000001E-3</v>
      </c>
      <c r="L148" t="s">
        <v>17</v>
      </c>
      <c r="M148">
        <v>296</v>
      </c>
      <c r="N148" t="s">
        <v>1032</v>
      </c>
      <c r="O148" t="s">
        <v>1031</v>
      </c>
    </row>
    <row r="149" spans="1:15" x14ac:dyDescent="0.2">
      <c r="A149" t="s">
        <v>190</v>
      </c>
      <c r="B149" t="s">
        <v>32</v>
      </c>
      <c r="C149" s="7">
        <v>6</v>
      </c>
      <c r="D149" s="7">
        <v>4</v>
      </c>
      <c r="E149" s="7">
        <v>2</v>
      </c>
      <c r="F149" s="7">
        <v>5</v>
      </c>
      <c r="G149" s="7">
        <v>4</v>
      </c>
      <c r="H149" s="7">
        <v>1</v>
      </c>
      <c r="I149" s="8">
        <v>9.9299999999999999E-2</v>
      </c>
      <c r="J149" s="7">
        <f t="shared" si="2"/>
        <v>6.0422960725075532</v>
      </c>
      <c r="K149">
        <v>6.0000000000000001E-3</v>
      </c>
      <c r="L149" t="s">
        <v>17</v>
      </c>
      <c r="M149">
        <v>296</v>
      </c>
      <c r="N149" t="s">
        <v>1032</v>
      </c>
      <c r="O149" t="s">
        <v>1031</v>
      </c>
    </row>
    <row r="150" spans="1:15" x14ac:dyDescent="0.2">
      <c r="A150" t="s">
        <v>190</v>
      </c>
      <c r="B150" t="s">
        <v>32</v>
      </c>
      <c r="C150" s="7">
        <v>8</v>
      </c>
      <c r="D150" s="7">
        <v>2</v>
      </c>
      <c r="E150" s="7">
        <v>7</v>
      </c>
      <c r="F150" s="7">
        <v>7</v>
      </c>
      <c r="G150" s="7">
        <v>2</v>
      </c>
      <c r="H150" s="7">
        <v>6</v>
      </c>
      <c r="I150" s="8">
        <v>9.2600000000000002E-2</v>
      </c>
      <c r="J150" s="7">
        <f t="shared" si="2"/>
        <v>6.4794816414686833</v>
      </c>
      <c r="K150">
        <v>6.0000000000000001E-3</v>
      </c>
      <c r="L150" t="s">
        <v>17</v>
      </c>
      <c r="M150">
        <v>296</v>
      </c>
      <c r="N150" t="s">
        <v>1032</v>
      </c>
      <c r="O150" t="s">
        <v>1031</v>
      </c>
    </row>
    <row r="151" spans="1:15" x14ac:dyDescent="0.2">
      <c r="A151" t="s">
        <v>190</v>
      </c>
      <c r="B151" t="s">
        <v>32</v>
      </c>
      <c r="C151" s="7">
        <v>7</v>
      </c>
      <c r="D151" s="7">
        <v>3</v>
      </c>
      <c r="E151" s="7">
        <v>5</v>
      </c>
      <c r="F151" s="7">
        <v>6</v>
      </c>
      <c r="G151" s="7">
        <v>3</v>
      </c>
      <c r="H151" s="7">
        <v>4</v>
      </c>
      <c r="I151" s="8">
        <v>9.7900000000000001E-2</v>
      </c>
      <c r="J151" s="7">
        <f t="shared" si="2"/>
        <v>7.1501532175689482</v>
      </c>
      <c r="K151">
        <v>7.0000000000000001E-3</v>
      </c>
      <c r="L151" t="s">
        <v>17</v>
      </c>
      <c r="M151">
        <v>296</v>
      </c>
      <c r="N151" t="s">
        <v>1032</v>
      </c>
      <c r="O151" t="s">
        <v>1031</v>
      </c>
    </row>
    <row r="152" spans="1:15" x14ac:dyDescent="0.2">
      <c r="A152" t="s">
        <v>190</v>
      </c>
      <c r="B152" t="s">
        <v>32</v>
      </c>
      <c r="C152" s="7">
        <v>8</v>
      </c>
      <c r="D152" s="7">
        <v>1</v>
      </c>
      <c r="E152" s="7">
        <v>7</v>
      </c>
      <c r="F152" s="7">
        <v>7</v>
      </c>
      <c r="G152" s="7">
        <v>1</v>
      </c>
      <c r="H152" s="7">
        <v>6</v>
      </c>
      <c r="I152" s="8">
        <v>9.4700000000000006E-2</v>
      </c>
      <c r="J152" s="7">
        <f t="shared" si="2"/>
        <v>8.4477296726504747</v>
      </c>
      <c r="K152">
        <v>8.0000000000000002E-3</v>
      </c>
      <c r="L152" t="s">
        <v>17</v>
      </c>
      <c r="M152">
        <v>296</v>
      </c>
      <c r="N152" t="s">
        <v>1032</v>
      </c>
      <c r="O152" t="s">
        <v>1031</v>
      </c>
    </row>
    <row r="153" spans="1:15" x14ac:dyDescent="0.2">
      <c r="A153" t="s">
        <v>190</v>
      </c>
      <c r="B153" t="s">
        <v>32</v>
      </c>
      <c r="C153" s="7">
        <v>6</v>
      </c>
      <c r="D153" s="7">
        <v>4</v>
      </c>
      <c r="E153" s="7">
        <v>3</v>
      </c>
      <c r="F153" s="7">
        <v>5</v>
      </c>
      <c r="G153" s="7">
        <v>3</v>
      </c>
      <c r="H153" s="7">
        <v>2</v>
      </c>
      <c r="I153" s="8">
        <v>0.128</v>
      </c>
      <c r="J153" s="7">
        <f t="shared" si="2"/>
        <v>6.25</v>
      </c>
      <c r="K153">
        <v>8.0000000000000002E-3</v>
      </c>
      <c r="L153" t="s">
        <v>17</v>
      </c>
      <c r="M153">
        <v>296</v>
      </c>
      <c r="N153" t="s">
        <v>1032</v>
      </c>
      <c r="O153" t="s">
        <v>1031</v>
      </c>
    </row>
    <row r="154" spans="1:15" x14ac:dyDescent="0.2">
      <c r="A154" t="s">
        <v>190</v>
      </c>
      <c r="B154" t="s">
        <v>32</v>
      </c>
      <c r="C154" s="7">
        <v>7</v>
      </c>
      <c r="D154" s="7">
        <v>2</v>
      </c>
      <c r="E154" s="7">
        <v>5</v>
      </c>
      <c r="F154" s="7">
        <v>6</v>
      </c>
      <c r="G154" s="7">
        <v>2</v>
      </c>
      <c r="H154" s="7">
        <v>4</v>
      </c>
      <c r="I154" s="8">
        <v>0.13100000000000001</v>
      </c>
      <c r="J154" s="7">
        <f t="shared" si="2"/>
        <v>4.5801526717557248</v>
      </c>
      <c r="K154">
        <v>6.0000000000000001E-3</v>
      </c>
      <c r="L154" t="s">
        <v>17</v>
      </c>
      <c r="M154">
        <v>296</v>
      </c>
      <c r="N154" t="s">
        <v>1032</v>
      </c>
      <c r="O154" t="s">
        <v>1031</v>
      </c>
    </row>
    <row r="155" spans="1:15" x14ac:dyDescent="0.2">
      <c r="A155" t="s">
        <v>190</v>
      </c>
      <c r="B155" t="s">
        <v>32</v>
      </c>
      <c r="C155" s="7">
        <v>4</v>
      </c>
      <c r="D155" s="7">
        <v>2</v>
      </c>
      <c r="E155" s="7">
        <v>2</v>
      </c>
      <c r="F155" s="7">
        <v>3</v>
      </c>
      <c r="G155" s="7">
        <v>0</v>
      </c>
      <c r="H155" s="7">
        <v>3</v>
      </c>
      <c r="I155" s="8">
        <v>0.183</v>
      </c>
      <c r="J155" s="7">
        <f t="shared" si="2"/>
        <v>2.7322404371584703</v>
      </c>
      <c r="K155">
        <v>5.0000000000000001E-3</v>
      </c>
      <c r="L155" t="s">
        <v>17</v>
      </c>
      <c r="M155">
        <v>296</v>
      </c>
      <c r="N155" t="s">
        <v>1032</v>
      </c>
      <c r="O155" t="s">
        <v>1031</v>
      </c>
    </row>
    <row r="156" spans="1:15" x14ac:dyDescent="0.2">
      <c r="A156" t="s">
        <v>190</v>
      </c>
      <c r="B156" t="s">
        <v>32</v>
      </c>
      <c r="C156" s="7">
        <v>7</v>
      </c>
      <c r="D156" s="7">
        <v>3</v>
      </c>
      <c r="E156" s="7">
        <v>4</v>
      </c>
      <c r="F156" s="7">
        <v>6</v>
      </c>
      <c r="G156" s="7">
        <v>3</v>
      </c>
      <c r="H156" s="7">
        <v>3</v>
      </c>
      <c r="I156" s="8">
        <v>0.126</v>
      </c>
      <c r="J156" s="7">
        <f t="shared" si="2"/>
        <v>4.7619047619047619</v>
      </c>
      <c r="K156">
        <v>6.0000000000000001E-3</v>
      </c>
      <c r="L156" t="s">
        <v>17</v>
      </c>
      <c r="M156">
        <v>296</v>
      </c>
      <c r="N156" t="s">
        <v>1032</v>
      </c>
      <c r="O156" t="s">
        <v>1031</v>
      </c>
    </row>
    <row r="157" spans="1:15" x14ac:dyDescent="0.2">
      <c r="A157" t="s">
        <v>190</v>
      </c>
      <c r="B157" t="s">
        <v>32</v>
      </c>
      <c r="C157" s="7">
        <v>7</v>
      </c>
      <c r="D157" s="7">
        <v>4</v>
      </c>
      <c r="E157" s="7">
        <v>4</v>
      </c>
      <c r="F157" s="7">
        <v>6</v>
      </c>
      <c r="G157" s="7">
        <v>4</v>
      </c>
      <c r="H157" s="7">
        <v>3</v>
      </c>
      <c r="I157" s="8">
        <v>9.3299999999999994E-2</v>
      </c>
      <c r="J157" s="7">
        <f t="shared" si="2"/>
        <v>7.5026795284030019</v>
      </c>
      <c r="K157">
        <v>7.0000000000000001E-3</v>
      </c>
      <c r="L157" t="s">
        <v>17</v>
      </c>
      <c r="M157">
        <v>296</v>
      </c>
      <c r="N157" t="s">
        <v>1032</v>
      </c>
      <c r="O157" t="s">
        <v>1031</v>
      </c>
    </row>
    <row r="158" spans="1:15" x14ac:dyDescent="0.2">
      <c r="A158" t="s">
        <v>190</v>
      </c>
      <c r="B158" t="s">
        <v>32</v>
      </c>
      <c r="C158" s="7">
        <v>9</v>
      </c>
      <c r="D158" s="7">
        <v>2</v>
      </c>
      <c r="E158" s="7">
        <v>8</v>
      </c>
      <c r="F158" s="7">
        <v>8</v>
      </c>
      <c r="G158" s="7">
        <v>2</v>
      </c>
      <c r="H158" s="7">
        <v>7</v>
      </c>
      <c r="I158" s="8">
        <v>8.6999999999999994E-2</v>
      </c>
      <c r="J158" s="7">
        <f t="shared" si="2"/>
        <v>8.045977011494255</v>
      </c>
      <c r="K158">
        <v>7.0000000000000001E-3</v>
      </c>
      <c r="L158" t="s">
        <v>17</v>
      </c>
      <c r="M158">
        <v>296</v>
      </c>
      <c r="N158" t="s">
        <v>1032</v>
      </c>
      <c r="O158" t="s">
        <v>1031</v>
      </c>
    </row>
    <row r="159" spans="1:15" x14ac:dyDescent="0.2">
      <c r="A159" t="s">
        <v>190</v>
      </c>
      <c r="B159" t="s">
        <v>32</v>
      </c>
      <c r="C159" s="7">
        <v>9</v>
      </c>
      <c r="D159" s="7">
        <v>1</v>
      </c>
      <c r="E159" s="7">
        <v>8</v>
      </c>
      <c r="F159" s="7">
        <v>8</v>
      </c>
      <c r="G159" s="7">
        <v>1</v>
      </c>
      <c r="H159" s="7">
        <v>7</v>
      </c>
      <c r="I159" s="8">
        <v>8.3599999999999994E-2</v>
      </c>
      <c r="J159" s="7">
        <f t="shared" si="2"/>
        <v>8.3732057416267942</v>
      </c>
      <c r="K159">
        <v>7.0000000000000001E-3</v>
      </c>
      <c r="L159" t="s">
        <v>17</v>
      </c>
      <c r="M159">
        <v>296</v>
      </c>
      <c r="N159" t="s">
        <v>1032</v>
      </c>
      <c r="O159" t="s">
        <v>1031</v>
      </c>
    </row>
    <row r="160" spans="1:15" x14ac:dyDescent="0.2">
      <c r="A160" t="s">
        <v>190</v>
      </c>
      <c r="B160" t="s">
        <v>32</v>
      </c>
      <c r="C160" s="7">
        <v>7</v>
      </c>
      <c r="D160" s="7">
        <v>4</v>
      </c>
      <c r="E160" s="7">
        <v>3</v>
      </c>
      <c r="F160" s="7">
        <v>6</v>
      </c>
      <c r="G160" s="7">
        <v>4</v>
      </c>
      <c r="H160" s="7">
        <v>2</v>
      </c>
      <c r="I160" s="8">
        <v>9.7699999999999995E-2</v>
      </c>
      <c r="J160" s="7">
        <f t="shared" si="2"/>
        <v>8.1883316274309124</v>
      </c>
      <c r="K160">
        <v>8.0000000000000002E-3</v>
      </c>
      <c r="L160" t="s">
        <v>17</v>
      </c>
      <c r="M160">
        <v>296</v>
      </c>
      <c r="N160" t="s">
        <v>1032</v>
      </c>
      <c r="O160" t="s">
        <v>1031</v>
      </c>
    </row>
    <row r="161" spans="1:15" x14ac:dyDescent="0.2">
      <c r="A161" t="s">
        <v>190</v>
      </c>
      <c r="B161" t="s">
        <v>32</v>
      </c>
      <c r="C161" s="7">
        <v>8</v>
      </c>
      <c r="D161" s="7">
        <v>3</v>
      </c>
      <c r="E161" s="7">
        <v>6</v>
      </c>
      <c r="F161" s="7">
        <v>7</v>
      </c>
      <c r="G161" s="7">
        <v>3</v>
      </c>
      <c r="H161" s="7">
        <v>5</v>
      </c>
      <c r="I161" s="8">
        <v>9.0999999999999998E-2</v>
      </c>
      <c r="J161" s="7">
        <f t="shared" si="2"/>
        <v>6.593406593406594</v>
      </c>
      <c r="K161">
        <v>6.0000000000000001E-3</v>
      </c>
      <c r="L161" t="s">
        <v>17</v>
      </c>
      <c r="M161">
        <v>296</v>
      </c>
      <c r="N161" t="s">
        <v>1032</v>
      </c>
      <c r="O161" t="s">
        <v>1031</v>
      </c>
    </row>
    <row r="162" spans="1:15" x14ac:dyDescent="0.2">
      <c r="A162" t="s">
        <v>190</v>
      </c>
      <c r="B162" t="s">
        <v>32</v>
      </c>
      <c r="C162" s="7">
        <v>7</v>
      </c>
      <c r="D162" s="7">
        <v>4</v>
      </c>
      <c r="E162" s="7">
        <v>4</v>
      </c>
      <c r="F162" s="7">
        <v>6</v>
      </c>
      <c r="G162" s="7">
        <v>3</v>
      </c>
      <c r="H162" s="7">
        <v>3</v>
      </c>
      <c r="I162" s="8">
        <v>0.13100000000000001</v>
      </c>
      <c r="J162" s="7">
        <f t="shared" si="2"/>
        <v>5.343511450381679</v>
      </c>
      <c r="K162">
        <v>7.0000000000000001E-3</v>
      </c>
      <c r="L162" t="s">
        <v>17</v>
      </c>
      <c r="M162">
        <v>296</v>
      </c>
      <c r="N162" t="s">
        <v>1032</v>
      </c>
      <c r="O162" t="s">
        <v>1031</v>
      </c>
    </row>
    <row r="163" spans="1:15" x14ac:dyDescent="0.2">
      <c r="A163" t="s">
        <v>190</v>
      </c>
      <c r="B163" t="s">
        <v>32</v>
      </c>
      <c r="C163" s="7">
        <v>7</v>
      </c>
      <c r="D163" s="7">
        <v>5</v>
      </c>
      <c r="E163" s="7">
        <v>3</v>
      </c>
      <c r="F163" s="7">
        <v>6</v>
      </c>
      <c r="G163" s="7">
        <v>5</v>
      </c>
      <c r="H163" s="7">
        <v>2</v>
      </c>
      <c r="I163" s="8">
        <v>9.1999999999999998E-2</v>
      </c>
      <c r="J163" s="7">
        <f t="shared" si="2"/>
        <v>8.695652173913043</v>
      </c>
      <c r="K163">
        <v>8.0000000000000002E-3</v>
      </c>
      <c r="L163" t="s">
        <v>17</v>
      </c>
      <c r="M163">
        <v>296</v>
      </c>
      <c r="N163" t="s">
        <v>1032</v>
      </c>
      <c r="O163" t="s">
        <v>1031</v>
      </c>
    </row>
    <row r="164" spans="1:15" x14ac:dyDescent="0.2">
      <c r="A164" t="s">
        <v>190</v>
      </c>
      <c r="B164" t="s">
        <v>32</v>
      </c>
      <c r="C164" s="7">
        <v>7</v>
      </c>
      <c r="D164" s="7">
        <v>5</v>
      </c>
      <c r="E164" s="7">
        <v>2</v>
      </c>
      <c r="F164" s="7">
        <v>6</v>
      </c>
      <c r="G164" s="7">
        <v>5</v>
      </c>
      <c r="H164" s="7">
        <v>1</v>
      </c>
      <c r="I164" s="8">
        <v>9.3899999999999997E-2</v>
      </c>
      <c r="J164" s="7">
        <f t="shared" si="2"/>
        <v>6.3897763578274756</v>
      </c>
      <c r="K164">
        <v>6.0000000000000001E-3</v>
      </c>
      <c r="L164" t="s">
        <v>17</v>
      </c>
      <c r="M164">
        <v>296</v>
      </c>
      <c r="N164" t="s">
        <v>1032</v>
      </c>
      <c r="O164" t="s">
        <v>1031</v>
      </c>
    </row>
    <row r="165" spans="1:15" x14ac:dyDescent="0.2">
      <c r="A165" t="s">
        <v>190</v>
      </c>
      <c r="B165" t="s">
        <v>32</v>
      </c>
      <c r="C165" s="7">
        <v>8</v>
      </c>
      <c r="D165" s="7">
        <v>4</v>
      </c>
      <c r="E165" s="7">
        <v>5</v>
      </c>
      <c r="F165" s="7">
        <v>7</v>
      </c>
      <c r="G165" s="7">
        <v>3</v>
      </c>
      <c r="H165" s="7">
        <v>4</v>
      </c>
      <c r="I165" s="8">
        <v>0.125</v>
      </c>
      <c r="J165" s="7">
        <f t="shared" si="2"/>
        <v>5.6000000000000005</v>
      </c>
      <c r="K165">
        <v>7.0000000000000001E-3</v>
      </c>
      <c r="L165" t="s">
        <v>17</v>
      </c>
      <c r="M165">
        <v>296</v>
      </c>
      <c r="N165" t="s">
        <v>1032</v>
      </c>
      <c r="O165" t="s">
        <v>1031</v>
      </c>
    </row>
    <row r="166" spans="1:15" x14ac:dyDescent="0.2">
      <c r="A166" t="s">
        <v>190</v>
      </c>
      <c r="B166" t="s">
        <v>32</v>
      </c>
      <c r="C166" s="7">
        <v>8</v>
      </c>
      <c r="D166" s="7">
        <v>2</v>
      </c>
      <c r="E166" s="7">
        <v>6</v>
      </c>
      <c r="F166" s="7">
        <v>7</v>
      </c>
      <c r="G166" s="7">
        <v>2</v>
      </c>
      <c r="H166" s="7">
        <v>5</v>
      </c>
      <c r="I166" s="8">
        <v>0.112</v>
      </c>
      <c r="J166" s="7">
        <f t="shared" si="2"/>
        <v>6.25</v>
      </c>
      <c r="K166">
        <v>7.0000000000000001E-3</v>
      </c>
      <c r="L166" t="s">
        <v>17</v>
      </c>
      <c r="M166">
        <v>296</v>
      </c>
      <c r="N166" t="s">
        <v>1032</v>
      </c>
      <c r="O166" t="s">
        <v>1031</v>
      </c>
    </row>
    <row r="167" spans="1:15" x14ac:dyDescent="0.2">
      <c r="A167" t="s">
        <v>190</v>
      </c>
      <c r="B167" t="s">
        <v>32</v>
      </c>
      <c r="C167" s="7">
        <v>10</v>
      </c>
      <c r="D167" s="7">
        <v>2</v>
      </c>
      <c r="E167" s="7">
        <v>9</v>
      </c>
      <c r="F167" s="7">
        <v>9</v>
      </c>
      <c r="G167" s="7">
        <v>2</v>
      </c>
      <c r="H167" s="7">
        <v>8</v>
      </c>
      <c r="I167" s="8">
        <v>8.0699999999999994E-2</v>
      </c>
      <c r="J167" s="7">
        <f t="shared" si="2"/>
        <v>9.9132589838909553</v>
      </c>
      <c r="K167">
        <v>8.0000000000000002E-3</v>
      </c>
      <c r="L167" t="s">
        <v>17</v>
      </c>
      <c r="M167">
        <v>296</v>
      </c>
      <c r="N167" t="s">
        <v>1032</v>
      </c>
      <c r="O167" t="s">
        <v>1031</v>
      </c>
    </row>
    <row r="168" spans="1:15" x14ac:dyDescent="0.2">
      <c r="A168" t="s">
        <v>190</v>
      </c>
      <c r="B168" t="s">
        <v>32</v>
      </c>
      <c r="C168" s="7">
        <v>10</v>
      </c>
      <c r="D168" s="7">
        <v>1</v>
      </c>
      <c r="E168" s="7">
        <v>9</v>
      </c>
      <c r="F168" s="7">
        <v>9</v>
      </c>
      <c r="G168" s="7">
        <v>1</v>
      </c>
      <c r="H168" s="7">
        <v>8</v>
      </c>
      <c r="I168" s="8">
        <v>7.7100000000000002E-2</v>
      </c>
      <c r="J168" s="7">
        <f t="shared" si="2"/>
        <v>7.782101167315175</v>
      </c>
      <c r="K168">
        <v>6.0000000000000001E-3</v>
      </c>
      <c r="L168" t="s">
        <v>17</v>
      </c>
      <c r="M168">
        <v>296</v>
      </c>
      <c r="N168" t="s">
        <v>1032</v>
      </c>
      <c r="O168" t="s">
        <v>1031</v>
      </c>
    </row>
    <row r="169" spans="1:15" x14ac:dyDescent="0.2">
      <c r="A169" t="s">
        <v>190</v>
      </c>
      <c r="B169" t="s">
        <v>32</v>
      </c>
      <c r="C169" s="7">
        <v>8</v>
      </c>
      <c r="D169" s="7">
        <v>4</v>
      </c>
      <c r="E169" s="7">
        <v>5</v>
      </c>
      <c r="F169" s="7">
        <v>7</v>
      </c>
      <c r="G169" s="7">
        <v>4</v>
      </c>
      <c r="H169" s="7">
        <v>4</v>
      </c>
      <c r="I169" s="8">
        <v>8.9800000000000005E-2</v>
      </c>
      <c r="J169" s="7">
        <f t="shared" si="2"/>
        <v>7.7951002227171493</v>
      </c>
      <c r="K169">
        <v>7.0000000000000001E-3</v>
      </c>
      <c r="L169" t="s">
        <v>17</v>
      </c>
      <c r="M169">
        <v>296</v>
      </c>
      <c r="N169" t="s">
        <v>1032</v>
      </c>
      <c r="O169" t="s">
        <v>1031</v>
      </c>
    </row>
    <row r="170" spans="1:15" x14ac:dyDescent="0.2">
      <c r="A170" t="s">
        <v>190</v>
      </c>
      <c r="B170" t="s">
        <v>32</v>
      </c>
      <c r="C170" s="7">
        <v>9</v>
      </c>
      <c r="D170" s="7">
        <v>3</v>
      </c>
      <c r="E170" s="7">
        <v>7</v>
      </c>
      <c r="F170" s="7">
        <v>8</v>
      </c>
      <c r="G170" s="7">
        <v>3</v>
      </c>
      <c r="H170" s="7">
        <v>6</v>
      </c>
      <c r="I170" s="8">
        <v>8.4400000000000003E-2</v>
      </c>
      <c r="J170" s="7">
        <f t="shared" si="2"/>
        <v>7.109004739336493</v>
      </c>
      <c r="K170">
        <v>6.0000000000000001E-3</v>
      </c>
      <c r="L170" t="s">
        <v>17</v>
      </c>
      <c r="M170">
        <v>296</v>
      </c>
      <c r="N170" t="s">
        <v>1032</v>
      </c>
      <c r="O170" t="s">
        <v>1031</v>
      </c>
    </row>
    <row r="171" spans="1:15" x14ac:dyDescent="0.2">
      <c r="A171" t="s">
        <v>190</v>
      </c>
      <c r="B171" t="s">
        <v>32</v>
      </c>
      <c r="C171" s="7">
        <v>8</v>
      </c>
      <c r="D171" s="7">
        <v>4</v>
      </c>
      <c r="E171" s="7">
        <v>4</v>
      </c>
      <c r="F171" s="7">
        <v>7</v>
      </c>
      <c r="G171" s="7">
        <v>4</v>
      </c>
      <c r="H171" s="7">
        <v>3</v>
      </c>
      <c r="I171" s="8">
        <v>9.35E-2</v>
      </c>
      <c r="J171" s="7">
        <f t="shared" si="2"/>
        <v>7.4866310160427814</v>
      </c>
      <c r="K171">
        <v>7.0000000000000001E-3</v>
      </c>
      <c r="L171" t="s">
        <v>17</v>
      </c>
      <c r="M171">
        <v>296</v>
      </c>
      <c r="N171" t="s">
        <v>1032</v>
      </c>
      <c r="O171" t="s">
        <v>1031</v>
      </c>
    </row>
    <row r="172" spans="1:15" x14ac:dyDescent="0.2">
      <c r="A172" t="s">
        <v>190</v>
      </c>
      <c r="B172" t="s">
        <v>32</v>
      </c>
      <c r="C172" s="7">
        <v>11</v>
      </c>
      <c r="D172" s="7">
        <v>2</v>
      </c>
      <c r="E172" s="7">
        <v>10</v>
      </c>
      <c r="F172" s="7">
        <v>10</v>
      </c>
      <c r="G172" s="7">
        <v>2</v>
      </c>
      <c r="H172" s="7">
        <v>9</v>
      </c>
      <c r="I172" s="8">
        <v>7.5399999999999995E-2</v>
      </c>
      <c r="J172" s="7">
        <f t="shared" si="2"/>
        <v>10.610079575596817</v>
      </c>
      <c r="K172">
        <v>8.0000000000000002E-3</v>
      </c>
      <c r="L172" t="s">
        <v>17</v>
      </c>
      <c r="M172">
        <v>296</v>
      </c>
      <c r="N172" t="s">
        <v>1032</v>
      </c>
      <c r="O172" t="s">
        <v>1031</v>
      </c>
    </row>
    <row r="173" spans="1:15" x14ac:dyDescent="0.2">
      <c r="A173" t="s">
        <v>190</v>
      </c>
      <c r="B173" t="s">
        <v>32</v>
      </c>
      <c r="C173" s="7">
        <v>7</v>
      </c>
      <c r="D173" s="7">
        <v>3</v>
      </c>
      <c r="E173" s="7">
        <v>5</v>
      </c>
      <c r="F173" s="7">
        <v>8</v>
      </c>
      <c r="G173" s="7">
        <v>3</v>
      </c>
      <c r="H173" s="7">
        <v>6</v>
      </c>
      <c r="I173" s="9">
        <v>9.6350000000000005E-2</v>
      </c>
      <c r="J173" s="7">
        <f t="shared" si="2"/>
        <v>10.378827192527245</v>
      </c>
      <c r="K173" s="7">
        <v>0.01</v>
      </c>
      <c r="L173" t="s">
        <v>17</v>
      </c>
      <c r="M173">
        <v>296</v>
      </c>
      <c r="N173" t="s">
        <v>1032</v>
      </c>
      <c r="O173" t="s">
        <v>1031</v>
      </c>
    </row>
    <row r="174" spans="1:15" x14ac:dyDescent="0.2">
      <c r="A174" t="s">
        <v>190</v>
      </c>
      <c r="B174" t="s">
        <v>32</v>
      </c>
      <c r="C174" s="7">
        <v>7</v>
      </c>
      <c r="D174" s="7">
        <v>4</v>
      </c>
      <c r="E174" s="7">
        <v>4</v>
      </c>
      <c r="F174" s="7">
        <v>8</v>
      </c>
      <c r="G174" s="7">
        <v>4</v>
      </c>
      <c r="H174" s="7">
        <v>5</v>
      </c>
      <c r="I174" s="9">
        <v>9.0050000000000005E-2</v>
      </c>
      <c r="J174" s="7">
        <f t="shared" si="2"/>
        <v>11.104941699056079</v>
      </c>
      <c r="K174" s="7">
        <v>0.01</v>
      </c>
      <c r="L174" t="s">
        <v>17</v>
      </c>
      <c r="M174">
        <v>296</v>
      </c>
      <c r="N174" t="s">
        <v>1032</v>
      </c>
      <c r="O174" t="s">
        <v>1031</v>
      </c>
    </row>
    <row r="175" spans="1:15" x14ac:dyDescent="0.2">
      <c r="A175" t="s">
        <v>190</v>
      </c>
      <c r="B175" t="s">
        <v>32</v>
      </c>
      <c r="C175" s="7">
        <v>7</v>
      </c>
      <c r="D175" s="7">
        <v>2</v>
      </c>
      <c r="E175" s="7">
        <v>6</v>
      </c>
      <c r="F175" s="7">
        <v>8</v>
      </c>
      <c r="G175" s="7">
        <v>2</v>
      </c>
      <c r="H175" s="7">
        <v>7</v>
      </c>
      <c r="I175" s="9">
        <v>9.3820000000000001E-2</v>
      </c>
      <c r="J175" s="7">
        <f t="shared" si="2"/>
        <v>10.658708164570454</v>
      </c>
      <c r="K175" s="7">
        <v>0.01</v>
      </c>
      <c r="L175" t="s">
        <v>17</v>
      </c>
      <c r="M175">
        <v>296</v>
      </c>
      <c r="N175" t="s">
        <v>1032</v>
      </c>
      <c r="O175" t="s">
        <v>1031</v>
      </c>
    </row>
    <row r="176" spans="1:15" x14ac:dyDescent="0.2">
      <c r="A176" t="s">
        <v>190</v>
      </c>
      <c r="B176" t="s">
        <v>32</v>
      </c>
      <c r="C176" s="7">
        <v>6</v>
      </c>
      <c r="D176" s="7">
        <v>2</v>
      </c>
      <c r="E176" s="7">
        <v>4</v>
      </c>
      <c r="F176" s="7">
        <v>7</v>
      </c>
      <c r="G176" s="7">
        <v>2</v>
      </c>
      <c r="H176" s="7">
        <v>5</v>
      </c>
      <c r="I176" s="9">
        <v>0.12289</v>
      </c>
      <c r="J176" s="7">
        <f t="shared" si="2"/>
        <v>8.1373586133940918</v>
      </c>
      <c r="K176" s="7">
        <v>0.01</v>
      </c>
      <c r="L176" t="s">
        <v>17</v>
      </c>
      <c r="M176">
        <v>296</v>
      </c>
      <c r="N176" t="s">
        <v>1032</v>
      </c>
      <c r="O176" t="s">
        <v>1031</v>
      </c>
    </row>
    <row r="177" spans="1:15" x14ac:dyDescent="0.2">
      <c r="A177" t="s">
        <v>190</v>
      </c>
      <c r="B177" t="s">
        <v>32</v>
      </c>
      <c r="C177" s="7">
        <v>4</v>
      </c>
      <c r="D177" s="7">
        <v>1</v>
      </c>
      <c r="E177" s="7">
        <v>4</v>
      </c>
      <c r="F177" s="7">
        <v>4</v>
      </c>
      <c r="G177" s="7">
        <v>2</v>
      </c>
      <c r="H177" s="7">
        <v>3</v>
      </c>
      <c r="I177" s="9">
        <v>0.11551</v>
      </c>
      <c r="J177" s="7">
        <f t="shared" si="2"/>
        <v>8.6572591117652156</v>
      </c>
      <c r="K177" s="7">
        <v>0.01</v>
      </c>
      <c r="L177" t="s">
        <v>17</v>
      </c>
      <c r="M177">
        <v>296</v>
      </c>
      <c r="N177" t="s">
        <v>1032</v>
      </c>
      <c r="O177" t="s">
        <v>1031</v>
      </c>
    </row>
    <row r="178" spans="1:15" x14ac:dyDescent="0.2">
      <c r="A178" t="s">
        <v>190</v>
      </c>
      <c r="B178" t="s">
        <v>32</v>
      </c>
      <c r="C178" s="7">
        <v>6</v>
      </c>
      <c r="D178" s="7">
        <v>3</v>
      </c>
      <c r="E178" s="7">
        <v>3</v>
      </c>
      <c r="F178" s="7">
        <v>7</v>
      </c>
      <c r="G178" s="7">
        <v>3</v>
      </c>
      <c r="H178" s="7">
        <v>4</v>
      </c>
      <c r="I178" s="9">
        <v>0.1303</v>
      </c>
      <c r="J178" s="7">
        <f t="shared" si="2"/>
        <v>7.6745970836531088</v>
      </c>
      <c r="K178" s="7">
        <v>0.01</v>
      </c>
      <c r="L178" t="s">
        <v>17</v>
      </c>
      <c r="M178">
        <v>296</v>
      </c>
      <c r="N178" t="s">
        <v>1032</v>
      </c>
      <c r="O178" t="s">
        <v>1031</v>
      </c>
    </row>
    <row r="179" spans="1:15" x14ac:dyDescent="0.2">
      <c r="A179" t="s">
        <v>190</v>
      </c>
      <c r="B179" t="s">
        <v>32</v>
      </c>
      <c r="C179" s="7">
        <v>7</v>
      </c>
      <c r="D179" s="7">
        <v>0</v>
      </c>
      <c r="E179" s="7">
        <v>7</v>
      </c>
      <c r="F179" s="7">
        <v>8</v>
      </c>
      <c r="G179" s="7">
        <v>0</v>
      </c>
      <c r="H179" s="7">
        <v>8</v>
      </c>
      <c r="I179" s="9">
        <v>7.1440000000000003E-2</v>
      </c>
      <c r="J179" s="7">
        <f t="shared" si="2"/>
        <v>13.997760358342665</v>
      </c>
      <c r="K179" s="7">
        <v>0.01</v>
      </c>
      <c r="L179" t="s">
        <v>17</v>
      </c>
      <c r="M179">
        <v>296</v>
      </c>
      <c r="N179" t="s">
        <v>1032</v>
      </c>
      <c r="O179" t="s">
        <v>1031</v>
      </c>
    </row>
    <row r="180" spans="1:15" x14ac:dyDescent="0.2">
      <c r="A180" t="s">
        <v>190</v>
      </c>
      <c r="B180" t="s">
        <v>32</v>
      </c>
      <c r="C180" s="7">
        <v>7</v>
      </c>
      <c r="D180" s="7">
        <v>1</v>
      </c>
      <c r="E180" s="7">
        <v>7</v>
      </c>
      <c r="F180" s="7">
        <v>8</v>
      </c>
      <c r="G180" s="7">
        <v>1</v>
      </c>
      <c r="H180" s="7">
        <v>8</v>
      </c>
      <c r="I180" s="9">
        <v>8.6449999999999999E-2</v>
      </c>
      <c r="J180" s="7">
        <f t="shared" si="2"/>
        <v>11.56737998843262</v>
      </c>
      <c r="K180" s="7">
        <v>0.01</v>
      </c>
      <c r="L180" t="s">
        <v>17</v>
      </c>
      <c r="M180">
        <v>296</v>
      </c>
      <c r="N180" t="s">
        <v>1032</v>
      </c>
      <c r="O180" t="s">
        <v>1031</v>
      </c>
    </row>
    <row r="181" spans="1:15" x14ac:dyDescent="0.2">
      <c r="A181" t="s">
        <v>190</v>
      </c>
      <c r="B181" t="s">
        <v>32</v>
      </c>
      <c r="C181" s="7">
        <v>7</v>
      </c>
      <c r="D181" s="7">
        <v>5</v>
      </c>
      <c r="E181" s="7">
        <v>3</v>
      </c>
      <c r="F181" s="7">
        <v>8</v>
      </c>
      <c r="G181" s="7">
        <v>5</v>
      </c>
      <c r="H181" s="7">
        <v>4</v>
      </c>
      <c r="I181" s="9">
        <v>9.2490000000000003E-2</v>
      </c>
      <c r="J181" s="7">
        <f t="shared" si="2"/>
        <v>10.811979673478215</v>
      </c>
      <c r="K181" s="7">
        <v>0.01</v>
      </c>
      <c r="L181" t="s">
        <v>17</v>
      </c>
      <c r="M181">
        <v>296</v>
      </c>
      <c r="N181" t="s">
        <v>1032</v>
      </c>
      <c r="O181" t="s">
        <v>1031</v>
      </c>
    </row>
    <row r="182" spans="1:15" x14ac:dyDescent="0.2">
      <c r="A182" t="s">
        <v>190</v>
      </c>
      <c r="B182" t="s">
        <v>32</v>
      </c>
      <c r="C182" s="7">
        <v>6</v>
      </c>
      <c r="D182" s="7">
        <v>1</v>
      </c>
      <c r="E182" s="7">
        <v>5</v>
      </c>
      <c r="F182" s="7">
        <v>7</v>
      </c>
      <c r="G182" s="7">
        <v>1</v>
      </c>
      <c r="H182" s="7">
        <v>6</v>
      </c>
      <c r="I182" s="9">
        <v>0.10908</v>
      </c>
      <c r="J182" s="7">
        <f t="shared" si="2"/>
        <v>9.1675834250091679</v>
      </c>
      <c r="K182" s="7">
        <v>0.01</v>
      </c>
      <c r="L182" t="s">
        <v>17</v>
      </c>
      <c r="M182">
        <v>296</v>
      </c>
      <c r="N182" t="s">
        <v>1032</v>
      </c>
      <c r="O182" t="s">
        <v>1031</v>
      </c>
    </row>
    <row r="183" spans="1:15" x14ac:dyDescent="0.2">
      <c r="A183" t="s">
        <v>190</v>
      </c>
      <c r="B183" t="s">
        <v>32</v>
      </c>
      <c r="C183" s="7">
        <v>6</v>
      </c>
      <c r="D183" s="7">
        <v>3</v>
      </c>
      <c r="E183" s="7">
        <v>4</v>
      </c>
      <c r="F183" s="7">
        <v>7</v>
      </c>
      <c r="G183" s="7">
        <v>3</v>
      </c>
      <c r="H183" s="7">
        <v>5</v>
      </c>
      <c r="I183" s="9">
        <v>0.10378</v>
      </c>
      <c r="J183" s="7">
        <f t="shared" si="2"/>
        <v>9.6357679707072652</v>
      </c>
      <c r="K183" s="7">
        <v>0.01</v>
      </c>
      <c r="L183" t="s">
        <v>17</v>
      </c>
      <c r="M183">
        <v>296</v>
      </c>
      <c r="N183" t="s">
        <v>1032</v>
      </c>
      <c r="O183" t="s">
        <v>1031</v>
      </c>
    </row>
    <row r="184" spans="1:15" x14ac:dyDescent="0.2">
      <c r="A184" t="s">
        <v>190</v>
      </c>
      <c r="B184" t="s">
        <v>32</v>
      </c>
      <c r="C184" s="7">
        <v>6</v>
      </c>
      <c r="D184" s="7">
        <v>2</v>
      </c>
      <c r="E184" s="7">
        <v>5</v>
      </c>
      <c r="F184" s="7">
        <v>7</v>
      </c>
      <c r="G184" s="7">
        <v>2</v>
      </c>
      <c r="H184" s="7">
        <v>6</v>
      </c>
      <c r="I184" s="9">
        <v>0.1013</v>
      </c>
      <c r="J184" s="7">
        <f t="shared" si="2"/>
        <v>9.8716683119447186</v>
      </c>
      <c r="K184" s="7">
        <v>0.01</v>
      </c>
      <c r="L184" t="s">
        <v>17</v>
      </c>
      <c r="M184">
        <v>296</v>
      </c>
      <c r="N184" t="s">
        <v>1032</v>
      </c>
      <c r="O184" t="s">
        <v>1031</v>
      </c>
    </row>
    <row r="185" spans="1:15" x14ac:dyDescent="0.2">
      <c r="A185" t="s">
        <v>190</v>
      </c>
      <c r="B185" t="s">
        <v>32</v>
      </c>
      <c r="C185" s="7">
        <v>6</v>
      </c>
      <c r="D185" s="7">
        <v>4</v>
      </c>
      <c r="E185" s="7">
        <v>3</v>
      </c>
      <c r="F185" s="7">
        <v>7</v>
      </c>
      <c r="G185" s="7">
        <v>3</v>
      </c>
      <c r="H185" s="7">
        <v>4</v>
      </c>
      <c r="I185" s="9">
        <v>0.12</v>
      </c>
      <c r="J185" s="7">
        <f t="shared" si="2"/>
        <v>8.3333333333333339</v>
      </c>
      <c r="K185" s="7">
        <v>0.01</v>
      </c>
      <c r="L185" t="s">
        <v>17</v>
      </c>
      <c r="M185">
        <v>296</v>
      </c>
      <c r="N185" t="s">
        <v>1032</v>
      </c>
      <c r="O185" t="s">
        <v>1031</v>
      </c>
    </row>
    <row r="186" spans="1:15" x14ac:dyDescent="0.2">
      <c r="A186" t="s">
        <v>190</v>
      </c>
      <c r="B186" t="s">
        <v>32</v>
      </c>
      <c r="C186" s="7">
        <v>5</v>
      </c>
      <c r="D186" s="7">
        <v>2</v>
      </c>
      <c r="E186" s="7">
        <v>3</v>
      </c>
      <c r="F186" s="7">
        <v>6</v>
      </c>
      <c r="G186" s="7">
        <v>2</v>
      </c>
      <c r="H186" s="7">
        <v>4</v>
      </c>
      <c r="I186" s="9">
        <v>0.14879999999999999</v>
      </c>
      <c r="J186" s="7">
        <f t="shared" si="2"/>
        <v>6.7204301075268829</v>
      </c>
      <c r="K186" s="7">
        <v>0.01</v>
      </c>
      <c r="L186" t="s">
        <v>17</v>
      </c>
      <c r="M186">
        <v>296</v>
      </c>
      <c r="N186" t="s">
        <v>1032</v>
      </c>
      <c r="O186" t="s">
        <v>1031</v>
      </c>
    </row>
    <row r="187" spans="1:15" x14ac:dyDescent="0.2">
      <c r="A187" t="s">
        <v>190</v>
      </c>
      <c r="B187" t="s">
        <v>32</v>
      </c>
      <c r="C187" s="7">
        <v>6</v>
      </c>
      <c r="D187" s="7">
        <v>0</v>
      </c>
      <c r="E187" s="7">
        <v>6</v>
      </c>
      <c r="F187" s="7">
        <v>7</v>
      </c>
      <c r="G187" s="7">
        <v>0</v>
      </c>
      <c r="H187" s="7">
        <v>7</v>
      </c>
      <c r="I187" s="9">
        <v>8.5419999999999996E-2</v>
      </c>
      <c r="J187" s="7">
        <f t="shared" si="2"/>
        <v>11.706860220088974</v>
      </c>
      <c r="K187" s="7">
        <v>0.01</v>
      </c>
      <c r="L187" t="s">
        <v>17</v>
      </c>
      <c r="M187">
        <v>296</v>
      </c>
      <c r="N187" t="s">
        <v>1032</v>
      </c>
      <c r="O187" t="s">
        <v>1031</v>
      </c>
    </row>
    <row r="188" spans="1:15" x14ac:dyDescent="0.2">
      <c r="A188" t="s">
        <v>190</v>
      </c>
      <c r="B188" t="s">
        <v>32</v>
      </c>
      <c r="C188" s="7">
        <v>6</v>
      </c>
      <c r="D188" s="7">
        <v>1</v>
      </c>
      <c r="E188" s="7">
        <v>6</v>
      </c>
      <c r="F188" s="7">
        <v>7</v>
      </c>
      <c r="G188" s="7">
        <v>1</v>
      </c>
      <c r="H188" s="7">
        <v>7</v>
      </c>
      <c r="I188" s="9">
        <v>9.3369999999999995E-2</v>
      </c>
      <c r="J188" s="7">
        <f t="shared" si="2"/>
        <v>10.710078183570742</v>
      </c>
      <c r="K188" s="7">
        <v>0.01</v>
      </c>
      <c r="L188" t="s">
        <v>17</v>
      </c>
      <c r="M188">
        <v>296</v>
      </c>
      <c r="N188" t="s">
        <v>1032</v>
      </c>
      <c r="O188" t="s">
        <v>1031</v>
      </c>
    </row>
    <row r="189" spans="1:15" x14ac:dyDescent="0.2">
      <c r="A189" t="s">
        <v>190</v>
      </c>
      <c r="B189" t="s">
        <v>32</v>
      </c>
      <c r="C189" s="7">
        <v>5</v>
      </c>
      <c r="D189" s="7">
        <v>1</v>
      </c>
      <c r="E189" s="7">
        <v>4</v>
      </c>
      <c r="F189" s="7">
        <v>5</v>
      </c>
      <c r="G189" s="7">
        <v>2</v>
      </c>
      <c r="H189" s="7">
        <v>3</v>
      </c>
      <c r="I189" s="9">
        <v>0.16044</v>
      </c>
      <c r="J189" s="7">
        <f t="shared" si="2"/>
        <v>6.2328596360009971</v>
      </c>
      <c r="K189" s="7">
        <v>0.01</v>
      </c>
      <c r="L189" t="s">
        <v>17</v>
      </c>
      <c r="M189">
        <v>296</v>
      </c>
      <c r="N189" t="s">
        <v>1032</v>
      </c>
      <c r="O189" t="s">
        <v>1031</v>
      </c>
    </row>
    <row r="190" spans="1:15" x14ac:dyDescent="0.2">
      <c r="A190" t="s">
        <v>190</v>
      </c>
      <c r="B190" t="s">
        <v>32</v>
      </c>
      <c r="C190" s="7">
        <v>5</v>
      </c>
      <c r="D190" s="7">
        <v>1</v>
      </c>
      <c r="E190" s="7">
        <v>4</v>
      </c>
      <c r="F190" s="7">
        <v>6</v>
      </c>
      <c r="G190" s="7">
        <v>1</v>
      </c>
      <c r="H190" s="7">
        <v>5</v>
      </c>
      <c r="I190" s="9">
        <v>0.13691999999999999</v>
      </c>
      <c r="J190" s="7">
        <f t="shared" si="2"/>
        <v>7.3035349108968752</v>
      </c>
      <c r="K190" s="7">
        <v>0.01</v>
      </c>
      <c r="L190" t="s">
        <v>17</v>
      </c>
      <c r="M190">
        <v>296</v>
      </c>
      <c r="N190" t="s">
        <v>1032</v>
      </c>
      <c r="O190" t="s">
        <v>1031</v>
      </c>
    </row>
    <row r="191" spans="1:15" x14ac:dyDescent="0.2">
      <c r="A191" t="s">
        <v>190</v>
      </c>
      <c r="B191" t="s">
        <v>32</v>
      </c>
      <c r="C191" s="7">
        <v>5</v>
      </c>
      <c r="D191" s="7">
        <v>3</v>
      </c>
      <c r="E191" s="7">
        <v>2</v>
      </c>
      <c r="F191" s="7">
        <v>6</v>
      </c>
      <c r="G191" s="7">
        <v>3</v>
      </c>
      <c r="H191" s="7">
        <v>3</v>
      </c>
      <c r="I191" s="9">
        <v>0.12956999999999999</v>
      </c>
      <c r="J191" s="7">
        <f t="shared" si="2"/>
        <v>7.7178359188083663</v>
      </c>
      <c r="K191" s="7">
        <v>0.01</v>
      </c>
      <c r="L191" t="s">
        <v>17</v>
      </c>
      <c r="M191">
        <v>296</v>
      </c>
      <c r="N191" t="s">
        <v>1032</v>
      </c>
      <c r="O191" t="s">
        <v>1031</v>
      </c>
    </row>
    <row r="192" spans="1:15" x14ac:dyDescent="0.2">
      <c r="A192" t="s">
        <v>190</v>
      </c>
      <c r="B192" t="s">
        <v>32</v>
      </c>
      <c r="C192" s="7">
        <v>6</v>
      </c>
      <c r="D192" s="7">
        <v>5</v>
      </c>
      <c r="E192" s="7">
        <v>1</v>
      </c>
      <c r="F192" s="7">
        <v>7</v>
      </c>
      <c r="G192" s="7">
        <v>5</v>
      </c>
      <c r="H192" s="7">
        <v>2</v>
      </c>
      <c r="I192" s="9">
        <v>9.2420000000000002E-2</v>
      </c>
      <c r="J192" s="7">
        <f t="shared" si="2"/>
        <v>10.820168794633195</v>
      </c>
      <c r="K192" s="7">
        <v>0.01</v>
      </c>
      <c r="L192" t="s">
        <v>17</v>
      </c>
      <c r="M192">
        <v>296</v>
      </c>
      <c r="N192" t="s">
        <v>1032</v>
      </c>
      <c r="O192" t="s">
        <v>1031</v>
      </c>
    </row>
    <row r="193" spans="1:15" x14ac:dyDescent="0.2">
      <c r="A193" t="s">
        <v>190</v>
      </c>
      <c r="B193" t="s">
        <v>32</v>
      </c>
      <c r="C193" s="7">
        <v>5</v>
      </c>
      <c r="D193" s="7">
        <v>2</v>
      </c>
      <c r="E193" s="7">
        <v>4</v>
      </c>
      <c r="F193" s="7">
        <v>6</v>
      </c>
      <c r="G193" s="7">
        <v>2</v>
      </c>
      <c r="H193" s="7">
        <v>5</v>
      </c>
      <c r="I193" s="9">
        <v>0.10811</v>
      </c>
      <c r="J193" s="7">
        <f t="shared" si="2"/>
        <v>9.2498381278327635</v>
      </c>
      <c r="K193" s="7">
        <v>0.01</v>
      </c>
      <c r="L193" t="s">
        <v>17</v>
      </c>
      <c r="M193">
        <v>296</v>
      </c>
      <c r="N193" t="s">
        <v>1032</v>
      </c>
      <c r="O193" t="s">
        <v>1031</v>
      </c>
    </row>
    <row r="194" spans="1:15" x14ac:dyDescent="0.2">
      <c r="A194" t="s">
        <v>190</v>
      </c>
      <c r="B194" t="s">
        <v>32</v>
      </c>
      <c r="C194" s="7">
        <v>5</v>
      </c>
      <c r="D194" s="7">
        <v>3</v>
      </c>
      <c r="E194" s="7">
        <v>3</v>
      </c>
      <c r="F194" s="7">
        <v>6</v>
      </c>
      <c r="G194" s="7">
        <v>3</v>
      </c>
      <c r="H194" s="7">
        <v>4</v>
      </c>
      <c r="I194" s="9">
        <v>0.10337</v>
      </c>
      <c r="J194" s="7">
        <f t="shared" si="2"/>
        <v>9.6739866498984242</v>
      </c>
      <c r="K194" s="7">
        <v>0.01</v>
      </c>
      <c r="L194" t="s">
        <v>17</v>
      </c>
      <c r="M194">
        <v>296</v>
      </c>
      <c r="N194" t="s">
        <v>1032</v>
      </c>
      <c r="O194" t="s">
        <v>1031</v>
      </c>
    </row>
    <row r="195" spans="1:15" x14ac:dyDescent="0.2">
      <c r="A195" t="s">
        <v>190</v>
      </c>
      <c r="B195" t="s">
        <v>32</v>
      </c>
      <c r="C195" s="7">
        <v>7</v>
      </c>
      <c r="D195" s="7">
        <v>1</v>
      </c>
      <c r="E195" s="7">
        <v>7</v>
      </c>
      <c r="F195" s="7">
        <v>7</v>
      </c>
      <c r="G195" s="7">
        <v>1</v>
      </c>
      <c r="H195" s="7">
        <v>6</v>
      </c>
      <c r="I195" s="9">
        <v>9.1439999999999994E-2</v>
      </c>
      <c r="J195" s="7">
        <f t="shared" ref="J195:J258" si="3">K195/I195*100</f>
        <v>10.936132983377078</v>
      </c>
      <c r="K195" s="7">
        <v>0.01</v>
      </c>
      <c r="L195" t="s">
        <v>17</v>
      </c>
      <c r="M195">
        <v>296</v>
      </c>
      <c r="N195" t="s">
        <v>1032</v>
      </c>
      <c r="O195" t="s">
        <v>1031</v>
      </c>
    </row>
    <row r="196" spans="1:15" x14ac:dyDescent="0.2">
      <c r="A196" t="s">
        <v>190</v>
      </c>
      <c r="B196" t="s">
        <v>32</v>
      </c>
      <c r="C196" s="7">
        <v>5</v>
      </c>
      <c r="D196" s="7">
        <v>4</v>
      </c>
      <c r="E196" s="7">
        <v>2</v>
      </c>
      <c r="F196" s="7">
        <v>6</v>
      </c>
      <c r="G196" s="7">
        <v>4</v>
      </c>
      <c r="H196" s="7">
        <v>3</v>
      </c>
      <c r="I196" s="9">
        <v>9.5579999999999998E-2</v>
      </c>
      <c r="J196" s="7">
        <f t="shared" si="3"/>
        <v>10.462439840970914</v>
      </c>
      <c r="K196" s="7">
        <v>0.01</v>
      </c>
      <c r="L196" t="s">
        <v>17</v>
      </c>
      <c r="M196">
        <v>296</v>
      </c>
      <c r="N196" t="s">
        <v>1032</v>
      </c>
      <c r="O196" t="s">
        <v>1031</v>
      </c>
    </row>
    <row r="197" spans="1:15" x14ac:dyDescent="0.2">
      <c r="A197" t="s">
        <v>190</v>
      </c>
      <c r="B197" t="s">
        <v>32</v>
      </c>
      <c r="C197" s="7">
        <v>5</v>
      </c>
      <c r="D197" s="7">
        <v>1</v>
      </c>
      <c r="E197" s="7">
        <v>5</v>
      </c>
      <c r="F197" s="7">
        <v>6</v>
      </c>
      <c r="G197" s="7">
        <v>1</v>
      </c>
      <c r="H197" s="7">
        <v>6</v>
      </c>
      <c r="I197" s="9">
        <v>0.10166</v>
      </c>
      <c r="J197" s="7">
        <f t="shared" si="3"/>
        <v>9.8367106039740317</v>
      </c>
      <c r="K197" s="7">
        <v>0.01</v>
      </c>
      <c r="L197" t="s">
        <v>17</v>
      </c>
      <c r="M197">
        <v>296</v>
      </c>
      <c r="N197" t="s">
        <v>1032</v>
      </c>
      <c r="O197" t="s">
        <v>1031</v>
      </c>
    </row>
    <row r="198" spans="1:15" x14ac:dyDescent="0.2">
      <c r="A198" t="s">
        <v>190</v>
      </c>
      <c r="B198" t="s">
        <v>32</v>
      </c>
      <c r="C198" s="7">
        <v>4</v>
      </c>
      <c r="D198" s="7">
        <v>2</v>
      </c>
      <c r="E198" s="7">
        <v>2</v>
      </c>
      <c r="F198" s="7">
        <v>5</v>
      </c>
      <c r="G198" s="7">
        <v>2</v>
      </c>
      <c r="H198" s="7">
        <v>3</v>
      </c>
      <c r="I198" s="9">
        <v>0.17230000000000001</v>
      </c>
      <c r="J198" s="7">
        <f t="shared" si="3"/>
        <v>5.8038305281485778</v>
      </c>
      <c r="K198" s="7">
        <v>0.01</v>
      </c>
      <c r="L198" t="s">
        <v>17</v>
      </c>
      <c r="M198">
        <v>296</v>
      </c>
      <c r="N198" t="s">
        <v>1032</v>
      </c>
      <c r="O198" t="s">
        <v>1031</v>
      </c>
    </row>
    <row r="199" spans="1:15" x14ac:dyDescent="0.2">
      <c r="A199" t="s">
        <v>190</v>
      </c>
      <c r="B199" t="s">
        <v>32</v>
      </c>
      <c r="C199" s="7">
        <v>5</v>
      </c>
      <c r="D199" s="7">
        <v>3</v>
      </c>
      <c r="E199" s="7">
        <v>2</v>
      </c>
      <c r="F199" s="7">
        <v>6</v>
      </c>
      <c r="G199" s="7">
        <v>2</v>
      </c>
      <c r="H199" s="7">
        <v>5</v>
      </c>
      <c r="I199" s="9">
        <v>0.10933</v>
      </c>
      <c r="J199" s="7">
        <f t="shared" si="3"/>
        <v>9.1466203237903603</v>
      </c>
      <c r="K199" s="7">
        <v>0.01</v>
      </c>
      <c r="L199" t="s">
        <v>17</v>
      </c>
      <c r="M199">
        <v>296</v>
      </c>
      <c r="N199" t="s">
        <v>1032</v>
      </c>
      <c r="O199" t="s">
        <v>1031</v>
      </c>
    </row>
    <row r="200" spans="1:15" x14ac:dyDescent="0.2">
      <c r="A200" t="s">
        <v>190</v>
      </c>
      <c r="B200" t="s">
        <v>32</v>
      </c>
      <c r="C200" s="7">
        <v>4</v>
      </c>
      <c r="D200" s="7">
        <v>1</v>
      </c>
      <c r="E200" s="7">
        <v>3</v>
      </c>
      <c r="F200" s="7">
        <v>5</v>
      </c>
      <c r="G200" s="7">
        <v>1</v>
      </c>
      <c r="H200" s="7">
        <v>4</v>
      </c>
      <c r="I200" s="9">
        <v>0.16231999999999999</v>
      </c>
      <c r="J200" s="7">
        <f t="shared" si="3"/>
        <v>6.1606702809265652</v>
      </c>
      <c r="K200" s="7">
        <v>0.01</v>
      </c>
      <c r="L200" t="s">
        <v>17</v>
      </c>
      <c r="M200">
        <v>296</v>
      </c>
      <c r="N200" t="s">
        <v>1032</v>
      </c>
      <c r="O200" t="s">
        <v>1031</v>
      </c>
    </row>
    <row r="201" spans="1:15" x14ac:dyDescent="0.2">
      <c r="A201" t="s">
        <v>190</v>
      </c>
      <c r="B201" t="s">
        <v>32</v>
      </c>
      <c r="C201" s="7">
        <v>1</v>
      </c>
      <c r="D201" s="7">
        <v>0</v>
      </c>
      <c r="E201" s="7">
        <v>1</v>
      </c>
      <c r="F201" s="7">
        <v>1</v>
      </c>
      <c r="G201" s="7">
        <v>1</v>
      </c>
      <c r="H201" s="7">
        <v>0</v>
      </c>
      <c r="I201" s="9">
        <v>0.19147</v>
      </c>
      <c r="J201" s="7">
        <f t="shared" si="3"/>
        <v>5.2227503003081424</v>
      </c>
      <c r="K201" s="7">
        <v>0.01</v>
      </c>
      <c r="L201" t="s">
        <v>17</v>
      </c>
      <c r="M201">
        <v>296</v>
      </c>
      <c r="N201" t="s">
        <v>1032</v>
      </c>
      <c r="O201" t="s">
        <v>1031</v>
      </c>
    </row>
    <row r="202" spans="1:15" x14ac:dyDescent="0.2">
      <c r="A202" t="s">
        <v>190</v>
      </c>
      <c r="B202" t="s">
        <v>32</v>
      </c>
      <c r="C202" s="7">
        <v>4</v>
      </c>
      <c r="D202" s="7">
        <v>2</v>
      </c>
      <c r="E202" s="7">
        <v>3</v>
      </c>
      <c r="F202" s="7">
        <v>5</v>
      </c>
      <c r="G202" s="7">
        <v>2</v>
      </c>
      <c r="H202" s="7">
        <v>4</v>
      </c>
      <c r="I202" s="9">
        <v>0.10933</v>
      </c>
      <c r="J202" s="7">
        <f t="shared" si="3"/>
        <v>9.1466203237903603</v>
      </c>
      <c r="K202" s="7">
        <v>0.01</v>
      </c>
      <c r="L202" t="s">
        <v>17</v>
      </c>
      <c r="M202">
        <v>296</v>
      </c>
      <c r="N202" t="s">
        <v>1032</v>
      </c>
      <c r="O202" t="s">
        <v>1031</v>
      </c>
    </row>
    <row r="203" spans="1:15" x14ac:dyDescent="0.2">
      <c r="A203" t="s">
        <v>190</v>
      </c>
      <c r="B203" t="s">
        <v>32</v>
      </c>
      <c r="C203" s="7">
        <v>6</v>
      </c>
      <c r="D203" s="7">
        <v>0</v>
      </c>
      <c r="E203" s="7">
        <v>6</v>
      </c>
      <c r="F203" s="7">
        <v>6</v>
      </c>
      <c r="G203" s="7">
        <v>2</v>
      </c>
      <c r="H203" s="7">
        <v>5</v>
      </c>
      <c r="I203" s="9">
        <v>8.5519999999999999E-2</v>
      </c>
      <c r="J203" s="7">
        <f t="shared" si="3"/>
        <v>11.693171188026193</v>
      </c>
      <c r="K203" s="7">
        <v>0.01</v>
      </c>
      <c r="L203" t="s">
        <v>17</v>
      </c>
      <c r="M203">
        <v>296</v>
      </c>
      <c r="N203" t="s">
        <v>1032</v>
      </c>
      <c r="O203" t="s">
        <v>1031</v>
      </c>
    </row>
    <row r="204" spans="1:15" x14ac:dyDescent="0.2">
      <c r="A204" t="s">
        <v>190</v>
      </c>
      <c r="B204" t="s">
        <v>32</v>
      </c>
      <c r="C204" s="7">
        <v>4</v>
      </c>
      <c r="D204" s="7">
        <v>3</v>
      </c>
      <c r="E204" s="7">
        <v>1</v>
      </c>
      <c r="F204" s="7">
        <v>5</v>
      </c>
      <c r="G204" s="7">
        <v>3</v>
      </c>
      <c r="H204" s="7">
        <v>2</v>
      </c>
      <c r="I204" s="9">
        <v>0.11895</v>
      </c>
      <c r="J204" s="7">
        <f t="shared" si="3"/>
        <v>8.4068936527952935</v>
      </c>
      <c r="K204" s="7">
        <v>0.01</v>
      </c>
      <c r="L204" t="s">
        <v>17</v>
      </c>
      <c r="M204">
        <v>296</v>
      </c>
      <c r="N204" t="s">
        <v>1032</v>
      </c>
      <c r="O204" t="s">
        <v>1031</v>
      </c>
    </row>
    <row r="205" spans="1:15" x14ac:dyDescent="0.2">
      <c r="A205" t="s">
        <v>190</v>
      </c>
      <c r="B205" t="s">
        <v>32</v>
      </c>
      <c r="C205" s="7">
        <v>4</v>
      </c>
      <c r="D205" s="7">
        <v>3</v>
      </c>
      <c r="E205" s="7">
        <v>2</v>
      </c>
      <c r="F205" s="7">
        <v>5</v>
      </c>
      <c r="G205" s="7">
        <v>3</v>
      </c>
      <c r="H205" s="7">
        <v>3</v>
      </c>
      <c r="I205" s="9">
        <v>9.9309999999999996E-2</v>
      </c>
      <c r="J205" s="7">
        <f t="shared" si="3"/>
        <v>10.069479407914612</v>
      </c>
      <c r="K205" s="7">
        <v>0.01</v>
      </c>
      <c r="L205" t="s">
        <v>17</v>
      </c>
      <c r="M205">
        <v>296</v>
      </c>
      <c r="N205" t="s">
        <v>1032</v>
      </c>
      <c r="O205" t="s">
        <v>1031</v>
      </c>
    </row>
    <row r="206" spans="1:15" x14ac:dyDescent="0.2">
      <c r="A206" t="s">
        <v>190</v>
      </c>
      <c r="B206" t="s">
        <v>32</v>
      </c>
      <c r="C206" s="7">
        <v>4</v>
      </c>
      <c r="D206" s="7">
        <v>3</v>
      </c>
      <c r="E206" s="7">
        <v>1</v>
      </c>
      <c r="F206" s="7">
        <v>5</v>
      </c>
      <c r="G206" s="7">
        <v>2</v>
      </c>
      <c r="H206" s="7">
        <v>4</v>
      </c>
      <c r="I206" s="9">
        <v>0.10786</v>
      </c>
      <c r="J206" s="7">
        <f t="shared" si="3"/>
        <v>9.2712775820508071</v>
      </c>
      <c r="K206" s="7">
        <v>0.01</v>
      </c>
      <c r="L206" t="s">
        <v>17</v>
      </c>
      <c r="M206">
        <v>296</v>
      </c>
      <c r="N206" t="s">
        <v>1032</v>
      </c>
      <c r="O206" t="s">
        <v>1031</v>
      </c>
    </row>
    <row r="207" spans="1:15" x14ac:dyDescent="0.2">
      <c r="A207" t="s">
        <v>190</v>
      </c>
      <c r="B207" t="s">
        <v>32</v>
      </c>
      <c r="C207" s="7">
        <v>4</v>
      </c>
      <c r="D207" s="7">
        <v>0</v>
      </c>
      <c r="E207" s="7">
        <v>4</v>
      </c>
      <c r="F207" s="7">
        <v>5</v>
      </c>
      <c r="G207" s="7">
        <v>0</v>
      </c>
      <c r="H207" s="7">
        <v>5</v>
      </c>
      <c r="I207" s="9">
        <v>0.11633</v>
      </c>
      <c r="J207" s="7">
        <f t="shared" si="3"/>
        <v>8.5962348491360778</v>
      </c>
      <c r="K207" s="7">
        <v>0.01</v>
      </c>
      <c r="L207" t="s">
        <v>17</v>
      </c>
      <c r="M207">
        <v>296</v>
      </c>
      <c r="N207" t="s">
        <v>1032</v>
      </c>
      <c r="O207" t="s">
        <v>1031</v>
      </c>
    </row>
    <row r="208" spans="1:15" x14ac:dyDescent="0.2">
      <c r="A208" t="s">
        <v>190</v>
      </c>
      <c r="B208" t="s">
        <v>32</v>
      </c>
      <c r="C208" s="7">
        <v>4</v>
      </c>
      <c r="D208" s="7">
        <v>1</v>
      </c>
      <c r="E208" s="7">
        <v>4</v>
      </c>
      <c r="F208" s="7">
        <v>5</v>
      </c>
      <c r="G208" s="7">
        <v>1</v>
      </c>
      <c r="H208" s="7">
        <v>5</v>
      </c>
      <c r="I208" s="9">
        <v>0.11198</v>
      </c>
      <c r="J208" s="7">
        <f t="shared" si="3"/>
        <v>8.9301661010894797</v>
      </c>
      <c r="K208" s="7">
        <v>0.01</v>
      </c>
      <c r="L208" t="s">
        <v>17</v>
      </c>
      <c r="M208">
        <v>296</v>
      </c>
      <c r="N208" t="s">
        <v>1032</v>
      </c>
      <c r="O208" t="s">
        <v>1031</v>
      </c>
    </row>
    <row r="209" spans="1:15" x14ac:dyDescent="0.2">
      <c r="A209" t="s">
        <v>190</v>
      </c>
      <c r="B209" t="s">
        <v>32</v>
      </c>
      <c r="C209" s="7">
        <v>6</v>
      </c>
      <c r="D209" s="7">
        <v>1</v>
      </c>
      <c r="E209" s="7">
        <v>6</v>
      </c>
      <c r="F209" s="7">
        <v>6</v>
      </c>
      <c r="G209" s="7">
        <v>1</v>
      </c>
      <c r="H209" s="7">
        <v>5</v>
      </c>
      <c r="I209" s="9">
        <v>0.12087000000000001</v>
      </c>
      <c r="J209" s="7">
        <f t="shared" si="3"/>
        <v>8.273351534706709</v>
      </c>
      <c r="K209" s="7">
        <v>0.01</v>
      </c>
      <c r="L209" t="s">
        <v>17</v>
      </c>
      <c r="M209">
        <v>296</v>
      </c>
      <c r="N209" t="s">
        <v>1032</v>
      </c>
      <c r="O209" t="s">
        <v>1031</v>
      </c>
    </row>
    <row r="210" spans="1:15" x14ac:dyDescent="0.2">
      <c r="A210" t="s">
        <v>190</v>
      </c>
      <c r="B210" t="s">
        <v>32</v>
      </c>
      <c r="C210" s="7">
        <v>3</v>
      </c>
      <c r="D210" s="7">
        <v>1</v>
      </c>
      <c r="E210" s="7">
        <v>2</v>
      </c>
      <c r="F210" s="7">
        <v>4</v>
      </c>
      <c r="G210" s="7">
        <v>1</v>
      </c>
      <c r="H210" s="7">
        <v>3</v>
      </c>
      <c r="I210" s="9">
        <v>0.18412000000000001</v>
      </c>
      <c r="J210" s="7">
        <f t="shared" si="3"/>
        <v>5.4312404953291331</v>
      </c>
      <c r="K210" s="7">
        <v>0.01</v>
      </c>
      <c r="L210" t="s">
        <v>17</v>
      </c>
      <c r="M210">
        <v>296</v>
      </c>
      <c r="N210" t="s">
        <v>1032</v>
      </c>
      <c r="O210" t="s">
        <v>1031</v>
      </c>
    </row>
    <row r="211" spans="1:15" x14ac:dyDescent="0.2">
      <c r="A211" t="s">
        <v>190</v>
      </c>
      <c r="B211" t="s">
        <v>32</v>
      </c>
      <c r="C211" s="7">
        <v>4</v>
      </c>
      <c r="D211" s="7">
        <v>2</v>
      </c>
      <c r="E211" s="7">
        <v>2</v>
      </c>
      <c r="F211" s="7">
        <v>5</v>
      </c>
      <c r="G211" s="7">
        <v>1</v>
      </c>
      <c r="H211" s="7">
        <v>5</v>
      </c>
      <c r="I211" s="9">
        <v>0.14565</v>
      </c>
      <c r="J211" s="7">
        <f t="shared" si="3"/>
        <v>6.8657741160315826</v>
      </c>
      <c r="K211" s="7">
        <v>0.01</v>
      </c>
      <c r="L211" t="s">
        <v>17</v>
      </c>
      <c r="M211">
        <v>296</v>
      </c>
      <c r="N211" t="s">
        <v>1032</v>
      </c>
      <c r="O211" t="s">
        <v>1031</v>
      </c>
    </row>
    <row r="212" spans="1:15" x14ac:dyDescent="0.2">
      <c r="A212" t="s">
        <v>190</v>
      </c>
      <c r="B212" t="s">
        <v>32</v>
      </c>
      <c r="C212" s="7">
        <v>4</v>
      </c>
      <c r="D212" s="7">
        <v>4</v>
      </c>
      <c r="E212" s="7">
        <v>0</v>
      </c>
      <c r="F212" s="7">
        <v>5</v>
      </c>
      <c r="G212" s="7">
        <v>4</v>
      </c>
      <c r="H212" s="7">
        <v>1</v>
      </c>
      <c r="I212" s="9">
        <v>9.2289999999999997E-2</v>
      </c>
      <c r="J212" s="7">
        <f t="shared" si="3"/>
        <v>10.835410120273053</v>
      </c>
      <c r="K212" s="7">
        <v>0.01</v>
      </c>
      <c r="L212" t="s">
        <v>17</v>
      </c>
      <c r="M212">
        <v>296</v>
      </c>
      <c r="N212" t="s">
        <v>1032</v>
      </c>
      <c r="O212" t="s">
        <v>1031</v>
      </c>
    </row>
    <row r="213" spans="1:15" x14ac:dyDescent="0.2">
      <c r="A213" t="s">
        <v>190</v>
      </c>
      <c r="B213" t="s">
        <v>32</v>
      </c>
      <c r="C213" s="7">
        <v>4</v>
      </c>
      <c r="D213" s="7">
        <v>4</v>
      </c>
      <c r="E213" s="7">
        <v>1</v>
      </c>
      <c r="F213" s="7">
        <v>5</v>
      </c>
      <c r="G213" s="7">
        <v>4</v>
      </c>
      <c r="H213" s="7">
        <v>2</v>
      </c>
      <c r="I213" s="9">
        <v>8.949E-2</v>
      </c>
      <c r="J213" s="7">
        <f t="shared" si="3"/>
        <v>11.174432897530451</v>
      </c>
      <c r="K213" s="7">
        <v>0.01</v>
      </c>
      <c r="L213" t="s">
        <v>17</v>
      </c>
      <c r="M213">
        <v>296</v>
      </c>
      <c r="N213" t="s">
        <v>1032</v>
      </c>
      <c r="O213" t="s">
        <v>1031</v>
      </c>
    </row>
    <row r="214" spans="1:15" x14ac:dyDescent="0.2">
      <c r="A214" t="s">
        <v>190</v>
      </c>
      <c r="B214" t="s">
        <v>32</v>
      </c>
      <c r="C214" s="7">
        <v>3</v>
      </c>
      <c r="D214" s="7">
        <v>2</v>
      </c>
      <c r="E214" s="7">
        <v>1</v>
      </c>
      <c r="F214" s="7">
        <v>4</v>
      </c>
      <c r="G214" s="7">
        <v>2</v>
      </c>
      <c r="H214" s="7">
        <v>2</v>
      </c>
      <c r="I214" s="9">
        <v>0.17396</v>
      </c>
      <c r="J214" s="7">
        <f t="shared" si="3"/>
        <v>5.7484479190618529</v>
      </c>
      <c r="K214" s="7">
        <v>0.01</v>
      </c>
      <c r="L214" t="s">
        <v>17</v>
      </c>
      <c r="M214">
        <v>296</v>
      </c>
      <c r="N214" t="s">
        <v>1032</v>
      </c>
      <c r="O214" t="s">
        <v>1031</v>
      </c>
    </row>
    <row r="215" spans="1:15" x14ac:dyDescent="0.2">
      <c r="A215" t="s">
        <v>190</v>
      </c>
      <c r="B215" t="s">
        <v>32</v>
      </c>
      <c r="C215" s="7">
        <v>5</v>
      </c>
      <c r="D215" s="7">
        <v>0</v>
      </c>
      <c r="E215" s="7">
        <v>5</v>
      </c>
      <c r="F215" s="7">
        <v>5</v>
      </c>
      <c r="G215" s="7">
        <v>2</v>
      </c>
      <c r="H215" s="7">
        <v>4</v>
      </c>
      <c r="I215" s="9">
        <v>0.10309</v>
      </c>
      <c r="J215" s="7">
        <f t="shared" si="3"/>
        <v>9.7002619070714911</v>
      </c>
      <c r="K215" s="7">
        <v>0.01</v>
      </c>
      <c r="L215" t="s">
        <v>17</v>
      </c>
      <c r="M215">
        <v>296</v>
      </c>
      <c r="N215" t="s">
        <v>1032</v>
      </c>
      <c r="O215" t="s">
        <v>1031</v>
      </c>
    </row>
    <row r="216" spans="1:15" x14ac:dyDescent="0.2">
      <c r="A216" t="s">
        <v>190</v>
      </c>
      <c r="B216" t="s">
        <v>32</v>
      </c>
      <c r="C216" s="7">
        <v>3</v>
      </c>
      <c r="D216" s="7">
        <v>3</v>
      </c>
      <c r="E216" s="7">
        <v>0</v>
      </c>
      <c r="F216" s="7">
        <v>4</v>
      </c>
      <c r="G216" s="7">
        <v>2</v>
      </c>
      <c r="H216" s="7">
        <v>3</v>
      </c>
      <c r="I216" s="9">
        <v>0.10477</v>
      </c>
      <c r="J216" s="7">
        <f t="shared" si="3"/>
        <v>9.5447169991409755</v>
      </c>
      <c r="K216" s="7">
        <v>0.01</v>
      </c>
      <c r="L216" t="s">
        <v>17</v>
      </c>
      <c r="M216">
        <v>296</v>
      </c>
      <c r="N216" t="s">
        <v>1032</v>
      </c>
      <c r="O216" t="s">
        <v>1031</v>
      </c>
    </row>
    <row r="217" spans="1:15" x14ac:dyDescent="0.2">
      <c r="A217" t="s">
        <v>190</v>
      </c>
      <c r="B217" t="s">
        <v>32</v>
      </c>
      <c r="C217" s="7">
        <v>3</v>
      </c>
      <c r="D217" s="7">
        <v>2</v>
      </c>
      <c r="E217" s="7">
        <v>2</v>
      </c>
      <c r="F217" s="7">
        <v>4</v>
      </c>
      <c r="G217" s="7">
        <v>2</v>
      </c>
      <c r="H217" s="7">
        <v>3</v>
      </c>
      <c r="I217" s="9">
        <v>0.10749</v>
      </c>
      <c r="J217" s="7">
        <f t="shared" si="3"/>
        <v>9.3031909945111178</v>
      </c>
      <c r="K217" s="7">
        <v>0.01</v>
      </c>
      <c r="L217" t="s">
        <v>17</v>
      </c>
      <c r="M217">
        <v>296</v>
      </c>
      <c r="N217" t="s">
        <v>1032</v>
      </c>
      <c r="O217" t="s">
        <v>1031</v>
      </c>
    </row>
    <row r="218" spans="1:15" x14ac:dyDescent="0.2">
      <c r="A218" t="s">
        <v>190</v>
      </c>
      <c r="B218" t="s">
        <v>32</v>
      </c>
      <c r="C218" s="7">
        <v>3</v>
      </c>
      <c r="D218" s="7">
        <v>0</v>
      </c>
      <c r="E218" s="7">
        <v>3</v>
      </c>
      <c r="F218" s="7">
        <v>4</v>
      </c>
      <c r="G218" s="7">
        <v>0</v>
      </c>
      <c r="H218" s="7">
        <v>4</v>
      </c>
      <c r="I218" s="9">
        <v>0.15833</v>
      </c>
      <c r="J218" s="7">
        <f t="shared" si="3"/>
        <v>6.3159224404724306</v>
      </c>
      <c r="K218" s="7">
        <v>0.01</v>
      </c>
      <c r="L218" t="s">
        <v>17</v>
      </c>
      <c r="M218">
        <v>296</v>
      </c>
      <c r="N218" t="s">
        <v>1032</v>
      </c>
      <c r="O218" t="s">
        <v>1031</v>
      </c>
    </row>
    <row r="219" spans="1:15" x14ac:dyDescent="0.2">
      <c r="A219" t="s">
        <v>190</v>
      </c>
      <c r="B219" t="s">
        <v>32</v>
      </c>
      <c r="C219" s="7">
        <v>3</v>
      </c>
      <c r="D219" s="7">
        <v>3</v>
      </c>
      <c r="E219" s="7">
        <v>0</v>
      </c>
      <c r="F219" s="7">
        <v>4</v>
      </c>
      <c r="G219" s="7">
        <v>3</v>
      </c>
      <c r="H219" s="7">
        <v>1</v>
      </c>
      <c r="I219" s="9">
        <v>0.10342</v>
      </c>
      <c r="J219" s="7">
        <f t="shared" si="3"/>
        <v>9.6693096112937535</v>
      </c>
      <c r="K219" s="7">
        <v>0.01</v>
      </c>
      <c r="L219" t="s">
        <v>17</v>
      </c>
      <c r="M219">
        <v>296</v>
      </c>
      <c r="N219" t="s">
        <v>1032</v>
      </c>
      <c r="O219" t="s">
        <v>1031</v>
      </c>
    </row>
    <row r="220" spans="1:15" x14ac:dyDescent="0.2">
      <c r="A220" t="s">
        <v>190</v>
      </c>
      <c r="B220" t="s">
        <v>32</v>
      </c>
      <c r="C220" s="7">
        <v>3</v>
      </c>
      <c r="D220" s="7">
        <v>3</v>
      </c>
      <c r="E220" s="7">
        <v>1</v>
      </c>
      <c r="F220" s="7">
        <v>4</v>
      </c>
      <c r="G220" s="7">
        <v>3</v>
      </c>
      <c r="H220" s="7">
        <v>2</v>
      </c>
      <c r="I220" s="9">
        <v>9.776E-2</v>
      </c>
      <c r="J220" s="7">
        <f t="shared" si="3"/>
        <v>10.229132569558102</v>
      </c>
      <c r="K220" s="7">
        <v>0.01</v>
      </c>
      <c r="L220" t="s">
        <v>17</v>
      </c>
      <c r="M220">
        <v>296</v>
      </c>
      <c r="N220" t="s">
        <v>1032</v>
      </c>
      <c r="O220" t="s">
        <v>1031</v>
      </c>
    </row>
    <row r="221" spans="1:15" x14ac:dyDescent="0.2">
      <c r="A221" t="s">
        <v>190</v>
      </c>
      <c r="B221" t="s">
        <v>32</v>
      </c>
      <c r="C221" s="7">
        <v>3</v>
      </c>
      <c r="D221" s="7">
        <v>1</v>
      </c>
      <c r="E221" s="7">
        <v>3</v>
      </c>
      <c r="F221" s="7">
        <v>4</v>
      </c>
      <c r="G221" s="7">
        <v>1</v>
      </c>
      <c r="H221" s="7">
        <v>4</v>
      </c>
      <c r="I221" s="9">
        <v>0.12062</v>
      </c>
      <c r="J221" s="7">
        <f t="shared" si="3"/>
        <v>8.2904990880451006</v>
      </c>
      <c r="K221" s="7">
        <v>0.01</v>
      </c>
      <c r="L221" t="s">
        <v>17</v>
      </c>
      <c r="M221">
        <v>296</v>
      </c>
      <c r="N221" t="s">
        <v>1032</v>
      </c>
      <c r="O221" t="s">
        <v>1031</v>
      </c>
    </row>
    <row r="222" spans="1:15" x14ac:dyDescent="0.2">
      <c r="A222" t="s">
        <v>190</v>
      </c>
      <c r="B222" t="s">
        <v>32</v>
      </c>
      <c r="C222" s="7">
        <v>4</v>
      </c>
      <c r="D222" s="7">
        <v>0</v>
      </c>
      <c r="E222" s="7">
        <v>4</v>
      </c>
      <c r="F222" s="7">
        <v>4</v>
      </c>
      <c r="G222" s="7">
        <v>2</v>
      </c>
      <c r="H222" s="7">
        <v>3</v>
      </c>
      <c r="I222" s="9">
        <v>0.12228</v>
      </c>
      <c r="J222" s="7">
        <f t="shared" si="3"/>
        <v>8.1779522407589145</v>
      </c>
      <c r="K222" s="7">
        <v>0.01</v>
      </c>
      <c r="L222" t="s">
        <v>17</v>
      </c>
      <c r="M222">
        <v>296</v>
      </c>
      <c r="N222" t="s">
        <v>1032</v>
      </c>
      <c r="O222" t="s">
        <v>1031</v>
      </c>
    </row>
    <row r="223" spans="1:15" x14ac:dyDescent="0.2">
      <c r="A223" t="s">
        <v>190</v>
      </c>
      <c r="B223" t="s">
        <v>32</v>
      </c>
      <c r="C223" s="7">
        <v>2</v>
      </c>
      <c r="D223" s="7">
        <v>1</v>
      </c>
      <c r="E223" s="7">
        <v>1</v>
      </c>
      <c r="F223" s="7">
        <v>3</v>
      </c>
      <c r="G223" s="7">
        <v>1</v>
      </c>
      <c r="H223" s="7">
        <v>2</v>
      </c>
      <c r="I223" s="9">
        <v>0.19689000000000001</v>
      </c>
      <c r="J223" s="7">
        <f t="shared" si="3"/>
        <v>5.078978109604348</v>
      </c>
      <c r="K223" s="7">
        <v>0.01</v>
      </c>
      <c r="L223" t="s">
        <v>17</v>
      </c>
      <c r="M223">
        <v>296</v>
      </c>
      <c r="N223" t="s">
        <v>1032</v>
      </c>
      <c r="O223" t="s">
        <v>1031</v>
      </c>
    </row>
    <row r="224" spans="1:15" x14ac:dyDescent="0.2">
      <c r="A224" t="s">
        <v>190</v>
      </c>
      <c r="B224" t="s">
        <v>32</v>
      </c>
      <c r="C224" s="7">
        <v>7</v>
      </c>
      <c r="D224" s="7">
        <v>2</v>
      </c>
      <c r="E224" s="7">
        <v>6</v>
      </c>
      <c r="F224" s="7">
        <v>7</v>
      </c>
      <c r="G224" s="7">
        <v>2</v>
      </c>
      <c r="H224" s="7">
        <v>5</v>
      </c>
      <c r="I224" s="9">
        <v>0.11901</v>
      </c>
      <c r="J224" s="7">
        <f t="shared" si="3"/>
        <v>8.4026552390555409</v>
      </c>
      <c r="K224" s="7">
        <v>0.01</v>
      </c>
      <c r="L224" t="s">
        <v>17</v>
      </c>
      <c r="M224">
        <v>296</v>
      </c>
      <c r="N224" t="s">
        <v>1032</v>
      </c>
      <c r="O224" t="s">
        <v>1031</v>
      </c>
    </row>
    <row r="225" spans="1:15" x14ac:dyDescent="0.2">
      <c r="A225" t="s">
        <v>190</v>
      </c>
      <c r="B225" t="s">
        <v>32</v>
      </c>
      <c r="C225" s="7">
        <v>3</v>
      </c>
      <c r="D225" s="7">
        <v>0</v>
      </c>
      <c r="E225" s="7">
        <v>3</v>
      </c>
      <c r="F225" s="7">
        <v>3</v>
      </c>
      <c r="G225" s="7">
        <v>2</v>
      </c>
      <c r="H225" s="7">
        <v>2</v>
      </c>
      <c r="I225" s="9">
        <v>0.15148</v>
      </c>
      <c r="J225" s="7">
        <f t="shared" si="3"/>
        <v>6.6015315553208342</v>
      </c>
      <c r="K225" s="7">
        <v>0.01</v>
      </c>
      <c r="L225" t="s">
        <v>17</v>
      </c>
      <c r="M225">
        <v>296</v>
      </c>
      <c r="N225" t="s">
        <v>1032</v>
      </c>
      <c r="O225" t="s">
        <v>1031</v>
      </c>
    </row>
    <row r="226" spans="1:15" x14ac:dyDescent="0.2">
      <c r="A226" t="s">
        <v>190</v>
      </c>
      <c r="B226" t="s">
        <v>32</v>
      </c>
      <c r="C226" s="7">
        <v>2</v>
      </c>
      <c r="D226" s="7">
        <v>2</v>
      </c>
      <c r="E226" s="7">
        <v>0</v>
      </c>
      <c r="F226" s="7">
        <v>3</v>
      </c>
      <c r="G226" s="7">
        <v>2</v>
      </c>
      <c r="H226" s="7">
        <v>1</v>
      </c>
      <c r="I226" s="9">
        <v>0.15515000000000001</v>
      </c>
      <c r="J226" s="7">
        <f t="shared" si="3"/>
        <v>6.4453754431195609</v>
      </c>
      <c r="K226" s="7">
        <v>0.01</v>
      </c>
      <c r="L226" t="s">
        <v>17</v>
      </c>
      <c r="M226">
        <v>296</v>
      </c>
      <c r="N226" t="s">
        <v>1032</v>
      </c>
      <c r="O226" t="s">
        <v>1031</v>
      </c>
    </row>
    <row r="227" spans="1:15" x14ac:dyDescent="0.2">
      <c r="A227" t="s">
        <v>190</v>
      </c>
      <c r="B227" t="s">
        <v>32</v>
      </c>
      <c r="C227" s="7">
        <v>2</v>
      </c>
      <c r="D227" s="7">
        <v>0</v>
      </c>
      <c r="E227" s="7">
        <v>2</v>
      </c>
      <c r="F227" s="7">
        <v>3</v>
      </c>
      <c r="G227" s="7">
        <v>0</v>
      </c>
      <c r="H227" s="7">
        <v>3</v>
      </c>
      <c r="I227" s="9">
        <v>0.19398000000000001</v>
      </c>
      <c r="J227" s="7">
        <f t="shared" si="3"/>
        <v>5.155170636148056</v>
      </c>
      <c r="K227" s="7">
        <v>0.01</v>
      </c>
      <c r="L227" t="s">
        <v>17</v>
      </c>
      <c r="M227">
        <v>296</v>
      </c>
      <c r="N227" t="s">
        <v>1032</v>
      </c>
      <c r="O227" t="s">
        <v>1031</v>
      </c>
    </row>
    <row r="228" spans="1:15" x14ac:dyDescent="0.2">
      <c r="A228" t="s">
        <v>190</v>
      </c>
      <c r="B228" t="s">
        <v>32</v>
      </c>
      <c r="C228" s="7">
        <v>2</v>
      </c>
      <c r="D228" s="7">
        <v>2</v>
      </c>
      <c r="E228" s="7">
        <v>1</v>
      </c>
      <c r="F228" s="7">
        <v>3</v>
      </c>
      <c r="G228" s="7">
        <v>2</v>
      </c>
      <c r="H228" s="7">
        <v>2</v>
      </c>
      <c r="I228" s="9">
        <v>0.12636</v>
      </c>
      <c r="J228" s="7">
        <f t="shared" si="3"/>
        <v>7.9138968027856915</v>
      </c>
      <c r="K228" s="7">
        <v>0.01</v>
      </c>
      <c r="L228" t="s">
        <v>17</v>
      </c>
      <c r="M228">
        <v>296</v>
      </c>
      <c r="N228" t="s">
        <v>1032</v>
      </c>
      <c r="O228" t="s">
        <v>1031</v>
      </c>
    </row>
    <row r="229" spans="1:15" x14ac:dyDescent="0.2">
      <c r="A229" t="s">
        <v>190</v>
      </c>
      <c r="B229" t="s">
        <v>32</v>
      </c>
      <c r="C229" s="7">
        <v>2</v>
      </c>
      <c r="D229" s="7">
        <v>1</v>
      </c>
      <c r="E229" s="7">
        <v>2</v>
      </c>
      <c r="F229" s="7">
        <v>3</v>
      </c>
      <c r="G229" s="7">
        <v>1</v>
      </c>
      <c r="H229" s="7">
        <v>3</v>
      </c>
      <c r="I229" s="9">
        <v>0.13805999999999999</v>
      </c>
      <c r="J229" s="7">
        <f t="shared" si="3"/>
        <v>7.2432275822106336</v>
      </c>
      <c r="K229" s="7">
        <v>0.01</v>
      </c>
      <c r="L229" t="s">
        <v>17</v>
      </c>
      <c r="M229">
        <v>296</v>
      </c>
      <c r="N229" t="s">
        <v>1032</v>
      </c>
      <c r="O229" t="s">
        <v>1031</v>
      </c>
    </row>
    <row r="230" spans="1:15" x14ac:dyDescent="0.2">
      <c r="A230" t="s">
        <v>190</v>
      </c>
      <c r="B230" t="s">
        <v>32</v>
      </c>
      <c r="C230" s="7">
        <v>3</v>
      </c>
      <c r="D230" s="7">
        <v>1</v>
      </c>
      <c r="E230" s="7">
        <v>2</v>
      </c>
      <c r="F230" s="7">
        <v>3</v>
      </c>
      <c r="G230" s="7">
        <v>0</v>
      </c>
      <c r="H230" s="7">
        <v>3</v>
      </c>
      <c r="I230" s="9">
        <v>0.18301000000000001</v>
      </c>
      <c r="J230" s="7">
        <f t="shared" si="3"/>
        <v>5.4641822851210318</v>
      </c>
      <c r="K230" s="7">
        <v>0.01</v>
      </c>
      <c r="L230" t="s">
        <v>17</v>
      </c>
      <c r="M230">
        <v>296</v>
      </c>
      <c r="N230" t="s">
        <v>1032</v>
      </c>
      <c r="O230" t="s">
        <v>1031</v>
      </c>
    </row>
    <row r="231" spans="1:15" x14ac:dyDescent="0.2">
      <c r="A231" t="s">
        <v>190</v>
      </c>
      <c r="B231" t="s">
        <v>32</v>
      </c>
      <c r="C231" s="7">
        <v>4</v>
      </c>
      <c r="D231" s="7">
        <v>1</v>
      </c>
      <c r="E231" s="7">
        <v>4</v>
      </c>
      <c r="F231" s="7">
        <v>4</v>
      </c>
      <c r="G231" s="7">
        <v>1</v>
      </c>
      <c r="H231" s="7">
        <v>3</v>
      </c>
      <c r="I231" s="9">
        <v>0.16175</v>
      </c>
      <c r="J231" s="7">
        <f t="shared" si="3"/>
        <v>6.1823802163833079</v>
      </c>
      <c r="K231" s="7">
        <v>0.01</v>
      </c>
      <c r="L231" t="s">
        <v>17</v>
      </c>
      <c r="M231">
        <v>296</v>
      </c>
      <c r="N231" t="s">
        <v>1032</v>
      </c>
      <c r="O231" t="s">
        <v>1031</v>
      </c>
    </row>
    <row r="232" spans="1:15" x14ac:dyDescent="0.2">
      <c r="A232" t="s">
        <v>190</v>
      </c>
      <c r="B232" t="s">
        <v>32</v>
      </c>
      <c r="C232" s="7">
        <v>1</v>
      </c>
      <c r="D232" s="7">
        <v>1</v>
      </c>
      <c r="E232" s="7">
        <v>0</v>
      </c>
      <c r="F232" s="7">
        <v>2</v>
      </c>
      <c r="G232" s="7">
        <v>1</v>
      </c>
      <c r="H232" s="7">
        <v>1</v>
      </c>
      <c r="I232" s="9">
        <v>0.19800000000000001</v>
      </c>
      <c r="J232" s="7">
        <f t="shared" si="3"/>
        <v>5.0505050505050502</v>
      </c>
      <c r="K232" s="7">
        <v>0.01</v>
      </c>
      <c r="L232" t="s">
        <v>17</v>
      </c>
      <c r="M232">
        <v>296</v>
      </c>
      <c r="N232" t="s">
        <v>1032</v>
      </c>
      <c r="O232" t="s">
        <v>1031</v>
      </c>
    </row>
    <row r="233" spans="1:15" x14ac:dyDescent="0.2">
      <c r="A233" t="s">
        <v>190</v>
      </c>
      <c r="B233" t="s">
        <v>32</v>
      </c>
      <c r="C233" s="7">
        <v>4</v>
      </c>
      <c r="D233" s="7">
        <v>2</v>
      </c>
      <c r="E233" s="7">
        <v>2</v>
      </c>
      <c r="F233" s="7">
        <v>4</v>
      </c>
      <c r="G233" s="7">
        <v>1</v>
      </c>
      <c r="H233" s="7">
        <v>3</v>
      </c>
      <c r="I233" s="9">
        <v>0.17777999999999999</v>
      </c>
      <c r="J233" s="7">
        <f t="shared" si="3"/>
        <v>5.624929688378896</v>
      </c>
      <c r="K233" s="7">
        <v>0.01</v>
      </c>
      <c r="L233" t="s">
        <v>17</v>
      </c>
      <c r="M233">
        <v>296</v>
      </c>
      <c r="N233" t="s">
        <v>1032</v>
      </c>
      <c r="O233" t="s">
        <v>1031</v>
      </c>
    </row>
    <row r="234" spans="1:15" x14ac:dyDescent="0.2">
      <c r="A234" t="s">
        <v>190</v>
      </c>
      <c r="B234" t="s">
        <v>32</v>
      </c>
      <c r="C234" s="7">
        <v>6</v>
      </c>
      <c r="D234" s="7">
        <v>2</v>
      </c>
      <c r="E234" s="7">
        <v>5</v>
      </c>
      <c r="F234" s="7">
        <v>6</v>
      </c>
      <c r="G234" s="7">
        <v>2</v>
      </c>
      <c r="H234" s="7">
        <v>4</v>
      </c>
      <c r="I234" s="9">
        <v>0.13341</v>
      </c>
      <c r="J234" s="7">
        <f t="shared" si="3"/>
        <v>7.4956899782624991</v>
      </c>
      <c r="K234" s="7">
        <v>0.01</v>
      </c>
      <c r="L234" t="s">
        <v>17</v>
      </c>
      <c r="M234">
        <v>296</v>
      </c>
      <c r="N234" t="s">
        <v>1032</v>
      </c>
      <c r="O234" t="s">
        <v>1031</v>
      </c>
    </row>
    <row r="235" spans="1:15" x14ac:dyDescent="0.2">
      <c r="A235" t="s">
        <v>190</v>
      </c>
      <c r="B235" t="s">
        <v>32</v>
      </c>
      <c r="C235" s="7">
        <v>1</v>
      </c>
      <c r="D235" s="7">
        <v>0</v>
      </c>
      <c r="E235" s="7">
        <v>1</v>
      </c>
      <c r="F235" s="7">
        <v>2</v>
      </c>
      <c r="G235" s="7">
        <v>0</v>
      </c>
      <c r="H235" s="7">
        <v>2</v>
      </c>
      <c r="I235" s="9">
        <v>0.19569</v>
      </c>
      <c r="J235" s="7">
        <f t="shared" si="3"/>
        <v>5.1101231539680114</v>
      </c>
      <c r="K235" s="7">
        <v>0.01</v>
      </c>
      <c r="L235" t="s">
        <v>17</v>
      </c>
      <c r="M235">
        <v>296</v>
      </c>
      <c r="N235" t="s">
        <v>1032</v>
      </c>
      <c r="O235" t="s">
        <v>1031</v>
      </c>
    </row>
    <row r="236" spans="1:15" x14ac:dyDescent="0.2">
      <c r="A236" t="s">
        <v>190</v>
      </c>
      <c r="B236" t="s">
        <v>32</v>
      </c>
      <c r="C236" s="7">
        <v>1</v>
      </c>
      <c r="D236" s="7">
        <v>1</v>
      </c>
      <c r="E236" s="7">
        <v>1</v>
      </c>
      <c r="F236" s="7">
        <v>2</v>
      </c>
      <c r="G236" s="7">
        <v>1</v>
      </c>
      <c r="H236" s="7">
        <v>2</v>
      </c>
      <c r="I236" s="9">
        <v>0.17924000000000001</v>
      </c>
      <c r="J236" s="7">
        <f t="shared" si="3"/>
        <v>5.5791118054005802</v>
      </c>
      <c r="K236" s="7">
        <v>0.01</v>
      </c>
      <c r="L236" t="s">
        <v>17</v>
      </c>
      <c r="M236">
        <v>296</v>
      </c>
      <c r="N236" t="s">
        <v>1032</v>
      </c>
      <c r="O236" t="s">
        <v>1031</v>
      </c>
    </row>
    <row r="237" spans="1:15" x14ac:dyDescent="0.2">
      <c r="A237" t="s">
        <v>190</v>
      </c>
      <c r="B237" t="s">
        <v>32</v>
      </c>
      <c r="C237" s="7">
        <v>2</v>
      </c>
      <c r="D237" s="7">
        <v>1</v>
      </c>
      <c r="E237" s="7">
        <v>2</v>
      </c>
      <c r="F237" s="7">
        <v>1</v>
      </c>
      <c r="G237" s="7">
        <v>0</v>
      </c>
      <c r="H237" s="7">
        <v>1</v>
      </c>
      <c r="I237" s="9">
        <v>0.19095999999999999</v>
      </c>
      <c r="J237" s="7">
        <f t="shared" si="3"/>
        <v>5.2366987850858822</v>
      </c>
      <c r="K237" s="7">
        <v>0.01</v>
      </c>
      <c r="L237" t="s">
        <v>17</v>
      </c>
      <c r="M237">
        <v>296</v>
      </c>
      <c r="N237" t="s">
        <v>1032</v>
      </c>
      <c r="O237" t="s">
        <v>1031</v>
      </c>
    </row>
    <row r="238" spans="1:15" x14ac:dyDescent="0.2">
      <c r="A238" t="s">
        <v>190</v>
      </c>
      <c r="B238" t="s">
        <v>32</v>
      </c>
      <c r="C238" s="7">
        <v>3</v>
      </c>
      <c r="D238" s="7">
        <v>1</v>
      </c>
      <c r="E238" s="7">
        <v>3</v>
      </c>
      <c r="F238" s="7">
        <v>3</v>
      </c>
      <c r="G238" s="7">
        <v>1</v>
      </c>
      <c r="H238" s="7">
        <v>2</v>
      </c>
      <c r="I238" s="9">
        <v>0.17199999999999999</v>
      </c>
      <c r="J238" s="7">
        <f t="shared" si="3"/>
        <v>5.8139534883720936</v>
      </c>
      <c r="K238" s="7">
        <v>0.01</v>
      </c>
      <c r="L238" t="s">
        <v>17</v>
      </c>
      <c r="M238">
        <v>296</v>
      </c>
      <c r="N238" t="s">
        <v>1032</v>
      </c>
      <c r="O238" t="s">
        <v>1031</v>
      </c>
    </row>
    <row r="239" spans="1:15" x14ac:dyDescent="0.2">
      <c r="A239" t="s">
        <v>190</v>
      </c>
      <c r="B239" t="s">
        <v>32</v>
      </c>
      <c r="C239" s="7">
        <v>5</v>
      </c>
      <c r="D239" s="7">
        <v>2</v>
      </c>
      <c r="E239" s="7">
        <v>4</v>
      </c>
      <c r="F239" s="7">
        <v>5</v>
      </c>
      <c r="G239" s="7">
        <v>2</v>
      </c>
      <c r="H239" s="7">
        <v>3</v>
      </c>
      <c r="I239" s="9">
        <v>0.15518000000000001</v>
      </c>
      <c r="J239" s="7">
        <f t="shared" si="3"/>
        <v>6.4441293981183128</v>
      </c>
      <c r="K239" s="7">
        <v>0.01</v>
      </c>
      <c r="L239" t="s">
        <v>17</v>
      </c>
      <c r="M239">
        <v>296</v>
      </c>
      <c r="N239" t="s">
        <v>1032</v>
      </c>
      <c r="O239" t="s">
        <v>1031</v>
      </c>
    </row>
    <row r="240" spans="1:15" x14ac:dyDescent="0.2">
      <c r="A240" t="s">
        <v>190</v>
      </c>
      <c r="B240" t="s">
        <v>32</v>
      </c>
      <c r="C240" s="7">
        <v>0</v>
      </c>
      <c r="D240" s="7">
        <v>0</v>
      </c>
      <c r="E240" s="7">
        <v>0</v>
      </c>
      <c r="F240" s="7">
        <v>1</v>
      </c>
      <c r="G240" s="7">
        <v>0</v>
      </c>
      <c r="H240" s="7">
        <v>1</v>
      </c>
      <c r="I240" s="9">
        <v>0.21376999999999999</v>
      </c>
      <c r="J240" s="7">
        <f t="shared" si="3"/>
        <v>4.6779248725265479</v>
      </c>
      <c r="K240" s="7">
        <v>0.01</v>
      </c>
      <c r="L240" t="s">
        <v>17</v>
      </c>
      <c r="M240">
        <v>296</v>
      </c>
      <c r="N240" t="s">
        <v>1032</v>
      </c>
      <c r="O240" t="s">
        <v>1031</v>
      </c>
    </row>
    <row r="241" spans="1:15" x14ac:dyDescent="0.2">
      <c r="A241" t="s">
        <v>190</v>
      </c>
      <c r="B241" t="s">
        <v>32</v>
      </c>
      <c r="C241" s="7">
        <v>7</v>
      </c>
      <c r="D241" s="7">
        <v>3</v>
      </c>
      <c r="E241" s="7">
        <v>5</v>
      </c>
      <c r="F241" s="7">
        <v>7</v>
      </c>
      <c r="G241" s="7">
        <v>3</v>
      </c>
      <c r="H241" s="7">
        <v>4</v>
      </c>
      <c r="I241" s="9">
        <v>0.12533</v>
      </c>
      <c r="J241" s="7">
        <f t="shared" si="3"/>
        <v>7.9789356099896276</v>
      </c>
      <c r="K241" s="7">
        <v>0.01</v>
      </c>
      <c r="L241" t="s">
        <v>17</v>
      </c>
      <c r="M241">
        <v>296</v>
      </c>
      <c r="N241" t="s">
        <v>1032</v>
      </c>
      <c r="O241" t="s">
        <v>1031</v>
      </c>
    </row>
    <row r="242" spans="1:15" x14ac:dyDescent="0.2">
      <c r="A242" t="s">
        <v>190</v>
      </c>
      <c r="B242" t="s">
        <v>32</v>
      </c>
      <c r="C242" s="7">
        <v>5</v>
      </c>
      <c r="D242" s="7">
        <v>3</v>
      </c>
      <c r="E242" s="7">
        <v>2</v>
      </c>
      <c r="F242" s="7">
        <v>5</v>
      </c>
      <c r="G242" s="7">
        <v>2</v>
      </c>
      <c r="H242" s="7">
        <v>3</v>
      </c>
      <c r="I242" s="9">
        <v>0.15497</v>
      </c>
      <c r="J242" s="7">
        <f t="shared" si="3"/>
        <v>6.4528618442279155</v>
      </c>
      <c r="K242" s="7">
        <v>0.01</v>
      </c>
      <c r="L242" t="s">
        <v>17</v>
      </c>
      <c r="M242">
        <v>296</v>
      </c>
      <c r="N242" t="s">
        <v>1032</v>
      </c>
      <c r="O242" t="s">
        <v>1031</v>
      </c>
    </row>
    <row r="243" spans="1:15" x14ac:dyDescent="0.2">
      <c r="A243" t="s">
        <v>190</v>
      </c>
      <c r="B243" t="s">
        <v>32</v>
      </c>
      <c r="C243" s="7">
        <v>2</v>
      </c>
      <c r="D243" s="7">
        <v>1</v>
      </c>
      <c r="E243" s="7">
        <v>2</v>
      </c>
      <c r="F243" s="7">
        <v>2</v>
      </c>
      <c r="G243" s="7">
        <v>1</v>
      </c>
      <c r="H243" s="7">
        <v>1</v>
      </c>
      <c r="I243" s="9">
        <v>0.17866000000000001</v>
      </c>
      <c r="J243" s="7">
        <f t="shared" si="3"/>
        <v>5.5972237770066045</v>
      </c>
      <c r="K243" s="7">
        <v>0.01</v>
      </c>
      <c r="L243" t="s">
        <v>17</v>
      </c>
      <c r="M243">
        <v>296</v>
      </c>
      <c r="N243" t="s">
        <v>1032</v>
      </c>
      <c r="O243" t="s">
        <v>1031</v>
      </c>
    </row>
    <row r="244" spans="1:15" x14ac:dyDescent="0.2">
      <c r="A244" t="s">
        <v>190</v>
      </c>
      <c r="B244" t="s">
        <v>32</v>
      </c>
      <c r="C244" s="7">
        <v>4</v>
      </c>
      <c r="D244" s="7">
        <v>2</v>
      </c>
      <c r="E244" s="7">
        <v>3</v>
      </c>
      <c r="F244" s="7">
        <v>4</v>
      </c>
      <c r="G244" s="7">
        <v>2</v>
      </c>
      <c r="H244" s="7">
        <v>2</v>
      </c>
      <c r="I244" s="9">
        <v>0.16188</v>
      </c>
      <c r="J244" s="7">
        <f t="shared" si="3"/>
        <v>6.1774153694094389</v>
      </c>
      <c r="K244" s="7">
        <v>0.01</v>
      </c>
      <c r="L244" t="s">
        <v>17</v>
      </c>
      <c r="M244">
        <v>296</v>
      </c>
      <c r="N244" t="s">
        <v>1032</v>
      </c>
      <c r="O244" t="s">
        <v>1031</v>
      </c>
    </row>
    <row r="245" spans="1:15" x14ac:dyDescent="0.2">
      <c r="A245" t="s">
        <v>190</v>
      </c>
      <c r="B245" t="s">
        <v>32</v>
      </c>
      <c r="C245" s="7">
        <v>4</v>
      </c>
      <c r="D245" s="7">
        <v>1</v>
      </c>
      <c r="E245" s="7">
        <v>4</v>
      </c>
      <c r="F245" s="7">
        <v>3</v>
      </c>
      <c r="G245" s="7">
        <v>0</v>
      </c>
      <c r="H245" s="7">
        <v>3</v>
      </c>
      <c r="I245" s="9">
        <v>0.15964999999999999</v>
      </c>
      <c r="J245" s="7">
        <f t="shared" si="3"/>
        <v>6.2637018477920456</v>
      </c>
      <c r="K245" s="7">
        <v>0.01</v>
      </c>
      <c r="L245" t="s">
        <v>17</v>
      </c>
      <c r="M245">
        <v>296</v>
      </c>
      <c r="N245" t="s">
        <v>1032</v>
      </c>
      <c r="O245" t="s">
        <v>1031</v>
      </c>
    </row>
    <row r="246" spans="1:15" x14ac:dyDescent="0.2">
      <c r="A246" t="s">
        <v>190</v>
      </c>
      <c r="B246" t="s">
        <v>32</v>
      </c>
      <c r="C246" s="7">
        <v>4</v>
      </c>
      <c r="D246" s="7">
        <v>3</v>
      </c>
      <c r="E246" s="7">
        <v>1</v>
      </c>
      <c r="F246" s="7">
        <v>4</v>
      </c>
      <c r="G246" s="7">
        <v>2</v>
      </c>
      <c r="H246" s="7">
        <v>2</v>
      </c>
      <c r="I246" s="9">
        <v>0.16159000000000001</v>
      </c>
      <c r="J246" s="7">
        <f t="shared" si="3"/>
        <v>6.1885017637230026</v>
      </c>
      <c r="K246" s="7">
        <v>0.01</v>
      </c>
      <c r="L246" t="s">
        <v>17</v>
      </c>
      <c r="M246">
        <v>296</v>
      </c>
      <c r="N246" t="s">
        <v>1032</v>
      </c>
      <c r="O246" t="s">
        <v>1031</v>
      </c>
    </row>
    <row r="247" spans="1:15" x14ac:dyDescent="0.2">
      <c r="A247" t="s">
        <v>190</v>
      </c>
      <c r="B247" t="s">
        <v>32</v>
      </c>
      <c r="C247" s="7">
        <v>3</v>
      </c>
      <c r="D247" s="7">
        <v>3</v>
      </c>
      <c r="E247" s="7">
        <v>0</v>
      </c>
      <c r="F247" s="7">
        <v>3</v>
      </c>
      <c r="G247" s="7">
        <v>2</v>
      </c>
      <c r="H247" s="7">
        <v>1</v>
      </c>
      <c r="I247" s="9">
        <v>0.14812</v>
      </c>
      <c r="J247" s="7">
        <f t="shared" si="3"/>
        <v>6.7512827437213065</v>
      </c>
      <c r="K247" s="7">
        <v>0.01</v>
      </c>
      <c r="L247" t="s">
        <v>17</v>
      </c>
      <c r="M247">
        <v>296</v>
      </c>
      <c r="N247" t="s">
        <v>1032</v>
      </c>
      <c r="O247" t="s">
        <v>1031</v>
      </c>
    </row>
    <row r="248" spans="1:15" x14ac:dyDescent="0.2">
      <c r="A248" t="s">
        <v>190</v>
      </c>
      <c r="B248" t="s">
        <v>32</v>
      </c>
      <c r="C248" s="7">
        <v>1</v>
      </c>
      <c r="D248" s="7">
        <v>1</v>
      </c>
      <c r="E248" s="7">
        <v>1</v>
      </c>
      <c r="F248" s="7">
        <v>1</v>
      </c>
      <c r="G248" s="7">
        <v>1</v>
      </c>
      <c r="H248" s="7">
        <v>0</v>
      </c>
      <c r="I248" s="9">
        <v>0.20069999999999999</v>
      </c>
      <c r="J248" s="7">
        <f t="shared" si="3"/>
        <v>4.9825610363726955</v>
      </c>
      <c r="K248" s="7">
        <v>0.01</v>
      </c>
      <c r="L248" t="s">
        <v>17</v>
      </c>
      <c r="M248">
        <v>296</v>
      </c>
      <c r="N248" t="s">
        <v>1032</v>
      </c>
      <c r="O248" t="s">
        <v>1031</v>
      </c>
    </row>
    <row r="249" spans="1:15" x14ac:dyDescent="0.2">
      <c r="A249" t="s">
        <v>190</v>
      </c>
      <c r="B249" t="s">
        <v>32</v>
      </c>
      <c r="C249" s="7">
        <v>5</v>
      </c>
      <c r="D249" s="7">
        <v>0</v>
      </c>
      <c r="E249" s="7">
        <v>5</v>
      </c>
      <c r="F249" s="7">
        <v>4</v>
      </c>
      <c r="G249" s="7">
        <v>1</v>
      </c>
      <c r="H249" s="7">
        <v>4</v>
      </c>
      <c r="I249" s="9">
        <v>0.10758</v>
      </c>
      <c r="J249" s="7">
        <f t="shared" si="3"/>
        <v>9.2954080684142042</v>
      </c>
      <c r="K249" s="7">
        <v>0.01</v>
      </c>
      <c r="L249" t="s">
        <v>17</v>
      </c>
      <c r="M249">
        <v>296</v>
      </c>
      <c r="N249" t="s">
        <v>1032</v>
      </c>
      <c r="O249" t="s">
        <v>1031</v>
      </c>
    </row>
    <row r="250" spans="1:15" x14ac:dyDescent="0.2">
      <c r="A250" t="s">
        <v>190</v>
      </c>
      <c r="B250" t="s">
        <v>32</v>
      </c>
      <c r="C250" s="7">
        <v>3</v>
      </c>
      <c r="D250" s="7">
        <v>2</v>
      </c>
      <c r="E250" s="7">
        <v>2</v>
      </c>
      <c r="F250" s="7">
        <v>3</v>
      </c>
      <c r="G250" s="7">
        <v>2</v>
      </c>
      <c r="H250" s="7">
        <v>1</v>
      </c>
      <c r="I250" s="9">
        <v>0.14674999999999999</v>
      </c>
      <c r="J250" s="7">
        <f t="shared" si="3"/>
        <v>6.8143100511073262</v>
      </c>
      <c r="K250" s="7">
        <v>0.01</v>
      </c>
      <c r="L250" t="s">
        <v>17</v>
      </c>
      <c r="M250">
        <v>296</v>
      </c>
      <c r="N250" t="s">
        <v>1032</v>
      </c>
      <c r="O250" t="s">
        <v>1031</v>
      </c>
    </row>
    <row r="251" spans="1:15" x14ac:dyDescent="0.2">
      <c r="A251" t="s">
        <v>190</v>
      </c>
      <c r="B251" t="s">
        <v>32</v>
      </c>
      <c r="C251" s="7">
        <v>2</v>
      </c>
      <c r="D251" s="7">
        <v>2</v>
      </c>
      <c r="E251" s="7">
        <v>1</v>
      </c>
      <c r="F251" s="7">
        <v>2</v>
      </c>
      <c r="G251" s="7">
        <v>2</v>
      </c>
      <c r="H251" s="7">
        <v>0</v>
      </c>
      <c r="I251" s="9">
        <v>0.13958000000000001</v>
      </c>
      <c r="J251" s="7">
        <f t="shared" si="3"/>
        <v>7.1643501934374552</v>
      </c>
      <c r="K251" s="7">
        <v>0.01</v>
      </c>
      <c r="L251" t="s">
        <v>17</v>
      </c>
      <c r="M251">
        <v>296</v>
      </c>
      <c r="N251" t="s">
        <v>1032</v>
      </c>
      <c r="O251" t="s">
        <v>1031</v>
      </c>
    </row>
    <row r="252" spans="1:15" x14ac:dyDescent="0.2">
      <c r="A252" t="s">
        <v>190</v>
      </c>
      <c r="B252" t="s">
        <v>32</v>
      </c>
      <c r="C252" s="7">
        <v>5</v>
      </c>
      <c r="D252" s="7">
        <v>3</v>
      </c>
      <c r="E252" s="7">
        <v>3</v>
      </c>
      <c r="F252" s="7">
        <v>5</v>
      </c>
      <c r="G252" s="7">
        <v>3</v>
      </c>
      <c r="H252" s="7">
        <v>2</v>
      </c>
      <c r="I252" s="9">
        <v>0.11670999999999999</v>
      </c>
      <c r="J252" s="7">
        <f t="shared" si="3"/>
        <v>8.5682460800274196</v>
      </c>
      <c r="K252" s="7">
        <v>0.01</v>
      </c>
      <c r="L252" t="s">
        <v>17</v>
      </c>
      <c r="M252">
        <v>296</v>
      </c>
      <c r="N252" t="s">
        <v>1032</v>
      </c>
      <c r="O252" t="s">
        <v>1031</v>
      </c>
    </row>
    <row r="253" spans="1:15" x14ac:dyDescent="0.2">
      <c r="A253" t="s">
        <v>190</v>
      </c>
      <c r="B253" t="s">
        <v>32</v>
      </c>
      <c r="C253" s="7">
        <v>1</v>
      </c>
      <c r="D253" s="7">
        <v>1</v>
      </c>
      <c r="E253" s="7">
        <v>0</v>
      </c>
      <c r="F253" s="7">
        <v>1</v>
      </c>
      <c r="G253" s="7">
        <v>1</v>
      </c>
      <c r="H253" s="7">
        <v>1</v>
      </c>
      <c r="I253" s="9">
        <v>0.20130000000000001</v>
      </c>
      <c r="J253" s="7">
        <f t="shared" si="3"/>
        <v>4.9677098857426722</v>
      </c>
      <c r="K253" s="7">
        <v>0.01</v>
      </c>
      <c r="L253" t="s">
        <v>17</v>
      </c>
      <c r="M253">
        <v>296</v>
      </c>
      <c r="N253" t="s">
        <v>1032</v>
      </c>
      <c r="O253" t="s">
        <v>1031</v>
      </c>
    </row>
    <row r="254" spans="1:15" x14ac:dyDescent="0.2">
      <c r="A254" t="s">
        <v>190</v>
      </c>
      <c r="B254" t="s">
        <v>32</v>
      </c>
      <c r="C254" s="7">
        <v>2</v>
      </c>
      <c r="D254" s="7">
        <v>2</v>
      </c>
      <c r="E254" s="7">
        <v>0</v>
      </c>
      <c r="F254" s="7">
        <v>2</v>
      </c>
      <c r="G254" s="7">
        <v>2</v>
      </c>
      <c r="H254" s="7">
        <v>1</v>
      </c>
      <c r="I254" s="9">
        <v>0.13561000000000001</v>
      </c>
      <c r="J254" s="7">
        <f t="shared" si="3"/>
        <v>7.3740874566772359</v>
      </c>
      <c r="K254" s="7">
        <v>0.01</v>
      </c>
      <c r="L254" t="s">
        <v>17</v>
      </c>
      <c r="M254">
        <v>296</v>
      </c>
      <c r="N254" t="s">
        <v>1032</v>
      </c>
      <c r="O254" t="s">
        <v>1031</v>
      </c>
    </row>
    <row r="255" spans="1:15" x14ac:dyDescent="0.2">
      <c r="A255" t="s">
        <v>190</v>
      </c>
      <c r="B255" t="s">
        <v>32</v>
      </c>
      <c r="C255" s="7">
        <v>4</v>
      </c>
      <c r="D255" s="7">
        <v>3</v>
      </c>
      <c r="E255" s="7">
        <v>2</v>
      </c>
      <c r="F255" s="7">
        <v>4</v>
      </c>
      <c r="G255" s="7">
        <v>3</v>
      </c>
      <c r="H255" s="7">
        <v>1</v>
      </c>
      <c r="I255" s="9">
        <v>0.10287</v>
      </c>
      <c r="J255" s="7">
        <f t="shared" si="3"/>
        <v>9.72100709633518</v>
      </c>
      <c r="K255" s="7">
        <v>0.01</v>
      </c>
      <c r="L255" t="s">
        <v>17</v>
      </c>
      <c r="M255">
        <v>296</v>
      </c>
      <c r="N255" t="s">
        <v>1032</v>
      </c>
      <c r="O255" t="s">
        <v>1031</v>
      </c>
    </row>
    <row r="256" spans="1:15" x14ac:dyDescent="0.2">
      <c r="A256" t="s">
        <v>190</v>
      </c>
      <c r="B256" t="s">
        <v>32</v>
      </c>
      <c r="C256" s="7">
        <v>3</v>
      </c>
      <c r="D256" s="7">
        <v>2</v>
      </c>
      <c r="E256" s="7">
        <v>1</v>
      </c>
      <c r="F256" s="7">
        <v>3</v>
      </c>
      <c r="G256" s="7">
        <v>2</v>
      </c>
      <c r="H256" s="7">
        <v>2</v>
      </c>
      <c r="I256" s="9">
        <v>0.13442999999999999</v>
      </c>
      <c r="J256" s="7">
        <f t="shared" si="3"/>
        <v>7.4388157405341078</v>
      </c>
      <c r="K256" s="7">
        <v>0.01</v>
      </c>
      <c r="L256" t="s">
        <v>17</v>
      </c>
      <c r="M256">
        <v>296</v>
      </c>
      <c r="N256" t="s">
        <v>1032</v>
      </c>
      <c r="O256" t="s">
        <v>1031</v>
      </c>
    </row>
    <row r="257" spans="1:15" x14ac:dyDescent="0.2">
      <c r="A257" t="s">
        <v>190</v>
      </c>
      <c r="B257" t="s">
        <v>32</v>
      </c>
      <c r="C257" s="7">
        <v>3</v>
      </c>
      <c r="D257" s="7">
        <v>3</v>
      </c>
      <c r="E257" s="7">
        <v>1</v>
      </c>
      <c r="F257" s="7">
        <v>3</v>
      </c>
      <c r="G257" s="7">
        <v>3</v>
      </c>
      <c r="H257" s="7">
        <v>0</v>
      </c>
      <c r="I257" s="9">
        <v>0.10206999999999999</v>
      </c>
      <c r="J257" s="7">
        <f t="shared" si="3"/>
        <v>9.7971980013716085</v>
      </c>
      <c r="K257" s="7">
        <v>0.01</v>
      </c>
      <c r="L257" t="s">
        <v>17</v>
      </c>
      <c r="M257">
        <v>296</v>
      </c>
      <c r="N257" t="s">
        <v>1032</v>
      </c>
      <c r="O257" t="s">
        <v>1031</v>
      </c>
    </row>
    <row r="258" spans="1:15" x14ac:dyDescent="0.2">
      <c r="A258" t="s">
        <v>190</v>
      </c>
      <c r="B258" t="s">
        <v>32</v>
      </c>
      <c r="C258" s="7">
        <v>3</v>
      </c>
      <c r="D258" s="7">
        <v>3</v>
      </c>
      <c r="E258" s="7">
        <v>0</v>
      </c>
      <c r="F258" s="7">
        <v>3</v>
      </c>
      <c r="G258" s="7">
        <v>3</v>
      </c>
      <c r="H258" s="7">
        <v>1</v>
      </c>
      <c r="I258" s="9">
        <v>9.9900000000000003E-2</v>
      </c>
      <c r="J258" s="7">
        <f t="shared" si="3"/>
        <v>10.01001001001001</v>
      </c>
      <c r="K258" s="7">
        <v>0.01</v>
      </c>
      <c r="L258" t="s">
        <v>17</v>
      </c>
      <c r="M258">
        <v>296</v>
      </c>
      <c r="N258" t="s">
        <v>1032</v>
      </c>
      <c r="O258" t="s">
        <v>1031</v>
      </c>
    </row>
    <row r="259" spans="1:15" x14ac:dyDescent="0.2">
      <c r="A259" t="s">
        <v>190</v>
      </c>
      <c r="B259" t="s">
        <v>32</v>
      </c>
      <c r="C259" s="7">
        <v>4</v>
      </c>
      <c r="D259" s="7">
        <v>3</v>
      </c>
      <c r="E259" s="7">
        <v>1</v>
      </c>
      <c r="F259" s="7">
        <v>4</v>
      </c>
      <c r="G259" s="7">
        <v>3</v>
      </c>
      <c r="H259" s="7">
        <v>2</v>
      </c>
      <c r="I259" s="9">
        <v>9.6759999999999999E-2</v>
      </c>
      <c r="J259" s="7">
        <f t="shared" ref="J259:J322" si="4">K259/I259*100</f>
        <v>10.334849111202976</v>
      </c>
      <c r="K259" s="7">
        <v>0.01</v>
      </c>
      <c r="L259" t="s">
        <v>17</v>
      </c>
      <c r="M259">
        <v>296</v>
      </c>
      <c r="N259" t="s">
        <v>1032</v>
      </c>
      <c r="O259" t="s">
        <v>1031</v>
      </c>
    </row>
    <row r="260" spans="1:15" x14ac:dyDescent="0.2">
      <c r="A260" t="s">
        <v>190</v>
      </c>
      <c r="B260" t="s">
        <v>32</v>
      </c>
      <c r="C260" s="7">
        <v>7</v>
      </c>
      <c r="D260" s="7">
        <v>4</v>
      </c>
      <c r="E260" s="7">
        <v>4</v>
      </c>
      <c r="F260" s="7">
        <v>7</v>
      </c>
      <c r="G260" s="7">
        <v>4</v>
      </c>
      <c r="H260" s="7">
        <v>3</v>
      </c>
      <c r="I260" s="9">
        <v>9.6129999999999993E-2</v>
      </c>
      <c r="J260" s="7">
        <f t="shared" si="4"/>
        <v>10.402579839800271</v>
      </c>
      <c r="K260" s="7">
        <v>0.01</v>
      </c>
      <c r="L260" t="s">
        <v>17</v>
      </c>
      <c r="M260">
        <v>296</v>
      </c>
      <c r="N260" t="s">
        <v>1032</v>
      </c>
      <c r="O260" t="s">
        <v>1031</v>
      </c>
    </row>
    <row r="261" spans="1:15" x14ac:dyDescent="0.2">
      <c r="A261" t="s">
        <v>190</v>
      </c>
      <c r="B261" t="s">
        <v>32</v>
      </c>
      <c r="C261" s="7">
        <v>5</v>
      </c>
      <c r="D261" s="7">
        <v>3</v>
      </c>
      <c r="E261" s="7">
        <v>2</v>
      </c>
      <c r="F261" s="7">
        <v>5</v>
      </c>
      <c r="G261" s="7">
        <v>3</v>
      </c>
      <c r="H261" s="7">
        <v>3</v>
      </c>
      <c r="I261" s="9">
        <v>0.11035</v>
      </c>
      <c r="J261" s="7">
        <f t="shared" si="4"/>
        <v>9.0620752152242865</v>
      </c>
      <c r="K261" s="7">
        <v>0.01</v>
      </c>
      <c r="L261" t="s">
        <v>17</v>
      </c>
      <c r="M261">
        <v>296</v>
      </c>
      <c r="N261" t="s">
        <v>1032</v>
      </c>
      <c r="O261" t="s">
        <v>1031</v>
      </c>
    </row>
    <row r="262" spans="1:15" x14ac:dyDescent="0.2">
      <c r="A262" t="s">
        <v>190</v>
      </c>
      <c r="B262" t="s">
        <v>32</v>
      </c>
      <c r="C262" s="7">
        <v>2</v>
      </c>
      <c r="D262" s="7">
        <v>1</v>
      </c>
      <c r="E262" s="7">
        <v>1</v>
      </c>
      <c r="F262" s="7">
        <v>2</v>
      </c>
      <c r="G262" s="7">
        <v>1</v>
      </c>
      <c r="H262" s="7">
        <v>2</v>
      </c>
      <c r="I262" s="9">
        <v>0.17458000000000001</v>
      </c>
      <c r="J262" s="7">
        <f t="shared" si="4"/>
        <v>5.728032993470042</v>
      </c>
      <c r="K262" s="7">
        <v>0.01</v>
      </c>
      <c r="L262" t="s">
        <v>17</v>
      </c>
      <c r="M262">
        <v>296</v>
      </c>
      <c r="N262" t="s">
        <v>1032</v>
      </c>
      <c r="O262" t="s">
        <v>1031</v>
      </c>
    </row>
    <row r="263" spans="1:15" x14ac:dyDescent="0.2">
      <c r="A263" t="s">
        <v>190</v>
      </c>
      <c r="B263" t="s">
        <v>32</v>
      </c>
      <c r="C263" s="7">
        <v>6</v>
      </c>
      <c r="D263" s="7">
        <v>1</v>
      </c>
      <c r="E263" s="7">
        <v>6</v>
      </c>
      <c r="F263" s="7">
        <v>5</v>
      </c>
      <c r="G263" s="7">
        <v>0</v>
      </c>
      <c r="H263" s="7">
        <v>5</v>
      </c>
      <c r="I263" s="9">
        <v>0.10627</v>
      </c>
      <c r="J263" s="7">
        <f t="shared" si="4"/>
        <v>9.4099934130046101</v>
      </c>
      <c r="K263" s="7">
        <v>0.01</v>
      </c>
      <c r="L263" t="s">
        <v>17</v>
      </c>
      <c r="M263">
        <v>296</v>
      </c>
      <c r="N263" t="s">
        <v>1032</v>
      </c>
      <c r="O263" t="s">
        <v>1031</v>
      </c>
    </row>
    <row r="264" spans="1:15" x14ac:dyDescent="0.2">
      <c r="A264" t="s">
        <v>190</v>
      </c>
      <c r="B264" t="s">
        <v>32</v>
      </c>
      <c r="C264" s="7">
        <v>6</v>
      </c>
      <c r="D264" s="7">
        <v>4</v>
      </c>
      <c r="E264" s="7">
        <v>3</v>
      </c>
      <c r="F264" s="7">
        <v>6</v>
      </c>
      <c r="G264" s="7">
        <v>4</v>
      </c>
      <c r="H264" s="7">
        <v>2</v>
      </c>
      <c r="I264" s="9">
        <v>9.1389999999999999E-2</v>
      </c>
      <c r="J264" s="7">
        <f t="shared" si="4"/>
        <v>10.9421162052741</v>
      </c>
      <c r="K264" s="7">
        <v>0.01</v>
      </c>
      <c r="L264" t="s">
        <v>17</v>
      </c>
      <c r="M264">
        <v>296</v>
      </c>
      <c r="N264" t="s">
        <v>1032</v>
      </c>
      <c r="O264" t="s">
        <v>1031</v>
      </c>
    </row>
    <row r="265" spans="1:15" x14ac:dyDescent="0.2">
      <c r="A265" t="s">
        <v>190</v>
      </c>
      <c r="B265" t="s">
        <v>32</v>
      </c>
      <c r="C265" s="7">
        <v>7</v>
      </c>
      <c r="D265" s="7">
        <v>5</v>
      </c>
      <c r="E265" s="7">
        <v>3</v>
      </c>
      <c r="F265" s="7">
        <v>7</v>
      </c>
      <c r="G265" s="7">
        <v>5</v>
      </c>
      <c r="H265" s="7">
        <v>2</v>
      </c>
      <c r="I265" s="9">
        <v>9.2179999999999998E-2</v>
      </c>
      <c r="J265" s="7">
        <f t="shared" si="4"/>
        <v>10.848340203948796</v>
      </c>
      <c r="K265" s="7">
        <v>0.01</v>
      </c>
      <c r="L265" t="s">
        <v>17</v>
      </c>
      <c r="M265">
        <v>296</v>
      </c>
      <c r="N265" t="s">
        <v>1032</v>
      </c>
      <c r="O265" t="s">
        <v>1031</v>
      </c>
    </row>
    <row r="266" spans="1:15" x14ac:dyDescent="0.2">
      <c r="A266" t="s">
        <v>190</v>
      </c>
      <c r="B266" t="s">
        <v>32</v>
      </c>
      <c r="C266" s="7">
        <v>7</v>
      </c>
      <c r="D266" s="7">
        <v>5</v>
      </c>
      <c r="E266" s="7">
        <v>2</v>
      </c>
      <c r="F266" s="7">
        <v>7</v>
      </c>
      <c r="G266" s="7">
        <v>5</v>
      </c>
      <c r="H266" s="7">
        <v>3</v>
      </c>
      <c r="I266" s="9">
        <v>9.3899999999999997E-2</v>
      </c>
      <c r="J266" s="7">
        <f t="shared" si="4"/>
        <v>10.649627263045794</v>
      </c>
      <c r="K266" s="7">
        <v>0.01</v>
      </c>
      <c r="L266" t="s">
        <v>17</v>
      </c>
      <c r="M266">
        <v>296</v>
      </c>
      <c r="N266" t="s">
        <v>1032</v>
      </c>
      <c r="O266" t="s">
        <v>1031</v>
      </c>
    </row>
    <row r="267" spans="1:15" x14ac:dyDescent="0.2">
      <c r="A267" t="s">
        <v>190</v>
      </c>
      <c r="B267" t="s">
        <v>32</v>
      </c>
      <c r="C267" s="7">
        <v>7</v>
      </c>
      <c r="D267" s="7">
        <v>0</v>
      </c>
      <c r="E267" s="7">
        <v>7</v>
      </c>
      <c r="F267" s="7">
        <v>6</v>
      </c>
      <c r="G267" s="7">
        <v>1</v>
      </c>
      <c r="H267" s="7">
        <v>6</v>
      </c>
      <c r="I267" s="9">
        <v>8.5110000000000005E-2</v>
      </c>
      <c r="J267" s="7">
        <f t="shared" si="4"/>
        <v>11.749500646222536</v>
      </c>
      <c r="K267" s="7">
        <v>0.01</v>
      </c>
      <c r="L267" t="s">
        <v>17</v>
      </c>
      <c r="M267">
        <v>296</v>
      </c>
      <c r="N267" t="s">
        <v>1032</v>
      </c>
      <c r="O267" t="s">
        <v>1031</v>
      </c>
    </row>
    <row r="268" spans="1:15" x14ac:dyDescent="0.2">
      <c r="A268" t="s">
        <v>190</v>
      </c>
      <c r="B268" t="s">
        <v>32</v>
      </c>
      <c r="C268" s="7">
        <v>5</v>
      </c>
      <c r="D268" s="7">
        <v>2</v>
      </c>
      <c r="E268" s="7">
        <v>3</v>
      </c>
      <c r="F268" s="7">
        <v>5</v>
      </c>
      <c r="G268" s="7">
        <v>2</v>
      </c>
      <c r="H268" s="7">
        <v>4</v>
      </c>
      <c r="I268" s="9">
        <v>0.13907</v>
      </c>
      <c r="J268" s="7">
        <f t="shared" si="4"/>
        <v>7.1906234270511256</v>
      </c>
      <c r="K268" s="7">
        <v>0.01</v>
      </c>
      <c r="L268" t="s">
        <v>17</v>
      </c>
      <c r="M268">
        <v>296</v>
      </c>
      <c r="N268" t="s">
        <v>1032</v>
      </c>
      <c r="O268" t="s">
        <v>1031</v>
      </c>
    </row>
    <row r="269" spans="1:15" x14ac:dyDescent="0.2">
      <c r="A269" t="s">
        <v>190</v>
      </c>
      <c r="B269" t="s">
        <v>32</v>
      </c>
      <c r="C269" s="7">
        <v>4</v>
      </c>
      <c r="D269" s="7">
        <v>2</v>
      </c>
      <c r="E269" s="7">
        <v>3</v>
      </c>
      <c r="F269" s="7">
        <v>3</v>
      </c>
      <c r="G269" s="7">
        <v>1</v>
      </c>
      <c r="H269" s="7">
        <v>2</v>
      </c>
      <c r="I269" s="9">
        <v>0.17027999999999999</v>
      </c>
      <c r="J269" s="7">
        <f t="shared" si="4"/>
        <v>5.8726802912849427</v>
      </c>
      <c r="K269" s="7">
        <v>0.01</v>
      </c>
      <c r="L269" t="s">
        <v>17</v>
      </c>
      <c r="M269">
        <v>296</v>
      </c>
      <c r="N269" t="s">
        <v>1032</v>
      </c>
      <c r="O269" t="s">
        <v>1031</v>
      </c>
    </row>
    <row r="270" spans="1:15" x14ac:dyDescent="0.2">
      <c r="A270" t="s">
        <v>190</v>
      </c>
      <c r="B270" t="s">
        <v>32</v>
      </c>
      <c r="C270" s="7">
        <v>5</v>
      </c>
      <c r="D270" s="7">
        <v>4</v>
      </c>
      <c r="E270" s="7">
        <v>1</v>
      </c>
      <c r="F270" s="7">
        <v>5</v>
      </c>
      <c r="G270" s="7">
        <v>3</v>
      </c>
      <c r="H270" s="7">
        <v>2</v>
      </c>
      <c r="I270" s="9">
        <v>0.11892</v>
      </c>
      <c r="J270" s="7">
        <f t="shared" si="4"/>
        <v>8.4090144635048762</v>
      </c>
      <c r="K270" s="7">
        <v>0.01</v>
      </c>
      <c r="L270" t="s">
        <v>17</v>
      </c>
      <c r="M270">
        <v>296</v>
      </c>
      <c r="N270" t="s">
        <v>1032</v>
      </c>
      <c r="O270" t="s">
        <v>1031</v>
      </c>
    </row>
    <row r="271" spans="1:15" x14ac:dyDescent="0.2">
      <c r="A271" t="s">
        <v>190</v>
      </c>
      <c r="B271" t="s">
        <v>32</v>
      </c>
      <c r="C271" s="7">
        <v>2</v>
      </c>
      <c r="D271" s="7">
        <v>1</v>
      </c>
      <c r="E271" s="7">
        <v>2</v>
      </c>
      <c r="F271" s="7">
        <v>1</v>
      </c>
      <c r="G271" s="7">
        <v>1</v>
      </c>
      <c r="H271" s="7">
        <v>1</v>
      </c>
      <c r="I271" s="9">
        <v>0.17953</v>
      </c>
      <c r="J271" s="7">
        <f t="shared" si="4"/>
        <v>5.5700997047847158</v>
      </c>
      <c r="K271" s="7">
        <v>0.01</v>
      </c>
      <c r="L271" t="s">
        <v>17</v>
      </c>
      <c r="M271">
        <v>296</v>
      </c>
      <c r="N271" t="s">
        <v>1032</v>
      </c>
      <c r="O271" t="s">
        <v>1031</v>
      </c>
    </row>
    <row r="272" spans="1:15" x14ac:dyDescent="0.2">
      <c r="A272" t="s">
        <v>190</v>
      </c>
      <c r="B272" t="s">
        <v>32</v>
      </c>
      <c r="C272" s="7">
        <v>2</v>
      </c>
      <c r="D272" s="7">
        <v>0</v>
      </c>
      <c r="E272" s="7">
        <v>2</v>
      </c>
      <c r="F272" s="7">
        <v>1</v>
      </c>
      <c r="G272" s="7">
        <v>0</v>
      </c>
      <c r="H272" s="7">
        <v>1</v>
      </c>
      <c r="I272" s="9">
        <v>0.21071999999999999</v>
      </c>
      <c r="J272" s="7">
        <f t="shared" si="4"/>
        <v>4.7456340167046323</v>
      </c>
      <c r="K272" s="7">
        <v>0.01</v>
      </c>
      <c r="L272" t="s">
        <v>17</v>
      </c>
      <c r="M272">
        <v>296</v>
      </c>
      <c r="N272" t="s">
        <v>1032</v>
      </c>
      <c r="O272" t="s">
        <v>1031</v>
      </c>
    </row>
    <row r="273" spans="1:15" x14ac:dyDescent="0.2">
      <c r="A273" t="s">
        <v>190</v>
      </c>
      <c r="B273" t="s">
        <v>32</v>
      </c>
      <c r="C273" s="7">
        <v>4</v>
      </c>
      <c r="D273" s="7">
        <v>1</v>
      </c>
      <c r="E273" s="7">
        <v>3</v>
      </c>
      <c r="F273" s="7">
        <v>4</v>
      </c>
      <c r="G273" s="7">
        <v>1</v>
      </c>
      <c r="H273" s="7">
        <v>4</v>
      </c>
      <c r="I273" s="9">
        <v>0.14341999999999999</v>
      </c>
      <c r="J273" s="7">
        <f t="shared" si="4"/>
        <v>6.9725282387393674</v>
      </c>
      <c r="K273" s="7">
        <v>0.01</v>
      </c>
      <c r="L273" t="s">
        <v>17</v>
      </c>
      <c r="M273">
        <v>296</v>
      </c>
      <c r="N273" t="s">
        <v>1032</v>
      </c>
      <c r="O273" t="s">
        <v>1031</v>
      </c>
    </row>
    <row r="274" spans="1:15" x14ac:dyDescent="0.2">
      <c r="A274" t="s">
        <v>190</v>
      </c>
      <c r="B274" t="s">
        <v>32</v>
      </c>
      <c r="C274" s="7">
        <v>2</v>
      </c>
      <c r="D274" s="7">
        <v>1</v>
      </c>
      <c r="E274" s="7">
        <v>1</v>
      </c>
      <c r="F274" s="7">
        <v>1</v>
      </c>
      <c r="G274" s="7">
        <v>1</v>
      </c>
      <c r="H274" s="7">
        <v>0</v>
      </c>
      <c r="I274" s="9">
        <v>0.19483</v>
      </c>
      <c r="J274" s="7">
        <f t="shared" si="4"/>
        <v>5.132679772109018</v>
      </c>
      <c r="K274" s="7">
        <v>0.01</v>
      </c>
      <c r="L274" t="s">
        <v>17</v>
      </c>
      <c r="M274">
        <v>296</v>
      </c>
      <c r="N274" t="s">
        <v>1032</v>
      </c>
      <c r="O274" t="s">
        <v>1031</v>
      </c>
    </row>
    <row r="275" spans="1:15" x14ac:dyDescent="0.2">
      <c r="A275" t="s">
        <v>190</v>
      </c>
      <c r="B275" t="s">
        <v>32</v>
      </c>
      <c r="C275" s="7">
        <v>8</v>
      </c>
      <c r="D275" s="7">
        <v>3</v>
      </c>
      <c r="E275" s="7">
        <v>5</v>
      </c>
      <c r="F275" s="7">
        <v>8</v>
      </c>
      <c r="G275" s="7">
        <v>3</v>
      </c>
      <c r="H275" s="7">
        <v>6</v>
      </c>
      <c r="I275" s="9">
        <v>9.4109999999999999E-2</v>
      </c>
      <c r="J275" s="7">
        <f t="shared" si="4"/>
        <v>10.625863351397301</v>
      </c>
      <c r="K275" s="7">
        <v>0.01</v>
      </c>
      <c r="L275" t="s">
        <v>17</v>
      </c>
      <c r="M275">
        <v>296</v>
      </c>
      <c r="N275" t="s">
        <v>1032</v>
      </c>
      <c r="O275" t="s">
        <v>1031</v>
      </c>
    </row>
    <row r="276" spans="1:15" x14ac:dyDescent="0.2">
      <c r="A276" t="s">
        <v>190</v>
      </c>
      <c r="B276" t="s">
        <v>32</v>
      </c>
      <c r="C276" s="7">
        <v>3</v>
      </c>
      <c r="D276" s="7">
        <v>1</v>
      </c>
      <c r="E276" s="7">
        <v>3</v>
      </c>
      <c r="F276" s="7">
        <v>2</v>
      </c>
      <c r="G276" s="7">
        <v>1</v>
      </c>
      <c r="H276" s="7">
        <v>2</v>
      </c>
      <c r="I276" s="9">
        <v>0.1409</v>
      </c>
      <c r="J276" s="7">
        <f t="shared" si="4"/>
        <v>7.0972320794889994</v>
      </c>
      <c r="K276" s="7">
        <v>0.01</v>
      </c>
      <c r="L276" t="s">
        <v>17</v>
      </c>
      <c r="M276">
        <v>296</v>
      </c>
      <c r="N276" t="s">
        <v>1032</v>
      </c>
      <c r="O276" t="s">
        <v>1031</v>
      </c>
    </row>
    <row r="277" spans="1:15" x14ac:dyDescent="0.2">
      <c r="A277" t="s">
        <v>190</v>
      </c>
      <c r="B277" t="s">
        <v>32</v>
      </c>
      <c r="C277" s="7">
        <v>3</v>
      </c>
      <c r="D277" s="7">
        <v>0</v>
      </c>
      <c r="E277" s="7">
        <v>3</v>
      </c>
      <c r="F277" s="7">
        <v>2</v>
      </c>
      <c r="G277" s="7">
        <v>0</v>
      </c>
      <c r="H277" s="7">
        <v>2</v>
      </c>
      <c r="I277" s="9">
        <v>0.19436</v>
      </c>
      <c r="J277" s="7">
        <f t="shared" si="4"/>
        <v>5.1450915826301706</v>
      </c>
      <c r="K277" s="7">
        <v>0.01</v>
      </c>
      <c r="L277" t="s">
        <v>17</v>
      </c>
      <c r="M277">
        <v>296</v>
      </c>
      <c r="N277" t="s">
        <v>1032</v>
      </c>
      <c r="O277" t="s">
        <v>1031</v>
      </c>
    </row>
    <row r="278" spans="1:15" x14ac:dyDescent="0.2">
      <c r="A278" t="s">
        <v>190</v>
      </c>
      <c r="B278" t="s">
        <v>32</v>
      </c>
      <c r="C278" s="7">
        <v>3</v>
      </c>
      <c r="D278" s="7">
        <v>3</v>
      </c>
      <c r="E278" s="7">
        <v>1</v>
      </c>
      <c r="F278" s="7">
        <v>2</v>
      </c>
      <c r="G278" s="7">
        <v>2</v>
      </c>
      <c r="H278" s="7">
        <v>0</v>
      </c>
      <c r="I278" s="9">
        <v>0.12828999999999999</v>
      </c>
      <c r="J278" s="7">
        <f t="shared" si="4"/>
        <v>7.7948398160417804</v>
      </c>
      <c r="K278" s="7">
        <v>0.01</v>
      </c>
      <c r="L278" t="s">
        <v>17</v>
      </c>
      <c r="M278">
        <v>296</v>
      </c>
      <c r="N278" t="s">
        <v>1032</v>
      </c>
      <c r="O278" t="s">
        <v>1031</v>
      </c>
    </row>
    <row r="279" spans="1:15" x14ac:dyDescent="0.2">
      <c r="A279" t="s">
        <v>190</v>
      </c>
      <c r="B279" t="s">
        <v>32</v>
      </c>
      <c r="C279" s="7">
        <v>3</v>
      </c>
      <c r="D279" s="7">
        <v>3</v>
      </c>
      <c r="E279" s="7">
        <v>0</v>
      </c>
      <c r="F279" s="7">
        <v>2</v>
      </c>
      <c r="G279" s="7">
        <v>2</v>
      </c>
      <c r="H279" s="7">
        <v>1</v>
      </c>
      <c r="I279" s="9">
        <v>0.1295</v>
      </c>
      <c r="J279" s="7">
        <f t="shared" si="4"/>
        <v>7.7220077220077217</v>
      </c>
      <c r="K279" s="7">
        <v>0.01</v>
      </c>
      <c r="L279" t="s">
        <v>17</v>
      </c>
      <c r="M279">
        <v>296</v>
      </c>
      <c r="N279" t="s">
        <v>1032</v>
      </c>
      <c r="O279" t="s">
        <v>1031</v>
      </c>
    </row>
    <row r="280" spans="1:15" x14ac:dyDescent="0.2">
      <c r="A280" t="s">
        <v>190</v>
      </c>
      <c r="B280" t="s">
        <v>32</v>
      </c>
      <c r="C280" s="7">
        <v>5</v>
      </c>
      <c r="D280" s="7">
        <v>1</v>
      </c>
      <c r="E280" s="7">
        <v>4</v>
      </c>
      <c r="F280" s="7">
        <v>5</v>
      </c>
      <c r="G280" s="7">
        <v>1</v>
      </c>
      <c r="H280" s="7">
        <v>5</v>
      </c>
      <c r="I280" s="9">
        <v>0.13063</v>
      </c>
      <c r="J280" s="7">
        <f t="shared" si="4"/>
        <v>7.6552093699762693</v>
      </c>
      <c r="K280" s="7">
        <v>0.01</v>
      </c>
      <c r="L280" t="s">
        <v>17</v>
      </c>
      <c r="M280">
        <v>296</v>
      </c>
      <c r="N280" t="s">
        <v>1032</v>
      </c>
      <c r="O280" t="s">
        <v>1031</v>
      </c>
    </row>
    <row r="281" spans="1:15" x14ac:dyDescent="0.2">
      <c r="A281" t="s">
        <v>190</v>
      </c>
      <c r="B281" t="s">
        <v>32</v>
      </c>
      <c r="C281" s="7">
        <v>3</v>
      </c>
      <c r="D281" s="7">
        <v>2</v>
      </c>
      <c r="E281" s="7">
        <v>2</v>
      </c>
      <c r="F281" s="7">
        <v>3</v>
      </c>
      <c r="G281" s="7">
        <v>0</v>
      </c>
      <c r="H281" s="7">
        <v>3</v>
      </c>
      <c r="I281" s="9">
        <v>0.15429000000000001</v>
      </c>
      <c r="J281" s="7">
        <f t="shared" si="4"/>
        <v>6.4813014453302218</v>
      </c>
      <c r="K281" s="7">
        <v>0.01</v>
      </c>
      <c r="L281" t="s">
        <v>17</v>
      </c>
      <c r="M281">
        <v>296</v>
      </c>
      <c r="N281" t="s">
        <v>1032</v>
      </c>
      <c r="O281" t="s">
        <v>1031</v>
      </c>
    </row>
    <row r="282" spans="1:15" x14ac:dyDescent="0.2">
      <c r="A282" t="s">
        <v>190</v>
      </c>
      <c r="B282" t="s">
        <v>32</v>
      </c>
      <c r="C282" s="7">
        <v>3</v>
      </c>
      <c r="D282" s="7">
        <v>2</v>
      </c>
      <c r="E282" s="7">
        <v>2</v>
      </c>
      <c r="F282" s="7">
        <v>2</v>
      </c>
      <c r="G282" s="7">
        <v>2</v>
      </c>
      <c r="H282" s="7">
        <v>1</v>
      </c>
      <c r="I282" s="9">
        <v>0.12844</v>
      </c>
      <c r="J282" s="7">
        <f t="shared" si="4"/>
        <v>7.785736530675802</v>
      </c>
      <c r="K282" s="7">
        <v>0.01</v>
      </c>
      <c r="L282" t="s">
        <v>17</v>
      </c>
      <c r="M282">
        <v>296</v>
      </c>
      <c r="N282" t="s">
        <v>1032</v>
      </c>
      <c r="O282" t="s">
        <v>1031</v>
      </c>
    </row>
    <row r="283" spans="1:15" x14ac:dyDescent="0.2">
      <c r="A283" t="s">
        <v>190</v>
      </c>
      <c r="B283" t="s">
        <v>32</v>
      </c>
      <c r="C283" s="7">
        <v>4</v>
      </c>
      <c r="D283" s="7">
        <v>1</v>
      </c>
      <c r="E283" s="7">
        <v>4</v>
      </c>
      <c r="F283" s="7">
        <v>3</v>
      </c>
      <c r="G283" s="7">
        <v>1</v>
      </c>
      <c r="H283" s="7">
        <v>3</v>
      </c>
      <c r="I283" s="9">
        <v>0.12553</v>
      </c>
      <c r="J283" s="7">
        <f t="shared" si="4"/>
        <v>7.9662232135744446</v>
      </c>
      <c r="K283" s="7">
        <v>0.01</v>
      </c>
      <c r="L283" t="s">
        <v>17</v>
      </c>
      <c r="M283">
        <v>296</v>
      </c>
      <c r="N283" t="s">
        <v>1032</v>
      </c>
      <c r="O283" t="s">
        <v>1031</v>
      </c>
    </row>
    <row r="284" spans="1:15" x14ac:dyDescent="0.2">
      <c r="A284" t="s">
        <v>190</v>
      </c>
      <c r="B284" t="s">
        <v>32</v>
      </c>
      <c r="C284" s="7">
        <v>3</v>
      </c>
      <c r="D284" s="7">
        <v>1</v>
      </c>
      <c r="E284" s="7">
        <v>2</v>
      </c>
      <c r="F284" s="7">
        <v>2</v>
      </c>
      <c r="G284" s="7">
        <v>1</v>
      </c>
      <c r="H284" s="7">
        <v>1</v>
      </c>
      <c r="I284" s="9">
        <v>0.19470000000000001</v>
      </c>
      <c r="J284" s="7">
        <f t="shared" si="4"/>
        <v>5.1361068310220848</v>
      </c>
      <c r="K284" s="7">
        <v>0.01</v>
      </c>
      <c r="L284" t="s">
        <v>17</v>
      </c>
      <c r="M284">
        <v>296</v>
      </c>
      <c r="N284" t="s">
        <v>1032</v>
      </c>
      <c r="O284" t="s">
        <v>1031</v>
      </c>
    </row>
    <row r="285" spans="1:15" x14ac:dyDescent="0.2">
      <c r="A285" t="s">
        <v>190</v>
      </c>
      <c r="B285" t="s">
        <v>32</v>
      </c>
      <c r="C285" s="7">
        <v>3</v>
      </c>
      <c r="D285" s="7">
        <v>2</v>
      </c>
      <c r="E285" s="7">
        <v>1</v>
      </c>
      <c r="F285" s="7">
        <v>2</v>
      </c>
      <c r="G285" s="7">
        <v>2</v>
      </c>
      <c r="H285" s="7">
        <v>0</v>
      </c>
      <c r="I285" s="9">
        <v>0.15003</v>
      </c>
      <c r="J285" s="7">
        <f t="shared" si="4"/>
        <v>6.6653335999466785</v>
      </c>
      <c r="K285" s="7">
        <v>0.01</v>
      </c>
      <c r="L285" t="s">
        <v>17</v>
      </c>
      <c r="M285">
        <v>296</v>
      </c>
      <c r="N285" t="s">
        <v>1032</v>
      </c>
      <c r="O285" t="s">
        <v>1031</v>
      </c>
    </row>
    <row r="286" spans="1:15" x14ac:dyDescent="0.2">
      <c r="A286" t="s">
        <v>190</v>
      </c>
      <c r="B286" t="s">
        <v>32</v>
      </c>
      <c r="C286" s="7">
        <v>4</v>
      </c>
      <c r="D286" s="7">
        <v>0</v>
      </c>
      <c r="E286" s="7">
        <v>4</v>
      </c>
      <c r="F286" s="7">
        <v>3</v>
      </c>
      <c r="G286" s="7">
        <v>0</v>
      </c>
      <c r="H286" s="7">
        <v>3</v>
      </c>
      <c r="I286" s="9">
        <v>0.15903</v>
      </c>
      <c r="J286" s="7">
        <f t="shared" si="4"/>
        <v>6.2881217380368488</v>
      </c>
      <c r="K286" s="7">
        <v>0.01</v>
      </c>
      <c r="L286" t="s">
        <v>17</v>
      </c>
      <c r="M286">
        <v>296</v>
      </c>
      <c r="N286" t="s">
        <v>1032</v>
      </c>
      <c r="O286" t="s">
        <v>1031</v>
      </c>
    </row>
    <row r="287" spans="1:15" x14ac:dyDescent="0.2">
      <c r="A287" t="s">
        <v>190</v>
      </c>
      <c r="B287" t="s">
        <v>32</v>
      </c>
      <c r="C287" s="7">
        <v>4</v>
      </c>
      <c r="D287" s="7">
        <v>2</v>
      </c>
      <c r="E287" s="7">
        <v>2</v>
      </c>
      <c r="F287" s="7">
        <v>3</v>
      </c>
      <c r="G287" s="7">
        <v>1</v>
      </c>
      <c r="H287" s="7">
        <v>3</v>
      </c>
      <c r="I287" s="9">
        <v>0.15207999999999999</v>
      </c>
      <c r="J287" s="7">
        <f t="shared" si="4"/>
        <v>6.575486586007365</v>
      </c>
      <c r="K287" s="7">
        <v>0.01</v>
      </c>
      <c r="L287" t="s">
        <v>17</v>
      </c>
      <c r="M287">
        <v>296</v>
      </c>
      <c r="N287" t="s">
        <v>1032</v>
      </c>
      <c r="O287" t="s">
        <v>1031</v>
      </c>
    </row>
    <row r="288" spans="1:15" x14ac:dyDescent="0.2">
      <c r="A288" t="s">
        <v>190</v>
      </c>
      <c r="B288" t="s">
        <v>32</v>
      </c>
      <c r="C288" s="7">
        <v>4</v>
      </c>
      <c r="D288" s="7">
        <v>3</v>
      </c>
      <c r="E288" s="7">
        <v>2</v>
      </c>
      <c r="F288" s="7">
        <v>3</v>
      </c>
      <c r="G288" s="7">
        <v>2</v>
      </c>
      <c r="H288" s="7">
        <v>1</v>
      </c>
      <c r="I288" s="9">
        <v>0.14680000000000001</v>
      </c>
      <c r="J288" s="7">
        <f t="shared" si="4"/>
        <v>6.8119891008174376</v>
      </c>
      <c r="K288" s="7">
        <v>0.01</v>
      </c>
      <c r="L288" t="s">
        <v>17</v>
      </c>
      <c r="M288">
        <v>296</v>
      </c>
      <c r="N288" t="s">
        <v>1032</v>
      </c>
      <c r="O288" t="s">
        <v>1031</v>
      </c>
    </row>
    <row r="289" spans="1:15" x14ac:dyDescent="0.2">
      <c r="A289" t="s">
        <v>190</v>
      </c>
      <c r="B289" t="s">
        <v>32</v>
      </c>
      <c r="C289" s="7">
        <v>5</v>
      </c>
      <c r="D289" s="7">
        <v>2</v>
      </c>
      <c r="E289" s="7">
        <v>4</v>
      </c>
      <c r="F289" s="7">
        <v>5</v>
      </c>
      <c r="G289" s="7">
        <v>0</v>
      </c>
      <c r="H289" s="7">
        <v>5</v>
      </c>
      <c r="I289" s="9">
        <v>0.11075</v>
      </c>
      <c r="J289" s="7">
        <f t="shared" si="4"/>
        <v>9.0293453724604973</v>
      </c>
      <c r="K289" s="7">
        <v>0.01</v>
      </c>
      <c r="L289" t="s">
        <v>17</v>
      </c>
      <c r="M289">
        <v>296</v>
      </c>
      <c r="N289" t="s">
        <v>1032</v>
      </c>
      <c r="O289" t="s">
        <v>1031</v>
      </c>
    </row>
    <row r="290" spans="1:15" x14ac:dyDescent="0.2">
      <c r="A290" t="s">
        <v>190</v>
      </c>
      <c r="B290" t="s">
        <v>32</v>
      </c>
      <c r="C290" s="7">
        <v>4</v>
      </c>
      <c r="D290" s="7">
        <v>2</v>
      </c>
      <c r="E290" s="7">
        <v>3</v>
      </c>
      <c r="F290" s="7">
        <v>3</v>
      </c>
      <c r="G290" s="7">
        <v>2</v>
      </c>
      <c r="H290" s="7">
        <v>2</v>
      </c>
      <c r="I290" s="9">
        <v>0.11104</v>
      </c>
      <c r="J290" s="7">
        <f t="shared" si="4"/>
        <v>9.0057636887608066</v>
      </c>
      <c r="K290" s="7">
        <v>0.01</v>
      </c>
      <c r="L290" t="s">
        <v>17</v>
      </c>
      <c r="M290">
        <v>296</v>
      </c>
      <c r="N290" t="s">
        <v>1032</v>
      </c>
      <c r="O290" t="s">
        <v>1031</v>
      </c>
    </row>
    <row r="291" spans="1:15" x14ac:dyDescent="0.2">
      <c r="A291" t="s">
        <v>190</v>
      </c>
      <c r="B291" t="s">
        <v>32</v>
      </c>
      <c r="C291" s="7">
        <v>6</v>
      </c>
      <c r="D291" s="7">
        <v>1</v>
      </c>
      <c r="E291" s="7">
        <v>5</v>
      </c>
      <c r="F291" s="7">
        <v>6</v>
      </c>
      <c r="G291" s="7">
        <v>1</v>
      </c>
      <c r="H291" s="7">
        <v>6</v>
      </c>
      <c r="I291" s="9">
        <v>0.10986</v>
      </c>
      <c r="J291" s="7">
        <f t="shared" si="4"/>
        <v>9.1024940833788452</v>
      </c>
      <c r="K291" s="7">
        <v>0.01</v>
      </c>
      <c r="L291" t="s">
        <v>17</v>
      </c>
      <c r="M291">
        <v>296</v>
      </c>
      <c r="N291" t="s">
        <v>1032</v>
      </c>
      <c r="O291" t="s">
        <v>1031</v>
      </c>
    </row>
    <row r="292" spans="1:15" x14ac:dyDescent="0.2">
      <c r="A292" t="s">
        <v>190</v>
      </c>
      <c r="B292" t="s">
        <v>32</v>
      </c>
      <c r="C292" s="7">
        <v>5</v>
      </c>
      <c r="D292" s="7">
        <v>1</v>
      </c>
      <c r="E292" s="7">
        <v>5</v>
      </c>
      <c r="F292" s="7">
        <v>4</v>
      </c>
      <c r="G292" s="7">
        <v>1</v>
      </c>
      <c r="H292" s="7">
        <v>4</v>
      </c>
      <c r="I292" s="9">
        <v>0.11352</v>
      </c>
      <c r="J292" s="7">
        <f t="shared" si="4"/>
        <v>8.8090204369274137</v>
      </c>
      <c r="K292" s="7">
        <v>0.01</v>
      </c>
      <c r="L292" t="s">
        <v>17</v>
      </c>
      <c r="M292">
        <v>296</v>
      </c>
      <c r="N292" t="s">
        <v>1032</v>
      </c>
      <c r="O292" t="s">
        <v>1031</v>
      </c>
    </row>
    <row r="293" spans="1:15" x14ac:dyDescent="0.2">
      <c r="A293" t="s">
        <v>190</v>
      </c>
      <c r="B293" t="s">
        <v>32</v>
      </c>
      <c r="C293" s="7">
        <v>5</v>
      </c>
      <c r="D293" s="7">
        <v>0</v>
      </c>
      <c r="E293" s="7">
        <v>5</v>
      </c>
      <c r="F293" s="7">
        <v>4</v>
      </c>
      <c r="G293" s="7">
        <v>0</v>
      </c>
      <c r="H293" s="7">
        <v>4</v>
      </c>
      <c r="I293" s="9">
        <v>0.12178</v>
      </c>
      <c r="J293" s="7">
        <f t="shared" si="4"/>
        <v>8.2115289866973242</v>
      </c>
      <c r="K293" s="7">
        <v>0.01</v>
      </c>
      <c r="L293" t="s">
        <v>17</v>
      </c>
      <c r="M293">
        <v>296</v>
      </c>
      <c r="N293" t="s">
        <v>1032</v>
      </c>
      <c r="O293" t="s">
        <v>1031</v>
      </c>
    </row>
    <row r="294" spans="1:15" x14ac:dyDescent="0.2">
      <c r="A294" t="s">
        <v>190</v>
      </c>
      <c r="B294" t="s">
        <v>32</v>
      </c>
      <c r="C294" s="7">
        <v>8</v>
      </c>
      <c r="D294" s="7">
        <v>2</v>
      </c>
      <c r="E294" s="7">
        <v>6</v>
      </c>
      <c r="F294" s="7">
        <v>8</v>
      </c>
      <c r="G294" s="7">
        <v>2</v>
      </c>
      <c r="H294" s="7">
        <v>7</v>
      </c>
      <c r="I294" s="9">
        <v>8.8770000000000002E-2</v>
      </c>
      <c r="J294" s="7">
        <f t="shared" si="4"/>
        <v>11.265067027148811</v>
      </c>
      <c r="K294" s="7">
        <v>0.01</v>
      </c>
      <c r="L294" t="s">
        <v>17</v>
      </c>
      <c r="M294">
        <v>296</v>
      </c>
      <c r="N294" t="s">
        <v>1032</v>
      </c>
      <c r="O294" t="s">
        <v>1031</v>
      </c>
    </row>
    <row r="295" spans="1:15" x14ac:dyDescent="0.2">
      <c r="A295" t="s">
        <v>190</v>
      </c>
      <c r="B295" t="s">
        <v>32</v>
      </c>
      <c r="C295" s="7">
        <v>4</v>
      </c>
      <c r="D295" s="7">
        <v>3</v>
      </c>
      <c r="E295" s="7">
        <v>1</v>
      </c>
      <c r="F295" s="7">
        <v>3</v>
      </c>
      <c r="G295" s="7">
        <v>2</v>
      </c>
      <c r="H295" s="7">
        <v>2</v>
      </c>
      <c r="I295" s="9">
        <v>0.11005</v>
      </c>
      <c r="J295" s="7">
        <f t="shared" si="4"/>
        <v>9.086778736937756</v>
      </c>
      <c r="K295" s="7">
        <v>0.01</v>
      </c>
      <c r="L295" t="s">
        <v>17</v>
      </c>
      <c r="M295">
        <v>296</v>
      </c>
      <c r="N295" t="s">
        <v>1032</v>
      </c>
      <c r="O295" t="s">
        <v>1031</v>
      </c>
    </row>
    <row r="296" spans="1:15" x14ac:dyDescent="0.2">
      <c r="A296" t="s">
        <v>190</v>
      </c>
      <c r="B296" t="s">
        <v>32</v>
      </c>
      <c r="C296" s="7">
        <v>4</v>
      </c>
      <c r="D296" s="7">
        <v>1</v>
      </c>
      <c r="E296" s="7">
        <v>3</v>
      </c>
      <c r="F296" s="7">
        <v>3</v>
      </c>
      <c r="G296" s="7">
        <v>1</v>
      </c>
      <c r="H296" s="7">
        <v>2</v>
      </c>
      <c r="I296" s="9">
        <v>0.18285999999999999</v>
      </c>
      <c r="J296" s="7">
        <f t="shared" si="4"/>
        <v>5.4686645521163735</v>
      </c>
      <c r="K296" s="7">
        <v>0.01</v>
      </c>
      <c r="L296" t="s">
        <v>17</v>
      </c>
      <c r="M296">
        <v>296</v>
      </c>
      <c r="N296" t="s">
        <v>1032</v>
      </c>
      <c r="O296" t="s">
        <v>1031</v>
      </c>
    </row>
    <row r="297" spans="1:15" x14ac:dyDescent="0.2">
      <c r="A297" t="s">
        <v>190</v>
      </c>
      <c r="B297" t="s">
        <v>32</v>
      </c>
      <c r="C297" s="7">
        <v>4</v>
      </c>
      <c r="D297" s="7">
        <v>2</v>
      </c>
      <c r="E297" s="7">
        <v>2</v>
      </c>
      <c r="F297" s="7">
        <v>3</v>
      </c>
      <c r="G297" s="7">
        <v>2</v>
      </c>
      <c r="H297" s="7">
        <v>1</v>
      </c>
      <c r="I297" s="9">
        <v>0.1721</v>
      </c>
      <c r="J297" s="7">
        <f t="shared" si="4"/>
        <v>5.8105752469494485</v>
      </c>
      <c r="K297" s="7">
        <v>0.01</v>
      </c>
      <c r="L297" t="s">
        <v>17</v>
      </c>
      <c r="M297">
        <v>296</v>
      </c>
      <c r="N297" t="s">
        <v>1032</v>
      </c>
      <c r="O297" t="s">
        <v>1031</v>
      </c>
    </row>
    <row r="298" spans="1:15" x14ac:dyDescent="0.2">
      <c r="A298" t="s">
        <v>190</v>
      </c>
      <c r="B298" t="s">
        <v>32</v>
      </c>
      <c r="C298" s="7">
        <v>4</v>
      </c>
      <c r="D298" s="7">
        <v>3</v>
      </c>
      <c r="E298" s="7">
        <v>2</v>
      </c>
      <c r="F298" s="7">
        <v>3</v>
      </c>
      <c r="G298" s="7">
        <v>3</v>
      </c>
      <c r="H298" s="7">
        <v>1</v>
      </c>
      <c r="I298" s="9">
        <v>0.10047</v>
      </c>
      <c r="J298" s="7">
        <f t="shared" si="4"/>
        <v>9.9532198666268545</v>
      </c>
      <c r="K298" s="7">
        <v>0.01</v>
      </c>
      <c r="L298" t="s">
        <v>17</v>
      </c>
      <c r="M298">
        <v>296</v>
      </c>
      <c r="N298" t="s">
        <v>1032</v>
      </c>
      <c r="O298" t="s">
        <v>1031</v>
      </c>
    </row>
    <row r="299" spans="1:15" x14ac:dyDescent="0.2">
      <c r="A299" t="s">
        <v>190</v>
      </c>
      <c r="B299" t="s">
        <v>32</v>
      </c>
      <c r="C299" s="7">
        <v>4</v>
      </c>
      <c r="D299" s="7">
        <v>3</v>
      </c>
      <c r="E299" s="7">
        <v>1</v>
      </c>
      <c r="F299" s="7">
        <v>3</v>
      </c>
      <c r="G299" s="7">
        <v>3</v>
      </c>
      <c r="H299" s="7">
        <v>0</v>
      </c>
      <c r="I299" s="9">
        <v>0.10145999999999999</v>
      </c>
      <c r="J299" s="7">
        <f t="shared" si="4"/>
        <v>9.8561009264734878</v>
      </c>
      <c r="K299" s="7">
        <v>0.01</v>
      </c>
      <c r="L299" t="s">
        <v>17</v>
      </c>
      <c r="M299">
        <v>296</v>
      </c>
      <c r="N299" t="s">
        <v>1032</v>
      </c>
      <c r="O299" t="s">
        <v>1031</v>
      </c>
    </row>
    <row r="300" spans="1:15" x14ac:dyDescent="0.2">
      <c r="A300" t="s">
        <v>190</v>
      </c>
      <c r="B300" t="s">
        <v>32</v>
      </c>
      <c r="C300" s="7">
        <v>6</v>
      </c>
      <c r="D300" s="7">
        <v>1</v>
      </c>
      <c r="E300" s="7">
        <v>6</v>
      </c>
      <c r="F300" s="7">
        <v>5</v>
      </c>
      <c r="G300" s="7">
        <v>1</v>
      </c>
      <c r="H300" s="7">
        <v>5</v>
      </c>
      <c r="I300" s="9">
        <v>0.10163</v>
      </c>
      <c r="J300" s="7">
        <f t="shared" si="4"/>
        <v>9.8396142871199448</v>
      </c>
      <c r="K300" s="7">
        <v>0.01</v>
      </c>
      <c r="L300" t="s">
        <v>17</v>
      </c>
      <c r="M300">
        <v>296</v>
      </c>
      <c r="N300" t="s">
        <v>1032</v>
      </c>
      <c r="O300" t="s">
        <v>1031</v>
      </c>
    </row>
    <row r="301" spans="1:15" x14ac:dyDescent="0.2">
      <c r="A301" t="s">
        <v>190</v>
      </c>
      <c r="B301" t="s">
        <v>32</v>
      </c>
      <c r="C301" s="7">
        <v>6</v>
      </c>
      <c r="D301" s="7">
        <v>0</v>
      </c>
      <c r="E301" s="7">
        <v>6</v>
      </c>
      <c r="F301" s="7">
        <v>5</v>
      </c>
      <c r="G301" s="7">
        <v>0</v>
      </c>
      <c r="H301" s="7">
        <v>5</v>
      </c>
      <c r="I301" s="9">
        <v>9.8110000000000003E-2</v>
      </c>
      <c r="J301" s="7">
        <f t="shared" si="4"/>
        <v>10.192640913260625</v>
      </c>
      <c r="K301" s="7">
        <v>0.01</v>
      </c>
      <c r="L301" t="s">
        <v>17</v>
      </c>
      <c r="M301">
        <v>296</v>
      </c>
      <c r="N301" t="s">
        <v>1032</v>
      </c>
      <c r="O301" t="s">
        <v>1031</v>
      </c>
    </row>
    <row r="302" spans="1:15" x14ac:dyDescent="0.2">
      <c r="A302" t="s">
        <v>190</v>
      </c>
      <c r="B302" t="s">
        <v>32</v>
      </c>
      <c r="C302" s="7">
        <v>5</v>
      </c>
      <c r="D302" s="7">
        <v>2</v>
      </c>
      <c r="E302" s="7">
        <v>4</v>
      </c>
      <c r="F302" s="7">
        <v>4</v>
      </c>
      <c r="G302" s="7">
        <v>2</v>
      </c>
      <c r="H302" s="7">
        <v>3</v>
      </c>
      <c r="I302" s="9">
        <v>0.11451</v>
      </c>
      <c r="J302" s="7">
        <f t="shared" si="4"/>
        <v>8.732861758798359</v>
      </c>
      <c r="K302" s="7">
        <v>0.01</v>
      </c>
      <c r="L302" t="s">
        <v>17</v>
      </c>
      <c r="M302">
        <v>296</v>
      </c>
      <c r="N302" t="s">
        <v>1032</v>
      </c>
      <c r="O302" t="s">
        <v>1031</v>
      </c>
    </row>
    <row r="303" spans="1:15" x14ac:dyDescent="0.2">
      <c r="A303" t="s">
        <v>190</v>
      </c>
      <c r="B303" t="s">
        <v>32</v>
      </c>
      <c r="C303" s="7">
        <v>7</v>
      </c>
      <c r="D303" s="7">
        <v>3</v>
      </c>
      <c r="E303" s="7">
        <v>5</v>
      </c>
      <c r="F303" s="7">
        <v>7</v>
      </c>
      <c r="G303" s="7">
        <v>1</v>
      </c>
      <c r="H303" s="7">
        <v>6</v>
      </c>
      <c r="I303" s="9">
        <v>0.10648000000000001</v>
      </c>
      <c r="J303" s="7">
        <f t="shared" si="4"/>
        <v>9.3914350112697225</v>
      </c>
      <c r="K303" s="7">
        <v>0.01</v>
      </c>
      <c r="L303" t="s">
        <v>17</v>
      </c>
      <c r="M303">
        <v>296</v>
      </c>
      <c r="N303" t="s">
        <v>1032</v>
      </c>
      <c r="O303" t="s">
        <v>1031</v>
      </c>
    </row>
    <row r="304" spans="1:15" x14ac:dyDescent="0.2">
      <c r="A304" t="s">
        <v>190</v>
      </c>
      <c r="B304" t="s">
        <v>32</v>
      </c>
      <c r="C304" s="7">
        <v>7</v>
      </c>
      <c r="D304" s="7">
        <v>2</v>
      </c>
      <c r="E304" s="7">
        <v>6</v>
      </c>
      <c r="F304" s="7">
        <v>7</v>
      </c>
      <c r="G304" s="7">
        <v>0</v>
      </c>
      <c r="H304" s="7">
        <v>7</v>
      </c>
      <c r="I304" s="9">
        <v>8.6650000000000005E-2</v>
      </c>
      <c r="J304" s="7">
        <f t="shared" si="4"/>
        <v>11.540680900173109</v>
      </c>
      <c r="K304" s="7">
        <v>0.01</v>
      </c>
      <c r="L304" t="s">
        <v>17</v>
      </c>
      <c r="M304">
        <v>296</v>
      </c>
      <c r="N304" t="s">
        <v>1032</v>
      </c>
      <c r="O304" t="s">
        <v>1031</v>
      </c>
    </row>
    <row r="305" spans="1:15" x14ac:dyDescent="0.2">
      <c r="A305" t="s">
        <v>190</v>
      </c>
      <c r="B305" t="s">
        <v>32</v>
      </c>
      <c r="C305" s="7">
        <v>5</v>
      </c>
      <c r="D305" s="7">
        <v>1</v>
      </c>
      <c r="E305" s="7">
        <v>4</v>
      </c>
      <c r="F305" s="7">
        <v>4</v>
      </c>
      <c r="G305" s="7">
        <v>1</v>
      </c>
      <c r="H305" s="7">
        <v>3</v>
      </c>
      <c r="I305" s="9">
        <v>0.16624</v>
      </c>
      <c r="J305" s="7">
        <f t="shared" si="4"/>
        <v>6.0153994225216554</v>
      </c>
      <c r="K305" s="7">
        <v>0.01</v>
      </c>
      <c r="L305" t="s">
        <v>17</v>
      </c>
      <c r="M305">
        <v>296</v>
      </c>
      <c r="N305" t="s">
        <v>1032</v>
      </c>
      <c r="O305" t="s">
        <v>1031</v>
      </c>
    </row>
    <row r="306" spans="1:15" x14ac:dyDescent="0.2">
      <c r="A306" t="s">
        <v>190</v>
      </c>
      <c r="B306" t="s">
        <v>32</v>
      </c>
      <c r="C306" s="7">
        <v>7</v>
      </c>
      <c r="D306" s="7">
        <v>1</v>
      </c>
      <c r="E306" s="7">
        <v>7</v>
      </c>
      <c r="F306" s="7">
        <v>6</v>
      </c>
      <c r="G306" s="7">
        <v>1</v>
      </c>
      <c r="H306" s="7">
        <v>6</v>
      </c>
      <c r="I306" s="9">
        <v>9.0550000000000005E-2</v>
      </c>
      <c r="J306" s="7">
        <f t="shared" si="4"/>
        <v>11.043622308117062</v>
      </c>
      <c r="K306" s="7">
        <v>0.01</v>
      </c>
      <c r="L306" t="s">
        <v>17</v>
      </c>
      <c r="M306">
        <v>296</v>
      </c>
      <c r="N306" t="s">
        <v>1032</v>
      </c>
      <c r="O306" t="s">
        <v>1031</v>
      </c>
    </row>
    <row r="307" spans="1:15" x14ac:dyDescent="0.2">
      <c r="A307" t="s">
        <v>190</v>
      </c>
      <c r="B307" t="s">
        <v>32</v>
      </c>
      <c r="C307" s="7">
        <v>7</v>
      </c>
      <c r="D307" s="7">
        <v>0</v>
      </c>
      <c r="E307" s="7">
        <v>7</v>
      </c>
      <c r="F307" s="7">
        <v>6</v>
      </c>
      <c r="G307" s="7">
        <v>0</v>
      </c>
      <c r="H307" s="7">
        <v>6</v>
      </c>
      <c r="I307" s="9">
        <v>8.6809999999999998E-2</v>
      </c>
      <c r="J307" s="7">
        <f t="shared" si="4"/>
        <v>11.519410206197444</v>
      </c>
      <c r="K307" s="7">
        <v>0.01</v>
      </c>
      <c r="L307" t="s">
        <v>17</v>
      </c>
      <c r="M307">
        <v>296</v>
      </c>
      <c r="N307" t="s">
        <v>1032</v>
      </c>
      <c r="O307" t="s">
        <v>1031</v>
      </c>
    </row>
    <row r="308" spans="1:15" x14ac:dyDescent="0.2">
      <c r="A308" t="s">
        <v>190</v>
      </c>
      <c r="B308" t="s">
        <v>32</v>
      </c>
      <c r="C308" s="7">
        <v>5</v>
      </c>
      <c r="D308" s="7">
        <v>3</v>
      </c>
      <c r="E308" s="7">
        <v>3</v>
      </c>
      <c r="F308" s="7">
        <v>4</v>
      </c>
      <c r="G308" s="7">
        <v>3</v>
      </c>
      <c r="H308" s="7">
        <v>2</v>
      </c>
      <c r="I308" s="9">
        <v>9.3210000000000001E-2</v>
      </c>
      <c r="J308" s="7">
        <f t="shared" si="4"/>
        <v>10.728462611307799</v>
      </c>
      <c r="K308" s="7">
        <v>0.01</v>
      </c>
      <c r="L308" t="s">
        <v>17</v>
      </c>
      <c r="M308">
        <v>296</v>
      </c>
      <c r="N308" t="s">
        <v>1032</v>
      </c>
      <c r="O308" t="s">
        <v>1031</v>
      </c>
    </row>
    <row r="309" spans="1:15" x14ac:dyDescent="0.2">
      <c r="A309" t="s">
        <v>190</v>
      </c>
      <c r="B309" t="s">
        <v>32</v>
      </c>
      <c r="C309" s="7">
        <v>6</v>
      </c>
      <c r="D309" s="7">
        <v>2</v>
      </c>
      <c r="E309" s="7">
        <v>5</v>
      </c>
      <c r="F309" s="7">
        <v>5</v>
      </c>
      <c r="G309" s="7">
        <v>2</v>
      </c>
      <c r="H309" s="7">
        <v>4</v>
      </c>
      <c r="I309" s="9">
        <v>0.11194</v>
      </c>
      <c r="J309" s="7">
        <f t="shared" si="4"/>
        <v>8.9333571556190812</v>
      </c>
      <c r="K309" s="7">
        <v>0.01</v>
      </c>
      <c r="L309" t="s">
        <v>17</v>
      </c>
      <c r="M309">
        <v>296</v>
      </c>
      <c r="N309" t="s">
        <v>1032</v>
      </c>
      <c r="O309" t="s">
        <v>1031</v>
      </c>
    </row>
    <row r="310" spans="1:15" x14ac:dyDescent="0.2">
      <c r="A310" t="s">
        <v>190</v>
      </c>
      <c r="B310" t="s">
        <v>32</v>
      </c>
      <c r="C310" s="7">
        <v>5</v>
      </c>
      <c r="D310" s="7">
        <v>4</v>
      </c>
      <c r="E310" s="7">
        <v>2</v>
      </c>
      <c r="F310" s="7">
        <v>4</v>
      </c>
      <c r="G310" s="7">
        <v>4</v>
      </c>
      <c r="H310" s="7">
        <v>1</v>
      </c>
      <c r="I310" s="9">
        <v>9.7729999999999997E-2</v>
      </c>
      <c r="J310" s="7">
        <f t="shared" si="4"/>
        <v>10.232272587741738</v>
      </c>
      <c r="K310" s="7">
        <v>0.01</v>
      </c>
      <c r="L310" t="s">
        <v>17</v>
      </c>
      <c r="M310">
        <v>296</v>
      </c>
      <c r="N310" t="s">
        <v>1032</v>
      </c>
      <c r="O310" t="s">
        <v>1031</v>
      </c>
    </row>
    <row r="311" spans="1:15" x14ac:dyDescent="0.2">
      <c r="A311" t="s">
        <v>190</v>
      </c>
      <c r="B311" t="s">
        <v>32</v>
      </c>
      <c r="C311" s="7">
        <v>5</v>
      </c>
      <c r="D311" s="7">
        <v>4</v>
      </c>
      <c r="E311" s="7">
        <v>1</v>
      </c>
      <c r="F311" s="7">
        <v>4</v>
      </c>
      <c r="G311" s="7">
        <v>4</v>
      </c>
      <c r="H311" s="7">
        <v>0</v>
      </c>
      <c r="I311" s="9">
        <v>9.6850000000000006E-2</v>
      </c>
      <c r="J311" s="7">
        <f t="shared" si="4"/>
        <v>10.325245224574084</v>
      </c>
      <c r="K311" s="7">
        <v>0.01</v>
      </c>
      <c r="L311" t="s">
        <v>17</v>
      </c>
      <c r="M311">
        <v>296</v>
      </c>
      <c r="N311" t="s">
        <v>1032</v>
      </c>
      <c r="O311" t="s">
        <v>1031</v>
      </c>
    </row>
    <row r="312" spans="1:15" x14ac:dyDescent="0.2">
      <c r="A312" t="s">
        <v>190</v>
      </c>
      <c r="B312" t="s">
        <v>32</v>
      </c>
      <c r="C312" s="7">
        <v>6</v>
      </c>
      <c r="D312" s="7">
        <v>1</v>
      </c>
      <c r="E312" s="7">
        <v>5</v>
      </c>
      <c r="F312" s="7">
        <v>5</v>
      </c>
      <c r="G312" s="7">
        <v>1</v>
      </c>
      <c r="H312" s="7">
        <v>4</v>
      </c>
      <c r="I312" s="9">
        <v>0.14702000000000001</v>
      </c>
      <c r="J312" s="7">
        <f t="shared" si="4"/>
        <v>6.8017956740579502</v>
      </c>
      <c r="K312" s="7">
        <v>0.01</v>
      </c>
      <c r="L312" t="s">
        <v>17</v>
      </c>
      <c r="M312">
        <v>296</v>
      </c>
      <c r="N312" t="s">
        <v>1032</v>
      </c>
      <c r="O312" t="s">
        <v>1031</v>
      </c>
    </row>
    <row r="313" spans="1:15" x14ac:dyDescent="0.2">
      <c r="A313" t="s">
        <v>190</v>
      </c>
      <c r="B313" t="s">
        <v>32</v>
      </c>
      <c r="C313" s="7">
        <v>8</v>
      </c>
      <c r="D313" s="7">
        <v>1</v>
      </c>
      <c r="E313" s="7">
        <v>8</v>
      </c>
      <c r="F313" s="7">
        <v>7</v>
      </c>
      <c r="G313" s="7">
        <v>1</v>
      </c>
      <c r="H313" s="7">
        <v>7</v>
      </c>
      <c r="I313" s="9">
        <v>8.4150000000000003E-2</v>
      </c>
      <c r="J313" s="7">
        <f t="shared" si="4"/>
        <v>11.883541295306001</v>
      </c>
      <c r="K313" s="7">
        <v>0.01</v>
      </c>
      <c r="L313" t="s">
        <v>17</v>
      </c>
      <c r="M313">
        <v>296</v>
      </c>
      <c r="N313" t="s">
        <v>1032</v>
      </c>
      <c r="O313" t="s">
        <v>1031</v>
      </c>
    </row>
    <row r="314" spans="1:15" x14ac:dyDescent="0.2">
      <c r="A314" t="s">
        <v>190</v>
      </c>
      <c r="B314" t="s">
        <v>32</v>
      </c>
      <c r="C314" s="7">
        <v>8</v>
      </c>
      <c r="D314" s="7">
        <v>0</v>
      </c>
      <c r="E314" s="7">
        <v>8</v>
      </c>
      <c r="F314" s="7">
        <v>7</v>
      </c>
      <c r="G314" s="7">
        <v>0</v>
      </c>
      <c r="H314" s="7">
        <v>7</v>
      </c>
      <c r="I314" s="9">
        <v>7.5770000000000004E-2</v>
      </c>
      <c r="J314" s="7">
        <f t="shared" si="4"/>
        <v>13.197835554968984</v>
      </c>
      <c r="K314" s="7">
        <v>0.01</v>
      </c>
      <c r="L314" t="s">
        <v>17</v>
      </c>
      <c r="M314">
        <v>296</v>
      </c>
      <c r="N314" t="s">
        <v>1032</v>
      </c>
      <c r="O314" t="s">
        <v>1031</v>
      </c>
    </row>
    <row r="315" spans="1:15" x14ac:dyDescent="0.2">
      <c r="A315" t="s">
        <v>190</v>
      </c>
      <c r="B315" t="s">
        <v>32</v>
      </c>
      <c r="C315" s="7">
        <v>6</v>
      </c>
      <c r="D315" s="7">
        <v>3</v>
      </c>
      <c r="E315" s="7">
        <v>4</v>
      </c>
      <c r="F315" s="7">
        <v>5</v>
      </c>
      <c r="G315" s="7">
        <v>3</v>
      </c>
      <c r="H315" s="7">
        <v>3</v>
      </c>
      <c r="I315" s="9">
        <v>0.1087</v>
      </c>
      <c r="J315" s="7">
        <f t="shared" si="4"/>
        <v>9.1996320147194108</v>
      </c>
      <c r="K315" s="7">
        <v>0.01</v>
      </c>
      <c r="L315" t="s">
        <v>17</v>
      </c>
      <c r="M315">
        <v>296</v>
      </c>
      <c r="N315" t="s">
        <v>1032</v>
      </c>
      <c r="O315" t="s">
        <v>1031</v>
      </c>
    </row>
    <row r="316" spans="1:15" x14ac:dyDescent="0.2">
      <c r="A316" t="s">
        <v>190</v>
      </c>
      <c r="B316" t="s">
        <v>32</v>
      </c>
      <c r="C316" s="7">
        <v>7</v>
      </c>
      <c r="D316" s="7">
        <v>2</v>
      </c>
      <c r="E316" s="7">
        <v>6</v>
      </c>
      <c r="F316" s="7">
        <v>6</v>
      </c>
      <c r="G316" s="7">
        <v>2</v>
      </c>
      <c r="H316" s="7">
        <v>5</v>
      </c>
      <c r="I316" s="9">
        <v>0.10081</v>
      </c>
      <c r="J316" s="7">
        <f t="shared" si="4"/>
        <v>9.9196508282908447</v>
      </c>
      <c r="K316" s="7">
        <v>0.01</v>
      </c>
      <c r="L316" t="s">
        <v>17</v>
      </c>
      <c r="M316">
        <v>296</v>
      </c>
      <c r="N316" t="s">
        <v>1032</v>
      </c>
      <c r="O316" t="s">
        <v>1031</v>
      </c>
    </row>
    <row r="317" spans="1:15" x14ac:dyDescent="0.2">
      <c r="A317" t="s">
        <v>190</v>
      </c>
      <c r="B317" t="s">
        <v>32</v>
      </c>
      <c r="C317" s="7">
        <v>7</v>
      </c>
      <c r="D317" s="7">
        <v>1</v>
      </c>
      <c r="E317" s="7">
        <v>6</v>
      </c>
      <c r="F317" s="7">
        <v>6</v>
      </c>
      <c r="G317" s="7">
        <v>1</v>
      </c>
      <c r="H317" s="7">
        <v>5</v>
      </c>
      <c r="I317" s="9">
        <v>0.11652999999999999</v>
      </c>
      <c r="J317" s="7">
        <f t="shared" si="4"/>
        <v>8.5814811636488457</v>
      </c>
      <c r="K317" s="7">
        <v>0.01</v>
      </c>
      <c r="L317" t="s">
        <v>17</v>
      </c>
      <c r="M317">
        <v>296</v>
      </c>
      <c r="N317" t="s">
        <v>1032</v>
      </c>
      <c r="O317" t="s">
        <v>1031</v>
      </c>
    </row>
    <row r="318" spans="1:15" x14ac:dyDescent="0.2">
      <c r="A318" t="s">
        <v>190</v>
      </c>
      <c r="B318" t="s">
        <v>32</v>
      </c>
      <c r="C318" s="7">
        <v>6</v>
      </c>
      <c r="D318" s="7">
        <v>2</v>
      </c>
      <c r="E318" s="7">
        <v>4</v>
      </c>
      <c r="F318" s="7">
        <v>5</v>
      </c>
      <c r="G318" s="7">
        <v>2</v>
      </c>
      <c r="H318" s="7">
        <v>3</v>
      </c>
      <c r="I318" s="9">
        <v>0.15275</v>
      </c>
      <c r="J318" s="7">
        <f t="shared" si="4"/>
        <v>6.5466448445171856</v>
      </c>
      <c r="K318" s="7">
        <v>0.01</v>
      </c>
      <c r="L318" t="s">
        <v>17</v>
      </c>
      <c r="M318">
        <v>296</v>
      </c>
      <c r="N318" t="s">
        <v>1032</v>
      </c>
      <c r="O318" t="s">
        <v>1031</v>
      </c>
    </row>
    <row r="319" spans="1:15" x14ac:dyDescent="0.2">
      <c r="A319" t="s">
        <v>190</v>
      </c>
      <c r="B319" t="s">
        <v>32</v>
      </c>
      <c r="C319" s="7">
        <v>6</v>
      </c>
      <c r="D319" s="7">
        <v>3</v>
      </c>
      <c r="E319" s="7">
        <v>3</v>
      </c>
      <c r="F319" s="7">
        <v>5</v>
      </c>
      <c r="G319" s="7">
        <v>3</v>
      </c>
      <c r="H319" s="7">
        <v>2</v>
      </c>
      <c r="I319" s="9">
        <v>0.12640999999999999</v>
      </c>
      <c r="J319" s="7">
        <f t="shared" si="4"/>
        <v>7.9107665532790143</v>
      </c>
      <c r="K319" s="7">
        <v>0.01</v>
      </c>
      <c r="L319" t="s">
        <v>17</v>
      </c>
      <c r="M319">
        <v>296</v>
      </c>
      <c r="N319" t="s">
        <v>1032</v>
      </c>
      <c r="O319" t="s">
        <v>1031</v>
      </c>
    </row>
    <row r="320" spans="1:15" x14ac:dyDescent="0.2">
      <c r="A320" t="s">
        <v>190</v>
      </c>
      <c r="B320" t="s">
        <v>32</v>
      </c>
      <c r="C320" s="7">
        <v>6</v>
      </c>
      <c r="D320" s="7">
        <v>4</v>
      </c>
      <c r="E320" s="7">
        <v>2</v>
      </c>
      <c r="F320" s="7">
        <v>5</v>
      </c>
      <c r="G320" s="7">
        <v>4</v>
      </c>
      <c r="H320" s="7">
        <v>1</v>
      </c>
      <c r="I320" s="9">
        <v>0.10025000000000001</v>
      </c>
      <c r="J320" s="7">
        <f t="shared" si="4"/>
        <v>9.9750623441396495</v>
      </c>
      <c r="K320" s="7">
        <v>0.01</v>
      </c>
      <c r="L320" t="s">
        <v>17</v>
      </c>
      <c r="M320">
        <v>296</v>
      </c>
      <c r="N320" t="s">
        <v>1032</v>
      </c>
      <c r="O320" t="s">
        <v>1031</v>
      </c>
    </row>
    <row r="321" spans="1:15" x14ac:dyDescent="0.2">
      <c r="A321" t="s">
        <v>190</v>
      </c>
      <c r="B321" t="s">
        <v>32</v>
      </c>
      <c r="C321" s="7">
        <v>8</v>
      </c>
      <c r="D321" s="7">
        <v>2</v>
      </c>
      <c r="E321" s="7">
        <v>7</v>
      </c>
      <c r="F321" s="7">
        <v>7</v>
      </c>
      <c r="G321" s="7">
        <v>2</v>
      </c>
      <c r="H321" s="7">
        <v>6</v>
      </c>
      <c r="I321" s="9">
        <v>9.1509999999999994E-2</v>
      </c>
      <c r="J321" s="7">
        <f t="shared" si="4"/>
        <v>10.927767457108514</v>
      </c>
      <c r="K321" s="7">
        <v>0.01</v>
      </c>
      <c r="L321" t="s">
        <v>17</v>
      </c>
      <c r="M321">
        <v>296</v>
      </c>
      <c r="N321" t="s">
        <v>1032</v>
      </c>
      <c r="O321" t="s">
        <v>1031</v>
      </c>
    </row>
    <row r="322" spans="1:15" x14ac:dyDescent="0.2">
      <c r="A322" t="s">
        <v>190</v>
      </c>
      <c r="B322" t="s">
        <v>32</v>
      </c>
      <c r="C322" s="7">
        <v>7</v>
      </c>
      <c r="D322" s="7">
        <v>3</v>
      </c>
      <c r="E322" s="7">
        <v>5</v>
      </c>
      <c r="F322" s="7">
        <v>6</v>
      </c>
      <c r="G322" s="7">
        <v>3</v>
      </c>
      <c r="H322" s="7">
        <v>4</v>
      </c>
      <c r="I322" s="9">
        <v>0.11038000000000001</v>
      </c>
      <c r="J322" s="7">
        <f t="shared" si="4"/>
        <v>9.0596122485957586</v>
      </c>
      <c r="K322" s="7">
        <v>0.01</v>
      </c>
      <c r="L322" t="s">
        <v>17</v>
      </c>
      <c r="M322">
        <v>296</v>
      </c>
      <c r="N322" t="s">
        <v>1032</v>
      </c>
      <c r="O322" t="s">
        <v>1031</v>
      </c>
    </row>
    <row r="323" spans="1:15" x14ac:dyDescent="0.2">
      <c r="A323" t="s">
        <v>190</v>
      </c>
      <c r="B323" t="s">
        <v>32</v>
      </c>
      <c r="C323" s="7">
        <v>8</v>
      </c>
      <c r="D323" s="7">
        <v>1</v>
      </c>
      <c r="E323" s="7">
        <v>7</v>
      </c>
      <c r="F323" s="7">
        <v>7</v>
      </c>
      <c r="G323" s="7">
        <v>1</v>
      </c>
      <c r="H323" s="7">
        <v>6</v>
      </c>
      <c r="I323" s="9">
        <v>8.9560000000000001E-2</v>
      </c>
      <c r="J323" s="7">
        <f t="shared" ref="J323:J343" si="5">K323/I323*100</f>
        <v>11.165698972755694</v>
      </c>
      <c r="K323" s="7">
        <v>0.01</v>
      </c>
      <c r="L323" t="s">
        <v>17</v>
      </c>
      <c r="M323">
        <v>296</v>
      </c>
      <c r="N323" t="s">
        <v>1032</v>
      </c>
      <c r="O323" t="s">
        <v>1031</v>
      </c>
    </row>
    <row r="324" spans="1:15" x14ac:dyDescent="0.2">
      <c r="A324" t="s">
        <v>190</v>
      </c>
      <c r="B324" t="s">
        <v>32</v>
      </c>
      <c r="C324" s="7">
        <v>6</v>
      </c>
      <c r="D324" s="7">
        <v>4</v>
      </c>
      <c r="E324" s="7">
        <v>3</v>
      </c>
      <c r="F324" s="7">
        <v>5</v>
      </c>
      <c r="G324" s="7">
        <v>3</v>
      </c>
      <c r="H324" s="7">
        <v>2</v>
      </c>
      <c r="I324" s="9">
        <v>0.11409999999999999</v>
      </c>
      <c r="J324" s="7">
        <f t="shared" si="5"/>
        <v>8.7642418930762496</v>
      </c>
      <c r="K324" s="7">
        <v>0.01</v>
      </c>
      <c r="L324" t="s">
        <v>17</v>
      </c>
      <c r="M324">
        <v>296</v>
      </c>
      <c r="N324" t="s">
        <v>1032</v>
      </c>
      <c r="O324" t="s">
        <v>1031</v>
      </c>
    </row>
    <row r="325" spans="1:15" x14ac:dyDescent="0.2">
      <c r="A325" t="s">
        <v>190</v>
      </c>
      <c r="B325" t="s">
        <v>32</v>
      </c>
      <c r="C325" s="7">
        <v>7</v>
      </c>
      <c r="D325" s="7">
        <v>2</v>
      </c>
      <c r="E325" s="7">
        <v>5</v>
      </c>
      <c r="F325" s="7">
        <v>6</v>
      </c>
      <c r="G325" s="7">
        <v>2</v>
      </c>
      <c r="H325" s="7">
        <v>4</v>
      </c>
      <c r="I325" s="9">
        <v>0.12714</v>
      </c>
      <c r="J325" s="7">
        <f t="shared" si="5"/>
        <v>7.8653452886581725</v>
      </c>
      <c r="K325" s="7">
        <v>0.01</v>
      </c>
      <c r="L325" t="s">
        <v>17</v>
      </c>
      <c r="M325">
        <v>296</v>
      </c>
      <c r="N325" t="s">
        <v>1032</v>
      </c>
      <c r="O325" t="s">
        <v>1031</v>
      </c>
    </row>
    <row r="326" spans="1:15" x14ac:dyDescent="0.2">
      <c r="A326" t="s">
        <v>190</v>
      </c>
      <c r="B326" t="s">
        <v>32</v>
      </c>
      <c r="C326" s="7">
        <v>4</v>
      </c>
      <c r="D326" s="7">
        <v>2</v>
      </c>
      <c r="E326" s="7">
        <v>2</v>
      </c>
      <c r="F326" s="7">
        <v>3</v>
      </c>
      <c r="G326" s="7">
        <v>0</v>
      </c>
      <c r="H326" s="7">
        <v>3</v>
      </c>
      <c r="I326" s="9">
        <v>0.17657999999999999</v>
      </c>
      <c r="J326" s="7">
        <f t="shared" si="5"/>
        <v>5.6631555102503119</v>
      </c>
      <c r="K326" s="7">
        <v>0.01</v>
      </c>
      <c r="L326" t="s">
        <v>17</v>
      </c>
      <c r="M326">
        <v>296</v>
      </c>
      <c r="N326" t="s">
        <v>1032</v>
      </c>
      <c r="O326" t="s">
        <v>1031</v>
      </c>
    </row>
    <row r="327" spans="1:15" x14ac:dyDescent="0.2">
      <c r="A327" t="s">
        <v>190</v>
      </c>
      <c r="B327" t="s">
        <v>32</v>
      </c>
      <c r="C327" s="7">
        <v>7</v>
      </c>
      <c r="D327" s="7">
        <v>3</v>
      </c>
      <c r="E327" s="7">
        <v>4</v>
      </c>
      <c r="F327" s="7">
        <v>6</v>
      </c>
      <c r="G327" s="7">
        <v>3</v>
      </c>
      <c r="H327" s="7">
        <v>3</v>
      </c>
      <c r="I327" s="9">
        <v>0.12664</v>
      </c>
      <c r="J327" s="7">
        <f t="shared" si="5"/>
        <v>7.896399241945673</v>
      </c>
      <c r="K327" s="7">
        <v>0.01</v>
      </c>
      <c r="L327" t="s">
        <v>17</v>
      </c>
      <c r="M327">
        <v>296</v>
      </c>
      <c r="N327" t="s">
        <v>1032</v>
      </c>
      <c r="O327" t="s">
        <v>1031</v>
      </c>
    </row>
    <row r="328" spans="1:15" x14ac:dyDescent="0.2">
      <c r="A328" t="s">
        <v>190</v>
      </c>
      <c r="B328" t="s">
        <v>32</v>
      </c>
      <c r="C328" s="7">
        <v>7</v>
      </c>
      <c r="D328" s="7">
        <v>4</v>
      </c>
      <c r="E328" s="7">
        <v>4</v>
      </c>
      <c r="F328" s="7">
        <v>6</v>
      </c>
      <c r="G328" s="7">
        <v>4</v>
      </c>
      <c r="H328" s="7">
        <v>3</v>
      </c>
      <c r="I328" s="9">
        <v>9.3759999999999996E-2</v>
      </c>
      <c r="J328" s="7">
        <f t="shared" si="5"/>
        <v>10.665529010238908</v>
      </c>
      <c r="K328" s="7">
        <v>0.01</v>
      </c>
      <c r="L328" t="s">
        <v>17</v>
      </c>
      <c r="M328">
        <v>296</v>
      </c>
      <c r="N328" t="s">
        <v>1032</v>
      </c>
      <c r="O328" t="s">
        <v>1031</v>
      </c>
    </row>
    <row r="329" spans="1:15" x14ac:dyDescent="0.2">
      <c r="A329" t="s">
        <v>190</v>
      </c>
      <c r="B329" t="s">
        <v>32</v>
      </c>
      <c r="C329" s="7">
        <v>9</v>
      </c>
      <c r="D329" s="7">
        <v>2</v>
      </c>
      <c r="E329" s="7">
        <v>8</v>
      </c>
      <c r="F329" s="7">
        <v>8</v>
      </c>
      <c r="G329" s="7">
        <v>2</v>
      </c>
      <c r="H329" s="7">
        <v>7</v>
      </c>
      <c r="I329" s="9">
        <v>8.6220000000000005E-2</v>
      </c>
      <c r="J329" s="7">
        <f t="shared" si="5"/>
        <v>11.59823706796567</v>
      </c>
      <c r="K329" s="7">
        <v>0.01</v>
      </c>
      <c r="L329" t="s">
        <v>17</v>
      </c>
      <c r="M329">
        <v>296</v>
      </c>
      <c r="N329" t="s">
        <v>1032</v>
      </c>
      <c r="O329" t="s">
        <v>1031</v>
      </c>
    </row>
    <row r="330" spans="1:15" x14ac:dyDescent="0.2">
      <c r="A330" t="s">
        <v>190</v>
      </c>
      <c r="B330" t="s">
        <v>32</v>
      </c>
      <c r="C330" s="7">
        <v>9</v>
      </c>
      <c r="D330" s="7">
        <v>1</v>
      </c>
      <c r="E330" s="7">
        <v>8</v>
      </c>
      <c r="F330" s="7">
        <v>8</v>
      </c>
      <c r="G330" s="7">
        <v>1</v>
      </c>
      <c r="H330" s="7">
        <v>7</v>
      </c>
      <c r="I330" s="9">
        <v>7.9519999999999993E-2</v>
      </c>
      <c r="J330" s="7">
        <f t="shared" si="5"/>
        <v>12.575452716297789</v>
      </c>
      <c r="K330" s="7">
        <v>0.01</v>
      </c>
      <c r="L330" t="s">
        <v>17</v>
      </c>
      <c r="M330">
        <v>296</v>
      </c>
      <c r="N330" t="s">
        <v>1032</v>
      </c>
      <c r="O330" t="s">
        <v>1031</v>
      </c>
    </row>
    <row r="331" spans="1:15" x14ac:dyDescent="0.2">
      <c r="A331" t="s">
        <v>190</v>
      </c>
      <c r="B331" t="s">
        <v>32</v>
      </c>
      <c r="C331" s="7">
        <v>7</v>
      </c>
      <c r="D331" s="7">
        <v>4</v>
      </c>
      <c r="E331" s="7">
        <v>3</v>
      </c>
      <c r="F331" s="7">
        <v>6</v>
      </c>
      <c r="G331" s="7">
        <v>4</v>
      </c>
      <c r="H331" s="7">
        <v>2</v>
      </c>
      <c r="I331" s="9">
        <v>9.7750000000000004E-2</v>
      </c>
      <c r="J331" s="7">
        <f t="shared" si="5"/>
        <v>10.230179028132993</v>
      </c>
      <c r="K331" s="7">
        <v>0.01</v>
      </c>
      <c r="L331" t="s">
        <v>17</v>
      </c>
      <c r="M331">
        <v>296</v>
      </c>
      <c r="N331" t="s">
        <v>1032</v>
      </c>
      <c r="O331" t="s">
        <v>1031</v>
      </c>
    </row>
    <row r="332" spans="1:15" x14ac:dyDescent="0.2">
      <c r="A332" t="s">
        <v>190</v>
      </c>
      <c r="B332" t="s">
        <v>32</v>
      </c>
      <c r="C332" s="7">
        <v>8</v>
      </c>
      <c r="D332" s="7">
        <v>3</v>
      </c>
      <c r="E332" s="7">
        <v>6</v>
      </c>
      <c r="F332" s="7">
        <v>7</v>
      </c>
      <c r="G332" s="7">
        <v>3</v>
      </c>
      <c r="H332" s="7">
        <v>5</v>
      </c>
      <c r="I332" s="9">
        <v>8.7830000000000005E-2</v>
      </c>
      <c r="J332" s="7">
        <f t="shared" si="5"/>
        <v>11.385631333257429</v>
      </c>
      <c r="K332" s="7">
        <v>0.01</v>
      </c>
      <c r="L332" t="s">
        <v>17</v>
      </c>
      <c r="M332">
        <v>296</v>
      </c>
      <c r="N332" t="s">
        <v>1032</v>
      </c>
      <c r="O332" t="s">
        <v>1031</v>
      </c>
    </row>
    <row r="333" spans="1:15" x14ac:dyDescent="0.2">
      <c r="A333" t="s">
        <v>190</v>
      </c>
      <c r="B333" t="s">
        <v>32</v>
      </c>
      <c r="C333" s="7">
        <v>7</v>
      </c>
      <c r="D333" s="7">
        <v>4</v>
      </c>
      <c r="E333" s="7">
        <v>4</v>
      </c>
      <c r="F333" s="7">
        <v>6</v>
      </c>
      <c r="G333" s="7">
        <v>3</v>
      </c>
      <c r="H333" s="7">
        <v>3</v>
      </c>
      <c r="I333" s="9">
        <v>0.12501999999999999</v>
      </c>
      <c r="J333" s="7">
        <f t="shared" si="5"/>
        <v>7.9987202047672374</v>
      </c>
      <c r="K333" s="7">
        <v>0.01</v>
      </c>
      <c r="L333" t="s">
        <v>17</v>
      </c>
      <c r="M333">
        <v>296</v>
      </c>
      <c r="N333" t="s">
        <v>1032</v>
      </c>
      <c r="O333" t="s">
        <v>1031</v>
      </c>
    </row>
    <row r="334" spans="1:15" x14ac:dyDescent="0.2">
      <c r="A334" t="s">
        <v>190</v>
      </c>
      <c r="B334" t="s">
        <v>32</v>
      </c>
      <c r="C334" s="7">
        <v>7</v>
      </c>
      <c r="D334" s="7">
        <v>5</v>
      </c>
      <c r="E334" s="7">
        <v>3</v>
      </c>
      <c r="F334" s="7">
        <v>6</v>
      </c>
      <c r="G334" s="7">
        <v>5</v>
      </c>
      <c r="H334" s="7">
        <v>2</v>
      </c>
      <c r="I334" s="9">
        <v>9.3049999999999994E-2</v>
      </c>
      <c r="J334" s="7">
        <f t="shared" si="5"/>
        <v>10.746910263299302</v>
      </c>
      <c r="K334" s="7">
        <v>0.01</v>
      </c>
      <c r="L334" t="s">
        <v>17</v>
      </c>
      <c r="M334">
        <v>296</v>
      </c>
      <c r="N334" t="s">
        <v>1032</v>
      </c>
      <c r="O334" t="s">
        <v>1031</v>
      </c>
    </row>
    <row r="335" spans="1:15" x14ac:dyDescent="0.2">
      <c r="A335" t="s">
        <v>190</v>
      </c>
      <c r="B335" t="s">
        <v>32</v>
      </c>
      <c r="C335" s="7">
        <v>7</v>
      </c>
      <c r="D335" s="7">
        <v>5</v>
      </c>
      <c r="E335" s="7">
        <v>2</v>
      </c>
      <c r="F335" s="7">
        <v>6</v>
      </c>
      <c r="G335" s="7">
        <v>5</v>
      </c>
      <c r="H335" s="7">
        <v>1</v>
      </c>
      <c r="I335" s="9">
        <v>9.5689999999999997E-2</v>
      </c>
      <c r="J335" s="7">
        <f t="shared" si="5"/>
        <v>10.450412791305256</v>
      </c>
      <c r="K335" s="7">
        <v>0.01</v>
      </c>
      <c r="L335" t="s">
        <v>17</v>
      </c>
      <c r="M335">
        <v>296</v>
      </c>
      <c r="N335" t="s">
        <v>1032</v>
      </c>
      <c r="O335" t="s">
        <v>1031</v>
      </c>
    </row>
    <row r="336" spans="1:15" x14ac:dyDescent="0.2">
      <c r="A336" t="s">
        <v>190</v>
      </c>
      <c r="B336" t="s">
        <v>32</v>
      </c>
      <c r="C336" s="7">
        <v>8</v>
      </c>
      <c r="D336" s="7">
        <v>4</v>
      </c>
      <c r="E336" s="7">
        <v>5</v>
      </c>
      <c r="F336" s="7">
        <v>7</v>
      </c>
      <c r="G336" s="7">
        <v>3</v>
      </c>
      <c r="H336" s="7">
        <v>4</v>
      </c>
      <c r="I336" s="9">
        <v>0.12139</v>
      </c>
      <c r="J336" s="7">
        <f t="shared" si="5"/>
        <v>8.237910865804432</v>
      </c>
      <c r="K336" s="7">
        <v>0.01</v>
      </c>
      <c r="L336" t="s">
        <v>17</v>
      </c>
      <c r="M336">
        <v>296</v>
      </c>
      <c r="N336" t="s">
        <v>1032</v>
      </c>
      <c r="O336" t="s">
        <v>1031</v>
      </c>
    </row>
    <row r="337" spans="1:15" x14ac:dyDescent="0.2">
      <c r="A337" t="s">
        <v>190</v>
      </c>
      <c r="B337" t="s">
        <v>32</v>
      </c>
      <c r="C337" s="7">
        <v>8</v>
      </c>
      <c r="D337" s="7">
        <v>2</v>
      </c>
      <c r="E337" s="7">
        <v>6</v>
      </c>
      <c r="F337" s="7">
        <v>7</v>
      </c>
      <c r="G337" s="7">
        <v>2</v>
      </c>
      <c r="H337" s="7">
        <v>5</v>
      </c>
      <c r="I337" s="9">
        <v>0.11307</v>
      </c>
      <c r="J337" s="7">
        <f t="shared" si="5"/>
        <v>8.8440788891836917</v>
      </c>
      <c r="K337" s="7">
        <v>0.01</v>
      </c>
      <c r="L337" t="s">
        <v>17</v>
      </c>
      <c r="M337">
        <v>296</v>
      </c>
      <c r="N337" t="s">
        <v>1032</v>
      </c>
      <c r="O337" t="s">
        <v>1031</v>
      </c>
    </row>
    <row r="338" spans="1:15" x14ac:dyDescent="0.2">
      <c r="A338" t="s">
        <v>190</v>
      </c>
      <c r="B338" t="s">
        <v>32</v>
      </c>
      <c r="C338" s="7">
        <v>10</v>
      </c>
      <c r="D338" s="7">
        <v>2</v>
      </c>
      <c r="E338" s="7">
        <v>9</v>
      </c>
      <c r="F338" s="7">
        <v>9</v>
      </c>
      <c r="G338" s="7">
        <v>2</v>
      </c>
      <c r="H338" s="7">
        <v>8</v>
      </c>
      <c r="I338" s="9">
        <v>8.0629999999999993E-2</v>
      </c>
      <c r="J338" s="7">
        <f t="shared" si="5"/>
        <v>12.402331638348011</v>
      </c>
      <c r="K338" s="7">
        <v>0.01</v>
      </c>
      <c r="L338" t="s">
        <v>17</v>
      </c>
      <c r="M338">
        <v>296</v>
      </c>
      <c r="N338" t="s">
        <v>1032</v>
      </c>
      <c r="O338" t="s">
        <v>1031</v>
      </c>
    </row>
    <row r="339" spans="1:15" x14ac:dyDescent="0.2">
      <c r="A339" t="s">
        <v>190</v>
      </c>
      <c r="B339" t="s">
        <v>32</v>
      </c>
      <c r="C339" s="7">
        <v>10</v>
      </c>
      <c r="D339" s="7">
        <v>1</v>
      </c>
      <c r="E339" s="7">
        <v>9</v>
      </c>
      <c r="F339" s="7">
        <v>9</v>
      </c>
      <c r="G339" s="7">
        <v>1</v>
      </c>
      <c r="H339" s="7">
        <v>8</v>
      </c>
      <c r="I339" s="9">
        <v>8.6220000000000005E-2</v>
      </c>
      <c r="J339" s="7">
        <f t="shared" si="5"/>
        <v>11.59823706796567</v>
      </c>
      <c r="K339" s="7">
        <v>0.01</v>
      </c>
      <c r="L339" t="s">
        <v>17</v>
      </c>
      <c r="M339">
        <v>296</v>
      </c>
      <c r="N339" t="s">
        <v>1032</v>
      </c>
      <c r="O339" t="s">
        <v>1031</v>
      </c>
    </row>
    <row r="340" spans="1:15" x14ac:dyDescent="0.2">
      <c r="A340" t="s">
        <v>190</v>
      </c>
      <c r="B340" t="s">
        <v>32</v>
      </c>
      <c r="C340" s="7">
        <v>8</v>
      </c>
      <c r="D340" s="7">
        <v>4</v>
      </c>
      <c r="E340" s="7">
        <v>5</v>
      </c>
      <c r="F340" s="7">
        <v>7</v>
      </c>
      <c r="G340" s="7">
        <v>4</v>
      </c>
      <c r="H340" s="7">
        <v>4</v>
      </c>
      <c r="I340" s="9">
        <v>9.5560000000000006E-2</v>
      </c>
      <c r="J340" s="7">
        <f t="shared" si="5"/>
        <v>10.464629552113855</v>
      </c>
      <c r="K340" s="7">
        <v>0.01</v>
      </c>
      <c r="L340" t="s">
        <v>17</v>
      </c>
      <c r="M340">
        <v>296</v>
      </c>
      <c r="N340" t="s">
        <v>1032</v>
      </c>
      <c r="O340" t="s">
        <v>1031</v>
      </c>
    </row>
    <row r="341" spans="1:15" x14ac:dyDescent="0.2">
      <c r="A341" t="s">
        <v>190</v>
      </c>
      <c r="B341" t="s">
        <v>32</v>
      </c>
      <c r="C341" s="7">
        <v>9</v>
      </c>
      <c r="D341" s="7">
        <v>3</v>
      </c>
      <c r="E341" s="7">
        <v>7</v>
      </c>
      <c r="F341" s="7">
        <v>8</v>
      </c>
      <c r="G341" s="7">
        <v>3</v>
      </c>
      <c r="H341" s="7">
        <v>6</v>
      </c>
      <c r="I341" s="9">
        <v>7.0449999999999999E-2</v>
      </c>
      <c r="J341" s="7">
        <f t="shared" si="5"/>
        <v>14.194464158977999</v>
      </c>
      <c r="K341" s="7">
        <v>0.01</v>
      </c>
      <c r="L341" t="s">
        <v>17</v>
      </c>
      <c r="M341">
        <v>296</v>
      </c>
      <c r="N341" t="s">
        <v>1032</v>
      </c>
      <c r="O341" t="s">
        <v>1031</v>
      </c>
    </row>
    <row r="342" spans="1:15" x14ac:dyDescent="0.2">
      <c r="A342" t="s">
        <v>190</v>
      </c>
      <c r="B342" t="s">
        <v>32</v>
      </c>
      <c r="C342" s="7">
        <v>8</v>
      </c>
      <c r="D342" s="7">
        <v>4</v>
      </c>
      <c r="E342" s="7">
        <v>4</v>
      </c>
      <c r="F342" s="7">
        <v>7</v>
      </c>
      <c r="G342" s="7">
        <v>4</v>
      </c>
      <c r="H342" s="7">
        <v>3</v>
      </c>
      <c r="I342" s="9">
        <v>8.9639999999999997E-2</v>
      </c>
      <c r="J342" s="7">
        <f t="shared" si="5"/>
        <v>11.155734047300312</v>
      </c>
      <c r="K342" s="7">
        <v>0.01</v>
      </c>
      <c r="L342" t="s">
        <v>17</v>
      </c>
      <c r="M342">
        <v>296</v>
      </c>
      <c r="N342" t="s">
        <v>1032</v>
      </c>
      <c r="O342" t="s">
        <v>1031</v>
      </c>
    </row>
    <row r="343" spans="1:15" x14ac:dyDescent="0.2">
      <c r="A343" t="s">
        <v>190</v>
      </c>
      <c r="B343" t="s">
        <v>32</v>
      </c>
      <c r="C343" s="7">
        <v>11</v>
      </c>
      <c r="D343" s="7">
        <v>2</v>
      </c>
      <c r="E343" s="7">
        <v>10</v>
      </c>
      <c r="F343" s="7">
        <v>10</v>
      </c>
      <c r="G343" s="7">
        <v>2</v>
      </c>
      <c r="H343" s="7">
        <v>9</v>
      </c>
      <c r="I343" s="9">
        <v>7.2389999999999996E-2</v>
      </c>
      <c r="J343" s="7">
        <f t="shared" si="5"/>
        <v>13.814062715844729</v>
      </c>
      <c r="K343" s="7">
        <v>0.01</v>
      </c>
      <c r="L343" t="s">
        <v>17</v>
      </c>
      <c r="M343">
        <v>296</v>
      </c>
      <c r="N343" t="s">
        <v>1032</v>
      </c>
      <c r="O343" t="s">
        <v>1031</v>
      </c>
    </row>
  </sheetData>
  <phoneticPr fontId="2"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FD83E-9A3B-CE4B-BEAD-3C30A70C302B}">
  <dimension ref="A1:O23"/>
  <sheetViews>
    <sheetView workbookViewId="0">
      <selection activeCell="D23" sqref="D23"/>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1</v>
      </c>
      <c r="D2">
        <v>0</v>
      </c>
      <c r="E2">
        <v>1</v>
      </c>
      <c r="F2">
        <v>0</v>
      </c>
      <c r="G2">
        <v>0</v>
      </c>
      <c r="H2">
        <v>0</v>
      </c>
      <c r="I2">
        <v>2.24E-2</v>
      </c>
      <c r="J2">
        <v>50</v>
      </c>
      <c r="K2">
        <f>J2*I2/100</f>
        <v>1.1199999999999998E-2</v>
      </c>
      <c r="L2" t="s">
        <v>17</v>
      </c>
      <c r="M2">
        <v>296</v>
      </c>
      <c r="N2" t="s">
        <v>201</v>
      </c>
      <c r="O2" t="s">
        <v>1008</v>
      </c>
    </row>
    <row r="3" spans="1:15" x14ac:dyDescent="0.2">
      <c r="A3" t="s">
        <v>190</v>
      </c>
      <c r="B3" t="s">
        <v>191</v>
      </c>
      <c r="C3">
        <v>1</v>
      </c>
      <c r="D3">
        <v>0</v>
      </c>
      <c r="E3">
        <v>1</v>
      </c>
      <c r="F3">
        <v>0</v>
      </c>
      <c r="G3">
        <v>0</v>
      </c>
      <c r="H3">
        <v>0</v>
      </c>
      <c r="I3">
        <v>2.3800000000000002E-2</v>
      </c>
      <c r="J3">
        <v>50</v>
      </c>
      <c r="K3">
        <f t="shared" ref="K3:K23" si="0">J3*I3/100</f>
        <v>1.1900000000000001E-2</v>
      </c>
      <c r="L3" t="s">
        <v>17</v>
      </c>
      <c r="M3">
        <v>296</v>
      </c>
      <c r="N3" t="s">
        <v>201</v>
      </c>
      <c r="O3" t="s">
        <v>1009</v>
      </c>
    </row>
    <row r="4" spans="1:15" x14ac:dyDescent="0.2">
      <c r="A4" t="s">
        <v>190</v>
      </c>
      <c r="B4" t="s">
        <v>191</v>
      </c>
      <c r="C4">
        <v>1</v>
      </c>
      <c r="D4">
        <v>0</v>
      </c>
      <c r="E4">
        <v>1</v>
      </c>
      <c r="F4">
        <v>0</v>
      </c>
      <c r="G4">
        <v>0</v>
      </c>
      <c r="H4">
        <v>0</v>
      </c>
      <c r="I4">
        <v>2.1600000000000001E-2</v>
      </c>
      <c r="J4">
        <v>50</v>
      </c>
      <c r="K4">
        <f t="shared" si="0"/>
        <v>1.0800000000000001E-2</v>
      </c>
      <c r="L4" t="s">
        <v>17</v>
      </c>
      <c r="M4">
        <v>296</v>
      </c>
      <c r="N4" t="s">
        <v>201</v>
      </c>
      <c r="O4" t="s">
        <v>1010</v>
      </c>
    </row>
    <row r="5" spans="1:15" x14ac:dyDescent="0.2">
      <c r="A5" t="s">
        <v>190</v>
      </c>
      <c r="B5" t="s">
        <v>239</v>
      </c>
      <c r="C5">
        <v>1</v>
      </c>
      <c r="D5">
        <v>0</v>
      </c>
      <c r="E5">
        <v>1</v>
      </c>
      <c r="F5">
        <v>0</v>
      </c>
      <c r="G5">
        <v>0</v>
      </c>
      <c r="H5">
        <v>0</v>
      </c>
      <c r="I5">
        <v>4.9200000000000001E-2</v>
      </c>
      <c r="J5">
        <v>50</v>
      </c>
      <c r="K5">
        <f t="shared" si="0"/>
        <v>2.46E-2</v>
      </c>
      <c r="L5" t="s">
        <v>17</v>
      </c>
      <c r="M5">
        <v>296</v>
      </c>
      <c r="N5" t="s">
        <v>1013</v>
      </c>
      <c r="O5" t="s">
        <v>1011</v>
      </c>
    </row>
    <row r="6" spans="1:15" x14ac:dyDescent="0.2">
      <c r="A6" t="s">
        <v>190</v>
      </c>
      <c r="B6" t="s">
        <v>239</v>
      </c>
      <c r="C6">
        <v>1</v>
      </c>
      <c r="D6">
        <v>0</v>
      </c>
      <c r="E6">
        <v>1</v>
      </c>
      <c r="F6">
        <v>0</v>
      </c>
      <c r="G6">
        <v>0</v>
      </c>
      <c r="H6">
        <v>0</v>
      </c>
      <c r="I6">
        <v>5.0200000000000002E-2</v>
      </c>
      <c r="J6">
        <v>50</v>
      </c>
      <c r="K6">
        <f t="shared" si="0"/>
        <v>2.5100000000000001E-2</v>
      </c>
      <c r="L6" t="s">
        <v>17</v>
      </c>
      <c r="M6">
        <v>296</v>
      </c>
      <c r="N6" t="s">
        <v>1013</v>
      </c>
      <c r="O6" t="s">
        <v>1012</v>
      </c>
    </row>
    <row r="7" spans="1:15" x14ac:dyDescent="0.2">
      <c r="A7" t="s">
        <v>190</v>
      </c>
      <c r="B7" t="s">
        <v>239</v>
      </c>
      <c r="C7">
        <v>1</v>
      </c>
      <c r="D7">
        <v>0</v>
      </c>
      <c r="E7">
        <v>1</v>
      </c>
      <c r="F7">
        <v>0</v>
      </c>
      <c r="G7">
        <v>0</v>
      </c>
      <c r="H7">
        <v>0</v>
      </c>
      <c r="I7">
        <v>4.6899999999999997E-2</v>
      </c>
      <c r="J7">
        <v>50</v>
      </c>
      <c r="K7">
        <f t="shared" si="0"/>
        <v>2.3449999999999999E-2</v>
      </c>
      <c r="L7" t="s">
        <v>17</v>
      </c>
      <c r="M7">
        <v>296</v>
      </c>
      <c r="N7" t="s">
        <v>1013</v>
      </c>
      <c r="O7" t="s">
        <v>1014</v>
      </c>
    </row>
    <row r="8" spans="1:15" x14ac:dyDescent="0.2">
      <c r="A8" t="s">
        <v>190</v>
      </c>
      <c r="B8" t="s">
        <v>376</v>
      </c>
      <c r="C8">
        <v>1</v>
      </c>
      <c r="D8">
        <v>0</v>
      </c>
      <c r="E8">
        <v>1</v>
      </c>
      <c r="F8">
        <v>0</v>
      </c>
      <c r="G8">
        <v>0</v>
      </c>
      <c r="H8">
        <v>0</v>
      </c>
      <c r="I8">
        <v>5.6599999999999998E-2</v>
      </c>
      <c r="J8">
        <v>50</v>
      </c>
      <c r="K8">
        <f t="shared" si="0"/>
        <v>2.8300000000000002E-2</v>
      </c>
      <c r="L8" t="s">
        <v>17</v>
      </c>
      <c r="M8">
        <v>296</v>
      </c>
      <c r="N8" t="s">
        <v>1013</v>
      </c>
      <c r="O8" t="s">
        <v>1015</v>
      </c>
    </row>
    <row r="9" spans="1:15" x14ac:dyDescent="0.2">
      <c r="A9" t="s">
        <v>190</v>
      </c>
      <c r="B9" t="s">
        <v>376</v>
      </c>
      <c r="C9">
        <v>1</v>
      </c>
      <c r="D9">
        <v>0</v>
      </c>
      <c r="E9">
        <v>1</v>
      </c>
      <c r="F9">
        <v>0</v>
      </c>
      <c r="G9">
        <v>0</v>
      </c>
      <c r="H9">
        <v>0</v>
      </c>
      <c r="I9">
        <v>5.8000000000000003E-2</v>
      </c>
      <c r="J9">
        <v>50</v>
      </c>
      <c r="K9">
        <f t="shared" si="0"/>
        <v>2.9000000000000005E-2</v>
      </c>
      <c r="L9" t="s">
        <v>17</v>
      </c>
      <c r="M9">
        <v>296</v>
      </c>
      <c r="N9" t="s">
        <v>1013</v>
      </c>
      <c r="O9" t="s">
        <v>1016</v>
      </c>
    </row>
    <row r="10" spans="1:15" x14ac:dyDescent="0.2">
      <c r="A10" t="s">
        <v>190</v>
      </c>
      <c r="B10" t="s">
        <v>376</v>
      </c>
      <c r="C10">
        <v>1</v>
      </c>
      <c r="D10">
        <v>0</v>
      </c>
      <c r="E10">
        <v>1</v>
      </c>
      <c r="F10">
        <v>0</v>
      </c>
      <c r="G10">
        <v>0</v>
      </c>
      <c r="H10">
        <v>0</v>
      </c>
      <c r="I10">
        <v>6.08E-2</v>
      </c>
      <c r="J10">
        <v>50</v>
      </c>
      <c r="K10">
        <f t="shared" si="0"/>
        <v>3.04E-2</v>
      </c>
      <c r="L10" t="s">
        <v>17</v>
      </c>
      <c r="M10">
        <v>296</v>
      </c>
      <c r="N10" t="s">
        <v>1013</v>
      </c>
      <c r="O10" t="s">
        <v>1017</v>
      </c>
    </row>
    <row r="11" spans="1:15" x14ac:dyDescent="0.2">
      <c r="A11" t="s">
        <v>190</v>
      </c>
      <c r="B11" t="s">
        <v>407</v>
      </c>
      <c r="C11">
        <v>1</v>
      </c>
      <c r="D11">
        <v>0</v>
      </c>
      <c r="E11">
        <v>1</v>
      </c>
      <c r="F11">
        <v>0</v>
      </c>
      <c r="G11">
        <v>0</v>
      </c>
      <c r="H11">
        <v>0</v>
      </c>
      <c r="I11">
        <v>8.0199999999999994E-2</v>
      </c>
      <c r="J11">
        <v>50</v>
      </c>
      <c r="K11">
        <f t="shared" si="0"/>
        <v>4.0099999999999997E-2</v>
      </c>
      <c r="L11" t="s">
        <v>17</v>
      </c>
      <c r="M11">
        <v>296</v>
      </c>
      <c r="N11" t="s">
        <v>1013</v>
      </c>
      <c r="O11" t="s">
        <v>1018</v>
      </c>
    </row>
    <row r="12" spans="1:15" x14ac:dyDescent="0.2">
      <c r="A12" t="s">
        <v>190</v>
      </c>
      <c r="B12" t="s">
        <v>407</v>
      </c>
      <c r="C12">
        <v>1</v>
      </c>
      <c r="D12">
        <v>0</v>
      </c>
      <c r="E12">
        <v>1</v>
      </c>
      <c r="F12">
        <v>0</v>
      </c>
      <c r="G12">
        <v>0</v>
      </c>
      <c r="H12">
        <v>0</v>
      </c>
      <c r="I12">
        <v>8.3400000000000002E-2</v>
      </c>
      <c r="J12">
        <v>50</v>
      </c>
      <c r="K12">
        <f t="shared" si="0"/>
        <v>4.1700000000000001E-2</v>
      </c>
      <c r="L12" t="s">
        <v>17</v>
      </c>
      <c r="M12">
        <v>296</v>
      </c>
      <c r="N12" t="s">
        <v>1013</v>
      </c>
      <c r="O12" t="s">
        <v>1019</v>
      </c>
    </row>
    <row r="13" spans="1:15" x14ac:dyDescent="0.2">
      <c r="A13" t="s">
        <v>190</v>
      </c>
      <c r="B13" t="s">
        <v>407</v>
      </c>
      <c r="C13">
        <v>1</v>
      </c>
      <c r="D13">
        <v>0</v>
      </c>
      <c r="E13">
        <v>1</v>
      </c>
      <c r="F13">
        <v>0</v>
      </c>
      <c r="G13">
        <v>0</v>
      </c>
      <c r="H13">
        <v>0</v>
      </c>
      <c r="I13">
        <v>7.7499999999999999E-2</v>
      </c>
      <c r="J13">
        <v>50</v>
      </c>
      <c r="K13">
        <f t="shared" si="0"/>
        <v>3.875E-2</v>
      </c>
      <c r="L13" t="s">
        <v>17</v>
      </c>
      <c r="M13">
        <v>296</v>
      </c>
      <c r="N13" t="s">
        <v>1013</v>
      </c>
      <c r="O13" t="s">
        <v>1020</v>
      </c>
    </row>
    <row r="14" spans="1:15" x14ac:dyDescent="0.2">
      <c r="A14" t="s">
        <v>190</v>
      </c>
      <c r="B14" t="s">
        <v>191</v>
      </c>
      <c r="C14">
        <v>5</v>
      </c>
      <c r="D14">
        <v>0</v>
      </c>
      <c r="E14">
        <v>5</v>
      </c>
      <c r="F14">
        <v>4</v>
      </c>
      <c r="G14">
        <v>0</v>
      </c>
      <c r="H14">
        <v>4</v>
      </c>
      <c r="I14">
        <v>1.8599999999999998E-2</v>
      </c>
      <c r="J14">
        <v>50</v>
      </c>
      <c r="K14">
        <f t="shared" si="0"/>
        <v>9.2999999999999992E-3</v>
      </c>
      <c r="L14" t="s">
        <v>17</v>
      </c>
      <c r="M14">
        <v>296</v>
      </c>
      <c r="N14" t="s">
        <v>201</v>
      </c>
      <c r="O14" t="s">
        <v>1021</v>
      </c>
    </row>
    <row r="15" spans="1:15" x14ac:dyDescent="0.2">
      <c r="A15" t="s">
        <v>190</v>
      </c>
      <c r="B15" t="s">
        <v>191</v>
      </c>
      <c r="C15">
        <v>5</v>
      </c>
      <c r="D15">
        <v>0</v>
      </c>
      <c r="E15">
        <v>5</v>
      </c>
      <c r="F15">
        <v>4</v>
      </c>
      <c r="G15">
        <v>0</v>
      </c>
      <c r="H15">
        <v>4</v>
      </c>
      <c r="I15">
        <v>1.9800000000000002E-2</v>
      </c>
      <c r="J15">
        <v>50</v>
      </c>
      <c r="K15">
        <f t="shared" si="0"/>
        <v>9.9000000000000008E-3</v>
      </c>
      <c r="L15" t="s">
        <v>17</v>
      </c>
      <c r="M15">
        <v>296</v>
      </c>
      <c r="N15" t="s">
        <v>201</v>
      </c>
      <c r="O15" t="s">
        <v>1022</v>
      </c>
    </row>
    <row r="16" spans="1:15" x14ac:dyDescent="0.2">
      <c r="A16" t="s">
        <v>190</v>
      </c>
      <c r="B16" t="s">
        <v>191</v>
      </c>
      <c r="C16">
        <v>5</v>
      </c>
      <c r="D16">
        <v>0</v>
      </c>
      <c r="E16">
        <v>5</v>
      </c>
      <c r="F16">
        <v>4</v>
      </c>
      <c r="G16">
        <v>0</v>
      </c>
      <c r="H16">
        <v>4</v>
      </c>
      <c r="I16">
        <v>1.8800000000000001E-2</v>
      </c>
      <c r="J16">
        <v>50</v>
      </c>
      <c r="K16">
        <f t="shared" si="0"/>
        <v>9.4000000000000004E-3</v>
      </c>
      <c r="L16" t="s">
        <v>17</v>
      </c>
      <c r="M16">
        <v>296</v>
      </c>
      <c r="N16" t="s">
        <v>201</v>
      </c>
      <c r="O16" t="s">
        <v>1023</v>
      </c>
    </row>
    <row r="17" spans="1:15" x14ac:dyDescent="0.2">
      <c r="A17" t="s">
        <v>190</v>
      </c>
      <c r="B17" t="s">
        <v>239</v>
      </c>
      <c r="C17">
        <v>5</v>
      </c>
      <c r="D17">
        <v>0</v>
      </c>
      <c r="E17">
        <v>5</v>
      </c>
      <c r="F17">
        <v>4</v>
      </c>
      <c r="G17">
        <v>0</v>
      </c>
      <c r="H17">
        <v>4</v>
      </c>
      <c r="I17">
        <v>3.6299999999999999E-2</v>
      </c>
      <c r="J17">
        <v>50</v>
      </c>
      <c r="K17">
        <f t="shared" si="0"/>
        <v>1.8149999999999999E-2</v>
      </c>
      <c r="L17" t="s">
        <v>17</v>
      </c>
      <c r="M17">
        <v>296</v>
      </c>
      <c r="N17" t="s">
        <v>1013</v>
      </c>
      <c r="O17" t="s">
        <v>1024</v>
      </c>
    </row>
    <row r="18" spans="1:15" x14ac:dyDescent="0.2">
      <c r="A18" t="s">
        <v>190</v>
      </c>
      <c r="B18" t="s">
        <v>239</v>
      </c>
      <c r="C18">
        <v>5</v>
      </c>
      <c r="D18">
        <v>0</v>
      </c>
      <c r="E18">
        <v>5</v>
      </c>
      <c r="F18">
        <v>4</v>
      </c>
      <c r="G18">
        <v>0</v>
      </c>
      <c r="H18">
        <v>4</v>
      </c>
      <c r="I18">
        <v>3.6799999999999999E-2</v>
      </c>
      <c r="J18">
        <v>50</v>
      </c>
      <c r="K18">
        <f t="shared" si="0"/>
        <v>1.84E-2</v>
      </c>
      <c r="L18" t="s">
        <v>17</v>
      </c>
      <c r="M18">
        <v>296</v>
      </c>
      <c r="N18" t="s">
        <v>1013</v>
      </c>
      <c r="O18" t="s">
        <v>1025</v>
      </c>
    </row>
    <row r="19" spans="1:15" x14ac:dyDescent="0.2">
      <c r="A19" t="s">
        <v>190</v>
      </c>
      <c r="B19" t="s">
        <v>239</v>
      </c>
      <c r="C19">
        <v>5</v>
      </c>
      <c r="D19">
        <v>0</v>
      </c>
      <c r="E19">
        <v>5</v>
      </c>
      <c r="F19">
        <v>4</v>
      </c>
      <c r="G19">
        <v>0</v>
      </c>
      <c r="H19">
        <v>4</v>
      </c>
      <c r="I19">
        <v>3.6299999999999999E-2</v>
      </c>
      <c r="J19">
        <v>50</v>
      </c>
      <c r="K19">
        <f t="shared" si="0"/>
        <v>1.8149999999999999E-2</v>
      </c>
      <c r="L19" t="s">
        <v>17</v>
      </c>
      <c r="M19">
        <v>296</v>
      </c>
      <c r="N19" t="s">
        <v>1013</v>
      </c>
      <c r="O19" t="s">
        <v>1026</v>
      </c>
    </row>
    <row r="20" spans="1:15" x14ac:dyDescent="0.2">
      <c r="A20" t="s">
        <v>190</v>
      </c>
      <c r="B20" t="s">
        <v>376</v>
      </c>
      <c r="C20">
        <v>5</v>
      </c>
      <c r="D20">
        <v>0</v>
      </c>
      <c r="E20">
        <v>5</v>
      </c>
      <c r="F20">
        <v>4</v>
      </c>
      <c r="G20">
        <v>0</v>
      </c>
      <c r="H20">
        <v>4</v>
      </c>
      <c r="I20">
        <v>4.2500000000000003E-2</v>
      </c>
      <c r="J20">
        <v>50</v>
      </c>
      <c r="K20">
        <f t="shared" si="0"/>
        <v>2.1250000000000002E-2</v>
      </c>
      <c r="L20" t="s">
        <v>17</v>
      </c>
      <c r="M20">
        <v>296</v>
      </c>
      <c r="N20" t="s">
        <v>1013</v>
      </c>
      <c r="O20" t="s">
        <v>1027</v>
      </c>
    </row>
    <row r="21" spans="1:15" x14ac:dyDescent="0.2">
      <c r="A21" t="s">
        <v>190</v>
      </c>
      <c r="B21" t="s">
        <v>376</v>
      </c>
      <c r="C21">
        <v>5</v>
      </c>
      <c r="D21">
        <v>0</v>
      </c>
      <c r="E21">
        <v>5</v>
      </c>
      <c r="F21">
        <v>4</v>
      </c>
      <c r="G21">
        <v>0</v>
      </c>
      <c r="H21">
        <v>4</v>
      </c>
      <c r="I21">
        <v>4.3499999999999997E-2</v>
      </c>
      <c r="J21">
        <v>50</v>
      </c>
      <c r="K21">
        <f t="shared" si="0"/>
        <v>2.1749999999999999E-2</v>
      </c>
      <c r="L21" t="s">
        <v>17</v>
      </c>
      <c r="M21">
        <v>296</v>
      </c>
      <c r="N21" t="s">
        <v>1013</v>
      </c>
      <c r="O21" t="s">
        <v>1028</v>
      </c>
    </row>
    <row r="22" spans="1:15" x14ac:dyDescent="0.2">
      <c r="A22" t="s">
        <v>190</v>
      </c>
      <c r="B22" t="s">
        <v>376</v>
      </c>
      <c r="C22">
        <v>5</v>
      </c>
      <c r="D22">
        <v>0</v>
      </c>
      <c r="E22">
        <v>5</v>
      </c>
      <c r="F22">
        <v>4</v>
      </c>
      <c r="G22">
        <v>0</v>
      </c>
      <c r="H22">
        <v>4</v>
      </c>
      <c r="I22">
        <v>5.04E-2</v>
      </c>
      <c r="J22">
        <v>50</v>
      </c>
      <c r="K22">
        <f t="shared" si="0"/>
        <v>2.52E-2</v>
      </c>
      <c r="L22" t="s">
        <v>17</v>
      </c>
      <c r="M22">
        <v>296</v>
      </c>
      <c r="N22" t="s">
        <v>1013</v>
      </c>
      <c r="O22" t="s">
        <v>1029</v>
      </c>
    </row>
    <row r="23" spans="1:15" ht="409.6" x14ac:dyDescent="0.2">
      <c r="A23" t="s">
        <v>190</v>
      </c>
      <c r="B23" t="s">
        <v>407</v>
      </c>
      <c r="C23">
        <v>5</v>
      </c>
      <c r="D23">
        <v>0</v>
      </c>
      <c r="E23">
        <v>5</v>
      </c>
      <c r="F23">
        <v>4</v>
      </c>
      <c r="G23">
        <v>0</v>
      </c>
      <c r="H23">
        <v>4</v>
      </c>
      <c r="I23">
        <v>6.54E-2</v>
      </c>
      <c r="J23">
        <v>50</v>
      </c>
      <c r="K23">
        <f t="shared" si="0"/>
        <v>3.27E-2</v>
      </c>
      <c r="L23" t="s">
        <v>17</v>
      </c>
      <c r="M23">
        <v>296</v>
      </c>
      <c r="N23" t="s">
        <v>1013</v>
      </c>
      <c r="O23" s="6" t="s">
        <v>1030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348E-A75E-494F-B451-48A604537618}">
  <dimension ref="A1:O14"/>
  <sheetViews>
    <sheetView workbookViewId="0">
      <selection activeCell="I32" sqref="I3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58</v>
      </c>
      <c r="C2" t="s">
        <v>17</v>
      </c>
      <c r="D2" t="s">
        <v>17</v>
      </c>
      <c r="E2" t="s">
        <v>17</v>
      </c>
      <c r="F2" t="s">
        <v>17</v>
      </c>
      <c r="G2" t="s">
        <v>17</v>
      </c>
      <c r="H2" t="s">
        <v>17</v>
      </c>
      <c r="I2">
        <v>4.1419999999999998E-2</v>
      </c>
      <c r="J2">
        <v>0.55500000000000005</v>
      </c>
      <c r="K2">
        <v>2.3000000000000001E-4</v>
      </c>
      <c r="L2" t="s">
        <v>17</v>
      </c>
      <c r="M2">
        <v>291</v>
      </c>
      <c r="N2" t="s">
        <v>1032</v>
      </c>
      <c r="O2" t="s">
        <v>1033</v>
      </c>
    </row>
    <row r="3" spans="1:15" x14ac:dyDescent="0.2">
      <c r="A3" t="s">
        <v>190</v>
      </c>
      <c r="B3" t="s">
        <v>58</v>
      </c>
      <c r="C3" t="s">
        <v>17</v>
      </c>
      <c r="D3" t="s">
        <v>17</v>
      </c>
      <c r="E3" t="s">
        <v>17</v>
      </c>
      <c r="F3" t="s">
        <v>17</v>
      </c>
      <c r="G3" t="s">
        <v>17</v>
      </c>
      <c r="H3" t="s">
        <v>17</v>
      </c>
      <c r="I3">
        <v>4.274E-2</v>
      </c>
      <c r="J3">
        <v>1.825</v>
      </c>
      <c r="K3">
        <v>7.7999999999999999E-4</v>
      </c>
      <c r="L3" t="s">
        <v>17</v>
      </c>
      <c r="M3">
        <v>291</v>
      </c>
      <c r="N3" t="s">
        <v>1032</v>
      </c>
      <c r="O3" t="s">
        <v>1034</v>
      </c>
    </row>
    <row r="4" spans="1:15" x14ac:dyDescent="0.2">
      <c r="A4" t="s">
        <v>190</v>
      </c>
      <c r="B4" t="s">
        <v>58</v>
      </c>
      <c r="C4" t="s">
        <v>17</v>
      </c>
      <c r="D4" t="s">
        <v>17</v>
      </c>
      <c r="E4" t="s">
        <v>17</v>
      </c>
      <c r="F4" t="s">
        <v>17</v>
      </c>
      <c r="G4" t="s">
        <v>17</v>
      </c>
      <c r="H4" t="s">
        <v>17</v>
      </c>
      <c r="I4">
        <v>5.3650000000000003E-2</v>
      </c>
      <c r="J4">
        <v>0.78300000000000003</v>
      </c>
      <c r="K4">
        <v>4.2000000000000002E-4</v>
      </c>
      <c r="L4" t="s">
        <v>17</v>
      </c>
      <c r="M4">
        <v>291</v>
      </c>
      <c r="N4" t="s">
        <v>1032</v>
      </c>
      <c r="O4" t="s">
        <v>1035</v>
      </c>
    </row>
    <row r="5" spans="1:15" x14ac:dyDescent="0.2">
      <c r="A5" t="s">
        <v>190</v>
      </c>
      <c r="B5" t="s">
        <v>58</v>
      </c>
      <c r="C5" t="s">
        <v>17</v>
      </c>
      <c r="D5" t="s">
        <v>17</v>
      </c>
      <c r="E5" t="s">
        <v>17</v>
      </c>
      <c r="F5" t="s">
        <v>17</v>
      </c>
      <c r="G5" t="s">
        <v>17</v>
      </c>
      <c r="H5" t="s">
        <v>17</v>
      </c>
      <c r="I5">
        <v>4.9480000000000003E-2</v>
      </c>
      <c r="J5">
        <v>0.36399999999999999</v>
      </c>
      <c r="K5">
        <v>1.8000000000000001E-4</v>
      </c>
      <c r="L5" t="s">
        <v>17</v>
      </c>
      <c r="M5">
        <v>291</v>
      </c>
      <c r="N5" t="s">
        <v>1032</v>
      </c>
      <c r="O5" t="s">
        <v>1036</v>
      </c>
    </row>
    <row r="6" spans="1:15" x14ac:dyDescent="0.2">
      <c r="A6" t="s">
        <v>190</v>
      </c>
      <c r="B6" t="s">
        <v>58</v>
      </c>
      <c r="C6" t="s">
        <v>17</v>
      </c>
      <c r="D6" t="s">
        <v>17</v>
      </c>
      <c r="E6" t="s">
        <v>17</v>
      </c>
      <c r="F6" t="s">
        <v>17</v>
      </c>
      <c r="G6" t="s">
        <v>17</v>
      </c>
      <c r="H6" t="s">
        <v>17</v>
      </c>
      <c r="I6">
        <v>5.9679999999999997E-2</v>
      </c>
      <c r="J6">
        <v>0.151</v>
      </c>
      <c r="K6">
        <v>9.0000000000000006E-5</v>
      </c>
      <c r="L6" t="s">
        <v>17</v>
      </c>
      <c r="M6">
        <v>291</v>
      </c>
      <c r="N6" t="s">
        <v>1032</v>
      </c>
      <c r="O6" t="s">
        <v>1037</v>
      </c>
    </row>
    <row r="7" spans="1:15" x14ac:dyDescent="0.2">
      <c r="A7" t="s">
        <v>190</v>
      </c>
      <c r="B7" t="s">
        <v>58</v>
      </c>
      <c r="C7" t="s">
        <v>17</v>
      </c>
      <c r="D7" t="s">
        <v>17</v>
      </c>
      <c r="E7" t="s">
        <v>17</v>
      </c>
      <c r="F7" t="s">
        <v>17</v>
      </c>
      <c r="G7" t="s">
        <v>17</v>
      </c>
      <c r="H7" t="s">
        <v>17</v>
      </c>
      <c r="I7">
        <v>6.0389999999999999E-2</v>
      </c>
      <c r="J7">
        <v>0.71199999999999997</v>
      </c>
      <c r="K7">
        <v>4.2999999999999999E-4</v>
      </c>
      <c r="L7" t="s">
        <v>17</v>
      </c>
      <c r="M7">
        <v>291</v>
      </c>
      <c r="N7" t="s">
        <v>1032</v>
      </c>
      <c r="O7" t="s">
        <v>1038</v>
      </c>
    </row>
    <row r="8" spans="1:15" x14ac:dyDescent="0.2">
      <c r="A8" t="s">
        <v>190</v>
      </c>
      <c r="B8" t="s">
        <v>58</v>
      </c>
      <c r="C8" t="s">
        <v>17</v>
      </c>
      <c r="D8" t="s">
        <v>17</v>
      </c>
      <c r="E8" t="s">
        <v>17</v>
      </c>
      <c r="F8" t="s">
        <v>17</v>
      </c>
      <c r="G8" t="s">
        <v>17</v>
      </c>
      <c r="H8" t="s">
        <v>17</v>
      </c>
      <c r="I8">
        <v>4.5999999999999999E-2</v>
      </c>
      <c r="J8">
        <v>0.109</v>
      </c>
      <c r="K8">
        <v>5.0000000000000002E-5</v>
      </c>
      <c r="L8" t="s">
        <v>17</v>
      </c>
      <c r="M8">
        <v>291</v>
      </c>
      <c r="N8" t="s">
        <v>1032</v>
      </c>
      <c r="O8" t="s">
        <v>1039</v>
      </c>
    </row>
    <row r="9" spans="1:15" x14ac:dyDescent="0.2">
      <c r="A9" t="s">
        <v>190</v>
      </c>
      <c r="B9" t="s">
        <v>58</v>
      </c>
      <c r="C9" t="s">
        <v>17</v>
      </c>
      <c r="D9" t="s">
        <v>17</v>
      </c>
      <c r="E9" t="s">
        <v>17</v>
      </c>
      <c r="F9" t="s">
        <v>17</v>
      </c>
      <c r="G9" t="s">
        <v>17</v>
      </c>
      <c r="H9" t="s">
        <v>17</v>
      </c>
      <c r="I9">
        <v>4.4600000000000001E-2</v>
      </c>
      <c r="J9">
        <v>0.314</v>
      </c>
      <c r="K9">
        <v>1.3999999999999999E-4</v>
      </c>
      <c r="L9" t="s">
        <v>17</v>
      </c>
      <c r="M9">
        <v>291</v>
      </c>
      <c r="N9" t="s">
        <v>1032</v>
      </c>
      <c r="O9" t="s">
        <v>1040</v>
      </c>
    </row>
    <row r="10" spans="1:15" x14ac:dyDescent="0.2">
      <c r="A10" t="s">
        <v>190</v>
      </c>
      <c r="B10" t="s">
        <v>58</v>
      </c>
      <c r="C10" t="s">
        <v>17</v>
      </c>
      <c r="D10" t="s">
        <v>17</v>
      </c>
      <c r="E10" t="s">
        <v>17</v>
      </c>
      <c r="F10" t="s">
        <v>17</v>
      </c>
      <c r="G10" t="s">
        <v>17</v>
      </c>
      <c r="H10" t="s">
        <v>17</v>
      </c>
      <c r="I10">
        <v>6.4619999999999997E-2</v>
      </c>
      <c r="J10">
        <v>0.34</v>
      </c>
      <c r="K10">
        <v>2.2000000000000001E-4</v>
      </c>
      <c r="L10" t="s">
        <v>17</v>
      </c>
      <c r="M10">
        <v>291</v>
      </c>
      <c r="N10" t="s">
        <v>1032</v>
      </c>
      <c r="O10" t="s">
        <v>1041</v>
      </c>
    </row>
    <row r="11" spans="1:15" x14ac:dyDescent="0.2">
      <c r="A11" t="s">
        <v>190</v>
      </c>
      <c r="B11" t="s">
        <v>58</v>
      </c>
      <c r="C11" t="s">
        <v>17</v>
      </c>
      <c r="D11" t="s">
        <v>17</v>
      </c>
      <c r="E11" t="s">
        <v>17</v>
      </c>
      <c r="F11" t="s">
        <v>17</v>
      </c>
      <c r="G11" t="s">
        <v>17</v>
      </c>
      <c r="H11" t="s">
        <v>17</v>
      </c>
      <c r="I11">
        <v>5.9909999999999998E-2</v>
      </c>
      <c r="J11">
        <v>0.26700000000000002</v>
      </c>
      <c r="K11">
        <v>1.6000000000000001E-4</v>
      </c>
      <c r="L11" t="s">
        <v>17</v>
      </c>
      <c r="M11">
        <v>291</v>
      </c>
      <c r="N11" t="s">
        <v>1032</v>
      </c>
      <c r="O11" t="s">
        <v>1042</v>
      </c>
    </row>
    <row r="12" spans="1:15" x14ac:dyDescent="0.2">
      <c r="A12" t="s">
        <v>190</v>
      </c>
      <c r="B12" t="s">
        <v>58</v>
      </c>
      <c r="C12" t="s">
        <v>17</v>
      </c>
      <c r="D12" t="s">
        <v>17</v>
      </c>
      <c r="E12" t="s">
        <v>17</v>
      </c>
      <c r="F12" t="s">
        <v>17</v>
      </c>
      <c r="G12" t="s">
        <v>17</v>
      </c>
      <c r="H12" t="s">
        <v>17</v>
      </c>
      <c r="I12">
        <v>5.6669999999999998E-2</v>
      </c>
      <c r="J12">
        <v>8.7999999999999995E-2</v>
      </c>
      <c r="K12">
        <v>5.0000000000000002E-5</v>
      </c>
      <c r="L12" t="s">
        <v>17</v>
      </c>
      <c r="M12">
        <v>291</v>
      </c>
      <c r="N12" t="s">
        <v>1032</v>
      </c>
      <c r="O12" t="s">
        <v>1043</v>
      </c>
    </row>
    <row r="13" spans="1:15" x14ac:dyDescent="0.2">
      <c r="A13" t="s">
        <v>190</v>
      </c>
      <c r="B13" t="s">
        <v>58</v>
      </c>
      <c r="C13" t="s">
        <v>17</v>
      </c>
      <c r="D13" t="s">
        <v>17</v>
      </c>
      <c r="E13" t="s">
        <v>17</v>
      </c>
      <c r="F13" t="s">
        <v>17</v>
      </c>
      <c r="G13" t="s">
        <v>17</v>
      </c>
      <c r="H13" t="s">
        <v>17</v>
      </c>
      <c r="I13">
        <v>7.2650000000000006E-2</v>
      </c>
      <c r="J13">
        <v>6.9000000000000006E-2</v>
      </c>
      <c r="K13">
        <v>5.0000000000000002E-5</v>
      </c>
      <c r="L13" t="s">
        <v>17</v>
      </c>
      <c r="M13">
        <v>291</v>
      </c>
      <c r="N13" t="s">
        <v>1032</v>
      </c>
      <c r="O13" t="s">
        <v>1044</v>
      </c>
    </row>
    <row r="14" spans="1:15" x14ac:dyDescent="0.2">
      <c r="A14" t="s">
        <v>190</v>
      </c>
      <c r="B14" t="s">
        <v>58</v>
      </c>
      <c r="C14" t="s">
        <v>17</v>
      </c>
      <c r="D14" t="s">
        <v>17</v>
      </c>
      <c r="E14" t="s">
        <v>17</v>
      </c>
      <c r="F14" t="s">
        <v>17</v>
      </c>
      <c r="G14" t="s">
        <v>17</v>
      </c>
      <c r="H14" t="s">
        <v>17</v>
      </c>
      <c r="I14">
        <v>5.8720000000000001E-2</v>
      </c>
      <c r="J14">
        <v>0.153</v>
      </c>
      <c r="K14">
        <v>9.0000000000000006E-5</v>
      </c>
      <c r="L14" t="s">
        <v>17</v>
      </c>
      <c r="M14">
        <v>291</v>
      </c>
      <c r="N14" t="s">
        <v>1032</v>
      </c>
      <c r="O14" t="s">
        <v>1045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0ECF-8C4C-4748-8035-77485BD32DAB}">
  <dimension ref="A1:O77"/>
  <sheetViews>
    <sheetView workbookViewId="0">
      <selection activeCell="K64" sqref="K64"/>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191</v>
      </c>
      <c r="C2">
        <v>2</v>
      </c>
      <c r="D2">
        <v>0</v>
      </c>
      <c r="E2">
        <v>2</v>
      </c>
      <c r="F2">
        <v>1</v>
      </c>
      <c r="G2">
        <v>0</v>
      </c>
      <c r="H2">
        <v>1</v>
      </c>
      <c r="I2">
        <v>2.4400000000000002E-2</v>
      </c>
      <c r="J2">
        <f>K2/I2*100</f>
        <v>1.2295081967213113</v>
      </c>
      <c r="K2">
        <v>2.9999999999999997E-4</v>
      </c>
      <c r="L2" t="s">
        <v>17</v>
      </c>
      <c r="M2">
        <v>296</v>
      </c>
      <c r="N2" t="s">
        <v>201</v>
      </c>
      <c r="O2" t="s">
        <v>1046</v>
      </c>
    </row>
    <row r="3" spans="1:15" x14ac:dyDescent="0.2">
      <c r="A3" t="s">
        <v>190</v>
      </c>
      <c r="B3" t="s">
        <v>191</v>
      </c>
      <c r="C3">
        <v>3</v>
      </c>
      <c r="D3">
        <v>1</v>
      </c>
      <c r="E3">
        <v>3</v>
      </c>
      <c r="F3">
        <v>2</v>
      </c>
      <c r="G3">
        <v>1</v>
      </c>
      <c r="H3">
        <v>2</v>
      </c>
      <c r="I3">
        <v>2.4199999999999999E-2</v>
      </c>
      <c r="J3">
        <f t="shared" ref="J3:J66" si="0">K3/I3*100</f>
        <v>1.2396694214876032</v>
      </c>
      <c r="K3">
        <v>2.9999999999999997E-4</v>
      </c>
      <c r="L3" t="s">
        <v>17</v>
      </c>
      <c r="M3">
        <v>296</v>
      </c>
      <c r="N3" t="s">
        <v>201</v>
      </c>
      <c r="O3" t="s">
        <v>1047</v>
      </c>
    </row>
    <row r="4" spans="1:15" x14ac:dyDescent="0.2">
      <c r="A4" t="s">
        <v>190</v>
      </c>
      <c r="B4" t="s">
        <v>191</v>
      </c>
      <c r="C4">
        <v>2</v>
      </c>
      <c r="D4">
        <v>2</v>
      </c>
      <c r="E4">
        <v>0</v>
      </c>
      <c r="F4">
        <v>2</v>
      </c>
      <c r="G4">
        <v>2</v>
      </c>
      <c r="H4">
        <v>1</v>
      </c>
      <c r="I4">
        <v>2.3099999999999999E-2</v>
      </c>
      <c r="J4">
        <f t="shared" si="0"/>
        <v>0.86580086580086579</v>
      </c>
      <c r="K4">
        <v>2.0000000000000001E-4</v>
      </c>
      <c r="L4" t="s">
        <v>17</v>
      </c>
      <c r="M4">
        <v>296</v>
      </c>
      <c r="N4" t="s">
        <v>201</v>
      </c>
      <c r="O4" t="s">
        <v>1048</v>
      </c>
    </row>
    <row r="5" spans="1:15" x14ac:dyDescent="0.2">
      <c r="A5" t="s">
        <v>190</v>
      </c>
      <c r="B5" t="s">
        <v>191</v>
      </c>
      <c r="C5">
        <v>2</v>
      </c>
      <c r="D5">
        <v>0</v>
      </c>
      <c r="E5">
        <v>2</v>
      </c>
      <c r="F5">
        <v>3</v>
      </c>
      <c r="G5">
        <v>0</v>
      </c>
      <c r="H5">
        <v>3</v>
      </c>
      <c r="I5">
        <v>2.3400000000000001E-2</v>
      </c>
      <c r="J5">
        <f t="shared" si="0"/>
        <v>0.42735042735042739</v>
      </c>
      <c r="K5">
        <v>1E-4</v>
      </c>
      <c r="L5" t="s">
        <v>17</v>
      </c>
      <c r="M5">
        <v>296</v>
      </c>
      <c r="N5" t="s">
        <v>201</v>
      </c>
      <c r="O5" t="s">
        <v>1048</v>
      </c>
    </row>
    <row r="6" spans="1:15" x14ac:dyDescent="0.2">
      <c r="A6" t="s">
        <v>190</v>
      </c>
      <c r="B6" t="s">
        <v>191</v>
      </c>
      <c r="C6">
        <v>4</v>
      </c>
      <c r="D6">
        <v>0</v>
      </c>
      <c r="E6">
        <v>4</v>
      </c>
      <c r="F6">
        <v>3</v>
      </c>
      <c r="G6">
        <v>0</v>
      </c>
      <c r="H6">
        <v>3</v>
      </c>
      <c r="I6">
        <v>2.3E-2</v>
      </c>
      <c r="J6">
        <f t="shared" si="0"/>
        <v>0.86956521739130432</v>
      </c>
      <c r="K6">
        <v>2.0000000000000001E-4</v>
      </c>
      <c r="L6" t="s">
        <v>17</v>
      </c>
      <c r="M6">
        <v>296</v>
      </c>
      <c r="N6" t="s">
        <v>201</v>
      </c>
      <c r="O6" t="s">
        <v>1049</v>
      </c>
    </row>
    <row r="7" spans="1:15" x14ac:dyDescent="0.2">
      <c r="A7" t="s">
        <v>190</v>
      </c>
      <c r="B7" t="s">
        <v>191</v>
      </c>
      <c r="C7">
        <v>5</v>
      </c>
      <c r="D7">
        <v>1</v>
      </c>
      <c r="E7">
        <v>5</v>
      </c>
      <c r="F7">
        <v>4</v>
      </c>
      <c r="G7">
        <v>1</v>
      </c>
      <c r="H7">
        <v>4</v>
      </c>
      <c r="I7">
        <v>2.1700000000000001E-2</v>
      </c>
      <c r="J7">
        <f t="shared" si="0"/>
        <v>1.3824884792626728</v>
      </c>
      <c r="K7">
        <v>2.9999999999999997E-4</v>
      </c>
      <c r="L7" t="s">
        <v>17</v>
      </c>
      <c r="M7">
        <v>296</v>
      </c>
      <c r="N7" t="s">
        <v>201</v>
      </c>
      <c r="O7" t="s">
        <v>1050</v>
      </c>
    </row>
    <row r="8" spans="1:15" x14ac:dyDescent="0.2">
      <c r="A8" t="s">
        <v>190</v>
      </c>
      <c r="B8" t="s">
        <v>191</v>
      </c>
      <c r="C8">
        <v>1</v>
      </c>
      <c r="D8">
        <v>1</v>
      </c>
      <c r="E8">
        <v>0</v>
      </c>
      <c r="F8">
        <v>1</v>
      </c>
      <c r="G8">
        <v>0</v>
      </c>
      <c r="H8">
        <v>1</v>
      </c>
      <c r="I8">
        <v>2.3699999999999999E-2</v>
      </c>
      <c r="J8">
        <f t="shared" si="0"/>
        <v>0.42194092827004226</v>
      </c>
      <c r="K8">
        <v>1E-4</v>
      </c>
      <c r="L8" t="s">
        <v>17</v>
      </c>
      <c r="M8">
        <v>296</v>
      </c>
      <c r="N8" t="s">
        <v>201</v>
      </c>
      <c r="O8" t="s">
        <v>1051</v>
      </c>
    </row>
    <row r="9" spans="1:15" x14ac:dyDescent="0.2">
      <c r="A9" t="s">
        <v>190</v>
      </c>
      <c r="B9" t="s">
        <v>191</v>
      </c>
      <c r="C9">
        <v>4</v>
      </c>
      <c r="D9">
        <v>2</v>
      </c>
      <c r="E9">
        <v>3</v>
      </c>
      <c r="F9">
        <v>3</v>
      </c>
      <c r="G9">
        <v>1</v>
      </c>
      <c r="H9">
        <v>2</v>
      </c>
      <c r="I9">
        <v>2.4109999999999999E-2</v>
      </c>
      <c r="J9">
        <f t="shared" si="0"/>
        <v>4.14765657403567E-2</v>
      </c>
      <c r="K9">
        <v>1.0000000000000001E-5</v>
      </c>
      <c r="L9" t="s">
        <v>17</v>
      </c>
      <c r="M9">
        <v>296</v>
      </c>
      <c r="N9" t="s">
        <v>201</v>
      </c>
      <c r="O9" t="s">
        <v>1051</v>
      </c>
    </row>
    <row r="10" spans="1:15" x14ac:dyDescent="0.2">
      <c r="A10" t="s">
        <v>190</v>
      </c>
      <c r="B10" t="s">
        <v>191</v>
      </c>
      <c r="C10">
        <v>3</v>
      </c>
      <c r="D10">
        <v>0</v>
      </c>
      <c r="E10">
        <v>3</v>
      </c>
      <c r="F10">
        <v>4</v>
      </c>
      <c r="G10">
        <v>1</v>
      </c>
      <c r="H10">
        <v>4</v>
      </c>
      <c r="I10">
        <v>2.332E-2</v>
      </c>
      <c r="J10">
        <f t="shared" si="0"/>
        <v>0.17152658662092626</v>
      </c>
      <c r="K10">
        <v>4.0000000000000003E-5</v>
      </c>
      <c r="L10" t="s">
        <v>17</v>
      </c>
      <c r="M10">
        <v>296</v>
      </c>
      <c r="N10" t="s">
        <v>201</v>
      </c>
      <c r="O10" t="s">
        <v>1051</v>
      </c>
    </row>
    <row r="11" spans="1:15" x14ac:dyDescent="0.2">
      <c r="A11" t="s">
        <v>190</v>
      </c>
      <c r="B11" t="s">
        <v>191</v>
      </c>
      <c r="C11">
        <v>2</v>
      </c>
      <c r="D11">
        <v>0</v>
      </c>
      <c r="E11">
        <v>2</v>
      </c>
      <c r="F11">
        <v>1</v>
      </c>
      <c r="G11">
        <v>0</v>
      </c>
      <c r="H11">
        <v>1</v>
      </c>
      <c r="I11">
        <v>2.24E-2</v>
      </c>
      <c r="J11">
        <f t="shared" si="0"/>
        <v>0.89285714285714302</v>
      </c>
      <c r="K11">
        <v>2.0000000000000001E-4</v>
      </c>
      <c r="L11" t="s">
        <v>17</v>
      </c>
      <c r="M11">
        <v>296</v>
      </c>
      <c r="N11" t="s">
        <v>201</v>
      </c>
      <c r="O11" t="s">
        <v>1052</v>
      </c>
    </row>
    <row r="12" spans="1:15" x14ac:dyDescent="0.2">
      <c r="A12" t="s">
        <v>190</v>
      </c>
      <c r="B12" t="s">
        <v>191</v>
      </c>
      <c r="C12">
        <v>1</v>
      </c>
      <c r="D12">
        <v>1</v>
      </c>
      <c r="E12">
        <v>1</v>
      </c>
      <c r="F12">
        <v>2</v>
      </c>
      <c r="G12">
        <v>1</v>
      </c>
      <c r="H12">
        <v>2</v>
      </c>
      <c r="I12">
        <v>2.3400000000000001E-2</v>
      </c>
      <c r="J12">
        <f t="shared" si="0"/>
        <v>0.42735042735042739</v>
      </c>
      <c r="K12">
        <v>1E-4</v>
      </c>
      <c r="L12" t="s">
        <v>17</v>
      </c>
      <c r="M12">
        <v>296</v>
      </c>
      <c r="N12" t="s">
        <v>201</v>
      </c>
      <c r="O12" t="s">
        <v>1052</v>
      </c>
    </row>
    <row r="13" spans="1:15" x14ac:dyDescent="0.2">
      <c r="A13" t="s">
        <v>190</v>
      </c>
      <c r="B13" t="s">
        <v>191</v>
      </c>
      <c r="C13">
        <v>2</v>
      </c>
      <c r="D13">
        <v>2</v>
      </c>
      <c r="E13">
        <v>0</v>
      </c>
      <c r="F13">
        <v>2</v>
      </c>
      <c r="G13">
        <v>2</v>
      </c>
      <c r="H13">
        <v>1</v>
      </c>
      <c r="I13">
        <v>2.18E-2</v>
      </c>
      <c r="J13">
        <f t="shared" si="0"/>
        <v>1.3761467889908257</v>
      </c>
      <c r="K13">
        <v>2.9999999999999997E-4</v>
      </c>
      <c r="L13" t="s">
        <v>17</v>
      </c>
      <c r="M13">
        <v>296</v>
      </c>
      <c r="N13" t="s">
        <v>201</v>
      </c>
      <c r="O13" t="s">
        <v>1052</v>
      </c>
    </row>
    <row r="14" spans="1:15" x14ac:dyDescent="0.2">
      <c r="A14" t="s">
        <v>190</v>
      </c>
      <c r="B14" t="s">
        <v>191</v>
      </c>
      <c r="C14">
        <v>2</v>
      </c>
      <c r="D14">
        <v>0</v>
      </c>
      <c r="E14">
        <v>2</v>
      </c>
      <c r="F14">
        <v>3</v>
      </c>
      <c r="G14">
        <v>0</v>
      </c>
      <c r="H14">
        <v>3</v>
      </c>
      <c r="I14">
        <v>2.1899999999999999E-2</v>
      </c>
      <c r="J14">
        <f t="shared" si="0"/>
        <v>1.3698630136986301</v>
      </c>
      <c r="K14">
        <v>2.9999999999999997E-4</v>
      </c>
      <c r="L14" t="s">
        <v>17</v>
      </c>
      <c r="M14">
        <v>296</v>
      </c>
      <c r="N14" t="s">
        <v>201</v>
      </c>
      <c r="O14" t="s">
        <v>1052</v>
      </c>
    </row>
    <row r="15" spans="1:15" x14ac:dyDescent="0.2">
      <c r="A15" t="s">
        <v>190</v>
      </c>
      <c r="B15" t="s">
        <v>191</v>
      </c>
      <c r="C15">
        <v>4</v>
      </c>
      <c r="D15">
        <v>1</v>
      </c>
      <c r="E15">
        <v>3</v>
      </c>
      <c r="F15">
        <v>3</v>
      </c>
      <c r="G15">
        <v>1</v>
      </c>
      <c r="H15">
        <v>2</v>
      </c>
      <c r="I15">
        <v>2.1299999999999999E-2</v>
      </c>
      <c r="J15">
        <f t="shared" si="0"/>
        <v>1.408450704225352</v>
      </c>
      <c r="K15">
        <v>2.9999999999999997E-4</v>
      </c>
      <c r="L15" t="s">
        <v>17</v>
      </c>
      <c r="M15">
        <v>296</v>
      </c>
      <c r="N15" t="s">
        <v>201</v>
      </c>
      <c r="O15" t="s">
        <v>1052</v>
      </c>
    </row>
    <row r="16" spans="1:15" x14ac:dyDescent="0.2">
      <c r="A16" t="s">
        <v>190</v>
      </c>
      <c r="B16" t="s">
        <v>191</v>
      </c>
      <c r="C16">
        <v>3</v>
      </c>
      <c r="D16">
        <v>1</v>
      </c>
      <c r="E16">
        <v>3</v>
      </c>
      <c r="F16">
        <v>4</v>
      </c>
      <c r="G16">
        <v>1</v>
      </c>
      <c r="H16">
        <v>4</v>
      </c>
      <c r="I16">
        <v>2.1100000000000001E-2</v>
      </c>
      <c r="J16">
        <f t="shared" si="0"/>
        <v>0.94786729857819907</v>
      </c>
      <c r="K16">
        <v>2.0000000000000001E-4</v>
      </c>
      <c r="L16" t="s">
        <v>17</v>
      </c>
      <c r="M16">
        <v>296</v>
      </c>
      <c r="N16" t="s">
        <v>201</v>
      </c>
      <c r="O16" t="s">
        <v>1052</v>
      </c>
    </row>
    <row r="17" spans="1:15" x14ac:dyDescent="0.2">
      <c r="A17" t="s">
        <v>190</v>
      </c>
      <c r="B17" t="s">
        <v>191</v>
      </c>
      <c r="C17">
        <v>5</v>
      </c>
      <c r="D17">
        <v>1</v>
      </c>
      <c r="E17">
        <v>5</v>
      </c>
      <c r="F17">
        <v>4</v>
      </c>
      <c r="G17">
        <v>1</v>
      </c>
      <c r="H17">
        <v>4</v>
      </c>
      <c r="I17">
        <v>2.01E-2</v>
      </c>
      <c r="J17">
        <f t="shared" si="0"/>
        <v>1.4925373134328357</v>
      </c>
      <c r="K17">
        <v>2.9999999999999997E-4</v>
      </c>
      <c r="L17" t="s">
        <v>17</v>
      </c>
      <c r="M17">
        <v>296</v>
      </c>
      <c r="N17" t="s">
        <v>201</v>
      </c>
      <c r="O17" t="s">
        <v>1052</v>
      </c>
    </row>
    <row r="18" spans="1:15" x14ac:dyDescent="0.2">
      <c r="A18" t="s">
        <v>190</v>
      </c>
      <c r="B18" t="s">
        <v>191</v>
      </c>
      <c r="C18">
        <v>3</v>
      </c>
      <c r="D18">
        <v>2</v>
      </c>
      <c r="E18">
        <v>2</v>
      </c>
      <c r="F18">
        <v>4</v>
      </c>
      <c r="G18">
        <v>2</v>
      </c>
      <c r="H18">
        <v>3</v>
      </c>
      <c r="I18">
        <v>2.1000000000000001E-2</v>
      </c>
      <c r="J18">
        <f t="shared" si="0"/>
        <v>1.4285714285714284</v>
      </c>
      <c r="K18">
        <v>2.9999999999999997E-4</v>
      </c>
      <c r="L18" t="s">
        <v>17</v>
      </c>
      <c r="M18">
        <v>296</v>
      </c>
      <c r="N18" t="s">
        <v>201</v>
      </c>
      <c r="O18" t="s">
        <v>1052</v>
      </c>
    </row>
    <row r="19" spans="1:15" x14ac:dyDescent="0.2">
      <c r="A19" t="s">
        <v>190</v>
      </c>
      <c r="B19" t="s">
        <v>191</v>
      </c>
      <c r="C19">
        <v>4</v>
      </c>
      <c r="D19">
        <v>0</v>
      </c>
      <c r="E19">
        <v>4</v>
      </c>
      <c r="F19">
        <v>5</v>
      </c>
      <c r="G19">
        <v>0</v>
      </c>
      <c r="H19">
        <v>5</v>
      </c>
      <c r="I19">
        <v>2.0400000000000001E-2</v>
      </c>
      <c r="J19">
        <f t="shared" si="0"/>
        <v>1.4705882352941175</v>
      </c>
      <c r="K19">
        <v>2.9999999999999997E-4</v>
      </c>
      <c r="L19" t="s">
        <v>17</v>
      </c>
      <c r="M19">
        <v>296</v>
      </c>
      <c r="N19" t="s">
        <v>201</v>
      </c>
      <c r="O19" t="s">
        <v>1052</v>
      </c>
    </row>
    <row r="20" spans="1:15" x14ac:dyDescent="0.2">
      <c r="A20" t="s">
        <v>190</v>
      </c>
      <c r="B20" t="s">
        <v>191</v>
      </c>
      <c r="C20">
        <v>4</v>
      </c>
      <c r="D20">
        <v>2</v>
      </c>
      <c r="E20">
        <v>2</v>
      </c>
      <c r="F20">
        <v>5</v>
      </c>
      <c r="G20">
        <v>2</v>
      </c>
      <c r="H20">
        <v>3</v>
      </c>
      <c r="I20">
        <v>2.0899999999999998E-2</v>
      </c>
      <c r="J20">
        <f t="shared" si="0"/>
        <v>0.95693779904306231</v>
      </c>
      <c r="K20">
        <v>2.0000000000000001E-4</v>
      </c>
      <c r="L20" t="s">
        <v>17</v>
      </c>
      <c r="M20">
        <v>296</v>
      </c>
      <c r="N20" t="s">
        <v>201</v>
      </c>
      <c r="O20" t="s">
        <v>1052</v>
      </c>
    </row>
    <row r="21" spans="1:15" x14ac:dyDescent="0.2">
      <c r="A21" t="s">
        <v>190</v>
      </c>
      <c r="B21" t="s">
        <v>191</v>
      </c>
      <c r="C21">
        <v>5</v>
      </c>
      <c r="D21">
        <v>1</v>
      </c>
      <c r="E21">
        <v>5</v>
      </c>
      <c r="F21">
        <v>6</v>
      </c>
      <c r="G21">
        <v>1</v>
      </c>
      <c r="H21">
        <v>6</v>
      </c>
      <c r="I21">
        <v>1.89E-2</v>
      </c>
      <c r="J21">
        <f t="shared" si="0"/>
        <v>2.6455026455026456</v>
      </c>
      <c r="K21">
        <v>5.0000000000000001E-4</v>
      </c>
      <c r="L21" t="s">
        <v>17</v>
      </c>
      <c r="M21">
        <v>296</v>
      </c>
      <c r="N21" t="s">
        <v>201</v>
      </c>
      <c r="O21" t="s">
        <v>1052</v>
      </c>
    </row>
    <row r="22" spans="1:15" x14ac:dyDescent="0.2">
      <c r="A22" t="s">
        <v>190</v>
      </c>
      <c r="B22" t="s">
        <v>191</v>
      </c>
      <c r="C22">
        <v>7</v>
      </c>
      <c r="D22">
        <v>3</v>
      </c>
      <c r="E22">
        <v>5</v>
      </c>
      <c r="F22">
        <v>6</v>
      </c>
      <c r="G22">
        <v>1</v>
      </c>
      <c r="H22">
        <v>6</v>
      </c>
      <c r="I22">
        <v>1.9599999999999999E-2</v>
      </c>
      <c r="J22">
        <f t="shared" si="0"/>
        <v>0.51020408163265307</v>
      </c>
      <c r="K22">
        <v>1E-4</v>
      </c>
      <c r="L22" t="s">
        <v>17</v>
      </c>
      <c r="M22">
        <v>296</v>
      </c>
      <c r="N22" t="s">
        <v>201</v>
      </c>
      <c r="O22" t="s">
        <v>1053</v>
      </c>
    </row>
    <row r="23" spans="1:15" x14ac:dyDescent="0.2">
      <c r="A23" t="s">
        <v>190</v>
      </c>
      <c r="B23" t="s">
        <v>191</v>
      </c>
      <c r="C23">
        <v>1</v>
      </c>
      <c r="D23">
        <v>0</v>
      </c>
      <c r="E23">
        <v>1</v>
      </c>
      <c r="F23">
        <v>0</v>
      </c>
      <c r="G23">
        <v>0</v>
      </c>
      <c r="H23">
        <v>0</v>
      </c>
      <c r="I23">
        <v>2.5399999999999999E-2</v>
      </c>
      <c r="J23">
        <f t="shared" si="0"/>
        <v>0.78740157480314954</v>
      </c>
      <c r="K23">
        <v>2.0000000000000001E-4</v>
      </c>
      <c r="L23" t="s">
        <v>17</v>
      </c>
      <c r="M23">
        <v>296</v>
      </c>
      <c r="N23" t="s">
        <v>201</v>
      </c>
      <c r="O23" t="s">
        <v>1054</v>
      </c>
    </row>
    <row r="24" spans="1:15" x14ac:dyDescent="0.2">
      <c r="A24" t="s">
        <v>190</v>
      </c>
      <c r="B24" t="s">
        <v>191</v>
      </c>
      <c r="C24">
        <v>2</v>
      </c>
      <c r="D24">
        <v>0</v>
      </c>
      <c r="E24">
        <v>2</v>
      </c>
      <c r="F24">
        <v>1</v>
      </c>
      <c r="G24">
        <v>0</v>
      </c>
      <c r="H24">
        <v>1</v>
      </c>
      <c r="I24">
        <v>2.3099999999999999E-2</v>
      </c>
      <c r="J24">
        <f t="shared" si="0"/>
        <v>0.4329004329004329</v>
      </c>
      <c r="K24">
        <v>1E-4</v>
      </c>
      <c r="L24" t="s">
        <v>17</v>
      </c>
      <c r="M24">
        <v>296</v>
      </c>
      <c r="N24" t="s">
        <v>201</v>
      </c>
      <c r="O24" t="s">
        <v>1055</v>
      </c>
    </row>
    <row r="25" spans="1:15" x14ac:dyDescent="0.2">
      <c r="A25" t="s">
        <v>190</v>
      </c>
      <c r="B25" t="s">
        <v>191</v>
      </c>
      <c r="C25">
        <v>1</v>
      </c>
      <c r="D25">
        <v>1</v>
      </c>
      <c r="E25">
        <v>0</v>
      </c>
      <c r="F25">
        <v>1</v>
      </c>
      <c r="G25">
        <v>1</v>
      </c>
      <c r="H25">
        <v>1</v>
      </c>
      <c r="I25">
        <v>2.5100000000000001E-2</v>
      </c>
      <c r="J25">
        <f t="shared" si="0"/>
        <v>1.1952191235059759</v>
      </c>
      <c r="K25">
        <v>2.9999999999999997E-4</v>
      </c>
      <c r="L25" t="s">
        <v>17</v>
      </c>
      <c r="M25">
        <v>296</v>
      </c>
      <c r="N25" t="s">
        <v>201</v>
      </c>
      <c r="O25" t="s">
        <v>1056</v>
      </c>
    </row>
    <row r="26" spans="1:15" x14ac:dyDescent="0.2">
      <c r="A26" t="s">
        <v>190</v>
      </c>
      <c r="B26" t="s">
        <v>191</v>
      </c>
      <c r="C26">
        <v>1</v>
      </c>
      <c r="D26">
        <v>1</v>
      </c>
      <c r="E26">
        <v>1</v>
      </c>
      <c r="F26">
        <v>1</v>
      </c>
      <c r="G26">
        <v>1</v>
      </c>
      <c r="H26">
        <v>0</v>
      </c>
      <c r="I26">
        <v>2.3900000000000001E-2</v>
      </c>
      <c r="J26">
        <f t="shared" si="0"/>
        <v>0.83682008368200833</v>
      </c>
      <c r="K26">
        <v>2.0000000000000001E-4</v>
      </c>
      <c r="L26" t="s">
        <v>17</v>
      </c>
      <c r="M26">
        <v>296</v>
      </c>
      <c r="N26" t="s">
        <v>201</v>
      </c>
      <c r="O26" t="s">
        <v>1056</v>
      </c>
    </row>
    <row r="27" spans="1:15" x14ac:dyDescent="0.2">
      <c r="A27" t="s">
        <v>190</v>
      </c>
      <c r="B27" t="s">
        <v>191</v>
      </c>
      <c r="C27">
        <v>2</v>
      </c>
      <c r="D27">
        <v>1</v>
      </c>
      <c r="E27">
        <v>1</v>
      </c>
      <c r="F27">
        <v>1</v>
      </c>
      <c r="G27">
        <v>1</v>
      </c>
      <c r="H27">
        <v>0</v>
      </c>
      <c r="I27">
        <v>2.3699999999999999E-2</v>
      </c>
      <c r="J27">
        <f t="shared" si="0"/>
        <v>0.84388185654008452</v>
      </c>
      <c r="K27">
        <v>2.0000000000000001E-4</v>
      </c>
      <c r="L27" t="s">
        <v>17</v>
      </c>
      <c r="M27">
        <v>296</v>
      </c>
      <c r="N27" t="s">
        <v>201</v>
      </c>
      <c r="O27" t="s">
        <v>1057</v>
      </c>
    </row>
    <row r="28" spans="1:15" x14ac:dyDescent="0.2">
      <c r="A28" t="s">
        <v>190</v>
      </c>
      <c r="B28" t="s">
        <v>191</v>
      </c>
      <c r="C28">
        <v>1</v>
      </c>
      <c r="D28">
        <v>0</v>
      </c>
      <c r="E28">
        <v>1</v>
      </c>
      <c r="F28">
        <v>2</v>
      </c>
      <c r="G28">
        <v>0</v>
      </c>
      <c r="H28">
        <v>2</v>
      </c>
      <c r="I28">
        <v>2.4299999999999999E-2</v>
      </c>
      <c r="J28">
        <f t="shared" si="0"/>
        <v>1.2345679012345678</v>
      </c>
      <c r="K28">
        <v>2.9999999999999997E-4</v>
      </c>
      <c r="L28" t="s">
        <v>17</v>
      </c>
      <c r="M28">
        <v>296</v>
      </c>
      <c r="N28" t="s">
        <v>201</v>
      </c>
      <c r="O28" t="s">
        <v>1058</v>
      </c>
    </row>
    <row r="29" spans="1:15" x14ac:dyDescent="0.2">
      <c r="A29" t="s">
        <v>190</v>
      </c>
      <c r="B29" t="s">
        <v>191</v>
      </c>
      <c r="C29">
        <v>2</v>
      </c>
      <c r="D29">
        <v>1</v>
      </c>
      <c r="E29">
        <v>1</v>
      </c>
      <c r="F29">
        <v>2</v>
      </c>
      <c r="G29">
        <v>1</v>
      </c>
      <c r="H29">
        <v>2</v>
      </c>
      <c r="I29">
        <v>2.52E-2</v>
      </c>
      <c r="J29">
        <f t="shared" si="0"/>
        <v>0.3968253968253968</v>
      </c>
      <c r="K29">
        <v>1E-4</v>
      </c>
      <c r="L29" t="s">
        <v>17</v>
      </c>
      <c r="M29">
        <v>296</v>
      </c>
      <c r="N29" t="s">
        <v>201</v>
      </c>
      <c r="O29" t="s">
        <v>1059</v>
      </c>
    </row>
    <row r="30" spans="1:15" x14ac:dyDescent="0.2">
      <c r="A30" t="s">
        <v>190</v>
      </c>
      <c r="B30" t="s">
        <v>191</v>
      </c>
      <c r="C30">
        <v>1</v>
      </c>
      <c r="D30">
        <v>1</v>
      </c>
      <c r="E30">
        <v>0</v>
      </c>
      <c r="F30">
        <v>2</v>
      </c>
      <c r="G30">
        <v>1</v>
      </c>
      <c r="H30">
        <v>1</v>
      </c>
      <c r="I30">
        <v>2.4400000000000002E-2</v>
      </c>
      <c r="J30">
        <f t="shared" si="0"/>
        <v>1.639344262295082</v>
      </c>
      <c r="K30">
        <v>4.0000000000000002E-4</v>
      </c>
      <c r="L30" t="s">
        <v>17</v>
      </c>
      <c r="M30">
        <v>296</v>
      </c>
      <c r="N30" t="s">
        <v>201</v>
      </c>
      <c r="O30" t="s">
        <v>1059</v>
      </c>
    </row>
    <row r="31" spans="1:15" x14ac:dyDescent="0.2">
      <c r="A31" t="s">
        <v>190</v>
      </c>
      <c r="B31" t="s">
        <v>191</v>
      </c>
      <c r="C31">
        <v>2</v>
      </c>
      <c r="D31">
        <v>1</v>
      </c>
      <c r="E31">
        <v>2</v>
      </c>
      <c r="F31">
        <v>2</v>
      </c>
      <c r="G31">
        <v>1</v>
      </c>
      <c r="H31">
        <v>1</v>
      </c>
      <c r="I31">
        <v>2.5100000000000001E-2</v>
      </c>
      <c r="J31">
        <f t="shared" si="0"/>
        <v>1.1952191235059759</v>
      </c>
      <c r="K31">
        <v>2.9999999999999997E-4</v>
      </c>
      <c r="L31" t="s">
        <v>17</v>
      </c>
      <c r="M31">
        <v>296</v>
      </c>
      <c r="N31" t="s">
        <v>201</v>
      </c>
      <c r="O31" t="s">
        <v>1059</v>
      </c>
    </row>
    <row r="32" spans="1:15" x14ac:dyDescent="0.2">
      <c r="A32" t="s">
        <v>190</v>
      </c>
      <c r="B32" t="s">
        <v>191</v>
      </c>
      <c r="C32">
        <v>3</v>
      </c>
      <c r="D32">
        <v>2</v>
      </c>
      <c r="E32">
        <v>2</v>
      </c>
      <c r="F32">
        <v>2</v>
      </c>
      <c r="G32">
        <v>2</v>
      </c>
      <c r="H32">
        <v>1</v>
      </c>
      <c r="I32">
        <v>2.3599999999999999E-2</v>
      </c>
      <c r="J32">
        <f t="shared" si="0"/>
        <v>1.271186440677966</v>
      </c>
      <c r="K32">
        <v>2.9999999999999997E-4</v>
      </c>
      <c r="L32" t="s">
        <v>17</v>
      </c>
      <c r="M32">
        <v>296</v>
      </c>
      <c r="N32" t="s">
        <v>201</v>
      </c>
      <c r="O32" t="s">
        <v>1059</v>
      </c>
    </row>
    <row r="33" spans="1:15" x14ac:dyDescent="0.2">
      <c r="A33" t="s">
        <v>190</v>
      </c>
      <c r="B33" t="s">
        <v>191</v>
      </c>
      <c r="C33">
        <v>2</v>
      </c>
      <c r="D33">
        <v>2</v>
      </c>
      <c r="E33">
        <v>1</v>
      </c>
      <c r="F33">
        <v>2</v>
      </c>
      <c r="G33">
        <v>2</v>
      </c>
      <c r="H33">
        <v>0</v>
      </c>
      <c r="I33">
        <v>2.3699999999999999E-2</v>
      </c>
      <c r="J33">
        <f t="shared" si="0"/>
        <v>1.2658227848101267</v>
      </c>
      <c r="K33">
        <v>2.9999999999999997E-4</v>
      </c>
      <c r="L33" t="s">
        <v>17</v>
      </c>
      <c r="M33">
        <v>296</v>
      </c>
      <c r="N33" t="s">
        <v>201</v>
      </c>
      <c r="O33" t="s">
        <v>1059</v>
      </c>
    </row>
    <row r="34" spans="1:15" x14ac:dyDescent="0.2">
      <c r="A34" t="s">
        <v>190</v>
      </c>
      <c r="B34" t="s">
        <v>191</v>
      </c>
      <c r="C34">
        <v>2</v>
      </c>
      <c r="D34">
        <v>0</v>
      </c>
      <c r="E34">
        <v>2</v>
      </c>
      <c r="F34">
        <v>3</v>
      </c>
      <c r="G34">
        <v>0</v>
      </c>
      <c r="H34">
        <v>3</v>
      </c>
      <c r="I34">
        <v>2.24E-2</v>
      </c>
      <c r="J34">
        <f t="shared" si="0"/>
        <v>0.89285714285714302</v>
      </c>
      <c r="K34">
        <v>2.0000000000000001E-4</v>
      </c>
      <c r="L34" t="s">
        <v>17</v>
      </c>
      <c r="M34">
        <v>296</v>
      </c>
      <c r="N34" t="s">
        <v>201</v>
      </c>
      <c r="O34" t="s">
        <v>1060</v>
      </c>
    </row>
    <row r="35" spans="1:15" x14ac:dyDescent="0.2">
      <c r="A35" t="s">
        <v>190</v>
      </c>
      <c r="B35" t="s">
        <v>191</v>
      </c>
      <c r="C35">
        <v>2</v>
      </c>
      <c r="D35">
        <v>1</v>
      </c>
      <c r="E35">
        <v>2</v>
      </c>
      <c r="F35">
        <v>3</v>
      </c>
      <c r="G35">
        <v>1</v>
      </c>
      <c r="H35">
        <v>3</v>
      </c>
      <c r="I35">
        <v>2.4E-2</v>
      </c>
      <c r="J35">
        <f t="shared" si="0"/>
        <v>1.25</v>
      </c>
      <c r="K35">
        <v>2.9999999999999997E-4</v>
      </c>
      <c r="L35" t="s">
        <v>17</v>
      </c>
      <c r="M35">
        <v>296</v>
      </c>
      <c r="N35" t="s">
        <v>201</v>
      </c>
      <c r="O35" t="s">
        <v>1059</v>
      </c>
    </row>
    <row r="36" spans="1:15" x14ac:dyDescent="0.2">
      <c r="A36" t="s">
        <v>190</v>
      </c>
      <c r="B36" t="s">
        <v>191</v>
      </c>
      <c r="C36">
        <v>4</v>
      </c>
      <c r="D36">
        <v>1</v>
      </c>
      <c r="E36">
        <v>4</v>
      </c>
      <c r="F36">
        <v>3</v>
      </c>
      <c r="G36">
        <v>1</v>
      </c>
      <c r="H36">
        <v>3</v>
      </c>
      <c r="I36">
        <v>2.3199999999999998E-2</v>
      </c>
      <c r="J36">
        <f t="shared" si="0"/>
        <v>1.2931034482758621</v>
      </c>
      <c r="K36">
        <v>2.9999999999999997E-4</v>
      </c>
      <c r="L36" t="s">
        <v>17</v>
      </c>
      <c r="M36">
        <v>296</v>
      </c>
      <c r="N36" t="s">
        <v>201</v>
      </c>
      <c r="O36" t="s">
        <v>1059</v>
      </c>
    </row>
    <row r="37" spans="1:15" x14ac:dyDescent="0.2">
      <c r="A37" t="s">
        <v>190</v>
      </c>
      <c r="B37" t="s">
        <v>191</v>
      </c>
      <c r="C37">
        <v>2</v>
      </c>
      <c r="D37">
        <v>1</v>
      </c>
      <c r="E37">
        <v>1</v>
      </c>
      <c r="F37">
        <v>3</v>
      </c>
      <c r="G37">
        <v>1</v>
      </c>
      <c r="H37">
        <v>2</v>
      </c>
      <c r="I37">
        <v>2.3099999999999999E-2</v>
      </c>
      <c r="J37">
        <f t="shared" si="0"/>
        <v>0.4329004329004329</v>
      </c>
      <c r="K37">
        <v>1E-4</v>
      </c>
      <c r="L37" t="s">
        <v>17</v>
      </c>
      <c r="M37">
        <v>296</v>
      </c>
      <c r="N37" t="s">
        <v>201</v>
      </c>
      <c r="O37" t="s">
        <v>1059</v>
      </c>
    </row>
    <row r="38" spans="1:15" x14ac:dyDescent="0.2">
      <c r="A38" t="s">
        <v>190</v>
      </c>
      <c r="B38" t="s">
        <v>191</v>
      </c>
      <c r="C38">
        <v>3</v>
      </c>
      <c r="D38">
        <v>1</v>
      </c>
      <c r="E38">
        <v>3</v>
      </c>
      <c r="F38">
        <v>3</v>
      </c>
      <c r="G38">
        <v>1</v>
      </c>
      <c r="H38">
        <v>2</v>
      </c>
      <c r="I38">
        <v>2.47E-2</v>
      </c>
      <c r="J38">
        <f t="shared" si="0"/>
        <v>1.214574898785425</v>
      </c>
      <c r="K38">
        <v>2.9999999999999997E-4</v>
      </c>
      <c r="L38" t="s">
        <v>17</v>
      </c>
      <c r="M38">
        <v>296</v>
      </c>
      <c r="N38" t="s">
        <v>201</v>
      </c>
      <c r="O38" t="s">
        <v>1059</v>
      </c>
    </row>
    <row r="39" spans="1:15" x14ac:dyDescent="0.2">
      <c r="A39" t="s">
        <v>190</v>
      </c>
      <c r="B39" t="s">
        <v>191</v>
      </c>
      <c r="C39">
        <v>4</v>
      </c>
      <c r="D39">
        <v>1</v>
      </c>
      <c r="E39">
        <v>3</v>
      </c>
      <c r="F39">
        <v>3</v>
      </c>
      <c r="G39">
        <v>1</v>
      </c>
      <c r="H39">
        <v>2</v>
      </c>
      <c r="I39">
        <v>2.3E-2</v>
      </c>
      <c r="J39">
        <f t="shared" si="0"/>
        <v>0.86956521739130432</v>
      </c>
      <c r="K39">
        <v>2.0000000000000001E-4</v>
      </c>
      <c r="L39" t="s">
        <v>17</v>
      </c>
      <c r="M39">
        <v>296</v>
      </c>
      <c r="N39" t="s">
        <v>201</v>
      </c>
      <c r="O39" t="s">
        <v>1059</v>
      </c>
    </row>
    <row r="40" spans="1:15" x14ac:dyDescent="0.2">
      <c r="A40" t="s">
        <v>190</v>
      </c>
      <c r="B40" t="s">
        <v>191</v>
      </c>
      <c r="C40">
        <v>3</v>
      </c>
      <c r="D40">
        <v>2</v>
      </c>
      <c r="E40">
        <v>1</v>
      </c>
      <c r="F40">
        <v>3</v>
      </c>
      <c r="G40">
        <v>2</v>
      </c>
      <c r="H40">
        <v>2</v>
      </c>
      <c r="I40">
        <v>2.3900000000000001E-2</v>
      </c>
      <c r="J40">
        <f t="shared" si="0"/>
        <v>0.83682008368200833</v>
      </c>
      <c r="K40">
        <v>2.0000000000000001E-4</v>
      </c>
      <c r="L40" t="s">
        <v>17</v>
      </c>
      <c r="M40">
        <v>296</v>
      </c>
      <c r="N40" t="s">
        <v>201</v>
      </c>
      <c r="O40" t="s">
        <v>1059</v>
      </c>
    </row>
    <row r="41" spans="1:15" x14ac:dyDescent="0.2">
      <c r="A41" t="s">
        <v>190</v>
      </c>
      <c r="B41" t="s">
        <v>191</v>
      </c>
      <c r="C41">
        <v>2</v>
      </c>
      <c r="D41">
        <v>2</v>
      </c>
      <c r="E41">
        <v>0</v>
      </c>
      <c r="F41">
        <v>3</v>
      </c>
      <c r="G41">
        <v>2</v>
      </c>
      <c r="H41">
        <v>1</v>
      </c>
      <c r="I41">
        <v>2.3E-2</v>
      </c>
      <c r="J41">
        <f t="shared" si="0"/>
        <v>0.86956521739130432</v>
      </c>
      <c r="K41">
        <v>2.0000000000000001E-4</v>
      </c>
      <c r="L41" t="s">
        <v>17</v>
      </c>
      <c r="M41">
        <v>296</v>
      </c>
      <c r="N41" t="s">
        <v>201</v>
      </c>
      <c r="O41" t="s">
        <v>1059</v>
      </c>
    </row>
    <row r="42" spans="1:15" x14ac:dyDescent="0.2">
      <c r="A42" t="s">
        <v>190</v>
      </c>
      <c r="B42" t="s">
        <v>191</v>
      </c>
      <c r="C42">
        <v>3</v>
      </c>
      <c r="D42">
        <v>2</v>
      </c>
      <c r="E42">
        <v>2</v>
      </c>
      <c r="F42">
        <v>3</v>
      </c>
      <c r="G42">
        <v>2</v>
      </c>
      <c r="H42">
        <v>1</v>
      </c>
      <c r="I42">
        <v>2.3199999999999998E-2</v>
      </c>
      <c r="J42">
        <f t="shared" si="0"/>
        <v>0.86206896551724155</v>
      </c>
      <c r="K42">
        <v>2.0000000000000001E-4</v>
      </c>
      <c r="L42" t="s">
        <v>17</v>
      </c>
      <c r="M42">
        <v>296</v>
      </c>
      <c r="N42" t="s">
        <v>201</v>
      </c>
      <c r="O42" t="s">
        <v>1059</v>
      </c>
    </row>
    <row r="43" spans="1:15" x14ac:dyDescent="0.2">
      <c r="A43" t="s">
        <v>190</v>
      </c>
      <c r="B43" t="s">
        <v>191</v>
      </c>
      <c r="C43">
        <v>4</v>
      </c>
      <c r="D43">
        <v>2</v>
      </c>
      <c r="E43">
        <v>2</v>
      </c>
      <c r="F43">
        <v>3</v>
      </c>
      <c r="G43">
        <v>2</v>
      </c>
      <c r="H43">
        <v>1</v>
      </c>
      <c r="I43">
        <v>2.3E-2</v>
      </c>
      <c r="J43">
        <f t="shared" si="0"/>
        <v>0.43478260869565216</v>
      </c>
      <c r="K43">
        <v>1E-4</v>
      </c>
      <c r="L43" t="s">
        <v>17</v>
      </c>
      <c r="M43">
        <v>296</v>
      </c>
      <c r="N43" t="s">
        <v>201</v>
      </c>
      <c r="O43" t="s">
        <v>1059</v>
      </c>
    </row>
    <row r="44" spans="1:15" x14ac:dyDescent="0.2">
      <c r="A44" t="s">
        <v>190</v>
      </c>
      <c r="B44" t="s">
        <v>191</v>
      </c>
      <c r="C44">
        <v>4</v>
      </c>
      <c r="D44">
        <v>3</v>
      </c>
      <c r="E44">
        <v>1</v>
      </c>
      <c r="F44">
        <v>3</v>
      </c>
      <c r="G44">
        <v>3</v>
      </c>
      <c r="H44">
        <v>0</v>
      </c>
      <c r="I44">
        <v>2.1700000000000001E-2</v>
      </c>
      <c r="J44">
        <f t="shared" si="0"/>
        <v>0.92165898617511521</v>
      </c>
      <c r="K44">
        <v>2.0000000000000001E-4</v>
      </c>
      <c r="L44" t="s">
        <v>17</v>
      </c>
      <c r="M44">
        <v>296</v>
      </c>
      <c r="N44" t="s">
        <v>201</v>
      </c>
      <c r="O44" t="s">
        <v>1059</v>
      </c>
    </row>
    <row r="45" spans="1:15" x14ac:dyDescent="0.2">
      <c r="A45" t="s">
        <v>190</v>
      </c>
      <c r="B45" t="s">
        <v>191</v>
      </c>
      <c r="C45">
        <v>3</v>
      </c>
      <c r="D45">
        <v>0</v>
      </c>
      <c r="E45">
        <v>3</v>
      </c>
      <c r="F45">
        <v>4</v>
      </c>
      <c r="G45">
        <v>0</v>
      </c>
      <c r="H45">
        <v>4</v>
      </c>
      <c r="I45">
        <v>2.3400000000000001E-2</v>
      </c>
      <c r="J45">
        <f t="shared" si="0"/>
        <v>0.85470085470085477</v>
      </c>
      <c r="K45">
        <v>2.0000000000000001E-4</v>
      </c>
      <c r="L45" t="s">
        <v>17</v>
      </c>
      <c r="M45">
        <v>296</v>
      </c>
      <c r="N45" t="s">
        <v>201</v>
      </c>
      <c r="O45" t="s">
        <v>1060</v>
      </c>
    </row>
    <row r="46" spans="1:15" x14ac:dyDescent="0.2">
      <c r="A46" t="s">
        <v>190</v>
      </c>
      <c r="B46" t="s">
        <v>191</v>
      </c>
      <c r="C46">
        <v>5</v>
      </c>
      <c r="D46">
        <v>0</v>
      </c>
      <c r="E46">
        <v>5</v>
      </c>
      <c r="F46">
        <v>4</v>
      </c>
      <c r="G46">
        <v>0</v>
      </c>
      <c r="H46">
        <v>4</v>
      </c>
      <c r="I46">
        <v>2.23E-2</v>
      </c>
      <c r="J46">
        <f t="shared" si="0"/>
        <v>1.3452914798206277</v>
      </c>
      <c r="K46">
        <v>2.9999999999999997E-4</v>
      </c>
      <c r="L46" t="s">
        <v>17</v>
      </c>
      <c r="M46">
        <v>296</v>
      </c>
      <c r="N46" t="s">
        <v>201</v>
      </c>
      <c r="O46" t="s">
        <v>1061</v>
      </c>
    </row>
    <row r="47" spans="1:15" x14ac:dyDescent="0.2">
      <c r="A47" t="s">
        <v>190</v>
      </c>
      <c r="B47" t="s">
        <v>191</v>
      </c>
      <c r="C47">
        <v>3</v>
      </c>
      <c r="D47">
        <v>1</v>
      </c>
      <c r="E47">
        <v>3</v>
      </c>
      <c r="F47">
        <v>4</v>
      </c>
      <c r="G47">
        <v>1</v>
      </c>
      <c r="H47">
        <v>4</v>
      </c>
      <c r="I47">
        <v>2.24E-2</v>
      </c>
      <c r="J47">
        <f t="shared" si="0"/>
        <v>0.44642857142857151</v>
      </c>
      <c r="K47">
        <v>1E-4</v>
      </c>
      <c r="L47" t="s">
        <v>17</v>
      </c>
      <c r="M47">
        <v>296</v>
      </c>
      <c r="N47" t="s">
        <v>201</v>
      </c>
      <c r="O47" t="s">
        <v>1059</v>
      </c>
    </row>
    <row r="48" spans="1:15" x14ac:dyDescent="0.2">
      <c r="A48" t="s">
        <v>190</v>
      </c>
      <c r="B48" t="s">
        <v>191</v>
      </c>
      <c r="C48">
        <v>5</v>
      </c>
      <c r="D48">
        <v>1</v>
      </c>
      <c r="E48">
        <v>5</v>
      </c>
      <c r="F48">
        <v>4</v>
      </c>
      <c r="G48">
        <v>1</v>
      </c>
      <c r="H48">
        <v>4</v>
      </c>
      <c r="I48">
        <v>2.12E-2</v>
      </c>
      <c r="J48">
        <f t="shared" si="0"/>
        <v>0.47169811320754718</v>
      </c>
      <c r="K48">
        <v>1E-4</v>
      </c>
      <c r="L48" t="s">
        <v>17</v>
      </c>
      <c r="M48">
        <v>296</v>
      </c>
      <c r="N48" t="s">
        <v>201</v>
      </c>
      <c r="O48" t="s">
        <v>1062</v>
      </c>
    </row>
    <row r="49" spans="1:15" x14ac:dyDescent="0.2">
      <c r="A49" t="s">
        <v>190</v>
      </c>
      <c r="B49" t="s">
        <v>191</v>
      </c>
      <c r="C49">
        <v>3</v>
      </c>
      <c r="D49">
        <v>1</v>
      </c>
      <c r="E49">
        <v>2</v>
      </c>
      <c r="F49">
        <v>4</v>
      </c>
      <c r="G49">
        <v>1</v>
      </c>
      <c r="H49">
        <v>3</v>
      </c>
      <c r="I49">
        <v>2.3699999999999999E-2</v>
      </c>
      <c r="J49">
        <f t="shared" si="0"/>
        <v>1.2658227848101267</v>
      </c>
      <c r="K49">
        <v>2.9999999999999997E-4</v>
      </c>
      <c r="L49" t="s">
        <v>17</v>
      </c>
      <c r="M49">
        <v>296</v>
      </c>
      <c r="N49" t="s">
        <v>201</v>
      </c>
      <c r="O49" t="s">
        <v>1059</v>
      </c>
    </row>
    <row r="50" spans="1:15" x14ac:dyDescent="0.2">
      <c r="A50" t="s">
        <v>190</v>
      </c>
      <c r="B50" t="s">
        <v>191</v>
      </c>
      <c r="C50">
        <v>3</v>
      </c>
      <c r="D50">
        <v>2</v>
      </c>
      <c r="E50">
        <v>2</v>
      </c>
      <c r="F50">
        <v>4</v>
      </c>
      <c r="G50">
        <v>2</v>
      </c>
      <c r="H50">
        <v>3</v>
      </c>
      <c r="I50">
        <v>2.3300000000000001E-2</v>
      </c>
      <c r="J50">
        <f t="shared" si="0"/>
        <v>1.2875536480686693</v>
      </c>
      <c r="K50">
        <v>2.9999999999999997E-4</v>
      </c>
      <c r="L50" t="s">
        <v>17</v>
      </c>
      <c r="M50">
        <v>296</v>
      </c>
      <c r="N50" t="s">
        <v>201</v>
      </c>
      <c r="O50" t="s">
        <v>1059</v>
      </c>
    </row>
    <row r="51" spans="1:15" x14ac:dyDescent="0.2">
      <c r="A51" t="s">
        <v>190</v>
      </c>
      <c r="B51" t="s">
        <v>191</v>
      </c>
      <c r="C51">
        <v>4</v>
      </c>
      <c r="D51">
        <v>2</v>
      </c>
      <c r="E51">
        <v>2</v>
      </c>
      <c r="F51">
        <v>4</v>
      </c>
      <c r="G51">
        <v>2</v>
      </c>
      <c r="H51">
        <v>3</v>
      </c>
      <c r="I51">
        <v>2.3800000000000002E-2</v>
      </c>
      <c r="J51">
        <f t="shared" si="0"/>
        <v>1.2605042016806722</v>
      </c>
      <c r="K51">
        <v>2.9999999999999997E-4</v>
      </c>
      <c r="L51" t="s">
        <v>17</v>
      </c>
      <c r="M51">
        <v>296</v>
      </c>
      <c r="N51" t="s">
        <v>201</v>
      </c>
      <c r="O51" t="s">
        <v>1059</v>
      </c>
    </row>
    <row r="52" spans="1:15" x14ac:dyDescent="0.2">
      <c r="A52" t="s">
        <v>190</v>
      </c>
      <c r="B52" t="s">
        <v>191</v>
      </c>
      <c r="C52">
        <v>5</v>
      </c>
      <c r="D52">
        <v>2</v>
      </c>
      <c r="E52">
        <v>4</v>
      </c>
      <c r="F52">
        <v>4</v>
      </c>
      <c r="G52">
        <v>2</v>
      </c>
      <c r="H52">
        <v>3</v>
      </c>
      <c r="I52">
        <v>2.2700000000000001E-2</v>
      </c>
      <c r="J52">
        <f t="shared" si="0"/>
        <v>1.7621145374449338</v>
      </c>
      <c r="K52">
        <v>4.0000000000000002E-4</v>
      </c>
      <c r="L52" t="s">
        <v>17</v>
      </c>
      <c r="M52">
        <v>296</v>
      </c>
      <c r="N52" t="s">
        <v>201</v>
      </c>
      <c r="O52" t="s">
        <v>1059</v>
      </c>
    </row>
    <row r="53" spans="1:15" x14ac:dyDescent="0.2">
      <c r="A53" t="s">
        <v>190</v>
      </c>
      <c r="B53" t="s">
        <v>191</v>
      </c>
      <c r="C53">
        <v>3</v>
      </c>
      <c r="D53">
        <v>2</v>
      </c>
      <c r="E53">
        <v>1</v>
      </c>
      <c r="F53">
        <v>4</v>
      </c>
      <c r="G53">
        <v>2</v>
      </c>
      <c r="H53">
        <v>2</v>
      </c>
      <c r="I53">
        <v>2.3199999999999998E-2</v>
      </c>
      <c r="J53">
        <f t="shared" si="0"/>
        <v>1.2931034482758621</v>
      </c>
      <c r="K53">
        <v>2.9999999999999997E-4</v>
      </c>
      <c r="L53" t="s">
        <v>17</v>
      </c>
      <c r="M53">
        <v>296</v>
      </c>
      <c r="N53" t="s">
        <v>201</v>
      </c>
      <c r="O53" t="s">
        <v>1059</v>
      </c>
    </row>
    <row r="54" spans="1:15" x14ac:dyDescent="0.2">
      <c r="A54" t="s">
        <v>190</v>
      </c>
      <c r="B54" t="s">
        <v>191</v>
      </c>
      <c r="C54">
        <v>4</v>
      </c>
      <c r="D54">
        <v>3</v>
      </c>
      <c r="E54">
        <v>1</v>
      </c>
      <c r="F54">
        <v>4</v>
      </c>
      <c r="G54">
        <v>3</v>
      </c>
      <c r="H54">
        <v>2</v>
      </c>
      <c r="I54">
        <v>2.12E-2</v>
      </c>
      <c r="J54">
        <f t="shared" si="0"/>
        <v>1.4150943396226414</v>
      </c>
      <c r="K54">
        <v>2.9999999999999997E-4</v>
      </c>
      <c r="L54" t="s">
        <v>17</v>
      </c>
      <c r="M54">
        <v>296</v>
      </c>
      <c r="N54" t="s">
        <v>201</v>
      </c>
      <c r="O54" t="s">
        <v>1059</v>
      </c>
    </row>
    <row r="55" spans="1:15" x14ac:dyDescent="0.2">
      <c r="A55" t="s">
        <v>190</v>
      </c>
      <c r="B55" t="s">
        <v>191</v>
      </c>
      <c r="C55">
        <v>5</v>
      </c>
      <c r="D55">
        <v>3</v>
      </c>
      <c r="E55">
        <v>3</v>
      </c>
      <c r="F55">
        <v>4</v>
      </c>
      <c r="G55">
        <v>3</v>
      </c>
      <c r="H55">
        <v>2</v>
      </c>
      <c r="I55">
        <v>2.1499999999999998E-2</v>
      </c>
      <c r="J55">
        <f t="shared" si="0"/>
        <v>1.8604651162790702</v>
      </c>
      <c r="K55">
        <v>4.0000000000000002E-4</v>
      </c>
      <c r="L55" t="s">
        <v>17</v>
      </c>
      <c r="M55">
        <v>296</v>
      </c>
      <c r="N55" t="s">
        <v>201</v>
      </c>
      <c r="O55" t="s">
        <v>1059</v>
      </c>
    </row>
    <row r="56" spans="1:15" x14ac:dyDescent="0.2">
      <c r="A56" t="s">
        <v>190</v>
      </c>
      <c r="B56" t="s">
        <v>191</v>
      </c>
      <c r="C56">
        <v>4</v>
      </c>
      <c r="D56">
        <v>3</v>
      </c>
      <c r="E56">
        <v>2</v>
      </c>
      <c r="F56">
        <v>4</v>
      </c>
      <c r="G56">
        <v>3</v>
      </c>
      <c r="H56">
        <v>1</v>
      </c>
      <c r="I56">
        <v>2.1399999999999999E-2</v>
      </c>
      <c r="J56">
        <f t="shared" si="0"/>
        <v>1.4018691588785046</v>
      </c>
      <c r="K56">
        <v>2.9999999999999997E-4</v>
      </c>
      <c r="L56" t="s">
        <v>17</v>
      </c>
      <c r="M56">
        <v>296</v>
      </c>
      <c r="N56" t="s">
        <v>201</v>
      </c>
      <c r="O56" t="s">
        <v>1059</v>
      </c>
    </row>
    <row r="57" spans="1:15" x14ac:dyDescent="0.2">
      <c r="A57" t="s">
        <v>190</v>
      </c>
      <c r="B57" t="s">
        <v>191</v>
      </c>
      <c r="C57">
        <v>4</v>
      </c>
      <c r="D57">
        <v>0</v>
      </c>
      <c r="E57">
        <v>4</v>
      </c>
      <c r="F57">
        <v>5</v>
      </c>
      <c r="G57">
        <v>0</v>
      </c>
      <c r="H57">
        <v>5</v>
      </c>
      <c r="I57">
        <v>2.1899999999999999E-2</v>
      </c>
      <c r="J57">
        <f t="shared" si="0"/>
        <v>0.91324200913242026</v>
      </c>
      <c r="K57">
        <v>2.0000000000000001E-4</v>
      </c>
      <c r="L57" t="s">
        <v>17</v>
      </c>
      <c r="M57">
        <v>296</v>
      </c>
      <c r="N57" t="s">
        <v>201</v>
      </c>
      <c r="O57" t="s">
        <v>1063</v>
      </c>
    </row>
    <row r="58" spans="1:15" x14ac:dyDescent="0.2">
      <c r="A58" t="s">
        <v>190</v>
      </c>
      <c r="B58" t="s">
        <v>191</v>
      </c>
      <c r="C58">
        <v>6</v>
      </c>
      <c r="D58">
        <v>1</v>
      </c>
      <c r="E58">
        <v>6</v>
      </c>
      <c r="F58">
        <v>5</v>
      </c>
      <c r="G58">
        <v>1</v>
      </c>
      <c r="H58">
        <v>5</v>
      </c>
      <c r="I58">
        <v>2.1299999999999999E-2</v>
      </c>
      <c r="J58">
        <f t="shared" si="0"/>
        <v>1.408450704225352</v>
      </c>
      <c r="K58">
        <v>2.9999999999999997E-4</v>
      </c>
      <c r="L58" t="s">
        <v>17</v>
      </c>
      <c r="M58">
        <v>296</v>
      </c>
      <c r="N58" t="s">
        <v>201</v>
      </c>
      <c r="O58" t="s">
        <v>1062</v>
      </c>
    </row>
    <row r="59" spans="1:15" x14ac:dyDescent="0.2">
      <c r="A59" t="s">
        <v>190</v>
      </c>
      <c r="B59" t="s">
        <v>191</v>
      </c>
      <c r="C59">
        <v>4</v>
      </c>
      <c r="D59">
        <v>1</v>
      </c>
      <c r="E59">
        <v>3</v>
      </c>
      <c r="F59">
        <v>5</v>
      </c>
      <c r="G59">
        <v>1</v>
      </c>
      <c r="H59">
        <v>4</v>
      </c>
      <c r="I59">
        <v>2.3599999999999999E-2</v>
      </c>
      <c r="J59">
        <f t="shared" si="0"/>
        <v>1.271186440677966</v>
      </c>
      <c r="K59">
        <v>2.9999999999999997E-4</v>
      </c>
      <c r="L59" t="s">
        <v>17</v>
      </c>
      <c r="M59">
        <v>296</v>
      </c>
      <c r="N59" t="s">
        <v>201</v>
      </c>
      <c r="O59" t="s">
        <v>1059</v>
      </c>
    </row>
    <row r="60" spans="1:15" x14ac:dyDescent="0.2">
      <c r="A60" t="s">
        <v>190</v>
      </c>
      <c r="B60" t="s">
        <v>191</v>
      </c>
      <c r="C60">
        <v>6</v>
      </c>
      <c r="D60">
        <v>1</v>
      </c>
      <c r="E60">
        <v>5</v>
      </c>
      <c r="F60">
        <v>5</v>
      </c>
      <c r="G60">
        <v>1</v>
      </c>
      <c r="H60">
        <v>4</v>
      </c>
      <c r="I60">
        <v>2.24E-2</v>
      </c>
      <c r="J60">
        <f t="shared" si="0"/>
        <v>0.89285714285714302</v>
      </c>
      <c r="K60">
        <v>2.0000000000000001E-4</v>
      </c>
      <c r="L60" t="s">
        <v>17</v>
      </c>
      <c r="M60">
        <v>296</v>
      </c>
      <c r="N60" t="s">
        <v>201</v>
      </c>
      <c r="O60" t="s">
        <v>1064</v>
      </c>
    </row>
    <row r="61" spans="1:15" x14ac:dyDescent="0.2">
      <c r="A61" t="s">
        <v>190</v>
      </c>
      <c r="B61" t="s">
        <v>191</v>
      </c>
      <c r="C61">
        <v>4</v>
      </c>
      <c r="D61">
        <v>2</v>
      </c>
      <c r="E61">
        <v>3</v>
      </c>
      <c r="F61">
        <v>5</v>
      </c>
      <c r="G61">
        <v>2</v>
      </c>
      <c r="H61">
        <v>4</v>
      </c>
      <c r="I61">
        <v>2.3300000000000001E-2</v>
      </c>
      <c r="J61">
        <f t="shared" si="0"/>
        <v>0.85836909871244638</v>
      </c>
      <c r="K61">
        <v>2.0000000000000001E-4</v>
      </c>
      <c r="L61" t="s">
        <v>17</v>
      </c>
      <c r="M61">
        <v>296</v>
      </c>
      <c r="N61" t="s">
        <v>201</v>
      </c>
      <c r="O61" t="s">
        <v>1059</v>
      </c>
    </row>
    <row r="62" spans="1:15" x14ac:dyDescent="0.2">
      <c r="A62" t="s">
        <v>190</v>
      </c>
      <c r="B62" t="s">
        <v>191</v>
      </c>
      <c r="C62">
        <v>4</v>
      </c>
      <c r="D62">
        <v>2</v>
      </c>
      <c r="E62">
        <v>2</v>
      </c>
      <c r="F62">
        <v>5</v>
      </c>
      <c r="G62">
        <v>2</v>
      </c>
      <c r="H62">
        <v>3</v>
      </c>
      <c r="I62">
        <v>2.3099999999999999E-2</v>
      </c>
      <c r="J62">
        <f t="shared" si="0"/>
        <v>0.86580086580086579</v>
      </c>
      <c r="K62">
        <v>2.0000000000000001E-4</v>
      </c>
      <c r="L62" t="s">
        <v>17</v>
      </c>
      <c r="M62">
        <v>296</v>
      </c>
      <c r="N62" t="s">
        <v>201</v>
      </c>
      <c r="O62" t="s">
        <v>1059</v>
      </c>
    </row>
    <row r="63" spans="1:15" x14ac:dyDescent="0.2">
      <c r="A63" t="s">
        <v>190</v>
      </c>
      <c r="B63" t="s">
        <v>191</v>
      </c>
      <c r="C63">
        <v>6</v>
      </c>
      <c r="D63">
        <v>2</v>
      </c>
      <c r="E63">
        <v>4</v>
      </c>
      <c r="F63">
        <v>5</v>
      </c>
      <c r="G63">
        <v>2</v>
      </c>
      <c r="H63">
        <v>3</v>
      </c>
      <c r="I63">
        <v>2.3400000000000001E-2</v>
      </c>
      <c r="J63">
        <f t="shared" si="0"/>
        <v>0.85470085470085477</v>
      </c>
      <c r="K63">
        <v>2.0000000000000001E-4</v>
      </c>
      <c r="L63" t="s">
        <v>17</v>
      </c>
      <c r="M63">
        <v>296</v>
      </c>
      <c r="N63" t="s">
        <v>201</v>
      </c>
      <c r="O63" t="s">
        <v>1059</v>
      </c>
    </row>
    <row r="64" spans="1:15" x14ac:dyDescent="0.2">
      <c r="A64" t="s">
        <v>190</v>
      </c>
      <c r="B64" t="s">
        <v>191</v>
      </c>
      <c r="C64">
        <v>4</v>
      </c>
      <c r="D64">
        <v>3</v>
      </c>
      <c r="E64">
        <v>1</v>
      </c>
      <c r="F64">
        <v>5</v>
      </c>
      <c r="G64">
        <v>3</v>
      </c>
      <c r="H64">
        <v>2</v>
      </c>
      <c r="I64">
        <v>2.1700000000000001E-2</v>
      </c>
      <c r="J64">
        <f t="shared" si="0"/>
        <v>0.92165898617511521</v>
      </c>
      <c r="K64">
        <v>2.0000000000000001E-4</v>
      </c>
      <c r="L64" t="s">
        <v>17</v>
      </c>
      <c r="M64">
        <v>296</v>
      </c>
      <c r="N64" t="s">
        <v>201</v>
      </c>
      <c r="O64" t="s">
        <v>1059</v>
      </c>
    </row>
    <row r="65" spans="1:15" x14ac:dyDescent="0.2">
      <c r="A65" t="s">
        <v>190</v>
      </c>
      <c r="B65" t="s">
        <v>191</v>
      </c>
      <c r="C65">
        <v>5</v>
      </c>
      <c r="D65">
        <v>3</v>
      </c>
      <c r="E65">
        <v>3</v>
      </c>
      <c r="F65">
        <v>5</v>
      </c>
      <c r="G65">
        <v>3</v>
      </c>
      <c r="H65">
        <v>2</v>
      </c>
      <c r="I65">
        <v>2.1899999999999999E-2</v>
      </c>
      <c r="J65">
        <f t="shared" si="0"/>
        <v>1.3698630136986301</v>
      </c>
      <c r="K65">
        <v>2.9999999999999997E-4</v>
      </c>
      <c r="L65" t="s">
        <v>17</v>
      </c>
      <c r="M65">
        <v>296</v>
      </c>
      <c r="N65" t="s">
        <v>201</v>
      </c>
      <c r="O65" t="s">
        <v>1059</v>
      </c>
    </row>
    <row r="66" spans="1:15" x14ac:dyDescent="0.2">
      <c r="A66" t="s">
        <v>190</v>
      </c>
      <c r="B66" t="s">
        <v>191</v>
      </c>
      <c r="C66">
        <v>6</v>
      </c>
      <c r="D66">
        <v>3</v>
      </c>
      <c r="E66">
        <v>3</v>
      </c>
      <c r="F66">
        <v>5</v>
      </c>
      <c r="G66">
        <v>3</v>
      </c>
      <c r="H66">
        <v>2</v>
      </c>
      <c r="I66">
        <v>2.2599999999999999E-2</v>
      </c>
      <c r="J66">
        <f t="shared" si="0"/>
        <v>0.88495575221238953</v>
      </c>
      <c r="K66">
        <v>2.0000000000000001E-4</v>
      </c>
      <c r="L66" t="s">
        <v>17</v>
      </c>
      <c r="M66">
        <v>296</v>
      </c>
      <c r="N66" t="s">
        <v>201</v>
      </c>
      <c r="O66" t="s">
        <v>1059</v>
      </c>
    </row>
    <row r="67" spans="1:15" x14ac:dyDescent="0.2">
      <c r="A67" t="s">
        <v>190</v>
      </c>
      <c r="B67" t="s">
        <v>191</v>
      </c>
      <c r="C67">
        <v>7</v>
      </c>
      <c r="D67">
        <v>0</v>
      </c>
      <c r="E67">
        <v>7</v>
      </c>
      <c r="F67">
        <v>6</v>
      </c>
      <c r="G67">
        <v>0</v>
      </c>
      <c r="H67">
        <v>6</v>
      </c>
      <c r="I67">
        <v>0.02</v>
      </c>
      <c r="J67">
        <f t="shared" ref="J67:J77" si="1">K67/I67*100</f>
        <v>1.4999999999999998</v>
      </c>
      <c r="K67">
        <v>2.9999999999999997E-4</v>
      </c>
      <c r="L67" t="s">
        <v>17</v>
      </c>
      <c r="M67">
        <v>296</v>
      </c>
      <c r="N67" t="s">
        <v>201</v>
      </c>
      <c r="O67" t="s">
        <v>1065</v>
      </c>
    </row>
    <row r="68" spans="1:15" x14ac:dyDescent="0.2">
      <c r="A68" t="s">
        <v>190</v>
      </c>
      <c r="B68" t="s">
        <v>191</v>
      </c>
      <c r="C68">
        <v>7</v>
      </c>
      <c r="D68">
        <v>1</v>
      </c>
      <c r="E68">
        <v>6</v>
      </c>
      <c r="F68">
        <v>6</v>
      </c>
      <c r="G68">
        <v>1</v>
      </c>
      <c r="H68">
        <v>5</v>
      </c>
      <c r="I68">
        <v>2.1999999999999999E-2</v>
      </c>
      <c r="J68">
        <f t="shared" si="1"/>
        <v>0.90909090909090917</v>
      </c>
      <c r="K68">
        <v>2.0000000000000001E-4</v>
      </c>
      <c r="L68" t="s">
        <v>17</v>
      </c>
      <c r="M68">
        <v>296</v>
      </c>
      <c r="N68" t="s">
        <v>201</v>
      </c>
      <c r="O68" t="s">
        <v>1059</v>
      </c>
    </row>
    <row r="69" spans="1:15" x14ac:dyDescent="0.2">
      <c r="A69" t="s">
        <v>190</v>
      </c>
      <c r="B69" t="s">
        <v>191</v>
      </c>
      <c r="C69">
        <v>5</v>
      </c>
      <c r="D69">
        <v>2</v>
      </c>
      <c r="E69">
        <v>4</v>
      </c>
      <c r="F69">
        <v>6</v>
      </c>
      <c r="G69">
        <v>2</v>
      </c>
      <c r="H69">
        <v>5</v>
      </c>
      <c r="I69">
        <v>2.24E-2</v>
      </c>
      <c r="J69">
        <f t="shared" si="1"/>
        <v>0.89285714285714302</v>
      </c>
      <c r="K69">
        <v>2.0000000000000001E-4</v>
      </c>
      <c r="L69" t="s">
        <v>17</v>
      </c>
      <c r="M69">
        <v>296</v>
      </c>
      <c r="N69" t="s">
        <v>201</v>
      </c>
      <c r="O69" t="s">
        <v>1059</v>
      </c>
    </row>
    <row r="70" spans="1:15" x14ac:dyDescent="0.2">
      <c r="A70" t="s">
        <v>190</v>
      </c>
      <c r="B70" t="s">
        <v>191</v>
      </c>
      <c r="C70">
        <v>7</v>
      </c>
      <c r="D70">
        <v>2</v>
      </c>
      <c r="E70">
        <v>6</v>
      </c>
      <c r="F70">
        <v>6</v>
      </c>
      <c r="G70">
        <v>2</v>
      </c>
      <c r="H70">
        <v>5</v>
      </c>
      <c r="I70">
        <v>2.1899999999999999E-2</v>
      </c>
      <c r="J70">
        <f t="shared" si="1"/>
        <v>1.3698630136986301</v>
      </c>
      <c r="K70">
        <v>2.9999999999999997E-4</v>
      </c>
      <c r="L70" t="s">
        <v>17</v>
      </c>
      <c r="M70">
        <v>296</v>
      </c>
      <c r="N70" t="s">
        <v>201</v>
      </c>
      <c r="O70" t="s">
        <v>1059</v>
      </c>
    </row>
    <row r="71" spans="1:15" x14ac:dyDescent="0.2">
      <c r="A71" t="s">
        <v>190</v>
      </c>
      <c r="B71" t="s">
        <v>191</v>
      </c>
      <c r="C71">
        <v>5</v>
      </c>
      <c r="D71">
        <v>3</v>
      </c>
      <c r="E71">
        <v>3</v>
      </c>
      <c r="F71">
        <v>6</v>
      </c>
      <c r="G71">
        <v>3</v>
      </c>
      <c r="H71">
        <v>4</v>
      </c>
      <c r="I71">
        <v>2.1700000000000001E-2</v>
      </c>
      <c r="J71">
        <f t="shared" si="1"/>
        <v>2.3041474654377883</v>
      </c>
      <c r="K71">
        <v>5.0000000000000001E-4</v>
      </c>
      <c r="L71" t="s">
        <v>17</v>
      </c>
      <c r="M71">
        <v>296</v>
      </c>
      <c r="N71" t="s">
        <v>201</v>
      </c>
      <c r="O71" t="s">
        <v>1059</v>
      </c>
    </row>
    <row r="72" spans="1:15" x14ac:dyDescent="0.2">
      <c r="A72" t="s">
        <v>190</v>
      </c>
      <c r="B72" t="s">
        <v>191</v>
      </c>
      <c r="C72">
        <v>6</v>
      </c>
      <c r="D72">
        <v>5</v>
      </c>
      <c r="E72">
        <v>1</v>
      </c>
      <c r="F72">
        <v>6</v>
      </c>
      <c r="G72">
        <v>5</v>
      </c>
      <c r="H72">
        <v>2</v>
      </c>
      <c r="I72">
        <v>1.77E-2</v>
      </c>
      <c r="J72">
        <f t="shared" si="1"/>
        <v>1.1299435028248588</v>
      </c>
      <c r="K72">
        <v>2.0000000000000001E-4</v>
      </c>
      <c r="L72" t="s">
        <v>17</v>
      </c>
      <c r="M72">
        <v>296</v>
      </c>
      <c r="N72" t="s">
        <v>201</v>
      </c>
      <c r="O72" t="s">
        <v>1059</v>
      </c>
    </row>
    <row r="73" spans="1:15" x14ac:dyDescent="0.2">
      <c r="A73" t="s">
        <v>190</v>
      </c>
      <c r="B73" t="s">
        <v>191</v>
      </c>
      <c r="C73">
        <v>8</v>
      </c>
      <c r="D73">
        <v>0</v>
      </c>
      <c r="E73">
        <v>8</v>
      </c>
      <c r="F73">
        <v>7</v>
      </c>
      <c r="G73">
        <v>0</v>
      </c>
      <c r="H73">
        <v>7</v>
      </c>
      <c r="I73">
        <v>1.8700000000000001E-2</v>
      </c>
      <c r="J73">
        <f t="shared" si="1"/>
        <v>2.6737967914438503</v>
      </c>
      <c r="K73">
        <v>5.0000000000000001E-4</v>
      </c>
      <c r="L73" t="s">
        <v>17</v>
      </c>
      <c r="M73">
        <v>296</v>
      </c>
      <c r="N73" t="s">
        <v>201</v>
      </c>
      <c r="O73" t="s">
        <v>1066</v>
      </c>
    </row>
    <row r="74" spans="1:15" x14ac:dyDescent="0.2">
      <c r="A74" t="s">
        <v>190</v>
      </c>
      <c r="B74" t="s">
        <v>191</v>
      </c>
      <c r="C74">
        <v>6</v>
      </c>
      <c r="D74">
        <v>1</v>
      </c>
      <c r="E74">
        <v>5</v>
      </c>
      <c r="F74">
        <v>7</v>
      </c>
      <c r="G74">
        <v>1</v>
      </c>
      <c r="H74">
        <v>6</v>
      </c>
      <c r="I74">
        <v>2.1999999999999999E-2</v>
      </c>
      <c r="J74">
        <f t="shared" si="1"/>
        <v>2.2727272727272729</v>
      </c>
      <c r="K74">
        <v>5.0000000000000001E-4</v>
      </c>
      <c r="L74" t="s">
        <v>17</v>
      </c>
      <c r="M74">
        <v>296</v>
      </c>
      <c r="N74" t="s">
        <v>201</v>
      </c>
      <c r="O74" t="s">
        <v>1064</v>
      </c>
    </row>
    <row r="75" spans="1:15" x14ac:dyDescent="0.2">
      <c r="A75" t="s">
        <v>190</v>
      </c>
      <c r="B75" t="s">
        <v>191</v>
      </c>
      <c r="C75">
        <v>8</v>
      </c>
      <c r="D75">
        <v>1</v>
      </c>
      <c r="E75">
        <v>7</v>
      </c>
      <c r="F75">
        <v>7</v>
      </c>
      <c r="G75">
        <v>1</v>
      </c>
      <c r="H75">
        <v>6</v>
      </c>
      <c r="I75">
        <v>2.0400000000000001E-2</v>
      </c>
      <c r="J75">
        <f t="shared" si="1"/>
        <v>0.98039215686274506</v>
      </c>
      <c r="K75">
        <v>2.0000000000000001E-4</v>
      </c>
      <c r="L75" t="s">
        <v>17</v>
      </c>
      <c r="M75">
        <v>296</v>
      </c>
      <c r="N75" t="s">
        <v>201</v>
      </c>
      <c r="O75" t="s">
        <v>1059</v>
      </c>
    </row>
    <row r="76" spans="1:15" x14ac:dyDescent="0.2">
      <c r="A76" t="s">
        <v>190</v>
      </c>
      <c r="B76" t="s">
        <v>191</v>
      </c>
      <c r="C76">
        <v>7</v>
      </c>
      <c r="D76">
        <v>1</v>
      </c>
      <c r="E76">
        <v>7</v>
      </c>
      <c r="F76">
        <v>8</v>
      </c>
      <c r="G76">
        <v>1</v>
      </c>
      <c r="H76">
        <v>8</v>
      </c>
      <c r="I76">
        <v>1.8800000000000001E-2</v>
      </c>
      <c r="J76">
        <f t="shared" si="1"/>
        <v>1.5957446808510638</v>
      </c>
      <c r="K76">
        <v>2.9999999999999997E-4</v>
      </c>
      <c r="L76" t="s">
        <v>17</v>
      </c>
      <c r="M76">
        <v>296</v>
      </c>
      <c r="N76" t="s">
        <v>201</v>
      </c>
      <c r="O76" t="s">
        <v>1067</v>
      </c>
    </row>
    <row r="77" spans="1:15" x14ac:dyDescent="0.2">
      <c r="A77" t="s">
        <v>190</v>
      </c>
      <c r="B77" t="s">
        <v>191</v>
      </c>
      <c r="C77">
        <v>9</v>
      </c>
      <c r="D77">
        <v>1</v>
      </c>
      <c r="E77">
        <v>9</v>
      </c>
      <c r="F77">
        <v>8</v>
      </c>
      <c r="G77">
        <v>1</v>
      </c>
      <c r="H77">
        <v>8</v>
      </c>
      <c r="I77">
        <v>1.7500000000000002E-2</v>
      </c>
      <c r="J77">
        <f t="shared" si="1"/>
        <v>1.714285714285714</v>
      </c>
      <c r="K77">
        <v>2.9999999999999997E-4</v>
      </c>
      <c r="L77" t="s">
        <v>17</v>
      </c>
      <c r="M77">
        <v>296</v>
      </c>
      <c r="N77" t="s">
        <v>201</v>
      </c>
      <c r="O77" t="s">
        <v>1068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E0F2-CD10-0348-94F9-96AACF49D9DC}">
  <dimension ref="A1:Q28"/>
  <sheetViews>
    <sheetView workbookViewId="0">
      <selection activeCell="I16" sqref="I16"/>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row>
    <row r="2" spans="1:16" x14ac:dyDescent="0.2">
      <c r="A2" t="s">
        <v>190</v>
      </c>
      <c r="B2" t="s">
        <v>239</v>
      </c>
      <c r="C2">
        <v>3</v>
      </c>
      <c r="D2">
        <v>3</v>
      </c>
      <c r="E2">
        <v>0</v>
      </c>
      <c r="F2">
        <v>2</v>
      </c>
      <c r="G2">
        <v>1</v>
      </c>
      <c r="H2">
        <v>1</v>
      </c>
      <c r="I2">
        <v>3.5700000000000003E-2</v>
      </c>
      <c r="J2">
        <v>1.1200000000000001</v>
      </c>
      <c r="K2">
        <v>4.0000000000000002E-4</v>
      </c>
      <c r="L2" t="s">
        <v>17</v>
      </c>
      <c r="M2">
        <v>296</v>
      </c>
      <c r="N2" t="s">
        <v>1069</v>
      </c>
      <c r="O2" t="s">
        <v>1070</v>
      </c>
    </row>
    <row r="3" spans="1:16" x14ac:dyDescent="0.2">
      <c r="A3" t="s">
        <v>190</v>
      </c>
      <c r="B3" t="s">
        <v>239</v>
      </c>
      <c r="C3">
        <v>4</v>
      </c>
      <c r="D3">
        <v>4</v>
      </c>
      <c r="E3">
        <v>0</v>
      </c>
      <c r="F3">
        <v>3</v>
      </c>
      <c r="G3">
        <v>2</v>
      </c>
      <c r="H3">
        <v>1</v>
      </c>
      <c r="I3">
        <v>3.1099999999999999E-2</v>
      </c>
      <c r="J3">
        <v>0.96</v>
      </c>
      <c r="K3">
        <v>2.9999999999999997E-4</v>
      </c>
      <c r="L3" t="s">
        <v>17</v>
      </c>
      <c r="M3">
        <v>296</v>
      </c>
      <c r="N3" t="s">
        <v>1069</v>
      </c>
      <c r="O3" t="s">
        <v>1071</v>
      </c>
      <c r="P3" t="s">
        <v>1072</v>
      </c>
    </row>
    <row r="4" spans="1:16" x14ac:dyDescent="0.2">
      <c r="A4" t="s">
        <v>190</v>
      </c>
      <c r="B4" t="s">
        <v>239</v>
      </c>
      <c r="C4">
        <v>6</v>
      </c>
      <c r="D4">
        <v>3</v>
      </c>
      <c r="E4">
        <v>4</v>
      </c>
      <c r="F4">
        <v>5</v>
      </c>
      <c r="G4">
        <v>1</v>
      </c>
      <c r="H4">
        <v>5</v>
      </c>
      <c r="I4">
        <v>3.9199999999999999E-2</v>
      </c>
      <c r="J4">
        <v>1.28</v>
      </c>
      <c r="K4">
        <v>5.0000000000000001E-4</v>
      </c>
      <c r="L4" t="s">
        <v>17</v>
      </c>
      <c r="M4">
        <v>296</v>
      </c>
      <c r="N4" t="s">
        <v>1069</v>
      </c>
      <c r="O4" t="s">
        <v>1071</v>
      </c>
      <c r="P4" t="s">
        <v>1073</v>
      </c>
    </row>
    <row r="5" spans="1:16" x14ac:dyDescent="0.2">
      <c r="A5" t="s">
        <v>190</v>
      </c>
      <c r="B5" t="s">
        <v>239</v>
      </c>
      <c r="C5">
        <v>6</v>
      </c>
      <c r="D5">
        <v>5</v>
      </c>
      <c r="E5">
        <v>1</v>
      </c>
      <c r="F5">
        <v>5</v>
      </c>
      <c r="G5">
        <v>3</v>
      </c>
      <c r="H5">
        <v>2</v>
      </c>
      <c r="I5">
        <v>2.5999999999999999E-2</v>
      </c>
      <c r="J5">
        <v>1.54</v>
      </c>
      <c r="K5">
        <v>4.0000000000000002E-4</v>
      </c>
      <c r="L5" t="s">
        <v>17</v>
      </c>
      <c r="M5">
        <v>296</v>
      </c>
      <c r="N5" t="s">
        <v>1069</v>
      </c>
      <c r="O5" t="s">
        <v>1071</v>
      </c>
      <c r="P5" t="s">
        <v>1073</v>
      </c>
    </row>
    <row r="6" spans="1:16" x14ac:dyDescent="0.2">
      <c r="A6" t="s">
        <v>190</v>
      </c>
      <c r="B6" t="s">
        <v>239</v>
      </c>
      <c r="C6">
        <v>5</v>
      </c>
      <c r="D6">
        <v>4</v>
      </c>
      <c r="E6">
        <v>1</v>
      </c>
      <c r="F6">
        <v>4</v>
      </c>
      <c r="G6">
        <v>1</v>
      </c>
      <c r="H6">
        <v>4</v>
      </c>
      <c r="I6">
        <v>4.41E-2</v>
      </c>
      <c r="J6">
        <v>1.1299999999999999</v>
      </c>
      <c r="K6">
        <v>5.0000000000000001E-4</v>
      </c>
      <c r="L6" t="s">
        <v>17</v>
      </c>
      <c r="M6">
        <v>296</v>
      </c>
      <c r="N6" t="s">
        <v>1069</v>
      </c>
      <c r="O6" t="s">
        <v>1074</v>
      </c>
    </row>
    <row r="7" spans="1:16" x14ac:dyDescent="0.2">
      <c r="A7" t="s">
        <v>190</v>
      </c>
      <c r="B7" t="s">
        <v>239</v>
      </c>
      <c r="C7">
        <v>6</v>
      </c>
      <c r="D7">
        <v>3</v>
      </c>
      <c r="E7">
        <v>4</v>
      </c>
      <c r="F7">
        <v>5</v>
      </c>
      <c r="G7">
        <v>0</v>
      </c>
      <c r="H7">
        <v>5</v>
      </c>
      <c r="I7">
        <v>3.8100000000000002E-2</v>
      </c>
      <c r="J7">
        <v>0.79</v>
      </c>
      <c r="K7">
        <v>2.9999999999999997E-4</v>
      </c>
      <c r="L7" t="s">
        <v>17</v>
      </c>
      <c r="M7">
        <v>296</v>
      </c>
      <c r="N7" t="s">
        <v>1069</v>
      </c>
      <c r="O7" t="s">
        <v>1075</v>
      </c>
    </row>
    <row r="8" spans="1:16" x14ac:dyDescent="0.2">
      <c r="A8" t="s">
        <v>190</v>
      </c>
      <c r="B8" t="s">
        <v>239</v>
      </c>
      <c r="C8">
        <v>8</v>
      </c>
      <c r="D8">
        <v>3</v>
      </c>
      <c r="E8">
        <v>6</v>
      </c>
      <c r="F8">
        <v>7</v>
      </c>
      <c r="G8">
        <v>0</v>
      </c>
      <c r="H8">
        <v>7</v>
      </c>
      <c r="I8">
        <v>3.0499999999999999E-2</v>
      </c>
      <c r="J8">
        <v>1.31</v>
      </c>
      <c r="K8">
        <v>4.0000000000000002E-4</v>
      </c>
      <c r="L8" t="s">
        <v>17</v>
      </c>
      <c r="M8">
        <v>296</v>
      </c>
      <c r="N8" t="s">
        <v>1069</v>
      </c>
      <c r="O8" t="s">
        <v>1076</v>
      </c>
    </row>
    <row r="9" spans="1:16" x14ac:dyDescent="0.2">
      <c r="A9" t="s">
        <v>190</v>
      </c>
      <c r="B9" t="s">
        <v>239</v>
      </c>
      <c r="C9">
        <v>9</v>
      </c>
      <c r="D9">
        <v>3</v>
      </c>
      <c r="E9">
        <v>6</v>
      </c>
      <c r="F9">
        <v>8</v>
      </c>
      <c r="G9">
        <v>2</v>
      </c>
      <c r="H9">
        <v>7</v>
      </c>
      <c r="I9">
        <v>3.3500000000000002E-2</v>
      </c>
      <c r="J9">
        <v>0.9</v>
      </c>
      <c r="K9">
        <v>2.9999999999999997E-4</v>
      </c>
      <c r="L9" t="s">
        <v>17</v>
      </c>
      <c r="M9">
        <v>296</v>
      </c>
      <c r="N9" t="s">
        <v>1069</v>
      </c>
      <c r="O9" t="s">
        <v>1077</v>
      </c>
    </row>
    <row r="10" spans="1:16" x14ac:dyDescent="0.2">
      <c r="A10" t="s">
        <v>190</v>
      </c>
      <c r="B10" t="s">
        <v>239</v>
      </c>
      <c r="C10">
        <v>10</v>
      </c>
      <c r="D10">
        <v>5</v>
      </c>
      <c r="E10">
        <v>6</v>
      </c>
      <c r="F10">
        <v>9</v>
      </c>
      <c r="G10">
        <v>2</v>
      </c>
      <c r="H10">
        <v>7</v>
      </c>
      <c r="I10">
        <v>2.8000000000000001E-2</v>
      </c>
      <c r="J10">
        <v>2.14</v>
      </c>
      <c r="K10">
        <v>5.9999999999999995E-4</v>
      </c>
      <c r="L10" t="s">
        <v>17</v>
      </c>
      <c r="M10">
        <v>296</v>
      </c>
      <c r="N10" t="s">
        <v>1069</v>
      </c>
      <c r="O10" t="s">
        <v>1078</v>
      </c>
    </row>
    <row r="11" spans="1:16" x14ac:dyDescent="0.2">
      <c r="A11" t="s">
        <v>190</v>
      </c>
      <c r="B11" t="s">
        <v>239</v>
      </c>
      <c r="C11">
        <v>6</v>
      </c>
      <c r="D11">
        <v>6</v>
      </c>
      <c r="E11">
        <v>1</v>
      </c>
      <c r="F11">
        <v>5</v>
      </c>
      <c r="G11">
        <v>1</v>
      </c>
      <c r="H11">
        <v>4</v>
      </c>
      <c r="I11">
        <v>3.7400000000000003E-2</v>
      </c>
      <c r="J11">
        <v>1.07</v>
      </c>
      <c r="K11">
        <v>4.0000000000000002E-4</v>
      </c>
      <c r="L11" t="s">
        <v>17</v>
      </c>
      <c r="M11">
        <v>296</v>
      </c>
      <c r="N11" t="s">
        <v>1069</v>
      </c>
      <c r="O11" t="s">
        <v>1079</v>
      </c>
    </row>
    <row r="12" spans="1:16" x14ac:dyDescent="0.2">
      <c r="A12" t="s">
        <v>190</v>
      </c>
      <c r="B12" t="s">
        <v>239</v>
      </c>
      <c r="C12">
        <v>1</v>
      </c>
      <c r="D12">
        <v>1</v>
      </c>
      <c r="E12">
        <v>1</v>
      </c>
      <c r="F12">
        <v>0</v>
      </c>
      <c r="G12">
        <v>0</v>
      </c>
      <c r="H12">
        <v>0</v>
      </c>
      <c r="I12">
        <v>4.0500000000000001E-2</v>
      </c>
      <c r="J12">
        <v>0.74</v>
      </c>
      <c r="K12">
        <v>2.9999999999999997E-4</v>
      </c>
      <c r="L12" t="s">
        <v>17</v>
      </c>
      <c r="M12">
        <v>296</v>
      </c>
      <c r="N12" t="s">
        <v>1069</v>
      </c>
      <c r="O12" t="s">
        <v>1080</v>
      </c>
    </row>
    <row r="13" spans="1:16" x14ac:dyDescent="0.2">
      <c r="A13" t="s">
        <v>190</v>
      </c>
      <c r="B13" t="s">
        <v>239</v>
      </c>
      <c r="C13">
        <v>3</v>
      </c>
      <c r="D13">
        <v>1</v>
      </c>
      <c r="E13">
        <v>2</v>
      </c>
      <c r="F13">
        <v>3</v>
      </c>
      <c r="G13">
        <v>0</v>
      </c>
      <c r="H13">
        <v>3</v>
      </c>
      <c r="I13">
        <v>4.3200000000000002E-2</v>
      </c>
      <c r="J13">
        <v>0.93</v>
      </c>
      <c r="K13">
        <v>4.0000000000000002E-4</v>
      </c>
      <c r="L13" t="s">
        <v>17</v>
      </c>
      <c r="M13">
        <v>296</v>
      </c>
      <c r="N13" t="s">
        <v>1069</v>
      </c>
      <c r="O13" t="s">
        <v>1081</v>
      </c>
    </row>
    <row r="14" spans="1:16" x14ac:dyDescent="0.2">
      <c r="A14" t="s">
        <v>190</v>
      </c>
      <c r="B14" t="s">
        <v>239</v>
      </c>
      <c r="C14">
        <v>4</v>
      </c>
      <c r="D14">
        <v>1</v>
      </c>
      <c r="E14">
        <v>4</v>
      </c>
      <c r="F14">
        <v>3</v>
      </c>
      <c r="G14">
        <v>0</v>
      </c>
      <c r="H14">
        <v>3</v>
      </c>
      <c r="I14">
        <v>3.7699999999999997E-2</v>
      </c>
      <c r="J14">
        <v>1.33</v>
      </c>
      <c r="K14">
        <v>5.0000000000000001E-4</v>
      </c>
      <c r="L14" t="s">
        <v>17</v>
      </c>
      <c r="M14">
        <v>296</v>
      </c>
      <c r="N14" t="s">
        <v>1069</v>
      </c>
      <c r="O14" t="s">
        <v>1082</v>
      </c>
    </row>
    <row r="15" spans="1:16" x14ac:dyDescent="0.2">
      <c r="A15" t="s">
        <v>190</v>
      </c>
      <c r="B15" t="s">
        <v>239</v>
      </c>
      <c r="C15">
        <v>3</v>
      </c>
      <c r="D15">
        <v>2</v>
      </c>
      <c r="E15">
        <v>1</v>
      </c>
      <c r="F15">
        <v>2</v>
      </c>
      <c r="G15">
        <v>0</v>
      </c>
      <c r="H15">
        <v>2</v>
      </c>
      <c r="I15">
        <v>4.7100000000000003E-2</v>
      </c>
      <c r="J15">
        <v>0.64</v>
      </c>
      <c r="K15">
        <v>2.9999999999999997E-4</v>
      </c>
      <c r="L15" t="s">
        <v>17</v>
      </c>
      <c r="M15">
        <v>296</v>
      </c>
      <c r="N15" t="s">
        <v>1069</v>
      </c>
      <c r="O15" t="s">
        <v>1083</v>
      </c>
    </row>
    <row r="16" spans="1:16" x14ac:dyDescent="0.2">
      <c r="A16" t="s">
        <v>190</v>
      </c>
      <c r="B16" t="s">
        <v>239</v>
      </c>
      <c r="C16">
        <v>5</v>
      </c>
      <c r="D16">
        <v>3</v>
      </c>
      <c r="E16">
        <v>3</v>
      </c>
      <c r="F16">
        <v>4</v>
      </c>
      <c r="G16">
        <v>1</v>
      </c>
      <c r="H16">
        <v>4</v>
      </c>
      <c r="I16">
        <v>4.2599999999999999E-2</v>
      </c>
      <c r="J16">
        <v>0.7</v>
      </c>
      <c r="K16">
        <v>2.9999999999999997E-4</v>
      </c>
      <c r="L16" t="s">
        <v>17</v>
      </c>
      <c r="M16">
        <v>296</v>
      </c>
      <c r="N16" t="s">
        <v>1069</v>
      </c>
      <c r="O16" t="s">
        <v>1084</v>
      </c>
    </row>
    <row r="17" spans="1:17" x14ac:dyDescent="0.2">
      <c r="A17" t="s">
        <v>190</v>
      </c>
      <c r="B17" t="s">
        <v>239</v>
      </c>
      <c r="C17">
        <v>6</v>
      </c>
      <c r="D17">
        <v>2</v>
      </c>
      <c r="E17">
        <v>4</v>
      </c>
      <c r="F17">
        <v>5</v>
      </c>
      <c r="G17">
        <v>0</v>
      </c>
      <c r="H17">
        <v>5</v>
      </c>
      <c r="I17">
        <v>4.3799999999999999E-2</v>
      </c>
      <c r="J17">
        <v>0.68</v>
      </c>
      <c r="K17">
        <v>2.9999999999999997E-4</v>
      </c>
      <c r="L17" t="s">
        <v>17</v>
      </c>
      <c r="M17">
        <v>296</v>
      </c>
      <c r="N17" t="s">
        <v>1069</v>
      </c>
      <c r="O17" t="s">
        <v>1085</v>
      </c>
    </row>
    <row r="18" spans="1:17" x14ac:dyDescent="0.2">
      <c r="A18" t="s">
        <v>190</v>
      </c>
      <c r="B18" t="s">
        <v>239</v>
      </c>
      <c r="C18">
        <v>3</v>
      </c>
      <c r="D18">
        <v>2</v>
      </c>
      <c r="E18">
        <v>1</v>
      </c>
      <c r="F18">
        <v>2</v>
      </c>
      <c r="G18">
        <v>1</v>
      </c>
      <c r="H18">
        <v>2</v>
      </c>
      <c r="I18">
        <v>4.3999999999999997E-2</v>
      </c>
      <c r="J18">
        <v>0.68</v>
      </c>
      <c r="K18">
        <v>2.9999999999999997E-4</v>
      </c>
      <c r="L18" t="s">
        <v>17</v>
      </c>
      <c r="M18">
        <v>296</v>
      </c>
      <c r="N18" t="s">
        <v>1069</v>
      </c>
      <c r="O18" t="s">
        <v>1086</v>
      </c>
    </row>
    <row r="19" spans="1:17" x14ac:dyDescent="0.2">
      <c r="A19" t="s">
        <v>190</v>
      </c>
      <c r="B19" t="s">
        <v>239</v>
      </c>
      <c r="C19">
        <v>4</v>
      </c>
      <c r="D19">
        <v>3</v>
      </c>
      <c r="E19">
        <v>2</v>
      </c>
      <c r="F19">
        <v>4</v>
      </c>
      <c r="G19">
        <v>2</v>
      </c>
      <c r="H19">
        <v>3</v>
      </c>
      <c r="I19">
        <v>3.4700000000000002E-2</v>
      </c>
      <c r="J19">
        <v>0.86</v>
      </c>
      <c r="K19">
        <v>2.9999999999999997E-4</v>
      </c>
      <c r="L19" t="s">
        <v>17</v>
      </c>
      <c r="M19">
        <v>296</v>
      </c>
      <c r="N19" t="s">
        <v>1069</v>
      </c>
      <c r="O19" t="s">
        <v>1087</v>
      </c>
    </row>
    <row r="20" spans="1:17" x14ac:dyDescent="0.2">
      <c r="A20" t="s">
        <v>190</v>
      </c>
      <c r="B20" t="s">
        <v>239</v>
      </c>
      <c r="C20">
        <v>4</v>
      </c>
      <c r="D20">
        <v>3</v>
      </c>
      <c r="E20">
        <v>2</v>
      </c>
      <c r="F20">
        <v>5</v>
      </c>
      <c r="G20">
        <v>2</v>
      </c>
      <c r="H20">
        <v>3</v>
      </c>
      <c r="I20">
        <v>3.4299999999999997E-2</v>
      </c>
      <c r="J20">
        <v>0.87</v>
      </c>
      <c r="K20">
        <v>2.9999999999999997E-4</v>
      </c>
      <c r="L20" t="s">
        <v>17</v>
      </c>
      <c r="M20">
        <v>296</v>
      </c>
      <c r="N20" t="s">
        <v>1069</v>
      </c>
      <c r="O20" t="s">
        <v>1088</v>
      </c>
    </row>
    <row r="21" spans="1:17" x14ac:dyDescent="0.2">
      <c r="A21" t="s">
        <v>190</v>
      </c>
      <c r="B21" t="s">
        <v>239</v>
      </c>
      <c r="C21">
        <v>5</v>
      </c>
      <c r="D21">
        <v>2</v>
      </c>
      <c r="E21">
        <v>3</v>
      </c>
      <c r="F21">
        <v>6</v>
      </c>
      <c r="G21">
        <v>1</v>
      </c>
      <c r="H21">
        <v>6</v>
      </c>
      <c r="I21">
        <v>5.2200000000000003E-2</v>
      </c>
      <c r="J21">
        <v>50</v>
      </c>
      <c r="K21">
        <f>J21*I21/100</f>
        <v>2.6100000000000002E-2</v>
      </c>
      <c r="L21" t="s">
        <v>17</v>
      </c>
      <c r="M21">
        <v>296</v>
      </c>
      <c r="N21" t="s">
        <v>1069</v>
      </c>
      <c r="O21" t="s">
        <v>1089</v>
      </c>
      <c r="P21">
        <v>18</v>
      </c>
      <c r="Q21" t="s">
        <v>1090</v>
      </c>
    </row>
    <row r="22" spans="1:17" x14ac:dyDescent="0.2">
      <c r="A22" t="s">
        <v>190</v>
      </c>
      <c r="B22" t="s">
        <v>239</v>
      </c>
      <c r="C22">
        <v>3</v>
      </c>
      <c r="D22">
        <v>1</v>
      </c>
      <c r="E22">
        <v>3</v>
      </c>
      <c r="F22">
        <v>2</v>
      </c>
      <c r="G22">
        <v>2</v>
      </c>
      <c r="H22">
        <v>0</v>
      </c>
      <c r="I22">
        <v>5.0099999999999999E-2</v>
      </c>
      <c r="J22">
        <v>50</v>
      </c>
      <c r="K22">
        <f t="shared" ref="K22:K26" si="0">J22*I22/100</f>
        <v>2.5049999999999999E-2</v>
      </c>
      <c r="L22" t="s">
        <v>17</v>
      </c>
      <c r="M22">
        <v>296</v>
      </c>
      <c r="N22" t="s">
        <v>1069</v>
      </c>
      <c r="O22" t="s">
        <v>1091</v>
      </c>
      <c r="P22">
        <v>18</v>
      </c>
      <c r="Q22" t="s">
        <v>1092</v>
      </c>
    </row>
    <row r="23" spans="1:17" x14ac:dyDescent="0.2">
      <c r="A23" t="s">
        <v>190</v>
      </c>
      <c r="B23" t="s">
        <v>239</v>
      </c>
      <c r="C23">
        <v>4</v>
      </c>
      <c r="D23">
        <v>1</v>
      </c>
      <c r="E23">
        <v>4</v>
      </c>
      <c r="F23">
        <v>3</v>
      </c>
      <c r="G23">
        <v>2</v>
      </c>
      <c r="H23">
        <v>1</v>
      </c>
      <c r="I23">
        <v>4.5400000000000003E-2</v>
      </c>
      <c r="J23">
        <v>50</v>
      </c>
      <c r="K23">
        <f t="shared" si="0"/>
        <v>2.2700000000000001E-2</v>
      </c>
      <c r="L23" t="s">
        <v>17</v>
      </c>
      <c r="M23">
        <v>296</v>
      </c>
      <c r="N23" t="s">
        <v>1069</v>
      </c>
      <c r="O23" t="s">
        <v>1093</v>
      </c>
      <c r="P23">
        <v>18</v>
      </c>
      <c r="Q23" t="s">
        <v>1092</v>
      </c>
    </row>
    <row r="24" spans="1:17" x14ac:dyDescent="0.2">
      <c r="A24" t="s">
        <v>190</v>
      </c>
      <c r="B24" t="s">
        <v>239</v>
      </c>
      <c r="C24">
        <v>9</v>
      </c>
      <c r="D24">
        <v>5</v>
      </c>
      <c r="E24">
        <v>5</v>
      </c>
      <c r="F24">
        <v>10</v>
      </c>
      <c r="G24">
        <v>6</v>
      </c>
      <c r="H24">
        <v>4</v>
      </c>
      <c r="I24">
        <v>1.44E-2</v>
      </c>
      <c r="J24">
        <v>50</v>
      </c>
      <c r="K24">
        <f t="shared" si="0"/>
        <v>7.1999999999999998E-3</v>
      </c>
      <c r="L24" t="s">
        <v>17</v>
      </c>
      <c r="M24">
        <v>296</v>
      </c>
      <c r="N24" t="s">
        <v>1069</v>
      </c>
      <c r="O24" t="s">
        <v>1094</v>
      </c>
    </row>
    <row r="25" spans="1:17" x14ac:dyDescent="0.2">
      <c r="A25" t="s">
        <v>190</v>
      </c>
      <c r="B25" t="s">
        <v>239</v>
      </c>
      <c r="C25">
        <v>9</v>
      </c>
      <c r="D25">
        <v>3</v>
      </c>
      <c r="E25">
        <v>6</v>
      </c>
      <c r="F25">
        <v>10</v>
      </c>
      <c r="G25">
        <v>4</v>
      </c>
      <c r="H25">
        <v>7</v>
      </c>
      <c r="I25">
        <v>2.4299999999999999E-2</v>
      </c>
      <c r="J25">
        <v>50</v>
      </c>
      <c r="K25">
        <f t="shared" si="0"/>
        <v>1.2149999999999999E-2</v>
      </c>
      <c r="L25" t="s">
        <v>17</v>
      </c>
      <c r="M25">
        <v>296</v>
      </c>
      <c r="N25" t="s">
        <v>1069</v>
      </c>
      <c r="O25" t="s">
        <v>1094</v>
      </c>
    </row>
    <row r="26" spans="1:17" x14ac:dyDescent="0.2">
      <c r="A26" t="s">
        <v>190</v>
      </c>
      <c r="B26" t="s">
        <v>239</v>
      </c>
      <c r="C26">
        <v>11</v>
      </c>
      <c r="D26">
        <v>2</v>
      </c>
      <c r="E26">
        <v>10</v>
      </c>
      <c r="F26">
        <v>12</v>
      </c>
      <c r="G26">
        <v>1</v>
      </c>
      <c r="H26">
        <v>11</v>
      </c>
      <c r="I26">
        <v>7.7000000000000002E-3</v>
      </c>
      <c r="J26">
        <v>50</v>
      </c>
      <c r="K26">
        <f t="shared" si="0"/>
        <v>3.8500000000000001E-3</v>
      </c>
      <c r="L26" t="s">
        <v>17</v>
      </c>
      <c r="M26">
        <v>296</v>
      </c>
      <c r="N26" t="s">
        <v>1069</v>
      </c>
      <c r="O26" t="s">
        <v>1094</v>
      </c>
    </row>
    <row r="27" spans="1:17" x14ac:dyDescent="0.2">
      <c r="A27" t="s">
        <v>190</v>
      </c>
      <c r="B27" t="s">
        <v>239</v>
      </c>
      <c r="C27">
        <v>12</v>
      </c>
      <c r="D27">
        <v>3</v>
      </c>
      <c r="E27">
        <v>10</v>
      </c>
      <c r="F27">
        <v>11</v>
      </c>
      <c r="G27">
        <v>2</v>
      </c>
      <c r="H27">
        <v>9</v>
      </c>
      <c r="I27" t="s">
        <v>17</v>
      </c>
      <c r="J27" t="s">
        <v>17</v>
      </c>
      <c r="K27" t="s">
        <v>17</v>
      </c>
      <c r="L27">
        <v>-0.9</v>
      </c>
      <c r="M27" t="s">
        <v>17</v>
      </c>
      <c r="N27" t="s">
        <v>17</v>
      </c>
      <c r="O27" t="s">
        <v>1095</v>
      </c>
    </row>
    <row r="28" spans="1:17" x14ac:dyDescent="0.2">
      <c r="A28" t="s">
        <v>190</v>
      </c>
      <c r="B28" t="s">
        <v>239</v>
      </c>
      <c r="C28">
        <v>3</v>
      </c>
      <c r="D28">
        <v>1</v>
      </c>
      <c r="E28">
        <v>3</v>
      </c>
      <c r="F28">
        <v>2</v>
      </c>
      <c r="G28">
        <v>2</v>
      </c>
      <c r="H28">
        <v>0</v>
      </c>
      <c r="I28" t="s">
        <v>17</v>
      </c>
      <c r="J28" t="s">
        <v>17</v>
      </c>
      <c r="K28" t="s">
        <v>17</v>
      </c>
      <c r="L28">
        <v>-0.72</v>
      </c>
      <c r="M28" t="s">
        <v>17</v>
      </c>
      <c r="N28" t="s">
        <v>17</v>
      </c>
      <c r="O28" t="s">
        <v>1096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19ABE-0C65-8F41-ADEB-8C5BD6872F66}">
  <dimension ref="A1:O66"/>
  <sheetViews>
    <sheetView workbookViewId="0">
      <selection activeCell="N71" sqref="N7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58</v>
      </c>
      <c r="C2">
        <v>4</v>
      </c>
      <c r="D2">
        <v>3</v>
      </c>
      <c r="E2">
        <v>1</v>
      </c>
      <c r="F2">
        <v>3</v>
      </c>
      <c r="G2">
        <v>1</v>
      </c>
      <c r="H2">
        <v>2</v>
      </c>
      <c r="I2">
        <v>8.1900000000000001E-2</v>
      </c>
      <c r="J2">
        <v>0.36599999999999999</v>
      </c>
      <c r="K2">
        <v>2.9999999999999997E-4</v>
      </c>
      <c r="L2" t="s">
        <v>17</v>
      </c>
      <c r="M2">
        <v>296</v>
      </c>
      <c r="N2" t="s">
        <v>1097</v>
      </c>
      <c r="O2" t="s">
        <v>1098</v>
      </c>
    </row>
    <row r="3" spans="1:15" x14ac:dyDescent="0.2">
      <c r="A3" t="s">
        <v>190</v>
      </c>
      <c r="B3" t="s">
        <v>58</v>
      </c>
      <c r="C3">
        <v>5</v>
      </c>
      <c r="D3">
        <v>2</v>
      </c>
      <c r="E3">
        <v>3</v>
      </c>
      <c r="F3">
        <v>4</v>
      </c>
      <c r="G3">
        <v>0</v>
      </c>
      <c r="H3">
        <v>4</v>
      </c>
      <c r="I3">
        <v>8.5099999999999995E-2</v>
      </c>
      <c r="J3">
        <v>0.47</v>
      </c>
      <c r="K3">
        <v>4.0000000000000002E-4</v>
      </c>
      <c r="L3" t="s">
        <v>17</v>
      </c>
      <c r="M3">
        <v>296</v>
      </c>
      <c r="N3" t="s">
        <v>1097</v>
      </c>
      <c r="O3" t="s">
        <v>1098</v>
      </c>
    </row>
    <row r="4" spans="1:15" x14ac:dyDescent="0.2">
      <c r="A4" t="s">
        <v>190</v>
      </c>
      <c r="B4" t="s">
        <v>58</v>
      </c>
      <c r="C4">
        <v>5</v>
      </c>
      <c r="D4">
        <v>3</v>
      </c>
      <c r="E4">
        <v>3</v>
      </c>
      <c r="F4">
        <v>4</v>
      </c>
      <c r="G4">
        <v>1</v>
      </c>
      <c r="H4">
        <v>4</v>
      </c>
      <c r="I4">
        <v>7.3400000000000007E-2</v>
      </c>
      <c r="J4">
        <v>0.40899999999999997</v>
      </c>
      <c r="K4">
        <v>2.9999999999999997E-4</v>
      </c>
      <c r="L4" t="s">
        <v>17</v>
      </c>
      <c r="M4">
        <v>296</v>
      </c>
      <c r="N4" t="s">
        <v>1097</v>
      </c>
      <c r="O4" t="s">
        <v>1098</v>
      </c>
    </row>
    <row r="5" spans="1:15" x14ac:dyDescent="0.2">
      <c r="A5" t="s">
        <v>190</v>
      </c>
      <c r="B5" t="s">
        <v>58</v>
      </c>
      <c r="C5">
        <v>6</v>
      </c>
      <c r="D5">
        <v>2</v>
      </c>
      <c r="E5">
        <v>4</v>
      </c>
      <c r="F5">
        <v>5</v>
      </c>
      <c r="G5">
        <v>0</v>
      </c>
      <c r="H5">
        <v>5</v>
      </c>
      <c r="I5">
        <v>7.3899999999999993E-2</v>
      </c>
      <c r="J5">
        <v>0.54100000000000004</v>
      </c>
      <c r="K5">
        <v>4.0000000000000002E-4</v>
      </c>
      <c r="L5" t="s">
        <v>17</v>
      </c>
      <c r="M5">
        <v>296</v>
      </c>
      <c r="N5" t="s">
        <v>1097</v>
      </c>
      <c r="O5" t="s">
        <v>1098</v>
      </c>
    </row>
    <row r="6" spans="1:15" x14ac:dyDescent="0.2">
      <c r="A6" t="s">
        <v>190</v>
      </c>
      <c r="B6" t="s">
        <v>58</v>
      </c>
      <c r="C6">
        <v>6</v>
      </c>
      <c r="D6">
        <v>3</v>
      </c>
      <c r="E6">
        <v>3</v>
      </c>
      <c r="F6">
        <v>5</v>
      </c>
      <c r="G6">
        <v>1</v>
      </c>
      <c r="H6">
        <v>4</v>
      </c>
      <c r="I6">
        <v>7.4099999999999999E-2</v>
      </c>
      <c r="J6">
        <v>0.40500000000000003</v>
      </c>
      <c r="K6">
        <v>2.9999999999999997E-4</v>
      </c>
      <c r="L6" t="s">
        <v>17</v>
      </c>
      <c r="M6">
        <v>296</v>
      </c>
      <c r="N6" t="s">
        <v>1097</v>
      </c>
      <c r="O6" t="s">
        <v>1098</v>
      </c>
    </row>
    <row r="7" spans="1:15" x14ac:dyDescent="0.2">
      <c r="A7" t="s">
        <v>190</v>
      </c>
      <c r="B7" t="s">
        <v>58</v>
      </c>
      <c r="C7">
        <v>4</v>
      </c>
      <c r="D7">
        <v>3</v>
      </c>
      <c r="E7">
        <v>2</v>
      </c>
      <c r="F7">
        <v>5</v>
      </c>
      <c r="G7">
        <v>3</v>
      </c>
      <c r="H7">
        <v>3</v>
      </c>
      <c r="I7">
        <v>6.0600000000000001E-2</v>
      </c>
      <c r="J7">
        <v>0.495</v>
      </c>
      <c r="K7">
        <v>2.9999999999999997E-4</v>
      </c>
      <c r="L7" t="s">
        <v>17</v>
      </c>
      <c r="M7">
        <v>296</v>
      </c>
      <c r="N7" t="s">
        <v>1097</v>
      </c>
      <c r="O7" t="s">
        <v>1098</v>
      </c>
    </row>
    <row r="8" spans="1:15" x14ac:dyDescent="0.2">
      <c r="A8" t="s">
        <v>190</v>
      </c>
      <c r="B8" t="s">
        <v>58</v>
      </c>
      <c r="C8">
        <v>6</v>
      </c>
      <c r="D8">
        <v>3</v>
      </c>
      <c r="E8">
        <v>4</v>
      </c>
      <c r="F8">
        <v>5</v>
      </c>
      <c r="G8">
        <v>3</v>
      </c>
      <c r="H8">
        <v>3</v>
      </c>
      <c r="I8">
        <v>6.2199999999999998E-2</v>
      </c>
      <c r="J8">
        <v>0.64300000000000002</v>
      </c>
      <c r="K8">
        <v>4.0000000000000002E-4</v>
      </c>
      <c r="L8" t="s">
        <v>17</v>
      </c>
      <c r="M8">
        <v>296</v>
      </c>
      <c r="N8" t="s">
        <v>1097</v>
      </c>
      <c r="O8" t="s">
        <v>1098</v>
      </c>
    </row>
    <row r="9" spans="1:15" x14ac:dyDescent="0.2">
      <c r="A9" t="s">
        <v>190</v>
      </c>
      <c r="B9" t="s">
        <v>58</v>
      </c>
      <c r="C9">
        <v>6</v>
      </c>
      <c r="D9">
        <v>0</v>
      </c>
      <c r="E9">
        <v>6</v>
      </c>
      <c r="F9">
        <v>6</v>
      </c>
      <c r="G9">
        <v>2</v>
      </c>
      <c r="H9">
        <v>5</v>
      </c>
      <c r="I9">
        <v>5.6599999999999998E-2</v>
      </c>
      <c r="J9">
        <v>0.53</v>
      </c>
      <c r="K9">
        <v>2.9999999999999997E-4</v>
      </c>
      <c r="L9" t="s">
        <v>17</v>
      </c>
      <c r="M9">
        <v>296</v>
      </c>
      <c r="N9" t="s">
        <v>1097</v>
      </c>
      <c r="O9" t="s">
        <v>1098</v>
      </c>
    </row>
    <row r="10" spans="1:15" x14ac:dyDescent="0.2">
      <c r="A10" t="s">
        <v>190</v>
      </c>
      <c r="B10" t="s">
        <v>58</v>
      </c>
      <c r="C10">
        <v>7</v>
      </c>
      <c r="D10">
        <v>4</v>
      </c>
      <c r="E10">
        <v>4</v>
      </c>
      <c r="F10">
        <v>6</v>
      </c>
      <c r="G10">
        <v>2</v>
      </c>
      <c r="H10">
        <v>5</v>
      </c>
      <c r="I10">
        <v>5.9799999999999999E-2</v>
      </c>
      <c r="J10">
        <v>0.502</v>
      </c>
      <c r="K10">
        <v>2.9999999999999997E-4</v>
      </c>
      <c r="L10" t="s">
        <v>17</v>
      </c>
      <c r="M10">
        <v>296</v>
      </c>
      <c r="N10" t="s">
        <v>1097</v>
      </c>
      <c r="O10" t="s">
        <v>1098</v>
      </c>
    </row>
    <row r="11" spans="1:15" x14ac:dyDescent="0.2">
      <c r="A11" t="s">
        <v>190</v>
      </c>
      <c r="B11" t="s">
        <v>58</v>
      </c>
      <c r="C11">
        <v>6</v>
      </c>
      <c r="D11">
        <v>2</v>
      </c>
      <c r="E11">
        <v>5</v>
      </c>
      <c r="F11">
        <v>6</v>
      </c>
      <c r="G11">
        <v>2</v>
      </c>
      <c r="H11">
        <v>4</v>
      </c>
      <c r="I11">
        <v>6.8199999999999997E-2</v>
      </c>
      <c r="J11">
        <v>0.58699999999999997</v>
      </c>
      <c r="K11">
        <v>4.0000000000000002E-4</v>
      </c>
      <c r="L11" t="s">
        <v>17</v>
      </c>
      <c r="M11">
        <v>296</v>
      </c>
      <c r="N11" t="s">
        <v>1097</v>
      </c>
      <c r="O11" t="s">
        <v>1098</v>
      </c>
    </row>
    <row r="12" spans="1:15" x14ac:dyDescent="0.2">
      <c r="A12" t="s">
        <v>190</v>
      </c>
      <c r="B12" t="s">
        <v>58</v>
      </c>
      <c r="C12">
        <v>6</v>
      </c>
      <c r="D12">
        <v>1</v>
      </c>
      <c r="E12">
        <v>5</v>
      </c>
      <c r="F12">
        <v>6</v>
      </c>
      <c r="G12">
        <v>3</v>
      </c>
      <c r="H12">
        <v>4</v>
      </c>
      <c r="I12">
        <v>6.4000000000000001E-2</v>
      </c>
      <c r="J12">
        <v>0.46899999999999997</v>
      </c>
      <c r="K12">
        <v>2.9999999999999997E-4</v>
      </c>
      <c r="L12" t="s">
        <v>17</v>
      </c>
      <c r="M12">
        <v>296</v>
      </c>
      <c r="N12" t="s">
        <v>1097</v>
      </c>
      <c r="O12" t="s">
        <v>1098</v>
      </c>
    </row>
    <row r="13" spans="1:15" x14ac:dyDescent="0.2">
      <c r="A13" t="s">
        <v>190</v>
      </c>
      <c r="B13" t="s">
        <v>58</v>
      </c>
      <c r="C13">
        <v>5</v>
      </c>
      <c r="D13">
        <v>3</v>
      </c>
      <c r="E13">
        <v>2</v>
      </c>
      <c r="F13">
        <v>6</v>
      </c>
      <c r="G13">
        <v>3</v>
      </c>
      <c r="H13">
        <v>3</v>
      </c>
      <c r="I13">
        <v>6.8900000000000003E-2</v>
      </c>
      <c r="J13">
        <v>0.435</v>
      </c>
      <c r="K13">
        <v>2.9999999999999997E-4</v>
      </c>
      <c r="L13" t="s">
        <v>17</v>
      </c>
      <c r="M13">
        <v>296</v>
      </c>
      <c r="N13" t="s">
        <v>1097</v>
      </c>
      <c r="O13" t="s">
        <v>1098</v>
      </c>
    </row>
    <row r="14" spans="1:15" x14ac:dyDescent="0.2">
      <c r="A14" t="s">
        <v>190</v>
      </c>
      <c r="B14" t="s">
        <v>58</v>
      </c>
      <c r="C14">
        <v>6</v>
      </c>
      <c r="D14">
        <v>3</v>
      </c>
      <c r="E14">
        <v>4</v>
      </c>
      <c r="F14">
        <v>6</v>
      </c>
      <c r="G14">
        <v>3</v>
      </c>
      <c r="H14">
        <v>3</v>
      </c>
      <c r="I14">
        <v>6.6900000000000001E-2</v>
      </c>
      <c r="J14">
        <v>0.44800000000000001</v>
      </c>
      <c r="K14">
        <v>2.9999999999999997E-4</v>
      </c>
      <c r="L14" t="s">
        <v>17</v>
      </c>
      <c r="M14">
        <v>296</v>
      </c>
      <c r="N14" t="s">
        <v>1097</v>
      </c>
      <c r="O14" t="s">
        <v>1098</v>
      </c>
    </row>
    <row r="15" spans="1:15" x14ac:dyDescent="0.2">
      <c r="A15" t="s">
        <v>190</v>
      </c>
      <c r="B15" t="s">
        <v>58</v>
      </c>
      <c r="C15">
        <v>7</v>
      </c>
      <c r="D15">
        <v>3</v>
      </c>
      <c r="E15">
        <v>4</v>
      </c>
      <c r="F15">
        <v>6</v>
      </c>
      <c r="G15">
        <v>3</v>
      </c>
      <c r="H15">
        <v>3</v>
      </c>
      <c r="I15">
        <v>7.1599999999999997E-2</v>
      </c>
      <c r="J15">
        <v>0.55900000000000005</v>
      </c>
      <c r="K15">
        <v>4.0000000000000002E-4</v>
      </c>
      <c r="L15" t="s">
        <v>17</v>
      </c>
      <c r="M15">
        <v>296</v>
      </c>
      <c r="N15" t="s">
        <v>1097</v>
      </c>
      <c r="O15" t="s">
        <v>1098</v>
      </c>
    </row>
    <row r="16" spans="1:15" x14ac:dyDescent="0.2">
      <c r="A16" t="s">
        <v>190</v>
      </c>
      <c r="B16" t="s">
        <v>58</v>
      </c>
      <c r="C16">
        <v>6</v>
      </c>
      <c r="D16">
        <v>4</v>
      </c>
      <c r="E16">
        <v>3</v>
      </c>
      <c r="F16">
        <v>6</v>
      </c>
      <c r="G16">
        <v>4</v>
      </c>
      <c r="H16">
        <v>2</v>
      </c>
      <c r="I16">
        <v>5.8200000000000002E-2</v>
      </c>
      <c r="J16">
        <v>0.51500000000000001</v>
      </c>
      <c r="K16">
        <v>2.9999999999999997E-4</v>
      </c>
      <c r="L16" t="s">
        <v>17</v>
      </c>
      <c r="M16">
        <v>296</v>
      </c>
      <c r="N16" t="s">
        <v>1097</v>
      </c>
      <c r="O16" t="s">
        <v>1098</v>
      </c>
    </row>
    <row r="17" spans="1:15" x14ac:dyDescent="0.2">
      <c r="A17" t="s">
        <v>190</v>
      </c>
      <c r="B17" t="s">
        <v>58</v>
      </c>
      <c r="C17">
        <v>7</v>
      </c>
      <c r="D17">
        <v>1</v>
      </c>
      <c r="E17">
        <v>7</v>
      </c>
      <c r="F17">
        <v>6</v>
      </c>
      <c r="G17">
        <v>1</v>
      </c>
      <c r="H17">
        <v>6</v>
      </c>
      <c r="I17">
        <v>5.4199999999999998E-2</v>
      </c>
      <c r="J17">
        <v>0.55400000000000005</v>
      </c>
      <c r="K17">
        <v>2.9999999999999997E-4</v>
      </c>
      <c r="L17" t="s">
        <v>17</v>
      </c>
      <c r="M17">
        <v>296</v>
      </c>
      <c r="N17" t="s">
        <v>1097</v>
      </c>
      <c r="O17" t="s">
        <v>1098</v>
      </c>
    </row>
    <row r="18" spans="1:15" x14ac:dyDescent="0.2">
      <c r="A18" t="s">
        <v>190</v>
      </c>
      <c r="B18" t="s">
        <v>58</v>
      </c>
      <c r="C18">
        <v>8</v>
      </c>
      <c r="D18">
        <v>3</v>
      </c>
      <c r="E18">
        <v>5</v>
      </c>
      <c r="F18">
        <v>7</v>
      </c>
      <c r="G18">
        <v>1</v>
      </c>
      <c r="H18">
        <v>6</v>
      </c>
      <c r="I18">
        <v>6.6699999999999995E-2</v>
      </c>
      <c r="J18">
        <v>0.45</v>
      </c>
      <c r="K18">
        <v>2.9999999999999997E-4</v>
      </c>
      <c r="L18" t="s">
        <v>17</v>
      </c>
      <c r="M18">
        <v>296</v>
      </c>
      <c r="N18" t="s">
        <v>1097</v>
      </c>
      <c r="O18" t="s">
        <v>1098</v>
      </c>
    </row>
    <row r="19" spans="1:15" x14ac:dyDescent="0.2">
      <c r="A19" t="s">
        <v>190</v>
      </c>
      <c r="B19" t="s">
        <v>58</v>
      </c>
      <c r="C19">
        <v>8</v>
      </c>
      <c r="D19">
        <v>4</v>
      </c>
      <c r="E19">
        <v>4</v>
      </c>
      <c r="F19">
        <v>7</v>
      </c>
      <c r="G19">
        <v>2</v>
      </c>
      <c r="H19">
        <v>5</v>
      </c>
      <c r="I19">
        <v>6.9199999999999998E-2</v>
      </c>
      <c r="J19">
        <v>0.434</v>
      </c>
      <c r="K19">
        <v>2.9999999999999997E-4</v>
      </c>
      <c r="L19" t="s">
        <v>17</v>
      </c>
      <c r="M19">
        <v>296</v>
      </c>
      <c r="N19" t="s">
        <v>1097</v>
      </c>
      <c r="O19" t="s">
        <v>1098</v>
      </c>
    </row>
    <row r="20" spans="1:15" x14ac:dyDescent="0.2">
      <c r="A20" t="s">
        <v>190</v>
      </c>
      <c r="B20" t="s">
        <v>58</v>
      </c>
      <c r="C20">
        <v>7</v>
      </c>
      <c r="D20">
        <v>1</v>
      </c>
      <c r="E20">
        <v>6</v>
      </c>
      <c r="F20">
        <v>7</v>
      </c>
      <c r="G20">
        <v>3</v>
      </c>
      <c r="H20">
        <v>5</v>
      </c>
      <c r="I20">
        <v>5.8400000000000001E-2</v>
      </c>
      <c r="J20">
        <v>0.68500000000000005</v>
      </c>
      <c r="K20">
        <v>4.0000000000000002E-4</v>
      </c>
      <c r="L20" t="s">
        <v>17</v>
      </c>
      <c r="M20">
        <v>296</v>
      </c>
      <c r="N20" t="s">
        <v>1097</v>
      </c>
      <c r="O20" t="s">
        <v>1098</v>
      </c>
    </row>
    <row r="21" spans="1:15" x14ac:dyDescent="0.2">
      <c r="A21" t="s">
        <v>190</v>
      </c>
      <c r="B21" t="s">
        <v>58</v>
      </c>
      <c r="C21">
        <v>8</v>
      </c>
      <c r="D21">
        <v>3</v>
      </c>
      <c r="E21">
        <v>6</v>
      </c>
      <c r="F21">
        <v>7</v>
      </c>
      <c r="G21">
        <v>3</v>
      </c>
      <c r="H21">
        <v>5</v>
      </c>
      <c r="I21">
        <v>5.6899999999999999E-2</v>
      </c>
      <c r="J21">
        <v>0.52700000000000002</v>
      </c>
      <c r="K21">
        <v>2.9999999999999997E-4</v>
      </c>
      <c r="L21" t="s">
        <v>17</v>
      </c>
      <c r="M21">
        <v>296</v>
      </c>
      <c r="N21" t="s">
        <v>1097</v>
      </c>
      <c r="O21" t="s">
        <v>1098</v>
      </c>
    </row>
    <row r="22" spans="1:15" x14ac:dyDescent="0.2">
      <c r="A22" t="s">
        <v>190</v>
      </c>
      <c r="B22" t="s">
        <v>58</v>
      </c>
      <c r="C22">
        <v>7</v>
      </c>
      <c r="D22">
        <v>3</v>
      </c>
      <c r="E22">
        <v>5</v>
      </c>
      <c r="F22">
        <v>7</v>
      </c>
      <c r="G22">
        <v>3</v>
      </c>
      <c r="H22">
        <v>4</v>
      </c>
      <c r="I22">
        <v>6.5799999999999997E-2</v>
      </c>
      <c r="J22">
        <v>0.45600000000000002</v>
      </c>
      <c r="K22">
        <v>2.9999999999999997E-4</v>
      </c>
      <c r="L22" t="s">
        <v>17</v>
      </c>
      <c r="M22">
        <v>296</v>
      </c>
      <c r="N22" t="s">
        <v>1097</v>
      </c>
      <c r="O22" t="s">
        <v>1098</v>
      </c>
    </row>
    <row r="23" spans="1:15" x14ac:dyDescent="0.2">
      <c r="A23" t="s">
        <v>190</v>
      </c>
      <c r="B23" t="s">
        <v>58</v>
      </c>
      <c r="C23">
        <v>6</v>
      </c>
      <c r="D23">
        <v>4</v>
      </c>
      <c r="E23">
        <v>3</v>
      </c>
      <c r="F23">
        <v>7</v>
      </c>
      <c r="G23">
        <v>4</v>
      </c>
      <c r="H23">
        <v>4</v>
      </c>
      <c r="I23">
        <v>5.6599999999999998E-2</v>
      </c>
      <c r="J23">
        <v>0.53</v>
      </c>
      <c r="K23">
        <v>2.9999999999999997E-4</v>
      </c>
      <c r="L23" t="s">
        <v>17</v>
      </c>
      <c r="M23">
        <v>296</v>
      </c>
      <c r="N23" t="s">
        <v>1097</v>
      </c>
      <c r="O23" t="s">
        <v>1098</v>
      </c>
    </row>
    <row r="24" spans="1:15" x14ac:dyDescent="0.2">
      <c r="A24" t="s">
        <v>190</v>
      </c>
      <c r="B24" t="s">
        <v>58</v>
      </c>
      <c r="C24">
        <v>7</v>
      </c>
      <c r="D24">
        <v>4</v>
      </c>
      <c r="E24">
        <v>3</v>
      </c>
      <c r="F24">
        <v>7</v>
      </c>
      <c r="G24">
        <v>4</v>
      </c>
      <c r="H24">
        <v>4</v>
      </c>
      <c r="I24">
        <v>5.8999999999999997E-2</v>
      </c>
      <c r="J24">
        <v>0.67800000000000005</v>
      </c>
      <c r="K24">
        <v>4.0000000000000002E-4</v>
      </c>
      <c r="L24" t="s">
        <v>17</v>
      </c>
      <c r="M24">
        <v>296</v>
      </c>
      <c r="N24" t="s">
        <v>1097</v>
      </c>
      <c r="O24" t="s">
        <v>1098</v>
      </c>
    </row>
    <row r="25" spans="1:15" x14ac:dyDescent="0.2">
      <c r="A25" t="s">
        <v>190</v>
      </c>
      <c r="B25" t="s">
        <v>58</v>
      </c>
      <c r="C25">
        <v>7</v>
      </c>
      <c r="D25">
        <v>2</v>
      </c>
      <c r="E25">
        <v>5</v>
      </c>
      <c r="F25">
        <v>8</v>
      </c>
      <c r="G25">
        <v>2</v>
      </c>
      <c r="H25">
        <v>6</v>
      </c>
      <c r="I25">
        <v>6.54E-2</v>
      </c>
      <c r="J25">
        <v>0.45900000000000002</v>
      </c>
      <c r="K25">
        <v>2.9999999999999997E-4</v>
      </c>
      <c r="L25" t="s">
        <v>17</v>
      </c>
      <c r="M25">
        <v>296</v>
      </c>
      <c r="N25" t="s">
        <v>1097</v>
      </c>
      <c r="O25" t="s">
        <v>1098</v>
      </c>
    </row>
    <row r="26" spans="1:15" x14ac:dyDescent="0.2">
      <c r="A26" t="s">
        <v>190</v>
      </c>
      <c r="B26" t="s">
        <v>58</v>
      </c>
      <c r="C26">
        <v>7</v>
      </c>
      <c r="D26">
        <v>3</v>
      </c>
      <c r="E26">
        <v>5</v>
      </c>
      <c r="F26">
        <v>8</v>
      </c>
      <c r="G26">
        <v>3</v>
      </c>
      <c r="H26">
        <v>6</v>
      </c>
      <c r="I26">
        <v>5.6300000000000003E-2</v>
      </c>
      <c r="J26">
        <v>0.53300000000000003</v>
      </c>
      <c r="K26">
        <v>2.9999999999999997E-4</v>
      </c>
      <c r="L26" t="s">
        <v>17</v>
      </c>
      <c r="M26">
        <v>296</v>
      </c>
      <c r="N26" t="s">
        <v>1097</v>
      </c>
      <c r="O26" t="s">
        <v>1098</v>
      </c>
    </row>
    <row r="27" spans="1:15" x14ac:dyDescent="0.2">
      <c r="A27" t="s">
        <v>190</v>
      </c>
      <c r="B27" t="s">
        <v>58</v>
      </c>
      <c r="C27">
        <v>7</v>
      </c>
      <c r="D27">
        <v>3</v>
      </c>
      <c r="E27">
        <v>4</v>
      </c>
      <c r="F27">
        <v>8</v>
      </c>
      <c r="G27">
        <v>3</v>
      </c>
      <c r="H27">
        <v>5</v>
      </c>
      <c r="I27">
        <v>7.1400000000000005E-2</v>
      </c>
      <c r="J27">
        <v>0.42</v>
      </c>
      <c r="K27">
        <v>2.9999999999999997E-4</v>
      </c>
      <c r="L27" t="s">
        <v>17</v>
      </c>
      <c r="M27">
        <v>296</v>
      </c>
      <c r="N27" t="s">
        <v>1097</v>
      </c>
      <c r="O27" t="s">
        <v>1098</v>
      </c>
    </row>
    <row r="28" spans="1:15" x14ac:dyDescent="0.2">
      <c r="A28" t="s">
        <v>190</v>
      </c>
      <c r="B28" t="s">
        <v>58</v>
      </c>
      <c r="C28">
        <v>9</v>
      </c>
      <c r="D28">
        <v>3</v>
      </c>
      <c r="E28">
        <v>6</v>
      </c>
      <c r="F28">
        <v>8</v>
      </c>
      <c r="G28">
        <v>3</v>
      </c>
      <c r="H28">
        <v>5</v>
      </c>
      <c r="I28">
        <v>6.8000000000000005E-2</v>
      </c>
      <c r="J28">
        <v>0.441</v>
      </c>
      <c r="K28">
        <v>2.9999999999999997E-4</v>
      </c>
      <c r="L28" t="s">
        <v>17</v>
      </c>
      <c r="M28">
        <v>296</v>
      </c>
      <c r="N28" t="s">
        <v>1097</v>
      </c>
      <c r="O28" t="s">
        <v>1098</v>
      </c>
    </row>
    <row r="29" spans="1:15" x14ac:dyDescent="0.2">
      <c r="A29" t="s">
        <v>190</v>
      </c>
      <c r="B29" t="s">
        <v>58</v>
      </c>
      <c r="C29">
        <v>7</v>
      </c>
      <c r="D29">
        <v>4</v>
      </c>
      <c r="E29">
        <v>4</v>
      </c>
      <c r="F29">
        <v>8</v>
      </c>
      <c r="G29">
        <v>4</v>
      </c>
      <c r="H29">
        <v>5</v>
      </c>
      <c r="I29">
        <v>5.7200000000000001E-2</v>
      </c>
      <c r="J29">
        <v>0.69899999999999995</v>
      </c>
      <c r="K29">
        <v>4.0000000000000002E-4</v>
      </c>
      <c r="L29" t="s">
        <v>17</v>
      </c>
      <c r="M29">
        <v>296</v>
      </c>
      <c r="N29" t="s">
        <v>1097</v>
      </c>
      <c r="O29" t="s">
        <v>1098</v>
      </c>
    </row>
    <row r="30" spans="1:15" x14ac:dyDescent="0.2">
      <c r="A30" t="s">
        <v>190</v>
      </c>
      <c r="B30" t="s">
        <v>58</v>
      </c>
      <c r="C30">
        <v>9</v>
      </c>
      <c r="D30">
        <v>4</v>
      </c>
      <c r="E30">
        <v>6</v>
      </c>
      <c r="F30">
        <v>8</v>
      </c>
      <c r="G30">
        <v>4</v>
      </c>
      <c r="H30">
        <v>5</v>
      </c>
      <c r="I30">
        <v>5.74E-2</v>
      </c>
      <c r="J30">
        <v>0.52200000000000002</v>
      </c>
      <c r="K30">
        <v>2.9999999999999997E-4</v>
      </c>
      <c r="L30" t="s">
        <v>17</v>
      </c>
      <c r="M30">
        <v>296</v>
      </c>
      <c r="N30" t="s">
        <v>1097</v>
      </c>
      <c r="O30" t="s">
        <v>1098</v>
      </c>
    </row>
    <row r="31" spans="1:15" x14ac:dyDescent="0.2">
      <c r="A31" t="s">
        <v>190</v>
      </c>
      <c r="B31" t="s">
        <v>58</v>
      </c>
      <c r="C31">
        <v>7</v>
      </c>
      <c r="D31">
        <v>5</v>
      </c>
      <c r="E31">
        <v>3</v>
      </c>
      <c r="F31">
        <v>8</v>
      </c>
      <c r="G31">
        <v>5</v>
      </c>
      <c r="H31">
        <v>4</v>
      </c>
      <c r="I31">
        <v>5.5199999999999999E-2</v>
      </c>
      <c r="J31">
        <v>0.54300000000000004</v>
      </c>
      <c r="K31">
        <v>2.9999999999999997E-4</v>
      </c>
      <c r="L31" t="s">
        <v>17</v>
      </c>
      <c r="M31">
        <v>296</v>
      </c>
      <c r="N31" t="s">
        <v>1097</v>
      </c>
      <c r="O31" t="s">
        <v>1098</v>
      </c>
    </row>
    <row r="32" spans="1:15" ht="340" x14ac:dyDescent="0.2">
      <c r="A32" t="s">
        <v>190</v>
      </c>
      <c r="B32" t="s">
        <v>58</v>
      </c>
      <c r="C32">
        <v>9</v>
      </c>
      <c r="D32">
        <v>5</v>
      </c>
      <c r="E32">
        <v>5</v>
      </c>
      <c r="F32">
        <v>8</v>
      </c>
      <c r="G32">
        <v>5</v>
      </c>
      <c r="H32">
        <v>4</v>
      </c>
      <c r="I32">
        <v>5.6399999999999999E-2</v>
      </c>
      <c r="J32">
        <v>0.53200000000000003</v>
      </c>
      <c r="K32">
        <v>2.9999999999999997E-4</v>
      </c>
      <c r="L32" t="s">
        <v>17</v>
      </c>
      <c r="M32">
        <v>296</v>
      </c>
      <c r="N32" t="s">
        <v>1097</v>
      </c>
      <c r="O32" s="6" t="s">
        <v>1098</v>
      </c>
    </row>
    <row r="33" spans="1:15" x14ac:dyDescent="0.2">
      <c r="A33" t="s">
        <v>190</v>
      </c>
      <c r="B33" t="s">
        <v>58</v>
      </c>
      <c r="C33">
        <v>10</v>
      </c>
      <c r="D33">
        <v>1</v>
      </c>
      <c r="E33">
        <v>9</v>
      </c>
      <c r="F33">
        <v>9</v>
      </c>
      <c r="G33">
        <v>1</v>
      </c>
      <c r="H33">
        <v>8</v>
      </c>
      <c r="I33">
        <v>4.5499999999999999E-2</v>
      </c>
      <c r="J33">
        <v>0.65900000000000003</v>
      </c>
      <c r="K33">
        <v>2.9999999999999997E-4</v>
      </c>
      <c r="L33" t="s">
        <v>17</v>
      </c>
      <c r="M33">
        <v>296</v>
      </c>
      <c r="N33" t="s">
        <v>1097</v>
      </c>
      <c r="O33" t="s">
        <v>1098</v>
      </c>
    </row>
    <row r="34" spans="1:15" x14ac:dyDescent="0.2">
      <c r="A34" t="s">
        <v>190</v>
      </c>
      <c r="B34" t="s">
        <v>58</v>
      </c>
      <c r="C34">
        <v>10</v>
      </c>
      <c r="D34">
        <v>3</v>
      </c>
      <c r="E34">
        <v>7</v>
      </c>
      <c r="F34">
        <v>9</v>
      </c>
      <c r="G34">
        <v>3</v>
      </c>
      <c r="H34">
        <v>6</v>
      </c>
      <c r="I34">
        <v>6.8500000000000005E-2</v>
      </c>
      <c r="J34">
        <v>0.438</v>
      </c>
      <c r="K34">
        <v>2.9999999999999997E-4</v>
      </c>
      <c r="L34" t="s">
        <v>17</v>
      </c>
      <c r="M34">
        <v>296</v>
      </c>
      <c r="N34" t="s">
        <v>1097</v>
      </c>
      <c r="O34" t="s">
        <v>1098</v>
      </c>
    </row>
    <row r="35" spans="1:15" x14ac:dyDescent="0.2">
      <c r="A35" t="s">
        <v>190</v>
      </c>
      <c r="B35" t="s">
        <v>58</v>
      </c>
      <c r="C35">
        <v>10</v>
      </c>
      <c r="D35">
        <v>4</v>
      </c>
      <c r="E35">
        <v>7</v>
      </c>
      <c r="F35">
        <v>9</v>
      </c>
      <c r="G35">
        <v>4</v>
      </c>
      <c r="H35">
        <v>6</v>
      </c>
      <c r="I35">
        <v>5.5100000000000003E-2</v>
      </c>
      <c r="J35">
        <v>0.72599999999999998</v>
      </c>
      <c r="K35">
        <v>4.0000000000000002E-4</v>
      </c>
      <c r="L35" t="s">
        <v>17</v>
      </c>
      <c r="M35">
        <v>296</v>
      </c>
      <c r="N35" t="s">
        <v>1097</v>
      </c>
      <c r="O35" t="s">
        <v>1098</v>
      </c>
    </row>
    <row r="36" spans="1:15" x14ac:dyDescent="0.2">
      <c r="A36" t="s">
        <v>190</v>
      </c>
      <c r="B36" t="s">
        <v>58</v>
      </c>
      <c r="C36">
        <v>10</v>
      </c>
      <c r="D36">
        <v>4</v>
      </c>
      <c r="E36">
        <v>6</v>
      </c>
      <c r="F36">
        <v>9</v>
      </c>
      <c r="G36">
        <v>4</v>
      </c>
      <c r="H36">
        <v>5</v>
      </c>
      <c r="I36">
        <v>6.9500000000000006E-2</v>
      </c>
      <c r="J36">
        <v>0.432</v>
      </c>
      <c r="K36">
        <v>2.9999999999999997E-4</v>
      </c>
      <c r="L36" t="s">
        <v>17</v>
      </c>
      <c r="M36">
        <v>296</v>
      </c>
      <c r="N36" t="s">
        <v>1097</v>
      </c>
      <c r="O36" t="s">
        <v>1098</v>
      </c>
    </row>
    <row r="37" spans="1:15" x14ac:dyDescent="0.2">
      <c r="A37" t="s">
        <v>190</v>
      </c>
      <c r="B37" t="s">
        <v>58</v>
      </c>
      <c r="C37">
        <v>10</v>
      </c>
      <c r="D37">
        <v>5</v>
      </c>
      <c r="E37">
        <v>5</v>
      </c>
      <c r="F37">
        <v>9</v>
      </c>
      <c r="G37">
        <v>5</v>
      </c>
      <c r="H37">
        <v>4</v>
      </c>
      <c r="I37">
        <v>6.1100000000000002E-2</v>
      </c>
      <c r="J37">
        <v>0.49099999999999999</v>
      </c>
      <c r="K37">
        <v>2.9999999999999997E-4</v>
      </c>
      <c r="L37" t="s">
        <v>17</v>
      </c>
      <c r="M37">
        <v>296</v>
      </c>
      <c r="N37" t="s">
        <v>1097</v>
      </c>
      <c r="O37" t="s">
        <v>1098</v>
      </c>
    </row>
    <row r="38" spans="1:15" x14ac:dyDescent="0.2">
      <c r="A38" t="s">
        <v>190</v>
      </c>
      <c r="B38" t="s">
        <v>58</v>
      </c>
      <c r="C38">
        <v>9</v>
      </c>
      <c r="D38">
        <v>0</v>
      </c>
      <c r="E38">
        <v>9</v>
      </c>
      <c r="F38">
        <v>10</v>
      </c>
      <c r="G38">
        <v>0</v>
      </c>
      <c r="H38">
        <v>10</v>
      </c>
      <c r="I38">
        <v>3.7900000000000003E-2</v>
      </c>
      <c r="J38">
        <v>0.79200000000000004</v>
      </c>
      <c r="K38">
        <v>2.9999999999999997E-4</v>
      </c>
      <c r="L38" t="s">
        <v>17</v>
      </c>
      <c r="M38">
        <v>296</v>
      </c>
      <c r="N38" t="s">
        <v>1097</v>
      </c>
      <c r="O38" t="s">
        <v>1098</v>
      </c>
    </row>
    <row r="39" spans="1:15" x14ac:dyDescent="0.2">
      <c r="A39" t="s">
        <v>190</v>
      </c>
      <c r="B39" t="s">
        <v>58</v>
      </c>
      <c r="C39">
        <v>9</v>
      </c>
      <c r="D39">
        <v>1</v>
      </c>
      <c r="E39">
        <v>8</v>
      </c>
      <c r="F39">
        <v>10</v>
      </c>
      <c r="G39">
        <v>1</v>
      </c>
      <c r="H39">
        <v>9</v>
      </c>
      <c r="I39">
        <v>4.4699999999999997E-2</v>
      </c>
      <c r="J39">
        <v>0.67100000000000004</v>
      </c>
      <c r="K39">
        <v>2.9999999999999997E-4</v>
      </c>
      <c r="L39" t="s">
        <v>17</v>
      </c>
      <c r="M39">
        <v>296</v>
      </c>
      <c r="N39" t="s">
        <v>1097</v>
      </c>
      <c r="O39" t="s">
        <v>1098</v>
      </c>
    </row>
    <row r="40" spans="1:15" x14ac:dyDescent="0.2">
      <c r="A40" t="s">
        <v>190</v>
      </c>
      <c r="B40" t="s">
        <v>58</v>
      </c>
      <c r="C40">
        <v>9</v>
      </c>
      <c r="D40">
        <v>2</v>
      </c>
      <c r="E40">
        <v>8</v>
      </c>
      <c r="F40">
        <v>10</v>
      </c>
      <c r="G40">
        <v>2</v>
      </c>
      <c r="H40">
        <v>9</v>
      </c>
      <c r="I40">
        <v>4.5199999999999997E-2</v>
      </c>
      <c r="J40">
        <v>0.66400000000000003</v>
      </c>
      <c r="K40">
        <v>2.9999999999999997E-4</v>
      </c>
      <c r="L40" t="s">
        <v>17</v>
      </c>
      <c r="M40">
        <v>296</v>
      </c>
      <c r="N40" t="s">
        <v>1097</v>
      </c>
      <c r="O40" t="s">
        <v>1098</v>
      </c>
    </row>
    <row r="41" spans="1:15" x14ac:dyDescent="0.2">
      <c r="A41" t="s">
        <v>190</v>
      </c>
      <c r="B41" t="s">
        <v>58</v>
      </c>
      <c r="C41">
        <v>9</v>
      </c>
      <c r="D41">
        <v>3</v>
      </c>
      <c r="E41">
        <v>7</v>
      </c>
      <c r="F41">
        <v>10</v>
      </c>
      <c r="G41">
        <v>3</v>
      </c>
      <c r="H41">
        <v>8</v>
      </c>
      <c r="I41">
        <v>5.1200000000000002E-2</v>
      </c>
      <c r="J41">
        <v>0.78100000000000003</v>
      </c>
      <c r="K41">
        <v>4.0000000000000002E-4</v>
      </c>
      <c r="L41" t="s">
        <v>17</v>
      </c>
      <c r="M41">
        <v>296</v>
      </c>
      <c r="N41" t="s">
        <v>1097</v>
      </c>
      <c r="O41" t="s">
        <v>1098</v>
      </c>
    </row>
    <row r="42" spans="1:15" x14ac:dyDescent="0.2">
      <c r="A42" t="s">
        <v>190</v>
      </c>
      <c r="B42" t="s">
        <v>58</v>
      </c>
      <c r="C42">
        <v>11</v>
      </c>
      <c r="D42">
        <v>4</v>
      </c>
      <c r="E42">
        <v>8</v>
      </c>
      <c r="F42">
        <v>10</v>
      </c>
      <c r="G42">
        <v>4</v>
      </c>
      <c r="H42">
        <v>7</v>
      </c>
      <c r="I42">
        <v>5.57E-2</v>
      </c>
      <c r="J42">
        <v>0.53900000000000003</v>
      </c>
      <c r="K42">
        <v>2.9999999999999997E-4</v>
      </c>
      <c r="L42" t="s">
        <v>17</v>
      </c>
      <c r="M42">
        <v>296</v>
      </c>
      <c r="N42" t="s">
        <v>1097</v>
      </c>
      <c r="O42" t="s">
        <v>1098</v>
      </c>
    </row>
    <row r="43" spans="1:15" x14ac:dyDescent="0.2">
      <c r="A43" t="s">
        <v>190</v>
      </c>
      <c r="B43" t="s">
        <v>58</v>
      </c>
      <c r="C43">
        <v>12</v>
      </c>
      <c r="D43">
        <v>1</v>
      </c>
      <c r="E43">
        <v>11</v>
      </c>
      <c r="F43">
        <v>11</v>
      </c>
      <c r="G43">
        <v>1</v>
      </c>
      <c r="H43">
        <v>10</v>
      </c>
      <c r="I43">
        <v>4.2599999999999999E-2</v>
      </c>
      <c r="J43">
        <v>0.70399999999999996</v>
      </c>
      <c r="K43">
        <v>2.9999999999999997E-4</v>
      </c>
      <c r="L43" t="s">
        <v>17</v>
      </c>
      <c r="M43">
        <v>296</v>
      </c>
      <c r="N43" t="s">
        <v>1097</v>
      </c>
      <c r="O43" t="s">
        <v>1098</v>
      </c>
    </row>
    <row r="44" spans="1:15" x14ac:dyDescent="0.2">
      <c r="A44" t="s">
        <v>190</v>
      </c>
      <c r="B44" t="s">
        <v>58</v>
      </c>
      <c r="C44">
        <v>12</v>
      </c>
      <c r="D44">
        <v>2</v>
      </c>
      <c r="E44">
        <v>11</v>
      </c>
      <c r="F44">
        <v>11</v>
      </c>
      <c r="G44">
        <v>2</v>
      </c>
      <c r="H44">
        <v>10</v>
      </c>
      <c r="I44">
        <v>4.1799999999999997E-2</v>
      </c>
      <c r="J44">
        <v>0.71799999999999997</v>
      </c>
      <c r="K44">
        <v>2.9999999999999997E-4</v>
      </c>
      <c r="L44" t="s">
        <v>17</v>
      </c>
      <c r="M44">
        <v>296</v>
      </c>
      <c r="N44" t="s">
        <v>1097</v>
      </c>
      <c r="O44" t="s">
        <v>1098</v>
      </c>
    </row>
    <row r="45" spans="1:15" x14ac:dyDescent="0.2">
      <c r="A45" t="s">
        <v>190</v>
      </c>
      <c r="B45" t="s">
        <v>58</v>
      </c>
      <c r="C45">
        <v>12</v>
      </c>
      <c r="D45">
        <v>2</v>
      </c>
      <c r="E45">
        <v>10</v>
      </c>
      <c r="F45">
        <v>11</v>
      </c>
      <c r="G45">
        <v>2</v>
      </c>
      <c r="H45">
        <v>9</v>
      </c>
      <c r="I45">
        <v>5.3600000000000002E-2</v>
      </c>
      <c r="J45">
        <v>0.56000000000000005</v>
      </c>
      <c r="K45">
        <v>2.9999999999999997E-4</v>
      </c>
      <c r="L45" t="s">
        <v>17</v>
      </c>
      <c r="M45">
        <v>296</v>
      </c>
      <c r="N45" t="s">
        <v>1097</v>
      </c>
      <c r="O45" t="s">
        <v>1098</v>
      </c>
    </row>
    <row r="46" spans="1:15" x14ac:dyDescent="0.2">
      <c r="A46" t="s">
        <v>190</v>
      </c>
      <c r="B46" t="s">
        <v>58</v>
      </c>
      <c r="C46">
        <v>1</v>
      </c>
      <c r="D46">
        <v>0</v>
      </c>
      <c r="E46">
        <v>1</v>
      </c>
      <c r="F46">
        <v>0</v>
      </c>
      <c r="G46">
        <v>0</v>
      </c>
      <c r="H46">
        <v>0</v>
      </c>
      <c r="I46">
        <v>8.7300000000000003E-2</v>
      </c>
      <c r="J46">
        <v>0.34399999999999997</v>
      </c>
      <c r="K46">
        <v>2.9999999999999997E-4</v>
      </c>
      <c r="L46" t="s">
        <v>17</v>
      </c>
      <c r="M46">
        <v>296</v>
      </c>
      <c r="N46" t="s">
        <v>1097</v>
      </c>
      <c r="O46" t="s">
        <v>1098</v>
      </c>
    </row>
    <row r="47" spans="1:15" x14ac:dyDescent="0.2">
      <c r="A47" t="s">
        <v>190</v>
      </c>
      <c r="B47" t="s">
        <v>58</v>
      </c>
      <c r="C47">
        <v>0</v>
      </c>
      <c r="D47">
        <v>0</v>
      </c>
      <c r="E47">
        <v>0</v>
      </c>
      <c r="F47">
        <v>1</v>
      </c>
      <c r="G47">
        <v>0</v>
      </c>
      <c r="H47">
        <v>1</v>
      </c>
      <c r="I47">
        <v>8.9099999999999999E-2</v>
      </c>
      <c r="J47">
        <v>0.44900000000000001</v>
      </c>
      <c r="K47">
        <v>4.0000000000000002E-4</v>
      </c>
      <c r="L47" t="s">
        <v>17</v>
      </c>
      <c r="M47">
        <v>296</v>
      </c>
      <c r="N47" t="s">
        <v>1097</v>
      </c>
      <c r="O47" t="s">
        <v>1098</v>
      </c>
    </row>
    <row r="48" spans="1:15" x14ac:dyDescent="0.2">
      <c r="A48" t="s">
        <v>190</v>
      </c>
      <c r="B48" t="s">
        <v>58</v>
      </c>
      <c r="C48">
        <v>1</v>
      </c>
      <c r="D48">
        <v>1</v>
      </c>
      <c r="E48">
        <v>0</v>
      </c>
      <c r="F48">
        <v>1</v>
      </c>
      <c r="G48">
        <v>1</v>
      </c>
      <c r="H48">
        <v>1</v>
      </c>
      <c r="I48">
        <v>9.4E-2</v>
      </c>
      <c r="J48">
        <v>0.31900000000000001</v>
      </c>
      <c r="K48">
        <v>2.9999999999999997E-4</v>
      </c>
      <c r="L48" t="s">
        <v>17</v>
      </c>
      <c r="M48">
        <v>296</v>
      </c>
      <c r="N48" t="s">
        <v>1097</v>
      </c>
      <c r="O48" t="s">
        <v>1098</v>
      </c>
    </row>
    <row r="49" spans="1:15" x14ac:dyDescent="0.2">
      <c r="A49" t="s">
        <v>190</v>
      </c>
      <c r="B49" t="s">
        <v>58</v>
      </c>
      <c r="C49">
        <v>1</v>
      </c>
      <c r="D49">
        <v>1</v>
      </c>
      <c r="E49">
        <v>0</v>
      </c>
      <c r="F49">
        <v>2</v>
      </c>
      <c r="G49">
        <v>1</v>
      </c>
      <c r="H49">
        <v>1</v>
      </c>
      <c r="I49">
        <v>8.7999999999999995E-2</v>
      </c>
      <c r="J49">
        <v>0.34100000000000003</v>
      </c>
      <c r="K49">
        <v>2.9999999999999997E-4</v>
      </c>
      <c r="L49" t="s">
        <v>17</v>
      </c>
      <c r="M49">
        <v>296</v>
      </c>
      <c r="N49" t="s">
        <v>1097</v>
      </c>
      <c r="O49" t="s">
        <v>1098</v>
      </c>
    </row>
    <row r="50" spans="1:15" x14ac:dyDescent="0.2">
      <c r="A50" t="s">
        <v>190</v>
      </c>
      <c r="B50" t="s">
        <v>58</v>
      </c>
      <c r="C50">
        <v>2</v>
      </c>
      <c r="D50">
        <v>1</v>
      </c>
      <c r="E50">
        <v>2</v>
      </c>
      <c r="F50">
        <v>2</v>
      </c>
      <c r="G50">
        <v>1</v>
      </c>
      <c r="H50">
        <v>1</v>
      </c>
      <c r="I50">
        <v>9.1899999999999996E-2</v>
      </c>
      <c r="J50">
        <v>0.32700000000000001</v>
      </c>
      <c r="K50">
        <v>2.9999999999999997E-4</v>
      </c>
      <c r="L50" t="s">
        <v>17</v>
      </c>
      <c r="M50">
        <v>296</v>
      </c>
      <c r="N50" t="s">
        <v>1097</v>
      </c>
      <c r="O50" t="s">
        <v>1098</v>
      </c>
    </row>
    <row r="51" spans="1:15" x14ac:dyDescent="0.2">
      <c r="A51" t="s">
        <v>190</v>
      </c>
      <c r="B51" t="s">
        <v>58</v>
      </c>
      <c r="C51">
        <v>3</v>
      </c>
      <c r="D51">
        <v>1</v>
      </c>
      <c r="E51">
        <v>2</v>
      </c>
      <c r="F51">
        <v>2</v>
      </c>
      <c r="G51">
        <v>1</v>
      </c>
      <c r="H51">
        <v>1</v>
      </c>
      <c r="I51">
        <v>8.3699999999999997E-2</v>
      </c>
      <c r="J51">
        <v>0.47799999999999998</v>
      </c>
      <c r="K51">
        <v>4.0000000000000002E-4</v>
      </c>
      <c r="L51" t="s">
        <v>17</v>
      </c>
      <c r="M51">
        <v>296</v>
      </c>
      <c r="N51" t="s">
        <v>1097</v>
      </c>
      <c r="O51" t="s">
        <v>1098</v>
      </c>
    </row>
    <row r="52" spans="1:15" x14ac:dyDescent="0.2">
      <c r="A52" t="s">
        <v>190</v>
      </c>
      <c r="B52" t="s">
        <v>58</v>
      </c>
      <c r="C52">
        <v>3</v>
      </c>
      <c r="D52">
        <v>2</v>
      </c>
      <c r="E52">
        <v>2</v>
      </c>
      <c r="F52">
        <v>2</v>
      </c>
      <c r="G52">
        <v>2</v>
      </c>
      <c r="H52">
        <v>1</v>
      </c>
      <c r="I52">
        <v>7.6200000000000004E-2</v>
      </c>
      <c r="J52">
        <v>0.39400000000000002</v>
      </c>
      <c r="K52">
        <v>2.9999999999999997E-4</v>
      </c>
      <c r="L52" t="s">
        <v>17</v>
      </c>
      <c r="M52">
        <v>296</v>
      </c>
      <c r="N52" t="s">
        <v>1097</v>
      </c>
      <c r="O52" t="s">
        <v>1098</v>
      </c>
    </row>
    <row r="53" spans="1:15" x14ac:dyDescent="0.2">
      <c r="A53" t="s">
        <v>190</v>
      </c>
      <c r="B53" t="s">
        <v>58</v>
      </c>
      <c r="C53">
        <v>2</v>
      </c>
      <c r="D53">
        <v>1</v>
      </c>
      <c r="E53">
        <v>2</v>
      </c>
      <c r="F53">
        <v>3</v>
      </c>
      <c r="G53">
        <v>1</v>
      </c>
      <c r="H53">
        <v>3</v>
      </c>
      <c r="I53">
        <v>7.8299999999999995E-2</v>
      </c>
      <c r="J53">
        <v>0.38300000000000001</v>
      </c>
      <c r="K53">
        <v>2.9999999999999997E-4</v>
      </c>
      <c r="L53" t="s">
        <v>17</v>
      </c>
      <c r="M53">
        <v>296</v>
      </c>
      <c r="N53" t="s">
        <v>1097</v>
      </c>
      <c r="O53" t="s">
        <v>1098</v>
      </c>
    </row>
    <row r="54" spans="1:15" x14ac:dyDescent="0.2">
      <c r="A54" t="s">
        <v>190</v>
      </c>
      <c r="B54" t="s">
        <v>58</v>
      </c>
      <c r="C54">
        <v>2</v>
      </c>
      <c r="D54">
        <v>1</v>
      </c>
      <c r="E54">
        <v>1</v>
      </c>
      <c r="F54">
        <v>3</v>
      </c>
      <c r="G54">
        <v>1</v>
      </c>
      <c r="H54">
        <v>2</v>
      </c>
      <c r="I54">
        <v>8.6800000000000002E-2</v>
      </c>
      <c r="J54">
        <v>0.34599999999999997</v>
      </c>
      <c r="K54">
        <v>2.9999999999999997E-4</v>
      </c>
      <c r="L54" t="s">
        <v>17</v>
      </c>
      <c r="M54">
        <v>296</v>
      </c>
      <c r="N54" t="s">
        <v>1097</v>
      </c>
      <c r="O54" t="s">
        <v>1098</v>
      </c>
    </row>
    <row r="55" spans="1:15" x14ac:dyDescent="0.2">
      <c r="A55" t="s">
        <v>190</v>
      </c>
      <c r="B55" t="s">
        <v>58</v>
      </c>
      <c r="C55">
        <v>2</v>
      </c>
      <c r="D55">
        <v>2</v>
      </c>
      <c r="E55">
        <v>1</v>
      </c>
      <c r="F55">
        <v>3</v>
      </c>
      <c r="G55">
        <v>2</v>
      </c>
      <c r="H55">
        <v>2</v>
      </c>
      <c r="I55">
        <v>7.5600000000000001E-2</v>
      </c>
      <c r="J55">
        <v>0.39700000000000002</v>
      </c>
      <c r="K55">
        <v>2.9999999999999997E-4</v>
      </c>
      <c r="L55" t="s">
        <v>17</v>
      </c>
      <c r="M55">
        <v>296</v>
      </c>
      <c r="N55" t="s">
        <v>1097</v>
      </c>
      <c r="O55" t="s">
        <v>1098</v>
      </c>
    </row>
    <row r="56" spans="1:15" x14ac:dyDescent="0.2">
      <c r="A56" t="s">
        <v>190</v>
      </c>
      <c r="B56" t="s">
        <v>58</v>
      </c>
      <c r="C56">
        <v>3</v>
      </c>
      <c r="D56">
        <v>2</v>
      </c>
      <c r="E56">
        <v>1</v>
      </c>
      <c r="F56">
        <v>3</v>
      </c>
      <c r="G56">
        <v>2</v>
      </c>
      <c r="H56">
        <v>2</v>
      </c>
      <c r="I56">
        <v>7.3200000000000001E-2</v>
      </c>
      <c r="J56">
        <v>0.41</v>
      </c>
      <c r="K56">
        <v>2.9999999999999997E-4</v>
      </c>
      <c r="L56" t="s">
        <v>17</v>
      </c>
      <c r="M56">
        <v>296</v>
      </c>
      <c r="N56" t="s">
        <v>1097</v>
      </c>
      <c r="O56" t="s">
        <v>1098</v>
      </c>
    </row>
    <row r="57" spans="1:15" x14ac:dyDescent="0.2">
      <c r="A57" t="s">
        <v>190</v>
      </c>
      <c r="B57" t="s">
        <v>58</v>
      </c>
      <c r="C57">
        <v>4</v>
      </c>
      <c r="D57">
        <v>2</v>
      </c>
      <c r="E57">
        <v>3</v>
      </c>
      <c r="F57">
        <v>3</v>
      </c>
      <c r="G57">
        <v>2</v>
      </c>
      <c r="H57">
        <v>2</v>
      </c>
      <c r="I57">
        <v>6.8900000000000003E-2</v>
      </c>
      <c r="J57">
        <v>0.57999999999999996</v>
      </c>
      <c r="K57">
        <v>4.0000000000000002E-4</v>
      </c>
      <c r="L57" t="s">
        <v>17</v>
      </c>
      <c r="M57">
        <v>296</v>
      </c>
      <c r="N57" t="s">
        <v>1097</v>
      </c>
      <c r="O57" t="s">
        <v>1098</v>
      </c>
    </row>
    <row r="58" spans="1:15" x14ac:dyDescent="0.2">
      <c r="A58" t="s">
        <v>190</v>
      </c>
      <c r="B58" t="s">
        <v>58</v>
      </c>
      <c r="C58">
        <v>3</v>
      </c>
      <c r="D58">
        <v>1</v>
      </c>
      <c r="E58">
        <v>3</v>
      </c>
      <c r="F58">
        <v>4</v>
      </c>
      <c r="G58">
        <v>1</v>
      </c>
      <c r="H58">
        <v>4</v>
      </c>
      <c r="I58">
        <v>7.1499999999999994E-2</v>
      </c>
      <c r="J58">
        <v>0.42</v>
      </c>
      <c r="K58">
        <v>2.9999999999999997E-4</v>
      </c>
      <c r="L58" t="s">
        <v>17</v>
      </c>
      <c r="M58">
        <v>296</v>
      </c>
      <c r="N58" t="s">
        <v>1097</v>
      </c>
      <c r="O58" t="s">
        <v>1098</v>
      </c>
    </row>
    <row r="59" spans="1:15" x14ac:dyDescent="0.2">
      <c r="A59" t="s">
        <v>190</v>
      </c>
      <c r="B59" t="s">
        <v>58</v>
      </c>
      <c r="C59">
        <v>3</v>
      </c>
      <c r="D59">
        <v>1</v>
      </c>
      <c r="E59">
        <v>2</v>
      </c>
      <c r="F59">
        <v>4</v>
      </c>
      <c r="G59">
        <v>1</v>
      </c>
      <c r="H59">
        <v>3</v>
      </c>
      <c r="I59">
        <v>7.8700000000000006E-2</v>
      </c>
      <c r="J59">
        <v>0.38100000000000001</v>
      </c>
      <c r="K59">
        <v>2.9999999999999997E-4</v>
      </c>
      <c r="L59" t="s">
        <v>17</v>
      </c>
      <c r="M59">
        <v>296</v>
      </c>
      <c r="N59" t="s">
        <v>1097</v>
      </c>
      <c r="O59" t="s">
        <v>1098</v>
      </c>
    </row>
    <row r="60" spans="1:15" x14ac:dyDescent="0.2">
      <c r="A60" t="s">
        <v>190</v>
      </c>
      <c r="B60" t="s">
        <v>58</v>
      </c>
      <c r="C60">
        <v>4</v>
      </c>
      <c r="D60">
        <v>2</v>
      </c>
      <c r="E60">
        <v>2</v>
      </c>
      <c r="F60">
        <v>4</v>
      </c>
      <c r="G60">
        <v>2</v>
      </c>
      <c r="H60">
        <v>3</v>
      </c>
      <c r="I60">
        <v>6.8900000000000003E-2</v>
      </c>
      <c r="J60">
        <v>0.435</v>
      </c>
      <c r="K60">
        <v>2.9999999999999997E-4</v>
      </c>
      <c r="L60" t="s">
        <v>17</v>
      </c>
      <c r="M60">
        <v>296</v>
      </c>
      <c r="N60" t="s">
        <v>1097</v>
      </c>
      <c r="O60" t="s">
        <v>1098</v>
      </c>
    </row>
    <row r="61" spans="1:15" x14ac:dyDescent="0.2">
      <c r="A61" t="s">
        <v>190</v>
      </c>
      <c r="B61" t="s">
        <v>58</v>
      </c>
      <c r="C61">
        <v>3</v>
      </c>
      <c r="D61">
        <v>2</v>
      </c>
      <c r="E61">
        <v>1</v>
      </c>
      <c r="F61">
        <v>4</v>
      </c>
      <c r="G61">
        <v>2</v>
      </c>
      <c r="H61">
        <v>2</v>
      </c>
      <c r="I61">
        <v>7.3899999999999993E-2</v>
      </c>
      <c r="J61">
        <v>0.40600000000000003</v>
      </c>
      <c r="K61">
        <v>2.9999999999999997E-4</v>
      </c>
      <c r="L61" t="s">
        <v>17</v>
      </c>
      <c r="M61">
        <v>296</v>
      </c>
      <c r="N61" t="s">
        <v>1097</v>
      </c>
      <c r="O61" t="s">
        <v>1098</v>
      </c>
    </row>
    <row r="62" spans="1:15" x14ac:dyDescent="0.2">
      <c r="A62" t="s">
        <v>190</v>
      </c>
      <c r="B62" t="s">
        <v>58</v>
      </c>
      <c r="C62">
        <v>3</v>
      </c>
      <c r="D62">
        <v>3</v>
      </c>
      <c r="E62">
        <v>1</v>
      </c>
      <c r="F62">
        <v>4</v>
      </c>
      <c r="G62">
        <v>3</v>
      </c>
      <c r="H62">
        <v>2</v>
      </c>
      <c r="I62">
        <v>6.08E-2</v>
      </c>
      <c r="J62">
        <v>0.49299999999999999</v>
      </c>
      <c r="K62">
        <v>2.9999999999999997E-4</v>
      </c>
      <c r="L62" t="s">
        <v>17</v>
      </c>
      <c r="M62">
        <v>296</v>
      </c>
      <c r="N62" t="s">
        <v>1097</v>
      </c>
      <c r="O62" t="s">
        <v>1098</v>
      </c>
    </row>
    <row r="63" spans="1:15" x14ac:dyDescent="0.2">
      <c r="A63" t="s">
        <v>190</v>
      </c>
      <c r="B63" t="s">
        <v>58</v>
      </c>
      <c r="C63">
        <v>5</v>
      </c>
      <c r="D63">
        <v>3</v>
      </c>
      <c r="E63">
        <v>3</v>
      </c>
      <c r="F63">
        <v>4</v>
      </c>
      <c r="G63">
        <v>3</v>
      </c>
      <c r="H63">
        <v>2</v>
      </c>
      <c r="I63">
        <v>5.8900000000000001E-2</v>
      </c>
      <c r="J63">
        <v>0.67900000000000005</v>
      </c>
      <c r="K63">
        <v>4.0000000000000002E-4</v>
      </c>
      <c r="L63" t="s">
        <v>17</v>
      </c>
      <c r="M63">
        <v>296</v>
      </c>
      <c r="N63" t="s">
        <v>1097</v>
      </c>
      <c r="O63" t="s">
        <v>1098</v>
      </c>
    </row>
    <row r="64" spans="1:15" x14ac:dyDescent="0.2">
      <c r="A64" t="s">
        <v>190</v>
      </c>
      <c r="B64" t="s">
        <v>58</v>
      </c>
      <c r="C64">
        <v>4</v>
      </c>
      <c r="D64">
        <v>3</v>
      </c>
      <c r="E64">
        <v>2</v>
      </c>
      <c r="F64">
        <v>4</v>
      </c>
      <c r="G64">
        <v>3</v>
      </c>
      <c r="H64">
        <v>1</v>
      </c>
      <c r="I64">
        <v>5.9799999999999999E-2</v>
      </c>
      <c r="J64">
        <v>0.502</v>
      </c>
      <c r="K64">
        <v>2.9999999999999997E-4</v>
      </c>
      <c r="L64" t="s">
        <v>17</v>
      </c>
      <c r="M64">
        <v>296</v>
      </c>
      <c r="N64" t="s">
        <v>1097</v>
      </c>
      <c r="O64" t="s">
        <v>1098</v>
      </c>
    </row>
    <row r="65" spans="1:15" x14ac:dyDescent="0.2">
      <c r="A65" t="s">
        <v>190</v>
      </c>
      <c r="B65" t="s">
        <v>58</v>
      </c>
      <c r="C65">
        <v>5</v>
      </c>
      <c r="D65">
        <v>3</v>
      </c>
      <c r="E65">
        <v>2</v>
      </c>
      <c r="F65">
        <v>4</v>
      </c>
      <c r="G65">
        <v>3</v>
      </c>
      <c r="H65">
        <v>1</v>
      </c>
      <c r="I65">
        <v>6.0999999999999999E-2</v>
      </c>
      <c r="J65">
        <v>0.49199999999999999</v>
      </c>
      <c r="K65">
        <v>2.9999999999999997E-4</v>
      </c>
      <c r="L65" t="s">
        <v>17</v>
      </c>
      <c r="M65">
        <v>296</v>
      </c>
      <c r="N65" t="s">
        <v>1097</v>
      </c>
      <c r="O65" t="s">
        <v>1098</v>
      </c>
    </row>
    <row r="66" spans="1:15" x14ac:dyDescent="0.2">
      <c r="A66" t="s">
        <v>190</v>
      </c>
      <c r="B66" t="s">
        <v>58</v>
      </c>
      <c r="C66">
        <v>4</v>
      </c>
      <c r="D66">
        <v>0</v>
      </c>
      <c r="E66">
        <v>4</v>
      </c>
      <c r="F66">
        <v>5</v>
      </c>
      <c r="G66">
        <v>0</v>
      </c>
      <c r="H66">
        <v>5</v>
      </c>
      <c r="I66">
        <v>6.2E-2</v>
      </c>
      <c r="J66">
        <v>0.48399999999999999</v>
      </c>
      <c r="K66">
        <v>2.9999999999999997E-4</v>
      </c>
      <c r="L66" t="s">
        <v>17</v>
      </c>
      <c r="M66">
        <v>296</v>
      </c>
      <c r="N66" t="s">
        <v>1097</v>
      </c>
      <c r="O66" t="s">
        <v>1098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6E4F0-27C3-F24C-9D0C-84D8D968A2E9}">
  <dimension ref="A1:R1793"/>
  <sheetViews>
    <sheetView topLeftCell="A1766" workbookViewId="0">
      <selection activeCell="R23" sqref="R23"/>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ht="17" x14ac:dyDescent="0.25">
      <c r="A2" t="s">
        <v>1099</v>
      </c>
      <c r="B2" t="s">
        <v>32</v>
      </c>
      <c r="C2" s="10">
        <v>64</v>
      </c>
      <c r="D2">
        <v>1</v>
      </c>
      <c r="E2">
        <v>64</v>
      </c>
      <c r="F2">
        <v>65</v>
      </c>
      <c r="G2">
        <v>1</v>
      </c>
      <c r="H2">
        <v>65</v>
      </c>
      <c r="I2">
        <v>0.12139999999999999</v>
      </c>
      <c r="J2">
        <f>K2/I2*100</f>
        <v>1.2355848434925865</v>
      </c>
      <c r="K2">
        <v>1.5E-3</v>
      </c>
      <c r="L2" t="s">
        <v>17</v>
      </c>
      <c r="M2">
        <v>296</v>
      </c>
      <c r="N2" t="s">
        <v>553</v>
      </c>
      <c r="O2" t="s">
        <v>1100</v>
      </c>
    </row>
    <row r="3" spans="1:15" x14ac:dyDescent="0.2">
      <c r="A3" t="s">
        <v>1099</v>
      </c>
      <c r="B3" t="s">
        <v>32</v>
      </c>
      <c r="C3">
        <v>62</v>
      </c>
      <c r="D3">
        <v>3</v>
      </c>
      <c r="E3">
        <v>60</v>
      </c>
      <c r="F3">
        <v>63</v>
      </c>
      <c r="G3">
        <v>3</v>
      </c>
      <c r="H3">
        <v>61</v>
      </c>
      <c r="I3">
        <v>0.16009999999999999</v>
      </c>
      <c r="J3">
        <f t="shared" ref="J3:J66" si="0">K3/I3*100</f>
        <v>1.249219237976265</v>
      </c>
      <c r="K3">
        <v>2E-3</v>
      </c>
      <c r="L3" t="s">
        <v>17</v>
      </c>
      <c r="M3">
        <v>296</v>
      </c>
      <c r="N3" t="s">
        <v>553</v>
      </c>
      <c r="O3" t="s">
        <v>1101</v>
      </c>
    </row>
    <row r="4" spans="1:15" x14ac:dyDescent="0.2">
      <c r="A4" t="s">
        <v>1099</v>
      </c>
      <c r="B4" t="s">
        <v>32</v>
      </c>
      <c r="C4">
        <v>63</v>
      </c>
      <c r="D4">
        <v>0</v>
      </c>
      <c r="E4">
        <v>63</v>
      </c>
      <c r="F4">
        <v>64</v>
      </c>
      <c r="G4">
        <v>0</v>
      </c>
      <c r="H4">
        <v>64</v>
      </c>
      <c r="I4">
        <v>0.1603</v>
      </c>
      <c r="J4">
        <f t="shared" si="0"/>
        <v>0.68621334996880856</v>
      </c>
      <c r="K4">
        <v>1.1000000000000001E-3</v>
      </c>
      <c r="L4" t="s">
        <v>17</v>
      </c>
      <c r="M4">
        <v>296</v>
      </c>
      <c r="N4" t="s">
        <v>553</v>
      </c>
      <c r="O4" t="s">
        <v>1102</v>
      </c>
    </row>
    <row r="5" spans="1:15" x14ac:dyDescent="0.2">
      <c r="A5" t="s">
        <v>1099</v>
      </c>
      <c r="B5" t="s">
        <v>32</v>
      </c>
      <c r="C5">
        <v>62</v>
      </c>
      <c r="D5">
        <v>2</v>
      </c>
      <c r="E5">
        <v>61</v>
      </c>
      <c r="F5">
        <v>63</v>
      </c>
      <c r="G5">
        <v>2</v>
      </c>
      <c r="H5">
        <v>62</v>
      </c>
      <c r="I5">
        <v>0.13159999999999999</v>
      </c>
      <c r="J5">
        <f t="shared" si="0"/>
        <v>0.91185410334346495</v>
      </c>
      <c r="K5">
        <v>1.1999999999999999E-3</v>
      </c>
      <c r="L5" t="s">
        <v>17</v>
      </c>
      <c r="M5">
        <v>296</v>
      </c>
      <c r="N5" t="s">
        <v>553</v>
      </c>
      <c r="O5" t="s">
        <v>1103</v>
      </c>
    </row>
    <row r="6" spans="1:15" x14ac:dyDescent="0.2">
      <c r="A6" t="s">
        <v>1099</v>
      </c>
      <c r="B6" t="s">
        <v>32</v>
      </c>
      <c r="C6">
        <v>61</v>
      </c>
      <c r="D6">
        <v>2</v>
      </c>
      <c r="E6">
        <v>59</v>
      </c>
      <c r="F6">
        <v>62</v>
      </c>
      <c r="G6">
        <v>2</v>
      </c>
      <c r="H6">
        <v>60</v>
      </c>
      <c r="I6">
        <v>0.13109999999999999</v>
      </c>
      <c r="J6">
        <f t="shared" si="0"/>
        <v>0.91533180778032042</v>
      </c>
      <c r="K6">
        <v>1.1999999999999999E-3</v>
      </c>
      <c r="L6" t="s">
        <v>17</v>
      </c>
      <c r="M6">
        <v>296</v>
      </c>
      <c r="N6" t="s">
        <v>553</v>
      </c>
      <c r="O6" t="s">
        <v>1104</v>
      </c>
    </row>
    <row r="7" spans="1:15" ht="17" x14ac:dyDescent="0.25">
      <c r="A7" t="s">
        <v>1099</v>
      </c>
      <c r="B7" t="s">
        <v>32</v>
      </c>
      <c r="C7">
        <v>59</v>
      </c>
      <c r="D7">
        <v>4</v>
      </c>
      <c r="E7">
        <v>55</v>
      </c>
      <c r="F7">
        <v>60</v>
      </c>
      <c r="G7">
        <v>4</v>
      </c>
      <c r="H7">
        <v>56</v>
      </c>
      <c r="I7">
        <v>0.15659999999999999</v>
      </c>
      <c r="J7">
        <f t="shared" si="0"/>
        <v>0.89399744572158357</v>
      </c>
      <c r="K7">
        <v>1.4E-3</v>
      </c>
      <c r="L7" t="s">
        <v>17</v>
      </c>
      <c r="M7">
        <v>296</v>
      </c>
      <c r="N7" t="s">
        <v>553</v>
      </c>
      <c r="O7" s="10" t="s">
        <v>1107</v>
      </c>
    </row>
    <row r="8" spans="1:15" x14ac:dyDescent="0.2">
      <c r="A8" t="s">
        <v>1099</v>
      </c>
      <c r="B8" t="s">
        <v>32</v>
      </c>
      <c r="C8">
        <v>62</v>
      </c>
      <c r="D8">
        <v>1</v>
      </c>
      <c r="E8">
        <v>62</v>
      </c>
      <c r="F8">
        <v>63</v>
      </c>
      <c r="G8">
        <v>1</v>
      </c>
      <c r="H8">
        <v>63</v>
      </c>
      <c r="I8">
        <v>0.13639999999999999</v>
      </c>
      <c r="J8">
        <f t="shared" si="0"/>
        <v>0.80645161290322598</v>
      </c>
      <c r="K8">
        <v>1.1000000000000001E-3</v>
      </c>
      <c r="L8" t="s">
        <v>17</v>
      </c>
      <c r="M8">
        <v>296</v>
      </c>
      <c r="N8" t="s">
        <v>553</v>
      </c>
    </row>
    <row r="9" spans="1:15" x14ac:dyDescent="0.2">
      <c r="A9" t="s">
        <v>1099</v>
      </c>
      <c r="B9" t="s">
        <v>32</v>
      </c>
      <c r="C9">
        <v>61</v>
      </c>
      <c r="D9">
        <v>1</v>
      </c>
      <c r="E9">
        <v>60</v>
      </c>
      <c r="F9">
        <v>62</v>
      </c>
      <c r="G9">
        <v>1</v>
      </c>
      <c r="H9">
        <v>61</v>
      </c>
      <c r="I9">
        <v>0.14510000000000001</v>
      </c>
      <c r="J9">
        <f t="shared" si="0"/>
        <v>0.8959338387319089</v>
      </c>
      <c r="K9">
        <v>1.2999999999999999E-3</v>
      </c>
      <c r="L9" t="s">
        <v>17</v>
      </c>
      <c r="M9">
        <v>296</v>
      </c>
      <c r="N9" t="s">
        <v>553</v>
      </c>
    </row>
    <row r="10" spans="1:15" x14ac:dyDescent="0.2">
      <c r="A10" t="s">
        <v>1099</v>
      </c>
      <c r="B10" t="s">
        <v>32</v>
      </c>
      <c r="C10">
        <v>57</v>
      </c>
      <c r="D10">
        <v>5</v>
      </c>
      <c r="E10">
        <v>52</v>
      </c>
      <c r="F10">
        <v>58</v>
      </c>
      <c r="G10">
        <v>5</v>
      </c>
      <c r="H10">
        <v>53</v>
      </c>
      <c r="I10">
        <v>0.15870000000000001</v>
      </c>
      <c r="J10">
        <f t="shared" si="0"/>
        <v>1.0081915563957151</v>
      </c>
      <c r="K10">
        <v>1.6000000000000001E-3</v>
      </c>
      <c r="L10" t="s">
        <v>17</v>
      </c>
      <c r="M10">
        <v>296</v>
      </c>
      <c r="N10" t="s">
        <v>553</v>
      </c>
    </row>
    <row r="11" spans="1:15" x14ac:dyDescent="0.2">
      <c r="A11" t="s">
        <v>1099</v>
      </c>
      <c r="B11" t="s">
        <v>32</v>
      </c>
      <c r="C11">
        <v>58</v>
      </c>
      <c r="D11">
        <v>5</v>
      </c>
      <c r="E11">
        <v>54</v>
      </c>
      <c r="F11">
        <v>59</v>
      </c>
      <c r="G11">
        <v>5</v>
      </c>
      <c r="H11">
        <v>55</v>
      </c>
      <c r="I11">
        <v>0.18459999999999999</v>
      </c>
      <c r="J11">
        <f t="shared" si="0"/>
        <v>0.54171180931744323</v>
      </c>
      <c r="K11">
        <v>1E-3</v>
      </c>
      <c r="L11" t="s">
        <v>17</v>
      </c>
      <c r="M11">
        <v>296</v>
      </c>
      <c r="N11" t="s">
        <v>553</v>
      </c>
    </row>
    <row r="12" spans="1:15" x14ac:dyDescent="0.2">
      <c r="A12" t="s">
        <v>1099</v>
      </c>
      <c r="B12" t="s">
        <v>32</v>
      </c>
      <c r="C12">
        <v>56</v>
      </c>
      <c r="D12">
        <v>10</v>
      </c>
      <c r="E12">
        <v>47</v>
      </c>
      <c r="F12">
        <v>57</v>
      </c>
      <c r="G12">
        <v>10</v>
      </c>
      <c r="H12">
        <v>48</v>
      </c>
      <c r="I12">
        <v>0.14849999999999999</v>
      </c>
      <c r="J12">
        <f t="shared" si="0"/>
        <v>0.67340067340067344</v>
      </c>
      <c r="K12">
        <v>1E-3</v>
      </c>
      <c r="L12" t="s">
        <v>17</v>
      </c>
      <c r="M12">
        <v>296</v>
      </c>
      <c r="N12" t="s">
        <v>553</v>
      </c>
    </row>
    <row r="13" spans="1:15" x14ac:dyDescent="0.2">
      <c r="A13" t="s">
        <v>1099</v>
      </c>
      <c r="B13" t="s">
        <v>32</v>
      </c>
      <c r="C13">
        <v>55</v>
      </c>
      <c r="D13">
        <v>12</v>
      </c>
      <c r="E13">
        <v>43</v>
      </c>
      <c r="F13">
        <v>56</v>
      </c>
      <c r="G13">
        <v>12</v>
      </c>
      <c r="H13">
        <v>44</v>
      </c>
      <c r="I13">
        <v>0.15440000000000001</v>
      </c>
      <c r="J13">
        <f t="shared" si="0"/>
        <v>0.77720207253885998</v>
      </c>
      <c r="K13">
        <v>1.1999999999999999E-3</v>
      </c>
      <c r="L13" t="s">
        <v>17</v>
      </c>
      <c r="M13">
        <v>296</v>
      </c>
      <c r="N13" t="s">
        <v>553</v>
      </c>
    </row>
    <row r="14" spans="1:15" x14ac:dyDescent="0.2">
      <c r="A14" t="s">
        <v>1099</v>
      </c>
      <c r="B14" t="s">
        <v>32</v>
      </c>
      <c r="C14">
        <v>56</v>
      </c>
      <c r="D14">
        <v>8</v>
      </c>
      <c r="E14">
        <v>49</v>
      </c>
      <c r="F14">
        <v>57</v>
      </c>
      <c r="G14">
        <v>8</v>
      </c>
      <c r="H14">
        <v>50</v>
      </c>
      <c r="I14">
        <v>0.14940000000000001</v>
      </c>
      <c r="J14">
        <f t="shared" si="0"/>
        <v>0.80321285140562237</v>
      </c>
      <c r="K14">
        <v>1.1999999999999999E-3</v>
      </c>
      <c r="L14" t="s">
        <v>17</v>
      </c>
      <c r="M14">
        <v>296</v>
      </c>
      <c r="N14" t="s">
        <v>553</v>
      </c>
    </row>
    <row r="15" spans="1:15" x14ac:dyDescent="0.2">
      <c r="A15" t="s">
        <v>1099</v>
      </c>
      <c r="B15" t="s">
        <v>32</v>
      </c>
      <c r="C15">
        <v>61</v>
      </c>
      <c r="D15">
        <v>0</v>
      </c>
      <c r="E15">
        <v>61</v>
      </c>
      <c r="F15">
        <v>62</v>
      </c>
      <c r="G15">
        <v>0</v>
      </c>
      <c r="H15">
        <v>62</v>
      </c>
      <c r="I15">
        <v>0.14069999999999999</v>
      </c>
      <c r="J15">
        <f t="shared" si="0"/>
        <v>0.71073205401563622</v>
      </c>
      <c r="K15">
        <v>1E-3</v>
      </c>
      <c r="L15" t="s">
        <v>17</v>
      </c>
      <c r="M15">
        <v>296</v>
      </c>
      <c r="N15" t="s">
        <v>553</v>
      </c>
    </row>
    <row r="16" spans="1:15" x14ac:dyDescent="0.2">
      <c r="A16" t="s">
        <v>1099</v>
      </c>
      <c r="B16" t="s">
        <v>32</v>
      </c>
      <c r="C16">
        <v>59</v>
      </c>
      <c r="D16">
        <v>2</v>
      </c>
      <c r="E16">
        <v>57</v>
      </c>
      <c r="F16">
        <v>60</v>
      </c>
      <c r="G16">
        <v>2</v>
      </c>
      <c r="H16">
        <v>58</v>
      </c>
      <c r="I16">
        <v>0.16950000000000001</v>
      </c>
      <c r="J16">
        <f t="shared" si="0"/>
        <v>0.70796460176991138</v>
      </c>
      <c r="K16">
        <v>1.1999999999999999E-3</v>
      </c>
      <c r="L16" t="s">
        <v>17</v>
      </c>
      <c r="M16">
        <v>296</v>
      </c>
      <c r="N16" t="s">
        <v>553</v>
      </c>
    </row>
    <row r="17" spans="1:14" x14ac:dyDescent="0.2">
      <c r="A17" t="s">
        <v>1099</v>
      </c>
      <c r="B17" t="s">
        <v>32</v>
      </c>
      <c r="C17">
        <v>58</v>
      </c>
      <c r="D17">
        <v>4</v>
      </c>
      <c r="E17">
        <v>55</v>
      </c>
      <c r="F17">
        <v>59</v>
      </c>
      <c r="G17">
        <v>4</v>
      </c>
      <c r="H17">
        <v>56</v>
      </c>
      <c r="I17">
        <v>0.16400000000000001</v>
      </c>
      <c r="J17">
        <f t="shared" si="0"/>
        <v>0.79268292682926833</v>
      </c>
      <c r="K17">
        <v>1.2999999999999999E-3</v>
      </c>
      <c r="L17" t="s">
        <v>17</v>
      </c>
      <c r="M17">
        <v>296</v>
      </c>
      <c r="N17" t="s">
        <v>553</v>
      </c>
    </row>
    <row r="18" spans="1:14" x14ac:dyDescent="0.2">
      <c r="A18" t="s">
        <v>1099</v>
      </c>
      <c r="B18" t="s">
        <v>32</v>
      </c>
      <c r="C18">
        <v>55</v>
      </c>
      <c r="D18">
        <v>6</v>
      </c>
      <c r="E18">
        <v>49</v>
      </c>
      <c r="F18">
        <v>56</v>
      </c>
      <c r="G18">
        <v>6</v>
      </c>
      <c r="H18">
        <v>50</v>
      </c>
      <c r="I18">
        <v>0.14380000000000001</v>
      </c>
      <c r="J18">
        <f t="shared" si="0"/>
        <v>0.62586926286509037</v>
      </c>
      <c r="K18">
        <v>8.9999999999999998E-4</v>
      </c>
      <c r="L18" t="s">
        <v>17</v>
      </c>
      <c r="M18">
        <v>296</v>
      </c>
      <c r="N18" t="s">
        <v>553</v>
      </c>
    </row>
    <row r="19" spans="1:14" x14ac:dyDescent="0.2">
      <c r="A19" t="s">
        <v>1099</v>
      </c>
      <c r="B19" t="s">
        <v>32</v>
      </c>
      <c r="C19">
        <v>55</v>
      </c>
      <c r="D19">
        <v>7</v>
      </c>
      <c r="E19">
        <v>48</v>
      </c>
      <c r="F19">
        <v>56</v>
      </c>
      <c r="G19">
        <v>7</v>
      </c>
      <c r="H19">
        <v>49</v>
      </c>
      <c r="I19">
        <v>0.1734</v>
      </c>
      <c r="J19">
        <f t="shared" si="0"/>
        <v>0.40369088811995385</v>
      </c>
      <c r="K19">
        <v>6.9999999999999999E-4</v>
      </c>
      <c r="L19" t="s">
        <v>17</v>
      </c>
      <c r="M19">
        <v>296</v>
      </c>
      <c r="N19" t="s">
        <v>553</v>
      </c>
    </row>
    <row r="20" spans="1:14" x14ac:dyDescent="0.2">
      <c r="A20" t="s">
        <v>1099</v>
      </c>
      <c r="B20" t="s">
        <v>32</v>
      </c>
      <c r="C20">
        <v>55</v>
      </c>
      <c r="D20">
        <v>9</v>
      </c>
      <c r="E20">
        <v>46</v>
      </c>
      <c r="F20">
        <v>56</v>
      </c>
      <c r="G20">
        <v>9</v>
      </c>
      <c r="H20">
        <v>47</v>
      </c>
      <c r="I20">
        <v>0.15310000000000001</v>
      </c>
      <c r="J20">
        <f t="shared" si="0"/>
        <v>0.71848465055519262</v>
      </c>
      <c r="K20">
        <v>1.1000000000000001E-3</v>
      </c>
      <c r="L20" t="s">
        <v>17</v>
      </c>
      <c r="M20">
        <v>296</v>
      </c>
      <c r="N20" t="s">
        <v>553</v>
      </c>
    </row>
    <row r="21" spans="1:14" x14ac:dyDescent="0.2">
      <c r="A21" t="s">
        <v>1099</v>
      </c>
      <c r="B21" t="s">
        <v>32</v>
      </c>
      <c r="C21">
        <v>55</v>
      </c>
      <c r="D21">
        <v>8</v>
      </c>
      <c r="E21">
        <v>47</v>
      </c>
      <c r="F21">
        <v>56</v>
      </c>
      <c r="G21">
        <v>8</v>
      </c>
      <c r="H21">
        <v>48</v>
      </c>
      <c r="I21">
        <v>0.15790000000000001</v>
      </c>
      <c r="J21">
        <f t="shared" si="0"/>
        <v>1.1399620012666245</v>
      </c>
      <c r="K21">
        <v>1.8E-3</v>
      </c>
      <c r="L21" t="s">
        <v>17</v>
      </c>
      <c r="M21">
        <v>296</v>
      </c>
      <c r="N21" t="s">
        <v>553</v>
      </c>
    </row>
    <row r="22" spans="1:14" x14ac:dyDescent="0.2">
      <c r="A22" t="s">
        <v>1099</v>
      </c>
      <c r="B22" t="s">
        <v>32</v>
      </c>
      <c r="C22">
        <v>60</v>
      </c>
      <c r="D22">
        <v>1</v>
      </c>
      <c r="E22">
        <v>60</v>
      </c>
      <c r="F22">
        <v>61</v>
      </c>
      <c r="G22">
        <v>1</v>
      </c>
      <c r="H22">
        <v>61</v>
      </c>
      <c r="I22">
        <v>0.1351</v>
      </c>
      <c r="J22">
        <f t="shared" si="0"/>
        <v>0.5181347150259068</v>
      </c>
      <c r="K22">
        <v>6.9999999999999999E-4</v>
      </c>
      <c r="L22" t="s">
        <v>17</v>
      </c>
      <c r="M22">
        <v>296</v>
      </c>
      <c r="N22" t="s">
        <v>553</v>
      </c>
    </row>
    <row r="23" spans="1:14" x14ac:dyDescent="0.2">
      <c r="A23" t="s">
        <v>1099</v>
      </c>
      <c r="B23" t="s">
        <v>32</v>
      </c>
      <c r="C23">
        <v>59</v>
      </c>
      <c r="D23">
        <v>1</v>
      </c>
      <c r="E23">
        <v>58</v>
      </c>
      <c r="F23">
        <v>60</v>
      </c>
      <c r="G23">
        <v>1</v>
      </c>
      <c r="H23">
        <v>59</v>
      </c>
      <c r="I23">
        <v>0.14949999999999999</v>
      </c>
      <c r="J23">
        <f t="shared" si="0"/>
        <v>0.60200668896321063</v>
      </c>
      <c r="K23">
        <v>8.9999999999999998E-4</v>
      </c>
      <c r="L23" t="s">
        <v>17</v>
      </c>
      <c r="M23">
        <v>296</v>
      </c>
      <c r="N23" t="s">
        <v>553</v>
      </c>
    </row>
    <row r="24" spans="1:14" x14ac:dyDescent="0.2">
      <c r="A24" t="s">
        <v>1099</v>
      </c>
      <c r="B24" t="s">
        <v>32</v>
      </c>
      <c r="C24">
        <v>58</v>
      </c>
      <c r="D24">
        <v>3</v>
      </c>
      <c r="E24">
        <v>56</v>
      </c>
      <c r="F24">
        <v>59</v>
      </c>
      <c r="G24">
        <v>3</v>
      </c>
      <c r="H24">
        <v>57</v>
      </c>
      <c r="I24">
        <v>0.15049999999999999</v>
      </c>
      <c r="J24">
        <f t="shared" si="0"/>
        <v>0.53156146179401997</v>
      </c>
      <c r="K24">
        <v>8.0000000000000004E-4</v>
      </c>
      <c r="L24" t="s">
        <v>17</v>
      </c>
      <c r="M24">
        <v>296</v>
      </c>
      <c r="N24" t="s">
        <v>553</v>
      </c>
    </row>
    <row r="25" spans="1:14" x14ac:dyDescent="0.2">
      <c r="A25" t="s">
        <v>1099</v>
      </c>
      <c r="B25" t="s">
        <v>32</v>
      </c>
      <c r="C25">
        <v>55</v>
      </c>
      <c r="D25">
        <v>5</v>
      </c>
      <c r="E25">
        <v>50</v>
      </c>
      <c r="F25">
        <v>56</v>
      </c>
      <c r="G25">
        <v>5</v>
      </c>
      <c r="H25">
        <v>51</v>
      </c>
      <c r="I25">
        <v>0.16569999999999999</v>
      </c>
      <c r="J25">
        <f t="shared" si="0"/>
        <v>0.6035003017501509</v>
      </c>
      <c r="K25">
        <v>1E-3</v>
      </c>
      <c r="L25" t="s">
        <v>17</v>
      </c>
      <c r="M25">
        <v>296</v>
      </c>
      <c r="N25" t="s">
        <v>553</v>
      </c>
    </row>
    <row r="26" spans="1:14" x14ac:dyDescent="0.2">
      <c r="A26" t="s">
        <v>1099</v>
      </c>
      <c r="B26" t="s">
        <v>32</v>
      </c>
      <c r="C26">
        <v>54</v>
      </c>
      <c r="D26">
        <v>11</v>
      </c>
      <c r="E26">
        <v>44</v>
      </c>
      <c r="F26">
        <v>55</v>
      </c>
      <c r="G26">
        <v>11</v>
      </c>
      <c r="H26">
        <v>45</v>
      </c>
      <c r="I26">
        <v>0.1434</v>
      </c>
      <c r="J26">
        <f t="shared" si="0"/>
        <v>0.90655509065550899</v>
      </c>
      <c r="K26">
        <v>1.2999999999999999E-3</v>
      </c>
      <c r="L26" t="s">
        <v>17</v>
      </c>
      <c r="M26">
        <v>296</v>
      </c>
      <c r="N26" t="s">
        <v>553</v>
      </c>
    </row>
    <row r="27" spans="1:14" x14ac:dyDescent="0.2">
      <c r="A27" t="s">
        <v>1099</v>
      </c>
      <c r="B27" t="s">
        <v>32</v>
      </c>
      <c r="C27">
        <v>57</v>
      </c>
      <c r="D27">
        <v>3</v>
      </c>
      <c r="E27">
        <v>54</v>
      </c>
      <c r="F27">
        <v>58</v>
      </c>
      <c r="G27">
        <v>3</v>
      </c>
      <c r="H27">
        <v>55</v>
      </c>
      <c r="I27">
        <v>0.1406</v>
      </c>
      <c r="J27">
        <f t="shared" si="0"/>
        <v>0.71123755334281646</v>
      </c>
      <c r="K27">
        <v>1E-3</v>
      </c>
      <c r="L27" t="s">
        <v>17</v>
      </c>
      <c r="M27">
        <v>296</v>
      </c>
      <c r="N27" t="s">
        <v>553</v>
      </c>
    </row>
    <row r="28" spans="1:14" x14ac:dyDescent="0.2">
      <c r="A28" t="s">
        <v>1099</v>
      </c>
      <c r="B28" t="s">
        <v>32</v>
      </c>
      <c r="C28">
        <v>56</v>
      </c>
      <c r="D28">
        <v>5</v>
      </c>
      <c r="E28">
        <v>52</v>
      </c>
      <c r="F28">
        <v>57</v>
      </c>
      <c r="G28">
        <v>5</v>
      </c>
      <c r="H28">
        <v>53</v>
      </c>
      <c r="I28">
        <v>0.15629999999999999</v>
      </c>
      <c r="J28">
        <f t="shared" si="0"/>
        <v>0.44785668586052468</v>
      </c>
      <c r="K28">
        <v>6.9999999999999999E-4</v>
      </c>
      <c r="L28" t="s">
        <v>17</v>
      </c>
      <c r="M28">
        <v>296</v>
      </c>
      <c r="N28" t="s">
        <v>553</v>
      </c>
    </row>
    <row r="29" spans="1:14" x14ac:dyDescent="0.2">
      <c r="A29" t="s">
        <v>1099</v>
      </c>
      <c r="B29" t="s">
        <v>32</v>
      </c>
      <c r="C29">
        <v>54</v>
      </c>
      <c r="D29">
        <v>9</v>
      </c>
      <c r="E29">
        <v>46</v>
      </c>
      <c r="F29">
        <v>55</v>
      </c>
      <c r="G29">
        <v>9</v>
      </c>
      <c r="H29">
        <v>47</v>
      </c>
      <c r="I29">
        <v>0.14680000000000001</v>
      </c>
      <c r="J29">
        <f t="shared" si="0"/>
        <v>0.61307901907356943</v>
      </c>
      <c r="K29">
        <v>8.9999999999999998E-4</v>
      </c>
      <c r="L29" t="s">
        <v>17</v>
      </c>
      <c r="M29">
        <v>296</v>
      </c>
      <c r="N29" t="s">
        <v>553</v>
      </c>
    </row>
    <row r="30" spans="1:14" x14ac:dyDescent="0.2">
      <c r="A30" t="s">
        <v>1099</v>
      </c>
      <c r="B30" t="s">
        <v>32</v>
      </c>
      <c r="C30">
        <v>52</v>
      </c>
      <c r="D30">
        <v>14</v>
      </c>
      <c r="E30">
        <v>39</v>
      </c>
      <c r="F30">
        <v>53</v>
      </c>
      <c r="G30">
        <v>14</v>
      </c>
      <c r="H30">
        <v>40</v>
      </c>
      <c r="I30">
        <v>0.14419999999999999</v>
      </c>
      <c r="J30">
        <f t="shared" si="0"/>
        <v>0.90152565880721214</v>
      </c>
      <c r="K30">
        <v>1.2999999999999999E-3</v>
      </c>
      <c r="L30" t="s">
        <v>17</v>
      </c>
      <c r="M30">
        <v>296</v>
      </c>
      <c r="N30" t="s">
        <v>553</v>
      </c>
    </row>
    <row r="31" spans="1:14" x14ac:dyDescent="0.2">
      <c r="A31" t="s">
        <v>1099</v>
      </c>
      <c r="B31" t="s">
        <v>32</v>
      </c>
      <c r="C31">
        <v>59</v>
      </c>
      <c r="D31">
        <v>0</v>
      </c>
      <c r="E31">
        <v>59</v>
      </c>
      <c r="F31">
        <v>60</v>
      </c>
      <c r="G31">
        <v>0</v>
      </c>
      <c r="H31">
        <v>60</v>
      </c>
      <c r="I31">
        <v>0.1348</v>
      </c>
      <c r="J31">
        <f t="shared" si="0"/>
        <v>0.44510385756676552</v>
      </c>
      <c r="K31">
        <v>5.9999999999999995E-4</v>
      </c>
      <c r="L31" t="s">
        <v>17</v>
      </c>
      <c r="M31">
        <v>296</v>
      </c>
      <c r="N31" t="s">
        <v>553</v>
      </c>
    </row>
    <row r="32" spans="1:14" x14ac:dyDescent="0.2">
      <c r="A32" t="s">
        <v>1099</v>
      </c>
      <c r="B32" t="s">
        <v>32</v>
      </c>
      <c r="C32">
        <v>54</v>
      </c>
      <c r="D32">
        <v>8</v>
      </c>
      <c r="E32">
        <v>47</v>
      </c>
      <c r="F32">
        <v>55</v>
      </c>
      <c r="G32">
        <v>8</v>
      </c>
      <c r="H32">
        <v>48</v>
      </c>
      <c r="I32">
        <v>0.1754</v>
      </c>
      <c r="J32">
        <f t="shared" si="0"/>
        <v>0.51311288483466366</v>
      </c>
      <c r="K32">
        <v>8.9999999999999998E-4</v>
      </c>
      <c r="L32" t="s">
        <v>17</v>
      </c>
      <c r="M32">
        <v>296</v>
      </c>
      <c r="N32" t="s">
        <v>553</v>
      </c>
    </row>
    <row r="33" spans="1:14" x14ac:dyDescent="0.2">
      <c r="A33" t="s">
        <v>1099</v>
      </c>
      <c r="B33" t="s">
        <v>32</v>
      </c>
      <c r="C33">
        <v>58</v>
      </c>
      <c r="D33">
        <v>2</v>
      </c>
      <c r="E33">
        <v>57</v>
      </c>
      <c r="F33">
        <v>59</v>
      </c>
      <c r="G33">
        <v>2</v>
      </c>
      <c r="H33">
        <v>58</v>
      </c>
      <c r="I33">
        <v>0.1381</v>
      </c>
      <c r="J33">
        <f t="shared" si="0"/>
        <v>0.43446777697320776</v>
      </c>
      <c r="K33">
        <v>5.9999999999999995E-4</v>
      </c>
      <c r="L33" t="s">
        <v>17</v>
      </c>
      <c r="M33">
        <v>296</v>
      </c>
      <c r="N33" t="s">
        <v>553</v>
      </c>
    </row>
    <row r="34" spans="1:14" x14ac:dyDescent="0.2">
      <c r="A34" t="s">
        <v>1099</v>
      </c>
      <c r="B34" t="s">
        <v>32</v>
      </c>
      <c r="C34">
        <v>57</v>
      </c>
      <c r="D34">
        <v>2</v>
      </c>
      <c r="E34">
        <v>55</v>
      </c>
      <c r="F34">
        <v>58</v>
      </c>
      <c r="G34">
        <v>2</v>
      </c>
      <c r="H34">
        <v>56</v>
      </c>
      <c r="I34">
        <v>0.1462</v>
      </c>
      <c r="J34">
        <f t="shared" si="0"/>
        <v>0.41039671682626538</v>
      </c>
      <c r="K34">
        <v>5.9999999999999995E-4</v>
      </c>
      <c r="L34" t="s">
        <v>17</v>
      </c>
      <c r="M34">
        <v>296</v>
      </c>
      <c r="N34" t="s">
        <v>553</v>
      </c>
    </row>
    <row r="35" spans="1:14" x14ac:dyDescent="0.2">
      <c r="A35" t="s">
        <v>1099</v>
      </c>
      <c r="B35" t="s">
        <v>32</v>
      </c>
      <c r="C35">
        <v>54</v>
      </c>
      <c r="D35">
        <v>7</v>
      </c>
      <c r="E35">
        <v>48</v>
      </c>
      <c r="F35">
        <v>55</v>
      </c>
      <c r="G35">
        <v>7</v>
      </c>
      <c r="H35">
        <v>49</v>
      </c>
      <c r="I35">
        <v>0.1545</v>
      </c>
      <c r="J35">
        <f t="shared" si="0"/>
        <v>0.45307443365695793</v>
      </c>
      <c r="K35">
        <v>6.9999999999999999E-4</v>
      </c>
      <c r="L35" t="s">
        <v>17</v>
      </c>
      <c r="M35">
        <v>296</v>
      </c>
      <c r="N35" t="s">
        <v>553</v>
      </c>
    </row>
    <row r="36" spans="1:14" x14ac:dyDescent="0.2">
      <c r="A36" t="s">
        <v>1099</v>
      </c>
      <c r="B36" t="s">
        <v>32</v>
      </c>
      <c r="C36">
        <v>54</v>
      </c>
      <c r="D36">
        <v>6</v>
      </c>
      <c r="E36">
        <v>49</v>
      </c>
      <c r="F36">
        <v>55</v>
      </c>
      <c r="G36">
        <v>6</v>
      </c>
      <c r="H36">
        <v>50</v>
      </c>
      <c r="I36">
        <v>0.1522</v>
      </c>
      <c r="J36">
        <f t="shared" si="0"/>
        <v>0.45992115637319314</v>
      </c>
      <c r="K36">
        <v>6.9999999999999999E-4</v>
      </c>
      <c r="L36" t="s">
        <v>17</v>
      </c>
      <c r="M36">
        <v>296</v>
      </c>
      <c r="N36" t="s">
        <v>553</v>
      </c>
    </row>
    <row r="37" spans="1:14" x14ac:dyDescent="0.2">
      <c r="A37" t="s">
        <v>1099</v>
      </c>
      <c r="B37" t="s">
        <v>32</v>
      </c>
      <c r="C37">
        <v>53</v>
      </c>
      <c r="D37">
        <v>6</v>
      </c>
      <c r="E37">
        <v>47</v>
      </c>
      <c r="F37">
        <v>54</v>
      </c>
      <c r="G37">
        <v>6</v>
      </c>
      <c r="H37">
        <v>48</v>
      </c>
      <c r="I37">
        <v>0.15890000000000001</v>
      </c>
      <c r="J37">
        <f t="shared" si="0"/>
        <v>0.44052863436123346</v>
      </c>
      <c r="K37">
        <v>6.9999999999999999E-4</v>
      </c>
      <c r="L37" t="s">
        <v>17</v>
      </c>
      <c r="M37">
        <v>296</v>
      </c>
      <c r="N37" t="s">
        <v>553</v>
      </c>
    </row>
    <row r="38" spans="1:14" x14ac:dyDescent="0.2">
      <c r="A38" t="s">
        <v>1099</v>
      </c>
      <c r="B38" t="s">
        <v>32</v>
      </c>
      <c r="C38">
        <v>58</v>
      </c>
      <c r="D38">
        <v>1</v>
      </c>
      <c r="E38">
        <v>58</v>
      </c>
      <c r="F38">
        <v>59</v>
      </c>
      <c r="G38">
        <v>1</v>
      </c>
      <c r="H38">
        <v>59</v>
      </c>
      <c r="I38">
        <v>0.14729999999999999</v>
      </c>
      <c r="J38">
        <f t="shared" si="0"/>
        <v>0.40733197556008144</v>
      </c>
      <c r="K38">
        <v>5.9999999999999995E-4</v>
      </c>
      <c r="L38" t="s">
        <v>17</v>
      </c>
      <c r="M38">
        <v>296</v>
      </c>
      <c r="N38" t="s">
        <v>553</v>
      </c>
    </row>
    <row r="39" spans="1:14" x14ac:dyDescent="0.2">
      <c r="A39" t="s">
        <v>1099</v>
      </c>
      <c r="B39" t="s">
        <v>32</v>
      </c>
      <c r="C39">
        <v>53</v>
      </c>
      <c r="D39">
        <v>8</v>
      </c>
      <c r="E39">
        <v>45</v>
      </c>
      <c r="F39">
        <v>54</v>
      </c>
      <c r="G39">
        <v>8</v>
      </c>
      <c r="H39">
        <v>46</v>
      </c>
      <c r="I39">
        <v>0.15859999999999999</v>
      </c>
      <c r="J39">
        <f t="shared" si="0"/>
        <v>0.75662042875157631</v>
      </c>
      <c r="K39">
        <v>1.1999999999999999E-3</v>
      </c>
      <c r="L39" t="s">
        <v>17</v>
      </c>
      <c r="M39">
        <v>296</v>
      </c>
      <c r="N39" t="s">
        <v>553</v>
      </c>
    </row>
    <row r="40" spans="1:14" x14ac:dyDescent="0.2">
      <c r="A40" t="s">
        <v>1099</v>
      </c>
      <c r="B40" t="s">
        <v>32</v>
      </c>
      <c r="C40">
        <v>57</v>
      </c>
      <c r="D40">
        <v>1</v>
      </c>
      <c r="E40">
        <v>56</v>
      </c>
      <c r="F40">
        <v>58</v>
      </c>
      <c r="G40">
        <v>1</v>
      </c>
      <c r="H40">
        <v>57</v>
      </c>
      <c r="I40">
        <v>0.13300000000000001</v>
      </c>
      <c r="J40">
        <f t="shared" si="0"/>
        <v>0.60150375939849632</v>
      </c>
      <c r="K40">
        <v>8.0000000000000004E-4</v>
      </c>
      <c r="L40" t="s">
        <v>17</v>
      </c>
      <c r="M40">
        <v>296</v>
      </c>
      <c r="N40" t="s">
        <v>553</v>
      </c>
    </row>
    <row r="41" spans="1:14" x14ac:dyDescent="0.2">
      <c r="A41" t="s">
        <v>1099</v>
      </c>
      <c r="B41" t="s">
        <v>32</v>
      </c>
      <c r="C41">
        <v>55</v>
      </c>
      <c r="D41">
        <v>3</v>
      </c>
      <c r="E41">
        <v>52</v>
      </c>
      <c r="F41">
        <v>56</v>
      </c>
      <c r="G41">
        <v>3</v>
      </c>
      <c r="H41">
        <v>53</v>
      </c>
      <c r="I41">
        <v>0.15809999999999999</v>
      </c>
      <c r="J41">
        <f t="shared" si="0"/>
        <v>0.5060088551549653</v>
      </c>
      <c r="K41">
        <v>8.0000000000000004E-4</v>
      </c>
      <c r="L41" t="s">
        <v>17</v>
      </c>
      <c r="M41">
        <v>296</v>
      </c>
      <c r="N41" t="s">
        <v>553</v>
      </c>
    </row>
    <row r="42" spans="1:14" x14ac:dyDescent="0.2">
      <c r="A42" t="s">
        <v>1099</v>
      </c>
      <c r="B42" t="s">
        <v>32</v>
      </c>
      <c r="C42">
        <v>52</v>
      </c>
      <c r="D42">
        <v>11</v>
      </c>
      <c r="E42">
        <v>42</v>
      </c>
      <c r="F42">
        <v>53</v>
      </c>
      <c r="G42">
        <v>11</v>
      </c>
      <c r="H42">
        <v>43</v>
      </c>
      <c r="I42">
        <v>0.14749999999999999</v>
      </c>
      <c r="J42">
        <f t="shared" si="0"/>
        <v>0.5423728813559322</v>
      </c>
      <c r="K42">
        <v>8.0000000000000004E-4</v>
      </c>
      <c r="L42" t="s">
        <v>17</v>
      </c>
      <c r="M42">
        <v>296</v>
      </c>
      <c r="N42" t="s">
        <v>553</v>
      </c>
    </row>
    <row r="43" spans="1:14" x14ac:dyDescent="0.2">
      <c r="A43" t="s">
        <v>1099</v>
      </c>
      <c r="B43" t="s">
        <v>32</v>
      </c>
      <c r="C43">
        <v>54</v>
      </c>
      <c r="D43">
        <v>5</v>
      </c>
      <c r="E43">
        <v>50</v>
      </c>
      <c r="F43">
        <v>55</v>
      </c>
      <c r="G43">
        <v>5</v>
      </c>
      <c r="H43">
        <v>51</v>
      </c>
      <c r="I43">
        <v>0.16689999999999999</v>
      </c>
      <c r="J43">
        <f t="shared" si="0"/>
        <v>0.41941282204913122</v>
      </c>
      <c r="K43">
        <v>6.9999999999999999E-4</v>
      </c>
      <c r="L43" t="s">
        <v>17</v>
      </c>
      <c r="M43">
        <v>296</v>
      </c>
      <c r="N43" t="s">
        <v>553</v>
      </c>
    </row>
    <row r="44" spans="1:14" x14ac:dyDescent="0.2">
      <c r="A44" t="s">
        <v>1099</v>
      </c>
      <c r="B44" t="s">
        <v>32</v>
      </c>
      <c r="C44">
        <v>50</v>
      </c>
      <c r="D44">
        <v>15</v>
      </c>
      <c r="E44">
        <v>36</v>
      </c>
      <c r="F44">
        <v>51</v>
      </c>
      <c r="G44">
        <v>15</v>
      </c>
      <c r="H44">
        <v>37</v>
      </c>
      <c r="I44">
        <v>0.14990000000000001</v>
      </c>
      <c r="J44">
        <f t="shared" si="0"/>
        <v>0.93395597064709801</v>
      </c>
      <c r="K44">
        <v>1.4E-3</v>
      </c>
      <c r="L44" t="s">
        <v>17</v>
      </c>
      <c r="M44">
        <v>296</v>
      </c>
      <c r="N44" t="s">
        <v>553</v>
      </c>
    </row>
    <row r="45" spans="1:14" x14ac:dyDescent="0.2">
      <c r="A45" t="s">
        <v>1099</v>
      </c>
      <c r="B45" t="s">
        <v>32</v>
      </c>
      <c r="C45">
        <v>51</v>
      </c>
      <c r="D45">
        <v>13</v>
      </c>
      <c r="E45">
        <v>38</v>
      </c>
      <c r="F45">
        <v>52</v>
      </c>
      <c r="G45">
        <v>13</v>
      </c>
      <c r="H45">
        <v>39</v>
      </c>
      <c r="I45">
        <v>0.1535</v>
      </c>
      <c r="J45">
        <f t="shared" si="0"/>
        <v>0.97719869706840401</v>
      </c>
      <c r="K45">
        <v>1.5E-3</v>
      </c>
      <c r="L45" t="s">
        <v>17</v>
      </c>
      <c r="M45">
        <v>296</v>
      </c>
      <c r="N45" t="s">
        <v>553</v>
      </c>
    </row>
    <row r="46" spans="1:14" x14ac:dyDescent="0.2">
      <c r="A46" t="s">
        <v>1099</v>
      </c>
      <c r="B46" t="s">
        <v>32</v>
      </c>
      <c r="C46">
        <v>52</v>
      </c>
      <c r="D46">
        <v>10</v>
      </c>
      <c r="E46">
        <v>43</v>
      </c>
      <c r="F46">
        <v>53</v>
      </c>
      <c r="G46">
        <v>10</v>
      </c>
      <c r="H46">
        <v>44</v>
      </c>
      <c r="I46">
        <v>0.16600000000000001</v>
      </c>
      <c r="J46">
        <f t="shared" si="0"/>
        <v>0.60240963855421681</v>
      </c>
      <c r="K46">
        <v>1E-3</v>
      </c>
      <c r="L46" t="s">
        <v>17</v>
      </c>
      <c r="M46">
        <v>296</v>
      </c>
      <c r="N46" t="s">
        <v>553</v>
      </c>
    </row>
    <row r="47" spans="1:14" x14ac:dyDescent="0.2">
      <c r="A47" t="s">
        <v>1099</v>
      </c>
      <c r="B47" t="s">
        <v>32</v>
      </c>
      <c r="C47">
        <v>51</v>
      </c>
      <c r="D47">
        <v>12</v>
      </c>
      <c r="E47">
        <v>39</v>
      </c>
      <c r="F47">
        <v>52</v>
      </c>
      <c r="G47">
        <v>12</v>
      </c>
      <c r="H47">
        <v>40</v>
      </c>
      <c r="I47">
        <v>0.14199999999999999</v>
      </c>
      <c r="J47">
        <f t="shared" si="0"/>
        <v>1.0563380281690142</v>
      </c>
      <c r="K47">
        <v>1.5E-3</v>
      </c>
      <c r="L47" t="s">
        <v>17</v>
      </c>
      <c r="M47">
        <v>296</v>
      </c>
      <c r="N47" t="s">
        <v>553</v>
      </c>
    </row>
    <row r="48" spans="1:14" x14ac:dyDescent="0.2">
      <c r="A48" t="s">
        <v>1099</v>
      </c>
      <c r="B48" t="s">
        <v>32</v>
      </c>
      <c r="C48">
        <v>52</v>
      </c>
      <c r="D48">
        <v>9</v>
      </c>
      <c r="E48">
        <v>44</v>
      </c>
      <c r="F48">
        <v>53</v>
      </c>
      <c r="G48">
        <v>9</v>
      </c>
      <c r="H48">
        <v>45</v>
      </c>
      <c r="I48">
        <v>0.15310000000000001</v>
      </c>
      <c r="J48">
        <f t="shared" si="0"/>
        <v>0.71848465055519262</v>
      </c>
      <c r="K48">
        <v>1.1000000000000001E-3</v>
      </c>
      <c r="L48" t="s">
        <v>17</v>
      </c>
      <c r="M48">
        <v>296</v>
      </c>
      <c r="N48" t="s">
        <v>553</v>
      </c>
    </row>
    <row r="49" spans="1:14" x14ac:dyDescent="0.2">
      <c r="A49" t="s">
        <v>1099</v>
      </c>
      <c r="B49" t="s">
        <v>32</v>
      </c>
      <c r="C49">
        <v>57</v>
      </c>
      <c r="D49">
        <v>0</v>
      </c>
      <c r="E49">
        <v>57</v>
      </c>
      <c r="F49">
        <v>58</v>
      </c>
      <c r="G49">
        <v>0</v>
      </c>
      <c r="H49">
        <v>58</v>
      </c>
      <c r="I49">
        <v>0.16400000000000001</v>
      </c>
      <c r="J49">
        <f t="shared" si="0"/>
        <v>0.42682926829268286</v>
      </c>
      <c r="K49">
        <v>6.9999999999999999E-4</v>
      </c>
      <c r="L49" t="s">
        <v>17</v>
      </c>
      <c r="M49">
        <v>296</v>
      </c>
      <c r="N49" t="s">
        <v>553</v>
      </c>
    </row>
    <row r="50" spans="1:14" x14ac:dyDescent="0.2">
      <c r="A50" t="s">
        <v>1099</v>
      </c>
      <c r="B50" t="s">
        <v>32</v>
      </c>
      <c r="C50">
        <v>56</v>
      </c>
      <c r="D50">
        <v>2</v>
      </c>
      <c r="E50">
        <v>55</v>
      </c>
      <c r="F50">
        <v>57</v>
      </c>
      <c r="G50">
        <v>2</v>
      </c>
      <c r="H50">
        <v>56</v>
      </c>
      <c r="I50">
        <v>0.15409999999999999</v>
      </c>
      <c r="J50">
        <f t="shared" si="0"/>
        <v>0.38935756002595717</v>
      </c>
      <c r="K50">
        <v>5.9999999999999995E-4</v>
      </c>
      <c r="L50" t="s">
        <v>17</v>
      </c>
      <c r="M50">
        <v>296</v>
      </c>
      <c r="N50" t="s">
        <v>553</v>
      </c>
    </row>
    <row r="51" spans="1:14" x14ac:dyDescent="0.2">
      <c r="A51" t="s">
        <v>1099</v>
      </c>
      <c r="B51" t="s">
        <v>32</v>
      </c>
      <c r="C51">
        <v>55</v>
      </c>
      <c r="D51">
        <v>2</v>
      </c>
      <c r="E51">
        <v>53</v>
      </c>
      <c r="F51">
        <v>56</v>
      </c>
      <c r="G51">
        <v>2</v>
      </c>
      <c r="H51">
        <v>54</v>
      </c>
      <c r="I51">
        <v>0.14099999999999999</v>
      </c>
      <c r="J51">
        <f t="shared" si="0"/>
        <v>0.42553191489361702</v>
      </c>
      <c r="K51">
        <v>5.9999999999999995E-4</v>
      </c>
      <c r="L51" t="s">
        <v>17</v>
      </c>
      <c r="M51">
        <v>296</v>
      </c>
      <c r="N51" t="s">
        <v>553</v>
      </c>
    </row>
    <row r="52" spans="1:14" x14ac:dyDescent="0.2">
      <c r="A52" t="s">
        <v>1099</v>
      </c>
      <c r="B52" t="s">
        <v>32</v>
      </c>
      <c r="C52">
        <v>53</v>
      </c>
      <c r="D52">
        <v>4</v>
      </c>
      <c r="E52">
        <v>49</v>
      </c>
      <c r="F52">
        <v>54</v>
      </c>
      <c r="G52">
        <v>4</v>
      </c>
      <c r="H52">
        <v>50</v>
      </c>
      <c r="I52">
        <v>0.1739</v>
      </c>
      <c r="J52">
        <f t="shared" si="0"/>
        <v>0.51753881541115576</v>
      </c>
      <c r="K52">
        <v>8.9999999999999998E-4</v>
      </c>
      <c r="L52" t="s">
        <v>17</v>
      </c>
      <c r="M52">
        <v>296</v>
      </c>
      <c r="N52" t="s">
        <v>553</v>
      </c>
    </row>
    <row r="53" spans="1:14" x14ac:dyDescent="0.2">
      <c r="A53" t="s">
        <v>1099</v>
      </c>
      <c r="B53" t="s">
        <v>32</v>
      </c>
      <c r="C53">
        <v>49</v>
      </c>
      <c r="D53">
        <v>15</v>
      </c>
      <c r="E53">
        <v>34</v>
      </c>
      <c r="F53">
        <v>50</v>
      </c>
      <c r="G53">
        <v>15</v>
      </c>
      <c r="H53">
        <v>35</v>
      </c>
      <c r="I53">
        <v>0.12709999999999999</v>
      </c>
      <c r="J53">
        <f t="shared" si="0"/>
        <v>0.86546026750590099</v>
      </c>
      <c r="K53">
        <v>1.1000000000000001E-3</v>
      </c>
      <c r="L53" t="s">
        <v>17</v>
      </c>
      <c r="M53">
        <v>296</v>
      </c>
      <c r="N53" t="s">
        <v>553</v>
      </c>
    </row>
    <row r="54" spans="1:14" x14ac:dyDescent="0.2">
      <c r="A54" t="s">
        <v>1099</v>
      </c>
      <c r="B54" t="s">
        <v>32</v>
      </c>
      <c r="C54">
        <v>50</v>
      </c>
      <c r="D54">
        <v>13</v>
      </c>
      <c r="E54">
        <v>38</v>
      </c>
      <c r="F54">
        <v>51</v>
      </c>
      <c r="G54">
        <v>13</v>
      </c>
      <c r="H54">
        <v>39</v>
      </c>
      <c r="I54">
        <v>0.13869999999999999</v>
      </c>
      <c r="J54">
        <f t="shared" si="0"/>
        <v>0.72098053352559488</v>
      </c>
      <c r="K54">
        <v>1E-3</v>
      </c>
      <c r="L54" t="s">
        <v>17</v>
      </c>
      <c r="M54">
        <v>296</v>
      </c>
      <c r="N54" t="s">
        <v>553</v>
      </c>
    </row>
    <row r="55" spans="1:14" x14ac:dyDescent="0.2">
      <c r="A55" t="s">
        <v>1099</v>
      </c>
      <c r="B55" t="s">
        <v>32</v>
      </c>
      <c r="C55">
        <v>52</v>
      </c>
      <c r="D55">
        <v>6</v>
      </c>
      <c r="E55">
        <v>47</v>
      </c>
      <c r="F55">
        <v>53</v>
      </c>
      <c r="G55">
        <v>6</v>
      </c>
      <c r="H55">
        <v>48</v>
      </c>
      <c r="I55">
        <v>0.16250000000000001</v>
      </c>
      <c r="J55">
        <f t="shared" si="0"/>
        <v>0.30769230769230771</v>
      </c>
      <c r="K55">
        <v>5.0000000000000001E-4</v>
      </c>
      <c r="L55" t="s">
        <v>17</v>
      </c>
      <c r="M55">
        <v>296</v>
      </c>
      <c r="N55" t="s">
        <v>553</v>
      </c>
    </row>
    <row r="56" spans="1:14" x14ac:dyDescent="0.2">
      <c r="A56" t="s">
        <v>1099</v>
      </c>
      <c r="B56" t="s">
        <v>32</v>
      </c>
      <c r="C56">
        <v>51</v>
      </c>
      <c r="D56">
        <v>6</v>
      </c>
      <c r="E56">
        <v>45</v>
      </c>
      <c r="F56">
        <v>52</v>
      </c>
      <c r="G56">
        <v>6</v>
      </c>
      <c r="H56">
        <v>46</v>
      </c>
      <c r="I56">
        <v>0.1502</v>
      </c>
      <c r="J56">
        <f t="shared" si="0"/>
        <v>0.26631158455392812</v>
      </c>
      <c r="K56">
        <v>4.0000000000000002E-4</v>
      </c>
      <c r="L56" t="s">
        <v>17</v>
      </c>
      <c r="M56">
        <v>296</v>
      </c>
      <c r="N56" t="s">
        <v>553</v>
      </c>
    </row>
    <row r="57" spans="1:14" x14ac:dyDescent="0.2">
      <c r="A57" t="s">
        <v>1099</v>
      </c>
      <c r="B57" t="s">
        <v>32</v>
      </c>
      <c r="C57">
        <v>54</v>
      </c>
      <c r="D57">
        <v>3</v>
      </c>
      <c r="E57">
        <v>52</v>
      </c>
      <c r="F57">
        <v>55</v>
      </c>
      <c r="G57">
        <v>3</v>
      </c>
      <c r="H57">
        <v>53</v>
      </c>
      <c r="I57">
        <v>0.15160000000000001</v>
      </c>
      <c r="J57">
        <f t="shared" si="0"/>
        <v>0.26385224274406333</v>
      </c>
      <c r="K57">
        <v>4.0000000000000002E-4</v>
      </c>
      <c r="L57" t="s">
        <v>17</v>
      </c>
      <c r="M57">
        <v>296</v>
      </c>
      <c r="N57" t="s">
        <v>553</v>
      </c>
    </row>
    <row r="58" spans="1:14" x14ac:dyDescent="0.2">
      <c r="A58" t="s">
        <v>1099</v>
      </c>
      <c r="B58" t="s">
        <v>32</v>
      </c>
      <c r="C58">
        <v>51</v>
      </c>
      <c r="D58">
        <v>5</v>
      </c>
      <c r="E58">
        <v>46</v>
      </c>
      <c r="F58">
        <v>52</v>
      </c>
      <c r="G58">
        <v>5</v>
      </c>
      <c r="H58">
        <v>47</v>
      </c>
      <c r="I58">
        <v>0.16600000000000001</v>
      </c>
      <c r="J58">
        <f t="shared" si="0"/>
        <v>0.3012048192771084</v>
      </c>
      <c r="K58">
        <v>5.0000000000000001E-4</v>
      </c>
      <c r="L58" t="s">
        <v>17</v>
      </c>
      <c r="M58">
        <v>296</v>
      </c>
      <c r="N58" t="s">
        <v>553</v>
      </c>
    </row>
    <row r="59" spans="1:14" x14ac:dyDescent="0.2">
      <c r="A59" t="s">
        <v>1099</v>
      </c>
      <c r="B59" t="s">
        <v>32</v>
      </c>
      <c r="C59">
        <v>53</v>
      </c>
      <c r="D59">
        <v>3</v>
      </c>
      <c r="E59">
        <v>50</v>
      </c>
      <c r="F59">
        <v>54</v>
      </c>
      <c r="G59">
        <v>3</v>
      </c>
      <c r="H59">
        <v>51</v>
      </c>
      <c r="I59">
        <v>0.14910000000000001</v>
      </c>
      <c r="J59">
        <f t="shared" si="0"/>
        <v>0.40241448692152915</v>
      </c>
      <c r="K59">
        <v>5.9999999999999995E-4</v>
      </c>
      <c r="L59" t="s">
        <v>17</v>
      </c>
      <c r="M59">
        <v>296</v>
      </c>
      <c r="N59" t="s">
        <v>553</v>
      </c>
    </row>
    <row r="60" spans="1:14" x14ac:dyDescent="0.2">
      <c r="A60" t="s">
        <v>1099</v>
      </c>
      <c r="B60" t="s">
        <v>32</v>
      </c>
      <c r="C60">
        <v>51</v>
      </c>
      <c r="D60">
        <v>8</v>
      </c>
      <c r="E60">
        <v>43</v>
      </c>
      <c r="F60">
        <v>52</v>
      </c>
      <c r="G60">
        <v>8</v>
      </c>
      <c r="H60">
        <v>44</v>
      </c>
      <c r="I60">
        <v>0.14630000000000001</v>
      </c>
      <c r="J60">
        <f t="shared" si="0"/>
        <v>0.4784688995215311</v>
      </c>
      <c r="K60">
        <v>6.9999999999999999E-4</v>
      </c>
      <c r="L60" t="s">
        <v>17</v>
      </c>
      <c r="M60">
        <v>296</v>
      </c>
      <c r="N60" t="s">
        <v>553</v>
      </c>
    </row>
    <row r="61" spans="1:14" x14ac:dyDescent="0.2">
      <c r="A61" t="s">
        <v>1099</v>
      </c>
      <c r="B61" t="s">
        <v>32</v>
      </c>
      <c r="C61">
        <v>52</v>
      </c>
      <c r="D61">
        <v>5</v>
      </c>
      <c r="E61">
        <v>48</v>
      </c>
      <c r="F61">
        <v>53</v>
      </c>
      <c r="G61">
        <v>5</v>
      </c>
      <c r="H61">
        <v>49</v>
      </c>
      <c r="I61">
        <v>0.1681</v>
      </c>
      <c r="J61">
        <f t="shared" si="0"/>
        <v>0.65437239738251041</v>
      </c>
      <c r="K61">
        <v>1.1000000000000001E-3</v>
      </c>
      <c r="L61" t="s">
        <v>17</v>
      </c>
      <c r="M61">
        <v>296</v>
      </c>
      <c r="N61" t="s">
        <v>553</v>
      </c>
    </row>
    <row r="62" spans="1:14" x14ac:dyDescent="0.2">
      <c r="A62" t="s">
        <v>1099</v>
      </c>
      <c r="B62" t="s">
        <v>32</v>
      </c>
      <c r="C62">
        <v>48</v>
      </c>
      <c r="D62">
        <v>15</v>
      </c>
      <c r="E62">
        <v>34</v>
      </c>
      <c r="F62">
        <v>49</v>
      </c>
      <c r="G62">
        <v>15</v>
      </c>
      <c r="H62">
        <v>35</v>
      </c>
      <c r="I62">
        <v>0.14410000000000001</v>
      </c>
      <c r="J62">
        <f t="shared" si="0"/>
        <v>0.9715475364330326</v>
      </c>
      <c r="K62">
        <v>1.4E-3</v>
      </c>
      <c r="L62" t="s">
        <v>17</v>
      </c>
      <c r="M62">
        <v>296</v>
      </c>
      <c r="N62" t="s">
        <v>553</v>
      </c>
    </row>
    <row r="63" spans="1:14" x14ac:dyDescent="0.2">
      <c r="A63" t="s">
        <v>1099</v>
      </c>
      <c r="B63" t="s">
        <v>32</v>
      </c>
      <c r="C63">
        <v>49</v>
      </c>
      <c r="D63">
        <v>13</v>
      </c>
      <c r="E63">
        <v>36</v>
      </c>
      <c r="F63">
        <v>50</v>
      </c>
      <c r="G63">
        <v>13</v>
      </c>
      <c r="H63">
        <v>37</v>
      </c>
      <c r="I63">
        <v>0.14990000000000001</v>
      </c>
      <c r="J63">
        <f t="shared" si="0"/>
        <v>0.46697798532354901</v>
      </c>
      <c r="K63">
        <v>6.9999999999999999E-4</v>
      </c>
      <c r="L63" t="s">
        <v>17</v>
      </c>
      <c r="M63">
        <v>296</v>
      </c>
      <c r="N63" t="s">
        <v>553</v>
      </c>
    </row>
    <row r="64" spans="1:14" x14ac:dyDescent="0.2">
      <c r="A64" t="s">
        <v>1099</v>
      </c>
      <c r="B64" t="s">
        <v>32</v>
      </c>
      <c r="C64">
        <v>47</v>
      </c>
      <c r="D64">
        <v>16</v>
      </c>
      <c r="E64">
        <v>31</v>
      </c>
      <c r="F64">
        <v>48</v>
      </c>
      <c r="G64">
        <v>16</v>
      </c>
      <c r="H64">
        <v>32</v>
      </c>
      <c r="I64">
        <v>0.125</v>
      </c>
      <c r="J64">
        <f t="shared" si="0"/>
        <v>0.88</v>
      </c>
      <c r="K64">
        <v>1.1000000000000001E-3</v>
      </c>
      <c r="L64" t="s">
        <v>17</v>
      </c>
      <c r="M64">
        <v>296</v>
      </c>
      <c r="N64" t="s">
        <v>553</v>
      </c>
    </row>
    <row r="65" spans="1:14" x14ac:dyDescent="0.2">
      <c r="A65" t="s">
        <v>1099</v>
      </c>
      <c r="B65" t="s">
        <v>32</v>
      </c>
      <c r="C65">
        <v>55</v>
      </c>
      <c r="D65">
        <v>0</v>
      </c>
      <c r="E65">
        <v>55</v>
      </c>
      <c r="F65">
        <v>56</v>
      </c>
      <c r="G65">
        <v>0</v>
      </c>
      <c r="H65">
        <v>56</v>
      </c>
      <c r="I65">
        <v>0.13850000000000001</v>
      </c>
      <c r="J65">
        <f t="shared" si="0"/>
        <v>0.21660649819494582</v>
      </c>
      <c r="K65">
        <v>2.9999999999999997E-4</v>
      </c>
      <c r="L65" t="s">
        <v>17</v>
      </c>
      <c r="M65">
        <v>296</v>
      </c>
      <c r="N65" t="s">
        <v>553</v>
      </c>
    </row>
    <row r="66" spans="1:14" x14ac:dyDescent="0.2">
      <c r="A66" t="s">
        <v>1099</v>
      </c>
      <c r="B66" t="s">
        <v>32</v>
      </c>
      <c r="C66">
        <v>54</v>
      </c>
      <c r="D66">
        <v>2</v>
      </c>
      <c r="E66">
        <v>53</v>
      </c>
      <c r="F66">
        <v>55</v>
      </c>
      <c r="G66">
        <v>2</v>
      </c>
      <c r="H66">
        <v>54</v>
      </c>
      <c r="I66">
        <v>0.14319999999999999</v>
      </c>
      <c r="J66">
        <f t="shared" si="0"/>
        <v>0.27932960893854747</v>
      </c>
      <c r="K66">
        <v>4.0000000000000002E-4</v>
      </c>
      <c r="L66" t="s">
        <v>17</v>
      </c>
      <c r="M66">
        <v>296</v>
      </c>
      <c r="N66" t="s">
        <v>553</v>
      </c>
    </row>
    <row r="67" spans="1:14" x14ac:dyDescent="0.2">
      <c r="A67" t="s">
        <v>1099</v>
      </c>
      <c r="B67" t="s">
        <v>32</v>
      </c>
      <c r="C67">
        <v>50</v>
      </c>
      <c r="D67">
        <v>9</v>
      </c>
      <c r="E67">
        <v>42</v>
      </c>
      <c r="F67">
        <v>51</v>
      </c>
      <c r="G67">
        <v>9</v>
      </c>
      <c r="H67">
        <v>43</v>
      </c>
      <c r="I67">
        <v>0.15790000000000001</v>
      </c>
      <c r="J67">
        <f t="shared" ref="J67:J130" si="1">K67/I67*100</f>
        <v>0.56998100063331225</v>
      </c>
      <c r="K67">
        <v>8.9999999999999998E-4</v>
      </c>
      <c r="L67" t="s">
        <v>17</v>
      </c>
      <c r="M67">
        <v>296</v>
      </c>
      <c r="N67" t="s">
        <v>553</v>
      </c>
    </row>
    <row r="68" spans="1:14" x14ac:dyDescent="0.2">
      <c r="A68" t="s">
        <v>1099</v>
      </c>
      <c r="B68" t="s">
        <v>32</v>
      </c>
      <c r="C68">
        <v>52</v>
      </c>
      <c r="D68">
        <v>4</v>
      </c>
      <c r="E68">
        <v>49</v>
      </c>
      <c r="F68">
        <v>53</v>
      </c>
      <c r="G68">
        <v>4</v>
      </c>
      <c r="H68">
        <v>50</v>
      </c>
      <c r="I68">
        <v>0.16209999999999999</v>
      </c>
      <c r="J68">
        <f t="shared" si="1"/>
        <v>0.24676125848241826</v>
      </c>
      <c r="K68">
        <v>4.0000000000000002E-4</v>
      </c>
      <c r="L68" t="s">
        <v>17</v>
      </c>
      <c r="M68">
        <v>296</v>
      </c>
      <c r="N68" t="s">
        <v>553</v>
      </c>
    </row>
    <row r="69" spans="1:14" x14ac:dyDescent="0.2">
      <c r="A69" t="s">
        <v>1099</v>
      </c>
      <c r="B69" t="s">
        <v>32</v>
      </c>
      <c r="C69">
        <v>50</v>
      </c>
      <c r="D69">
        <v>8</v>
      </c>
      <c r="E69">
        <v>43</v>
      </c>
      <c r="F69">
        <v>51</v>
      </c>
      <c r="G69">
        <v>8</v>
      </c>
      <c r="H69">
        <v>44</v>
      </c>
      <c r="I69">
        <v>0.16600000000000001</v>
      </c>
      <c r="J69">
        <f t="shared" si="1"/>
        <v>0.36144578313253006</v>
      </c>
      <c r="K69">
        <v>5.9999999999999995E-4</v>
      </c>
      <c r="L69" t="s">
        <v>17</v>
      </c>
      <c r="M69">
        <v>296</v>
      </c>
      <c r="N69" t="s">
        <v>553</v>
      </c>
    </row>
    <row r="70" spans="1:14" x14ac:dyDescent="0.2">
      <c r="A70" t="s">
        <v>1099</v>
      </c>
      <c r="B70" t="s">
        <v>32</v>
      </c>
      <c r="C70">
        <v>49</v>
      </c>
      <c r="D70">
        <v>11</v>
      </c>
      <c r="E70">
        <v>38</v>
      </c>
      <c r="F70">
        <v>50</v>
      </c>
      <c r="G70">
        <v>11</v>
      </c>
      <c r="H70">
        <v>39</v>
      </c>
      <c r="I70">
        <v>0.16039999999999999</v>
      </c>
      <c r="J70">
        <f t="shared" si="1"/>
        <v>0.4364089775561098</v>
      </c>
      <c r="K70">
        <v>6.9999999999999999E-4</v>
      </c>
      <c r="L70" t="s">
        <v>17</v>
      </c>
      <c r="M70">
        <v>296</v>
      </c>
      <c r="N70" t="s">
        <v>553</v>
      </c>
    </row>
    <row r="71" spans="1:14" x14ac:dyDescent="0.2">
      <c r="A71" t="s">
        <v>1099</v>
      </c>
      <c r="B71" t="s">
        <v>32</v>
      </c>
      <c r="C71">
        <v>50</v>
      </c>
      <c r="D71">
        <v>7</v>
      </c>
      <c r="E71">
        <v>44</v>
      </c>
      <c r="F71">
        <v>51</v>
      </c>
      <c r="G71">
        <v>7</v>
      </c>
      <c r="H71">
        <v>45</v>
      </c>
      <c r="I71">
        <v>0.1583</v>
      </c>
      <c r="J71">
        <f t="shared" si="1"/>
        <v>0.18951358180669614</v>
      </c>
      <c r="K71">
        <v>2.9999999999999997E-4</v>
      </c>
      <c r="L71" t="s">
        <v>17</v>
      </c>
      <c r="M71">
        <v>296</v>
      </c>
      <c r="N71" t="s">
        <v>553</v>
      </c>
    </row>
    <row r="72" spans="1:14" x14ac:dyDescent="0.2">
      <c r="A72" t="s">
        <v>1099</v>
      </c>
      <c r="B72" t="s">
        <v>32</v>
      </c>
      <c r="C72">
        <v>47</v>
      </c>
      <c r="D72">
        <v>15</v>
      </c>
      <c r="E72">
        <v>32</v>
      </c>
      <c r="F72">
        <v>48</v>
      </c>
      <c r="G72">
        <v>15</v>
      </c>
      <c r="H72">
        <v>33</v>
      </c>
      <c r="I72">
        <v>0.14360000000000001</v>
      </c>
      <c r="J72">
        <f t="shared" si="1"/>
        <v>0.62674094707520889</v>
      </c>
      <c r="K72">
        <v>8.9999999999999998E-4</v>
      </c>
      <c r="L72" t="s">
        <v>17</v>
      </c>
      <c r="M72">
        <v>296</v>
      </c>
      <c r="N72" t="s">
        <v>553</v>
      </c>
    </row>
    <row r="73" spans="1:14" x14ac:dyDescent="0.2">
      <c r="A73" t="s">
        <v>1099</v>
      </c>
      <c r="B73" t="s">
        <v>32</v>
      </c>
      <c r="C73">
        <v>49</v>
      </c>
      <c r="D73">
        <v>10</v>
      </c>
      <c r="E73">
        <v>39</v>
      </c>
      <c r="F73">
        <v>50</v>
      </c>
      <c r="G73">
        <v>10</v>
      </c>
      <c r="H73">
        <v>40</v>
      </c>
      <c r="I73">
        <v>0.1772</v>
      </c>
      <c r="J73">
        <f t="shared" si="1"/>
        <v>0.50790067720090293</v>
      </c>
      <c r="K73">
        <v>8.9999999999999998E-4</v>
      </c>
      <c r="L73" t="s">
        <v>17</v>
      </c>
      <c r="M73">
        <v>296</v>
      </c>
      <c r="N73" t="s">
        <v>553</v>
      </c>
    </row>
    <row r="74" spans="1:14" x14ac:dyDescent="0.2">
      <c r="A74" t="s">
        <v>1099</v>
      </c>
      <c r="B74" t="s">
        <v>32</v>
      </c>
      <c r="C74">
        <v>50</v>
      </c>
      <c r="D74">
        <v>6</v>
      </c>
      <c r="E74">
        <v>45</v>
      </c>
      <c r="F74">
        <v>51</v>
      </c>
      <c r="G74">
        <v>6</v>
      </c>
      <c r="H74">
        <v>46</v>
      </c>
      <c r="I74">
        <v>0.1573</v>
      </c>
      <c r="J74">
        <f t="shared" si="1"/>
        <v>0.25429116338207247</v>
      </c>
      <c r="K74">
        <v>4.0000000000000002E-4</v>
      </c>
      <c r="L74" t="s">
        <v>17</v>
      </c>
      <c r="M74">
        <v>296</v>
      </c>
      <c r="N74" t="s">
        <v>553</v>
      </c>
    </row>
    <row r="75" spans="1:14" x14ac:dyDescent="0.2">
      <c r="A75" t="s">
        <v>1099</v>
      </c>
      <c r="B75" t="s">
        <v>32</v>
      </c>
      <c r="C75">
        <v>54</v>
      </c>
      <c r="D75">
        <v>1</v>
      </c>
      <c r="E75">
        <v>54</v>
      </c>
      <c r="F75">
        <v>55</v>
      </c>
      <c r="G75">
        <v>1</v>
      </c>
      <c r="H75">
        <v>55</v>
      </c>
      <c r="I75">
        <v>0.1449</v>
      </c>
      <c r="J75">
        <f t="shared" si="1"/>
        <v>0.20703933747412007</v>
      </c>
      <c r="K75">
        <v>2.9999999999999997E-4</v>
      </c>
      <c r="L75" t="s">
        <v>17</v>
      </c>
      <c r="M75">
        <v>296</v>
      </c>
      <c r="N75" t="s">
        <v>553</v>
      </c>
    </row>
    <row r="76" spans="1:14" x14ac:dyDescent="0.2">
      <c r="A76" t="s">
        <v>1099</v>
      </c>
      <c r="B76" t="s">
        <v>32</v>
      </c>
      <c r="C76">
        <v>49</v>
      </c>
      <c r="D76">
        <v>9</v>
      </c>
      <c r="E76">
        <v>40</v>
      </c>
      <c r="F76">
        <v>50</v>
      </c>
      <c r="G76">
        <v>9</v>
      </c>
      <c r="H76">
        <v>41</v>
      </c>
      <c r="I76">
        <v>0.15379999999999999</v>
      </c>
      <c r="J76">
        <f t="shared" si="1"/>
        <v>0.52015604681404426</v>
      </c>
      <c r="K76">
        <v>8.0000000000000004E-4</v>
      </c>
      <c r="L76" t="s">
        <v>17</v>
      </c>
      <c r="M76">
        <v>296</v>
      </c>
      <c r="N76" t="s">
        <v>553</v>
      </c>
    </row>
    <row r="77" spans="1:14" x14ac:dyDescent="0.2">
      <c r="A77" t="s">
        <v>1099</v>
      </c>
      <c r="B77" t="s">
        <v>32</v>
      </c>
      <c r="C77">
        <v>51</v>
      </c>
      <c r="D77">
        <v>3</v>
      </c>
      <c r="E77">
        <v>48</v>
      </c>
      <c r="F77">
        <v>52</v>
      </c>
      <c r="G77">
        <v>3</v>
      </c>
      <c r="H77">
        <v>49</v>
      </c>
      <c r="I77">
        <v>0.15090000000000001</v>
      </c>
      <c r="J77">
        <f t="shared" si="1"/>
        <v>0.33134526176275675</v>
      </c>
      <c r="K77">
        <v>5.0000000000000001E-4</v>
      </c>
      <c r="L77" t="s">
        <v>17</v>
      </c>
      <c r="M77">
        <v>296</v>
      </c>
      <c r="N77" t="s">
        <v>553</v>
      </c>
    </row>
    <row r="78" spans="1:14" x14ac:dyDescent="0.2">
      <c r="A78" t="s">
        <v>1099</v>
      </c>
      <c r="B78" t="s">
        <v>32</v>
      </c>
      <c r="C78">
        <v>49</v>
      </c>
      <c r="D78">
        <v>5</v>
      </c>
      <c r="E78">
        <v>44</v>
      </c>
      <c r="F78">
        <v>50</v>
      </c>
      <c r="G78">
        <v>5</v>
      </c>
      <c r="H78">
        <v>45</v>
      </c>
      <c r="I78">
        <v>0.1638</v>
      </c>
      <c r="J78">
        <f t="shared" si="1"/>
        <v>0.24420024420024419</v>
      </c>
      <c r="K78">
        <v>4.0000000000000002E-4</v>
      </c>
      <c r="L78" t="s">
        <v>17</v>
      </c>
      <c r="M78">
        <v>296</v>
      </c>
      <c r="N78" t="s">
        <v>553</v>
      </c>
    </row>
    <row r="79" spans="1:14" x14ac:dyDescent="0.2">
      <c r="A79" t="s">
        <v>1099</v>
      </c>
      <c r="B79" t="s">
        <v>32</v>
      </c>
      <c r="C79">
        <v>49</v>
      </c>
      <c r="D79">
        <v>7</v>
      </c>
      <c r="E79">
        <v>42</v>
      </c>
      <c r="F79">
        <v>50</v>
      </c>
      <c r="G79">
        <v>7</v>
      </c>
      <c r="H79">
        <v>43</v>
      </c>
      <c r="I79">
        <v>0.15060000000000001</v>
      </c>
      <c r="J79">
        <f t="shared" si="1"/>
        <v>0.26560424966799467</v>
      </c>
      <c r="K79">
        <v>4.0000000000000002E-4</v>
      </c>
      <c r="L79" t="s">
        <v>17</v>
      </c>
      <c r="M79">
        <v>296</v>
      </c>
      <c r="N79" t="s">
        <v>553</v>
      </c>
    </row>
    <row r="80" spans="1:14" x14ac:dyDescent="0.2">
      <c r="A80" t="s">
        <v>1099</v>
      </c>
      <c r="B80" t="s">
        <v>32</v>
      </c>
      <c r="C80">
        <v>50</v>
      </c>
      <c r="D80">
        <v>5</v>
      </c>
      <c r="E80">
        <v>46</v>
      </c>
      <c r="F80">
        <v>51</v>
      </c>
      <c r="G80">
        <v>5</v>
      </c>
      <c r="H80">
        <v>47</v>
      </c>
      <c r="I80">
        <v>0.15759999999999999</v>
      </c>
      <c r="J80">
        <f t="shared" si="1"/>
        <v>0.31725888324873103</v>
      </c>
      <c r="K80">
        <v>5.0000000000000001E-4</v>
      </c>
      <c r="L80" t="s">
        <v>17</v>
      </c>
      <c r="M80">
        <v>296</v>
      </c>
      <c r="N80" t="s">
        <v>553</v>
      </c>
    </row>
    <row r="81" spans="1:14" x14ac:dyDescent="0.2">
      <c r="A81" t="s">
        <v>1099</v>
      </c>
      <c r="B81" t="s">
        <v>32</v>
      </c>
      <c r="C81">
        <v>48</v>
      </c>
      <c r="D81">
        <v>11</v>
      </c>
      <c r="E81">
        <v>38</v>
      </c>
      <c r="F81">
        <v>49</v>
      </c>
      <c r="G81">
        <v>11</v>
      </c>
      <c r="H81">
        <v>39</v>
      </c>
      <c r="I81">
        <v>0.15049999999999999</v>
      </c>
      <c r="J81">
        <f t="shared" si="1"/>
        <v>0.3986710963455149</v>
      </c>
      <c r="K81">
        <v>5.9999999999999995E-4</v>
      </c>
      <c r="L81" t="s">
        <v>17</v>
      </c>
      <c r="M81">
        <v>296</v>
      </c>
      <c r="N81" t="s">
        <v>553</v>
      </c>
    </row>
    <row r="82" spans="1:14" x14ac:dyDescent="0.2">
      <c r="A82" t="s">
        <v>1099</v>
      </c>
      <c r="B82" t="s">
        <v>32</v>
      </c>
      <c r="C82">
        <v>46</v>
      </c>
      <c r="D82">
        <v>15</v>
      </c>
      <c r="E82">
        <v>32</v>
      </c>
      <c r="F82">
        <v>47</v>
      </c>
      <c r="G82">
        <v>15</v>
      </c>
      <c r="H82">
        <v>33</v>
      </c>
      <c r="I82">
        <v>0.14319999999999999</v>
      </c>
      <c r="J82">
        <f t="shared" si="1"/>
        <v>0.69832402234636881</v>
      </c>
      <c r="K82">
        <v>1E-3</v>
      </c>
      <c r="L82" t="s">
        <v>17</v>
      </c>
      <c r="M82">
        <v>296</v>
      </c>
      <c r="N82" t="s">
        <v>553</v>
      </c>
    </row>
    <row r="83" spans="1:14" x14ac:dyDescent="0.2">
      <c r="A83" t="s">
        <v>1099</v>
      </c>
      <c r="B83" t="s">
        <v>32</v>
      </c>
      <c r="C83">
        <v>47</v>
      </c>
      <c r="D83">
        <v>13</v>
      </c>
      <c r="E83">
        <v>34</v>
      </c>
      <c r="F83">
        <v>48</v>
      </c>
      <c r="G83">
        <v>13</v>
      </c>
      <c r="H83">
        <v>35</v>
      </c>
      <c r="I83">
        <v>0.13919999999999999</v>
      </c>
      <c r="J83">
        <f t="shared" si="1"/>
        <v>0.57471264367816099</v>
      </c>
      <c r="K83">
        <v>8.0000000000000004E-4</v>
      </c>
      <c r="L83" t="s">
        <v>17</v>
      </c>
      <c r="M83">
        <v>296</v>
      </c>
      <c r="N83" t="s">
        <v>553</v>
      </c>
    </row>
    <row r="84" spans="1:14" x14ac:dyDescent="0.2">
      <c r="A84" t="s">
        <v>1099</v>
      </c>
      <c r="B84" t="s">
        <v>32</v>
      </c>
      <c r="C84">
        <v>53</v>
      </c>
      <c r="D84">
        <v>0</v>
      </c>
      <c r="E84">
        <v>53</v>
      </c>
      <c r="F84">
        <v>54</v>
      </c>
      <c r="G84">
        <v>0</v>
      </c>
      <c r="H84">
        <v>54</v>
      </c>
      <c r="I84">
        <v>0.1444</v>
      </c>
      <c r="J84">
        <f t="shared" si="1"/>
        <v>0.13850415512465375</v>
      </c>
      <c r="K84">
        <v>2.0000000000000001E-4</v>
      </c>
      <c r="L84" t="s">
        <v>17</v>
      </c>
      <c r="M84">
        <v>296</v>
      </c>
      <c r="N84" t="s">
        <v>553</v>
      </c>
    </row>
    <row r="85" spans="1:14" x14ac:dyDescent="0.2">
      <c r="A85" t="s">
        <v>1099</v>
      </c>
      <c r="B85" t="s">
        <v>32</v>
      </c>
      <c r="C85">
        <v>52</v>
      </c>
      <c r="D85">
        <v>2</v>
      </c>
      <c r="E85">
        <v>51</v>
      </c>
      <c r="F85">
        <v>53</v>
      </c>
      <c r="G85">
        <v>2</v>
      </c>
      <c r="H85">
        <v>52</v>
      </c>
      <c r="I85">
        <v>0.14499999999999999</v>
      </c>
      <c r="J85">
        <f t="shared" si="1"/>
        <v>0.13793103448275862</v>
      </c>
      <c r="K85">
        <v>2.0000000000000001E-4</v>
      </c>
      <c r="L85" t="s">
        <v>17</v>
      </c>
      <c r="M85">
        <v>296</v>
      </c>
      <c r="N85" t="s">
        <v>553</v>
      </c>
    </row>
    <row r="86" spans="1:14" x14ac:dyDescent="0.2">
      <c r="A86" t="s">
        <v>1099</v>
      </c>
      <c r="B86" t="s">
        <v>32</v>
      </c>
      <c r="C86">
        <v>49</v>
      </c>
      <c r="D86">
        <v>4</v>
      </c>
      <c r="E86">
        <v>45</v>
      </c>
      <c r="F86">
        <v>50</v>
      </c>
      <c r="G86">
        <v>4</v>
      </c>
      <c r="H86">
        <v>46</v>
      </c>
      <c r="I86">
        <v>0.15759999999999999</v>
      </c>
      <c r="J86">
        <f t="shared" si="1"/>
        <v>0.25380710659898481</v>
      </c>
      <c r="K86">
        <v>4.0000000000000002E-4</v>
      </c>
      <c r="L86" t="s">
        <v>17</v>
      </c>
      <c r="M86">
        <v>296</v>
      </c>
      <c r="N86" t="s">
        <v>553</v>
      </c>
    </row>
    <row r="87" spans="1:14" x14ac:dyDescent="0.2">
      <c r="A87" t="s">
        <v>1099</v>
      </c>
      <c r="B87" t="s">
        <v>32</v>
      </c>
      <c r="C87">
        <v>48</v>
      </c>
      <c r="D87">
        <v>9</v>
      </c>
      <c r="E87">
        <v>40</v>
      </c>
      <c r="F87">
        <v>49</v>
      </c>
      <c r="G87">
        <v>9</v>
      </c>
      <c r="H87">
        <v>41</v>
      </c>
      <c r="I87">
        <v>0.1701</v>
      </c>
      <c r="J87">
        <f t="shared" si="1"/>
        <v>0.29394473838918284</v>
      </c>
      <c r="K87">
        <v>5.0000000000000001E-4</v>
      </c>
      <c r="L87" t="s">
        <v>17</v>
      </c>
      <c r="M87">
        <v>296</v>
      </c>
      <c r="N87" t="s">
        <v>553</v>
      </c>
    </row>
    <row r="88" spans="1:14" x14ac:dyDescent="0.2">
      <c r="A88" t="s">
        <v>1099</v>
      </c>
      <c r="B88" t="s">
        <v>32</v>
      </c>
      <c r="C88">
        <v>50</v>
      </c>
      <c r="D88">
        <v>4</v>
      </c>
      <c r="E88">
        <v>47</v>
      </c>
      <c r="F88">
        <v>51</v>
      </c>
      <c r="G88">
        <v>4</v>
      </c>
      <c r="H88">
        <v>48</v>
      </c>
      <c r="I88">
        <v>0.15709999999999999</v>
      </c>
      <c r="J88">
        <f t="shared" si="1"/>
        <v>0.19096117122851686</v>
      </c>
      <c r="K88">
        <v>2.9999999999999997E-4</v>
      </c>
      <c r="L88" t="s">
        <v>17</v>
      </c>
      <c r="M88">
        <v>296</v>
      </c>
      <c r="N88" t="s">
        <v>553</v>
      </c>
    </row>
    <row r="89" spans="1:14" x14ac:dyDescent="0.2">
      <c r="A89" t="s">
        <v>1099</v>
      </c>
      <c r="B89" t="s">
        <v>32</v>
      </c>
      <c r="C89">
        <v>48</v>
      </c>
      <c r="D89">
        <v>8</v>
      </c>
      <c r="E89">
        <v>41</v>
      </c>
      <c r="F89">
        <v>49</v>
      </c>
      <c r="G89">
        <v>8</v>
      </c>
      <c r="H89">
        <v>42</v>
      </c>
      <c r="I89">
        <v>0.16439999999999999</v>
      </c>
      <c r="J89">
        <f t="shared" si="1"/>
        <v>0.24330900243309003</v>
      </c>
      <c r="K89">
        <v>4.0000000000000002E-4</v>
      </c>
      <c r="L89" t="s">
        <v>17</v>
      </c>
      <c r="M89">
        <v>296</v>
      </c>
      <c r="N89" t="s">
        <v>553</v>
      </c>
    </row>
    <row r="90" spans="1:14" x14ac:dyDescent="0.2">
      <c r="A90" t="s">
        <v>1099</v>
      </c>
      <c r="B90" t="s">
        <v>32</v>
      </c>
      <c r="C90">
        <v>47</v>
      </c>
      <c r="D90">
        <v>11</v>
      </c>
      <c r="E90">
        <v>36</v>
      </c>
      <c r="F90">
        <v>48</v>
      </c>
      <c r="G90">
        <v>11</v>
      </c>
      <c r="H90">
        <v>37</v>
      </c>
      <c r="I90">
        <v>0.16370000000000001</v>
      </c>
      <c r="J90">
        <f t="shared" si="1"/>
        <v>0.30543677458766033</v>
      </c>
      <c r="K90">
        <v>5.0000000000000001E-4</v>
      </c>
      <c r="L90" t="s">
        <v>17</v>
      </c>
      <c r="M90">
        <v>296</v>
      </c>
      <c r="N90" t="s">
        <v>553</v>
      </c>
    </row>
    <row r="91" spans="1:14" x14ac:dyDescent="0.2">
      <c r="A91" t="s">
        <v>1099</v>
      </c>
      <c r="B91" t="s">
        <v>32</v>
      </c>
      <c r="C91">
        <v>45</v>
      </c>
      <c r="D91">
        <v>15</v>
      </c>
      <c r="E91">
        <v>30</v>
      </c>
      <c r="F91">
        <v>46</v>
      </c>
      <c r="G91">
        <v>15</v>
      </c>
      <c r="H91">
        <v>31</v>
      </c>
      <c r="I91">
        <v>0.1419</v>
      </c>
      <c r="J91">
        <f t="shared" si="1"/>
        <v>0.77519379844961245</v>
      </c>
      <c r="K91">
        <v>1.1000000000000001E-3</v>
      </c>
      <c r="L91" t="s">
        <v>17</v>
      </c>
      <c r="M91">
        <v>296</v>
      </c>
      <c r="N91" t="s">
        <v>553</v>
      </c>
    </row>
    <row r="92" spans="1:14" x14ac:dyDescent="0.2">
      <c r="A92" t="s">
        <v>1099</v>
      </c>
      <c r="B92" t="s">
        <v>32</v>
      </c>
      <c r="C92">
        <v>48</v>
      </c>
      <c r="D92">
        <v>7</v>
      </c>
      <c r="E92">
        <v>42</v>
      </c>
      <c r="F92">
        <v>49</v>
      </c>
      <c r="G92">
        <v>7</v>
      </c>
      <c r="H92">
        <v>43</v>
      </c>
      <c r="I92">
        <v>0.16900000000000001</v>
      </c>
      <c r="J92">
        <f t="shared" si="1"/>
        <v>0.23668639053254439</v>
      </c>
      <c r="K92">
        <v>4.0000000000000002E-4</v>
      </c>
      <c r="L92" t="s">
        <v>17</v>
      </c>
      <c r="M92">
        <v>296</v>
      </c>
      <c r="N92" t="s">
        <v>553</v>
      </c>
    </row>
    <row r="93" spans="1:14" x14ac:dyDescent="0.2">
      <c r="A93" t="s">
        <v>1099</v>
      </c>
      <c r="B93" t="s">
        <v>32</v>
      </c>
      <c r="C93">
        <v>46</v>
      </c>
      <c r="D93">
        <v>13</v>
      </c>
      <c r="E93">
        <v>34</v>
      </c>
      <c r="F93">
        <v>47</v>
      </c>
      <c r="G93">
        <v>13</v>
      </c>
      <c r="H93">
        <v>35</v>
      </c>
      <c r="I93">
        <v>0.16289999999999999</v>
      </c>
      <c r="J93">
        <f t="shared" si="1"/>
        <v>0.5524861878453039</v>
      </c>
      <c r="K93">
        <v>8.9999999999999998E-4</v>
      </c>
      <c r="L93" t="s">
        <v>17</v>
      </c>
      <c r="M93">
        <v>296</v>
      </c>
      <c r="N93" t="s">
        <v>553</v>
      </c>
    </row>
    <row r="94" spans="1:14" x14ac:dyDescent="0.2">
      <c r="A94" t="s">
        <v>1099</v>
      </c>
      <c r="B94" t="s">
        <v>32</v>
      </c>
      <c r="C94">
        <v>47</v>
      </c>
      <c r="D94">
        <v>10</v>
      </c>
      <c r="E94">
        <v>37</v>
      </c>
      <c r="F94">
        <v>48</v>
      </c>
      <c r="G94">
        <v>10</v>
      </c>
      <c r="H94">
        <v>38</v>
      </c>
      <c r="I94">
        <v>0.15440000000000001</v>
      </c>
      <c r="J94">
        <f t="shared" si="1"/>
        <v>0.38860103626942999</v>
      </c>
      <c r="K94">
        <v>5.9999999999999995E-4</v>
      </c>
      <c r="L94" t="s">
        <v>17</v>
      </c>
      <c r="M94">
        <v>296</v>
      </c>
      <c r="N94" t="s">
        <v>553</v>
      </c>
    </row>
    <row r="95" spans="1:14" x14ac:dyDescent="0.2">
      <c r="A95" t="s">
        <v>1099</v>
      </c>
      <c r="B95" t="s">
        <v>32</v>
      </c>
      <c r="C95">
        <v>48</v>
      </c>
      <c r="D95">
        <v>6</v>
      </c>
      <c r="E95">
        <v>43</v>
      </c>
      <c r="F95">
        <v>49</v>
      </c>
      <c r="G95">
        <v>6</v>
      </c>
      <c r="H95">
        <v>44</v>
      </c>
      <c r="I95">
        <v>0.16839999999999999</v>
      </c>
      <c r="J95">
        <f t="shared" si="1"/>
        <v>0.23752969121140144</v>
      </c>
      <c r="K95">
        <v>4.0000000000000002E-4</v>
      </c>
      <c r="L95" t="s">
        <v>17</v>
      </c>
      <c r="M95">
        <v>296</v>
      </c>
      <c r="N95" t="s">
        <v>553</v>
      </c>
    </row>
    <row r="96" spans="1:14" x14ac:dyDescent="0.2">
      <c r="A96" t="s">
        <v>1099</v>
      </c>
      <c r="B96" t="s">
        <v>32</v>
      </c>
      <c r="C96">
        <v>52</v>
      </c>
      <c r="D96">
        <v>1</v>
      </c>
      <c r="E96">
        <v>52</v>
      </c>
      <c r="F96">
        <v>53</v>
      </c>
      <c r="G96">
        <v>1</v>
      </c>
      <c r="H96">
        <v>53</v>
      </c>
      <c r="I96">
        <v>0.14729999999999999</v>
      </c>
      <c r="J96">
        <f t="shared" si="1"/>
        <v>0.20366598778004072</v>
      </c>
      <c r="K96">
        <v>2.9999999999999997E-4</v>
      </c>
      <c r="L96" t="s">
        <v>17</v>
      </c>
      <c r="M96">
        <v>296</v>
      </c>
      <c r="N96" t="s">
        <v>553</v>
      </c>
    </row>
    <row r="97" spans="1:14" x14ac:dyDescent="0.2">
      <c r="A97" t="s">
        <v>1099</v>
      </c>
      <c r="B97" t="s">
        <v>32</v>
      </c>
      <c r="C97">
        <v>44</v>
      </c>
      <c r="D97">
        <v>16</v>
      </c>
      <c r="E97">
        <v>29</v>
      </c>
      <c r="F97">
        <v>45</v>
      </c>
      <c r="G97">
        <v>16</v>
      </c>
      <c r="H97">
        <v>30</v>
      </c>
      <c r="I97">
        <v>0.13450000000000001</v>
      </c>
      <c r="J97">
        <f t="shared" si="1"/>
        <v>0.96654275092936792</v>
      </c>
      <c r="K97">
        <v>1.2999999999999999E-3</v>
      </c>
      <c r="L97" t="s">
        <v>17</v>
      </c>
      <c r="M97">
        <v>296</v>
      </c>
      <c r="N97" t="s">
        <v>553</v>
      </c>
    </row>
    <row r="98" spans="1:14" x14ac:dyDescent="0.2">
      <c r="A98" t="s">
        <v>1099</v>
      </c>
      <c r="B98" t="s">
        <v>32</v>
      </c>
      <c r="C98">
        <v>50</v>
      </c>
      <c r="D98">
        <v>3</v>
      </c>
      <c r="E98">
        <v>48</v>
      </c>
      <c r="F98">
        <v>51</v>
      </c>
      <c r="G98">
        <v>3</v>
      </c>
      <c r="H98">
        <v>49</v>
      </c>
      <c r="I98">
        <v>0.1502</v>
      </c>
      <c r="J98">
        <f t="shared" si="1"/>
        <v>0.26631158455392812</v>
      </c>
      <c r="K98">
        <v>4.0000000000000002E-4</v>
      </c>
      <c r="L98" t="s">
        <v>17</v>
      </c>
      <c r="M98">
        <v>296</v>
      </c>
      <c r="N98" t="s">
        <v>553</v>
      </c>
    </row>
    <row r="99" spans="1:14" x14ac:dyDescent="0.2">
      <c r="A99" t="s">
        <v>1099</v>
      </c>
      <c r="B99" t="s">
        <v>32</v>
      </c>
      <c r="C99">
        <v>47</v>
      </c>
      <c r="D99">
        <v>9</v>
      </c>
      <c r="E99">
        <v>38</v>
      </c>
      <c r="F99">
        <v>48</v>
      </c>
      <c r="G99">
        <v>9</v>
      </c>
      <c r="H99">
        <v>39</v>
      </c>
      <c r="I99">
        <v>0.1716</v>
      </c>
      <c r="J99">
        <f t="shared" si="1"/>
        <v>0.29137529137529139</v>
      </c>
      <c r="K99">
        <v>5.0000000000000001E-4</v>
      </c>
      <c r="L99" t="s">
        <v>17</v>
      </c>
      <c r="M99">
        <v>296</v>
      </c>
      <c r="N99" t="s">
        <v>553</v>
      </c>
    </row>
    <row r="100" spans="1:14" x14ac:dyDescent="0.2">
      <c r="A100" t="s">
        <v>1099</v>
      </c>
      <c r="B100" t="s">
        <v>32</v>
      </c>
      <c r="C100">
        <v>47</v>
      </c>
      <c r="D100">
        <v>5</v>
      </c>
      <c r="E100">
        <v>42</v>
      </c>
      <c r="F100">
        <v>48</v>
      </c>
      <c r="G100">
        <v>5</v>
      </c>
      <c r="H100">
        <v>43</v>
      </c>
      <c r="I100">
        <v>0.15920000000000001</v>
      </c>
      <c r="J100">
        <f t="shared" si="1"/>
        <v>0.25125628140703515</v>
      </c>
      <c r="K100">
        <v>4.0000000000000002E-4</v>
      </c>
      <c r="L100" t="s">
        <v>17</v>
      </c>
      <c r="M100">
        <v>296</v>
      </c>
      <c r="N100" t="s">
        <v>553</v>
      </c>
    </row>
    <row r="101" spans="1:14" x14ac:dyDescent="0.2">
      <c r="A101" t="s">
        <v>1099</v>
      </c>
      <c r="B101" t="s">
        <v>32</v>
      </c>
      <c r="C101">
        <v>48</v>
      </c>
      <c r="D101">
        <v>5</v>
      </c>
      <c r="E101">
        <v>44</v>
      </c>
      <c r="F101">
        <v>49</v>
      </c>
      <c r="G101">
        <v>5</v>
      </c>
      <c r="H101">
        <v>45</v>
      </c>
      <c r="I101">
        <v>0.1656</v>
      </c>
      <c r="J101">
        <f t="shared" si="1"/>
        <v>0.18115942028985504</v>
      </c>
      <c r="K101">
        <v>2.9999999999999997E-4</v>
      </c>
      <c r="L101" t="s">
        <v>17</v>
      </c>
      <c r="M101">
        <v>296</v>
      </c>
      <c r="N101" t="s">
        <v>553</v>
      </c>
    </row>
    <row r="102" spans="1:14" x14ac:dyDescent="0.2">
      <c r="A102" t="s">
        <v>1099</v>
      </c>
      <c r="B102" t="s">
        <v>32</v>
      </c>
      <c r="C102">
        <v>47</v>
      </c>
      <c r="D102">
        <v>8</v>
      </c>
      <c r="E102">
        <v>39</v>
      </c>
      <c r="F102">
        <v>48</v>
      </c>
      <c r="G102">
        <v>8</v>
      </c>
      <c r="H102">
        <v>40</v>
      </c>
      <c r="I102">
        <v>0.1603</v>
      </c>
      <c r="J102">
        <f t="shared" si="1"/>
        <v>0.31191515907673117</v>
      </c>
      <c r="K102">
        <v>5.0000000000000001E-4</v>
      </c>
      <c r="L102" t="s">
        <v>17</v>
      </c>
      <c r="M102">
        <v>296</v>
      </c>
      <c r="N102" t="s">
        <v>553</v>
      </c>
    </row>
    <row r="103" spans="1:14" x14ac:dyDescent="0.2">
      <c r="A103" t="s">
        <v>1099</v>
      </c>
      <c r="B103" t="s">
        <v>32</v>
      </c>
      <c r="C103">
        <v>44</v>
      </c>
      <c r="D103">
        <v>15</v>
      </c>
      <c r="E103">
        <v>30</v>
      </c>
      <c r="F103">
        <v>45</v>
      </c>
      <c r="G103">
        <v>15</v>
      </c>
      <c r="H103">
        <v>31</v>
      </c>
      <c r="I103">
        <v>0.14610000000000001</v>
      </c>
      <c r="J103">
        <f t="shared" si="1"/>
        <v>0.82135523613963024</v>
      </c>
      <c r="K103">
        <v>1.1999999999999999E-3</v>
      </c>
      <c r="L103" t="s">
        <v>17</v>
      </c>
      <c r="M103">
        <v>296</v>
      </c>
      <c r="N103" t="s">
        <v>553</v>
      </c>
    </row>
    <row r="104" spans="1:14" x14ac:dyDescent="0.2">
      <c r="A104" t="s">
        <v>1099</v>
      </c>
      <c r="B104" t="s">
        <v>32</v>
      </c>
      <c r="C104">
        <v>46</v>
      </c>
      <c r="D104">
        <v>10</v>
      </c>
      <c r="E104">
        <v>37</v>
      </c>
      <c r="F104">
        <v>47</v>
      </c>
      <c r="G104">
        <v>10</v>
      </c>
      <c r="H104">
        <v>38</v>
      </c>
      <c r="I104">
        <v>0.15939999999999999</v>
      </c>
      <c r="J104">
        <f t="shared" si="1"/>
        <v>0.25094102885821834</v>
      </c>
      <c r="K104">
        <v>4.0000000000000002E-4</v>
      </c>
      <c r="L104" t="s">
        <v>17</v>
      </c>
      <c r="M104">
        <v>296</v>
      </c>
      <c r="N104" t="s">
        <v>553</v>
      </c>
    </row>
    <row r="105" spans="1:14" x14ac:dyDescent="0.2">
      <c r="A105" t="s">
        <v>1099</v>
      </c>
      <c r="B105" t="s">
        <v>32</v>
      </c>
      <c r="C105">
        <v>47</v>
      </c>
      <c r="D105">
        <v>4</v>
      </c>
      <c r="E105">
        <v>43</v>
      </c>
      <c r="F105">
        <v>48</v>
      </c>
      <c r="G105">
        <v>4</v>
      </c>
      <c r="H105">
        <v>44</v>
      </c>
      <c r="I105">
        <v>0.1545</v>
      </c>
      <c r="J105">
        <f t="shared" si="1"/>
        <v>0.1941747572815534</v>
      </c>
      <c r="K105">
        <v>2.9999999999999997E-4</v>
      </c>
      <c r="L105" t="s">
        <v>17</v>
      </c>
      <c r="M105">
        <v>296</v>
      </c>
      <c r="N105" t="s">
        <v>553</v>
      </c>
    </row>
    <row r="106" spans="1:14" x14ac:dyDescent="0.2">
      <c r="A106" t="s">
        <v>1099</v>
      </c>
      <c r="B106" t="s">
        <v>32</v>
      </c>
      <c r="C106">
        <v>43</v>
      </c>
      <c r="D106">
        <v>16</v>
      </c>
      <c r="E106">
        <v>27</v>
      </c>
      <c r="F106">
        <v>44</v>
      </c>
      <c r="G106">
        <v>16</v>
      </c>
      <c r="H106">
        <v>28</v>
      </c>
      <c r="I106">
        <v>0.12089999999999999</v>
      </c>
      <c r="J106">
        <f t="shared" si="1"/>
        <v>0.74441687344913154</v>
      </c>
      <c r="K106">
        <v>8.9999999999999998E-4</v>
      </c>
      <c r="L106" t="s">
        <v>17</v>
      </c>
      <c r="M106">
        <v>296</v>
      </c>
      <c r="N106" t="s">
        <v>553</v>
      </c>
    </row>
    <row r="107" spans="1:14" x14ac:dyDescent="0.2">
      <c r="A107" t="s">
        <v>1099</v>
      </c>
      <c r="B107" t="s">
        <v>32</v>
      </c>
      <c r="C107">
        <v>49</v>
      </c>
      <c r="D107">
        <v>2</v>
      </c>
      <c r="E107">
        <v>47</v>
      </c>
      <c r="F107">
        <v>50</v>
      </c>
      <c r="G107">
        <v>2</v>
      </c>
      <c r="H107">
        <v>48</v>
      </c>
      <c r="I107">
        <v>0.15359999999999999</v>
      </c>
      <c r="J107">
        <f t="shared" si="1"/>
        <v>0.26041666666666669</v>
      </c>
      <c r="K107">
        <v>4.0000000000000002E-4</v>
      </c>
      <c r="L107" t="s">
        <v>17</v>
      </c>
      <c r="M107">
        <v>296</v>
      </c>
      <c r="N107" t="s">
        <v>553</v>
      </c>
    </row>
    <row r="108" spans="1:14" x14ac:dyDescent="0.2">
      <c r="A108" t="s">
        <v>1099</v>
      </c>
      <c r="B108" t="s">
        <v>32</v>
      </c>
      <c r="C108">
        <v>46</v>
      </c>
      <c r="D108">
        <v>9</v>
      </c>
      <c r="E108">
        <v>38</v>
      </c>
      <c r="F108">
        <v>47</v>
      </c>
      <c r="G108">
        <v>9</v>
      </c>
      <c r="H108">
        <v>39</v>
      </c>
      <c r="I108">
        <v>0.15670000000000001</v>
      </c>
      <c r="J108">
        <f t="shared" si="1"/>
        <v>0.25526483726866628</v>
      </c>
      <c r="K108">
        <v>4.0000000000000002E-4</v>
      </c>
      <c r="L108" t="s">
        <v>17</v>
      </c>
      <c r="M108">
        <v>296</v>
      </c>
      <c r="N108" t="s">
        <v>553</v>
      </c>
    </row>
    <row r="109" spans="1:14" x14ac:dyDescent="0.2">
      <c r="A109" t="s">
        <v>1099</v>
      </c>
      <c r="B109" t="s">
        <v>32</v>
      </c>
      <c r="C109">
        <v>46</v>
      </c>
      <c r="D109">
        <v>8</v>
      </c>
      <c r="E109">
        <v>39</v>
      </c>
      <c r="F109">
        <v>47</v>
      </c>
      <c r="G109">
        <v>8</v>
      </c>
      <c r="H109">
        <v>40</v>
      </c>
      <c r="I109">
        <v>0.1605</v>
      </c>
      <c r="J109">
        <f t="shared" si="1"/>
        <v>0.24922118380062305</v>
      </c>
      <c r="K109">
        <v>4.0000000000000002E-4</v>
      </c>
      <c r="L109" t="s">
        <v>17</v>
      </c>
      <c r="M109">
        <v>296</v>
      </c>
      <c r="N109" t="s">
        <v>553</v>
      </c>
    </row>
    <row r="110" spans="1:14" x14ac:dyDescent="0.2">
      <c r="A110" t="s">
        <v>1099</v>
      </c>
      <c r="B110" t="s">
        <v>32</v>
      </c>
      <c r="C110">
        <v>45</v>
      </c>
      <c r="D110">
        <v>11</v>
      </c>
      <c r="E110">
        <v>34</v>
      </c>
      <c r="F110">
        <v>46</v>
      </c>
      <c r="G110">
        <v>11</v>
      </c>
      <c r="H110">
        <v>35</v>
      </c>
      <c r="I110">
        <v>0.14480000000000001</v>
      </c>
      <c r="J110">
        <f t="shared" si="1"/>
        <v>0.41436464088397779</v>
      </c>
      <c r="K110">
        <v>5.9999999999999995E-4</v>
      </c>
      <c r="L110" t="s">
        <v>17</v>
      </c>
      <c r="M110">
        <v>296</v>
      </c>
      <c r="N110" t="s">
        <v>553</v>
      </c>
    </row>
    <row r="111" spans="1:14" x14ac:dyDescent="0.2">
      <c r="A111" t="s">
        <v>1099</v>
      </c>
      <c r="B111" t="s">
        <v>32</v>
      </c>
      <c r="C111">
        <v>44</v>
      </c>
      <c r="D111">
        <v>13</v>
      </c>
      <c r="E111">
        <v>32</v>
      </c>
      <c r="F111">
        <v>45</v>
      </c>
      <c r="G111">
        <v>13</v>
      </c>
      <c r="H111">
        <v>33</v>
      </c>
      <c r="I111">
        <v>0.1512</v>
      </c>
      <c r="J111">
        <f t="shared" si="1"/>
        <v>0.46296296296296291</v>
      </c>
      <c r="K111">
        <v>6.9999999999999999E-4</v>
      </c>
      <c r="L111" t="s">
        <v>17</v>
      </c>
      <c r="M111">
        <v>296</v>
      </c>
      <c r="N111" t="s">
        <v>553</v>
      </c>
    </row>
    <row r="112" spans="1:14" x14ac:dyDescent="0.2">
      <c r="A112" t="s">
        <v>1099</v>
      </c>
      <c r="B112" t="s">
        <v>32</v>
      </c>
      <c r="C112">
        <v>42</v>
      </c>
      <c r="D112">
        <v>16</v>
      </c>
      <c r="E112">
        <v>27</v>
      </c>
      <c r="F112">
        <v>43</v>
      </c>
      <c r="G112">
        <v>16</v>
      </c>
      <c r="H112">
        <v>28</v>
      </c>
      <c r="I112">
        <v>0.14580000000000001</v>
      </c>
      <c r="J112">
        <f t="shared" si="1"/>
        <v>0.82304526748971185</v>
      </c>
      <c r="K112">
        <v>1.1999999999999999E-3</v>
      </c>
      <c r="L112" t="s">
        <v>17</v>
      </c>
      <c r="M112">
        <v>296</v>
      </c>
      <c r="N112" t="s">
        <v>553</v>
      </c>
    </row>
    <row r="113" spans="1:14" x14ac:dyDescent="0.2">
      <c r="A113" t="s">
        <v>1099</v>
      </c>
      <c r="B113" t="s">
        <v>32</v>
      </c>
      <c r="C113">
        <v>47</v>
      </c>
      <c r="D113">
        <v>3</v>
      </c>
      <c r="E113">
        <v>44</v>
      </c>
      <c r="F113">
        <v>48</v>
      </c>
      <c r="G113">
        <v>3</v>
      </c>
      <c r="H113">
        <v>45</v>
      </c>
      <c r="I113">
        <v>0.16520000000000001</v>
      </c>
      <c r="J113">
        <f t="shared" si="1"/>
        <v>0.24213075060532688</v>
      </c>
      <c r="K113">
        <v>4.0000000000000002E-4</v>
      </c>
      <c r="L113" t="s">
        <v>17</v>
      </c>
      <c r="M113">
        <v>296</v>
      </c>
      <c r="N113" t="s">
        <v>553</v>
      </c>
    </row>
    <row r="114" spans="1:14" x14ac:dyDescent="0.2">
      <c r="A114" t="s">
        <v>1099</v>
      </c>
      <c r="B114" t="s">
        <v>32</v>
      </c>
      <c r="C114">
        <v>44</v>
      </c>
      <c r="D114">
        <v>12</v>
      </c>
      <c r="E114">
        <v>33</v>
      </c>
      <c r="F114">
        <v>45</v>
      </c>
      <c r="G114">
        <v>12</v>
      </c>
      <c r="H114">
        <v>34</v>
      </c>
      <c r="I114">
        <v>0.17349999999999999</v>
      </c>
      <c r="J114">
        <f t="shared" si="1"/>
        <v>0.46109510086455335</v>
      </c>
      <c r="K114">
        <v>8.0000000000000004E-4</v>
      </c>
      <c r="L114" t="s">
        <v>17</v>
      </c>
      <c r="M114">
        <v>296</v>
      </c>
      <c r="N114" t="s">
        <v>553</v>
      </c>
    </row>
    <row r="115" spans="1:14" x14ac:dyDescent="0.2">
      <c r="A115" t="s">
        <v>1099</v>
      </c>
      <c r="B115" t="s">
        <v>32</v>
      </c>
      <c r="C115">
        <v>43</v>
      </c>
      <c r="D115">
        <v>14</v>
      </c>
      <c r="E115">
        <v>29</v>
      </c>
      <c r="F115">
        <v>44</v>
      </c>
      <c r="G115">
        <v>14</v>
      </c>
      <c r="H115">
        <v>30</v>
      </c>
      <c r="I115">
        <v>0.14849999999999999</v>
      </c>
      <c r="J115">
        <f t="shared" si="1"/>
        <v>0.94276094276094291</v>
      </c>
      <c r="K115">
        <v>1.4E-3</v>
      </c>
      <c r="L115" t="s">
        <v>17</v>
      </c>
      <c r="M115">
        <v>296</v>
      </c>
      <c r="N115" t="s">
        <v>553</v>
      </c>
    </row>
    <row r="116" spans="1:14" x14ac:dyDescent="0.2">
      <c r="A116" t="s">
        <v>1099</v>
      </c>
      <c r="B116" t="s">
        <v>32</v>
      </c>
      <c r="C116">
        <v>45</v>
      </c>
      <c r="D116">
        <v>9</v>
      </c>
      <c r="E116">
        <v>36</v>
      </c>
      <c r="F116">
        <v>46</v>
      </c>
      <c r="G116">
        <v>9</v>
      </c>
      <c r="H116">
        <v>37</v>
      </c>
      <c r="I116">
        <v>0.1694</v>
      </c>
      <c r="J116">
        <f t="shared" si="1"/>
        <v>0.23612750885478162</v>
      </c>
      <c r="K116">
        <v>4.0000000000000002E-4</v>
      </c>
      <c r="L116" t="s">
        <v>17</v>
      </c>
      <c r="M116">
        <v>296</v>
      </c>
      <c r="N116" t="s">
        <v>553</v>
      </c>
    </row>
    <row r="117" spans="1:14" x14ac:dyDescent="0.2">
      <c r="A117" t="s">
        <v>1099</v>
      </c>
      <c r="B117" t="s">
        <v>32</v>
      </c>
      <c r="C117">
        <v>41</v>
      </c>
      <c r="D117">
        <v>17</v>
      </c>
      <c r="E117">
        <v>24</v>
      </c>
      <c r="F117">
        <v>42</v>
      </c>
      <c r="G117">
        <v>17</v>
      </c>
      <c r="H117">
        <v>25</v>
      </c>
      <c r="I117">
        <v>0.1411</v>
      </c>
      <c r="J117">
        <f t="shared" si="1"/>
        <v>0.85046066619418847</v>
      </c>
      <c r="K117">
        <v>1.1999999999999999E-3</v>
      </c>
      <c r="L117" t="s">
        <v>17</v>
      </c>
      <c r="M117">
        <v>296</v>
      </c>
      <c r="N117" t="s">
        <v>553</v>
      </c>
    </row>
    <row r="118" spans="1:14" x14ac:dyDescent="0.2">
      <c r="A118" t="s">
        <v>1099</v>
      </c>
      <c r="B118" t="s">
        <v>32</v>
      </c>
      <c r="C118">
        <v>45</v>
      </c>
      <c r="D118">
        <v>5</v>
      </c>
      <c r="E118">
        <v>40</v>
      </c>
      <c r="F118">
        <v>46</v>
      </c>
      <c r="G118">
        <v>5</v>
      </c>
      <c r="H118">
        <v>41</v>
      </c>
      <c r="I118">
        <v>0.1598</v>
      </c>
      <c r="J118">
        <f t="shared" si="1"/>
        <v>0.12515644555694619</v>
      </c>
      <c r="K118">
        <v>2.0000000000000001E-4</v>
      </c>
      <c r="L118" t="s">
        <v>17</v>
      </c>
      <c r="M118">
        <v>296</v>
      </c>
      <c r="N118" t="s">
        <v>553</v>
      </c>
    </row>
    <row r="119" spans="1:14" x14ac:dyDescent="0.2">
      <c r="A119" t="s">
        <v>1099</v>
      </c>
      <c r="B119" t="s">
        <v>32</v>
      </c>
      <c r="C119">
        <v>46</v>
      </c>
      <c r="D119">
        <v>5</v>
      </c>
      <c r="E119">
        <v>42</v>
      </c>
      <c r="F119">
        <v>47</v>
      </c>
      <c r="G119">
        <v>5</v>
      </c>
      <c r="H119">
        <v>43</v>
      </c>
      <c r="I119">
        <v>0.16109999999999999</v>
      </c>
      <c r="J119">
        <f t="shared" si="1"/>
        <v>0.18621973929236499</v>
      </c>
      <c r="K119">
        <v>2.9999999999999997E-4</v>
      </c>
      <c r="L119" t="s">
        <v>17</v>
      </c>
      <c r="M119">
        <v>296</v>
      </c>
      <c r="N119" t="s">
        <v>553</v>
      </c>
    </row>
    <row r="120" spans="1:14" x14ac:dyDescent="0.2">
      <c r="A120" t="s">
        <v>1099</v>
      </c>
      <c r="B120" t="s">
        <v>32</v>
      </c>
      <c r="C120">
        <v>44</v>
      </c>
      <c r="D120">
        <v>11</v>
      </c>
      <c r="E120">
        <v>34</v>
      </c>
      <c r="F120">
        <v>45</v>
      </c>
      <c r="G120">
        <v>11</v>
      </c>
      <c r="H120">
        <v>35</v>
      </c>
      <c r="I120">
        <v>0.15359999999999999</v>
      </c>
      <c r="J120">
        <f t="shared" si="1"/>
        <v>0.390625</v>
      </c>
      <c r="K120">
        <v>5.9999999999999995E-4</v>
      </c>
      <c r="L120" t="s">
        <v>17</v>
      </c>
      <c r="M120">
        <v>296</v>
      </c>
      <c r="N120" t="s">
        <v>553</v>
      </c>
    </row>
    <row r="121" spans="1:14" x14ac:dyDescent="0.2">
      <c r="A121" t="s">
        <v>1099</v>
      </c>
      <c r="B121" t="s">
        <v>32</v>
      </c>
      <c r="C121">
        <v>42</v>
      </c>
      <c r="D121">
        <v>15</v>
      </c>
      <c r="E121">
        <v>28</v>
      </c>
      <c r="F121">
        <v>43</v>
      </c>
      <c r="G121">
        <v>15</v>
      </c>
      <c r="H121">
        <v>29</v>
      </c>
      <c r="I121">
        <v>0.1358</v>
      </c>
      <c r="J121">
        <f t="shared" si="1"/>
        <v>0.73637702503681879</v>
      </c>
      <c r="K121">
        <v>1E-3</v>
      </c>
      <c r="L121" t="s">
        <v>17</v>
      </c>
      <c r="M121">
        <v>296</v>
      </c>
      <c r="N121" t="s">
        <v>553</v>
      </c>
    </row>
    <row r="122" spans="1:14" x14ac:dyDescent="0.2">
      <c r="A122" t="s">
        <v>1099</v>
      </c>
      <c r="B122" t="s">
        <v>32</v>
      </c>
      <c r="C122">
        <v>45</v>
      </c>
      <c r="D122">
        <v>7</v>
      </c>
      <c r="E122">
        <v>38</v>
      </c>
      <c r="F122">
        <v>46</v>
      </c>
      <c r="G122">
        <v>7</v>
      </c>
      <c r="H122">
        <v>39</v>
      </c>
      <c r="I122">
        <v>0.1721</v>
      </c>
      <c r="J122">
        <f t="shared" si="1"/>
        <v>0.4648460197559558</v>
      </c>
      <c r="K122">
        <v>8.0000000000000004E-4</v>
      </c>
      <c r="L122" t="s">
        <v>17</v>
      </c>
      <c r="M122">
        <v>296</v>
      </c>
      <c r="N122" t="s">
        <v>553</v>
      </c>
    </row>
    <row r="123" spans="1:14" x14ac:dyDescent="0.2">
      <c r="A123" t="s">
        <v>1099</v>
      </c>
      <c r="B123" t="s">
        <v>32</v>
      </c>
      <c r="C123">
        <v>43</v>
      </c>
      <c r="D123">
        <v>13</v>
      </c>
      <c r="E123">
        <v>30</v>
      </c>
      <c r="F123">
        <v>44</v>
      </c>
      <c r="G123">
        <v>13</v>
      </c>
      <c r="H123">
        <v>31</v>
      </c>
      <c r="I123">
        <v>0.14149999999999999</v>
      </c>
      <c r="J123">
        <f t="shared" si="1"/>
        <v>0.98939929328621912</v>
      </c>
      <c r="K123">
        <v>1.4E-3</v>
      </c>
      <c r="L123" t="s">
        <v>17</v>
      </c>
      <c r="M123">
        <v>296</v>
      </c>
      <c r="N123" t="s">
        <v>553</v>
      </c>
    </row>
    <row r="124" spans="1:14" x14ac:dyDescent="0.2">
      <c r="A124" t="s">
        <v>1099</v>
      </c>
      <c r="B124" t="s">
        <v>32</v>
      </c>
      <c r="C124">
        <v>49</v>
      </c>
      <c r="D124">
        <v>0</v>
      </c>
      <c r="E124">
        <v>49</v>
      </c>
      <c r="F124">
        <v>50</v>
      </c>
      <c r="G124">
        <v>0</v>
      </c>
      <c r="H124">
        <v>50</v>
      </c>
      <c r="I124">
        <v>0.15</v>
      </c>
      <c r="J124">
        <f t="shared" si="1"/>
        <v>0.33333333333333337</v>
      </c>
      <c r="K124">
        <v>5.0000000000000001E-4</v>
      </c>
      <c r="L124" t="s">
        <v>17</v>
      </c>
      <c r="M124">
        <v>296</v>
      </c>
      <c r="N124" t="s">
        <v>553</v>
      </c>
    </row>
    <row r="125" spans="1:14" x14ac:dyDescent="0.2">
      <c r="A125" t="s">
        <v>1099</v>
      </c>
      <c r="B125" t="s">
        <v>32</v>
      </c>
      <c r="C125">
        <v>48</v>
      </c>
      <c r="D125">
        <v>2</v>
      </c>
      <c r="E125">
        <v>47</v>
      </c>
      <c r="F125">
        <v>49</v>
      </c>
      <c r="G125">
        <v>2</v>
      </c>
      <c r="H125">
        <v>48</v>
      </c>
      <c r="I125">
        <v>0.13700000000000001</v>
      </c>
      <c r="J125">
        <f t="shared" si="1"/>
        <v>0.51094890510948898</v>
      </c>
      <c r="K125">
        <v>6.9999999999999999E-4</v>
      </c>
      <c r="L125" t="s">
        <v>17</v>
      </c>
      <c r="M125">
        <v>296</v>
      </c>
      <c r="N125" t="s">
        <v>553</v>
      </c>
    </row>
    <row r="126" spans="1:14" x14ac:dyDescent="0.2">
      <c r="A126" t="s">
        <v>1099</v>
      </c>
      <c r="B126" t="s">
        <v>32</v>
      </c>
      <c r="C126">
        <v>44</v>
      </c>
      <c r="D126">
        <v>10</v>
      </c>
      <c r="E126">
        <v>35</v>
      </c>
      <c r="F126">
        <v>45</v>
      </c>
      <c r="G126">
        <v>10</v>
      </c>
      <c r="H126">
        <v>36</v>
      </c>
      <c r="I126">
        <v>0.14749999999999999</v>
      </c>
      <c r="J126">
        <f t="shared" si="1"/>
        <v>0.5423728813559322</v>
      </c>
      <c r="K126">
        <v>8.0000000000000004E-4</v>
      </c>
      <c r="L126" t="s">
        <v>17</v>
      </c>
      <c r="M126">
        <v>296</v>
      </c>
      <c r="N126" t="s">
        <v>553</v>
      </c>
    </row>
    <row r="127" spans="1:14" x14ac:dyDescent="0.2">
      <c r="A127" t="s">
        <v>1099</v>
      </c>
      <c r="B127" t="s">
        <v>32</v>
      </c>
      <c r="C127">
        <v>47</v>
      </c>
      <c r="D127">
        <v>2</v>
      </c>
      <c r="E127">
        <v>45</v>
      </c>
      <c r="F127">
        <v>48</v>
      </c>
      <c r="G127">
        <v>2</v>
      </c>
      <c r="H127">
        <v>46</v>
      </c>
      <c r="I127">
        <v>0.14829999999999999</v>
      </c>
      <c r="J127">
        <f t="shared" si="1"/>
        <v>0.74173971679029005</v>
      </c>
      <c r="K127">
        <v>1.1000000000000001E-3</v>
      </c>
      <c r="L127" t="s">
        <v>17</v>
      </c>
      <c r="M127">
        <v>296</v>
      </c>
      <c r="N127" t="s">
        <v>553</v>
      </c>
    </row>
    <row r="128" spans="1:14" x14ac:dyDescent="0.2">
      <c r="A128" t="s">
        <v>1099</v>
      </c>
      <c r="B128" t="s">
        <v>32</v>
      </c>
      <c r="C128">
        <v>46</v>
      </c>
      <c r="D128">
        <v>4</v>
      </c>
      <c r="E128">
        <v>43</v>
      </c>
      <c r="F128">
        <v>47</v>
      </c>
      <c r="G128">
        <v>4</v>
      </c>
      <c r="H128">
        <v>44</v>
      </c>
      <c r="I128">
        <v>0.1565</v>
      </c>
      <c r="J128">
        <f t="shared" si="1"/>
        <v>0.19169329073482427</v>
      </c>
      <c r="K128">
        <v>2.9999999999999997E-4</v>
      </c>
      <c r="L128" t="s">
        <v>17</v>
      </c>
      <c r="M128">
        <v>296</v>
      </c>
      <c r="N128" t="s">
        <v>553</v>
      </c>
    </row>
    <row r="129" spans="1:14" x14ac:dyDescent="0.2">
      <c r="A129" t="s">
        <v>1099</v>
      </c>
      <c r="B129" t="s">
        <v>32</v>
      </c>
      <c r="C129">
        <v>43</v>
      </c>
      <c r="D129">
        <v>12</v>
      </c>
      <c r="E129">
        <v>31</v>
      </c>
      <c r="F129">
        <v>44</v>
      </c>
      <c r="G129">
        <v>12</v>
      </c>
      <c r="H129">
        <v>32</v>
      </c>
      <c r="I129">
        <v>0.15709999999999999</v>
      </c>
      <c r="J129">
        <f t="shared" si="1"/>
        <v>0.44557606619987272</v>
      </c>
      <c r="K129">
        <v>6.9999999999999999E-4</v>
      </c>
      <c r="L129" t="s">
        <v>17</v>
      </c>
      <c r="M129">
        <v>296</v>
      </c>
      <c r="N129" t="s">
        <v>553</v>
      </c>
    </row>
    <row r="130" spans="1:14" x14ac:dyDescent="0.2">
      <c r="A130" t="s">
        <v>1099</v>
      </c>
      <c r="B130" t="s">
        <v>32</v>
      </c>
      <c r="C130">
        <v>44</v>
      </c>
      <c r="D130">
        <v>9</v>
      </c>
      <c r="E130">
        <v>36</v>
      </c>
      <c r="F130">
        <v>45</v>
      </c>
      <c r="G130">
        <v>9</v>
      </c>
      <c r="H130">
        <v>37</v>
      </c>
      <c r="I130">
        <v>0.17199999999999999</v>
      </c>
      <c r="J130">
        <f t="shared" si="1"/>
        <v>0.23255813953488377</v>
      </c>
      <c r="K130">
        <v>4.0000000000000002E-4</v>
      </c>
      <c r="L130" t="s">
        <v>17</v>
      </c>
      <c r="M130">
        <v>296</v>
      </c>
      <c r="N130" t="s">
        <v>553</v>
      </c>
    </row>
    <row r="131" spans="1:14" x14ac:dyDescent="0.2">
      <c r="A131" t="s">
        <v>1099</v>
      </c>
      <c r="B131" t="s">
        <v>32</v>
      </c>
      <c r="C131">
        <v>44</v>
      </c>
      <c r="D131">
        <v>8</v>
      </c>
      <c r="E131">
        <v>37</v>
      </c>
      <c r="F131">
        <v>45</v>
      </c>
      <c r="G131">
        <v>8</v>
      </c>
      <c r="H131">
        <v>38</v>
      </c>
      <c r="I131">
        <v>0.16470000000000001</v>
      </c>
      <c r="J131">
        <f t="shared" ref="J131:J194" si="2">K131/I131*100</f>
        <v>0.1214329083181542</v>
      </c>
      <c r="K131">
        <v>2.0000000000000001E-4</v>
      </c>
      <c r="L131" t="s">
        <v>17</v>
      </c>
      <c r="M131">
        <v>296</v>
      </c>
      <c r="N131" t="s">
        <v>553</v>
      </c>
    </row>
    <row r="132" spans="1:14" x14ac:dyDescent="0.2">
      <c r="A132" t="s">
        <v>1099</v>
      </c>
      <c r="B132" t="s">
        <v>32</v>
      </c>
      <c r="C132">
        <v>43</v>
      </c>
      <c r="D132">
        <v>11</v>
      </c>
      <c r="E132">
        <v>32</v>
      </c>
      <c r="F132">
        <v>44</v>
      </c>
      <c r="G132">
        <v>11</v>
      </c>
      <c r="H132">
        <v>33</v>
      </c>
      <c r="I132">
        <v>0.15840000000000001</v>
      </c>
      <c r="J132">
        <f t="shared" si="2"/>
        <v>0.56818181818181812</v>
      </c>
      <c r="K132">
        <v>8.9999999999999998E-4</v>
      </c>
      <c r="L132" t="s">
        <v>17</v>
      </c>
      <c r="M132">
        <v>296</v>
      </c>
      <c r="N132" t="s">
        <v>553</v>
      </c>
    </row>
    <row r="133" spans="1:14" x14ac:dyDescent="0.2">
      <c r="A133" t="s">
        <v>1099</v>
      </c>
      <c r="B133" t="s">
        <v>32</v>
      </c>
      <c r="C133">
        <v>42</v>
      </c>
      <c r="D133">
        <v>13</v>
      </c>
      <c r="E133">
        <v>30</v>
      </c>
      <c r="F133">
        <v>43</v>
      </c>
      <c r="G133">
        <v>13</v>
      </c>
      <c r="H133">
        <v>31</v>
      </c>
      <c r="I133">
        <v>0.1492</v>
      </c>
      <c r="J133">
        <f t="shared" si="2"/>
        <v>0.46916890080428952</v>
      </c>
      <c r="K133">
        <v>6.9999999999999999E-4</v>
      </c>
      <c r="L133" t="s">
        <v>17</v>
      </c>
      <c r="M133">
        <v>296</v>
      </c>
      <c r="N133" t="s">
        <v>553</v>
      </c>
    </row>
    <row r="134" spans="1:14" x14ac:dyDescent="0.2">
      <c r="A134" t="s">
        <v>1099</v>
      </c>
      <c r="B134" t="s">
        <v>32</v>
      </c>
      <c r="C134">
        <v>44</v>
      </c>
      <c r="D134">
        <v>7</v>
      </c>
      <c r="E134">
        <v>38</v>
      </c>
      <c r="F134">
        <v>45</v>
      </c>
      <c r="G134">
        <v>7</v>
      </c>
      <c r="H134">
        <v>39</v>
      </c>
      <c r="I134">
        <v>0.16539999999999999</v>
      </c>
      <c r="J134">
        <f t="shared" si="2"/>
        <v>0.12091898428053206</v>
      </c>
      <c r="K134">
        <v>2.0000000000000001E-4</v>
      </c>
      <c r="L134" t="s">
        <v>17</v>
      </c>
      <c r="M134">
        <v>296</v>
      </c>
      <c r="N134" t="s">
        <v>553</v>
      </c>
    </row>
    <row r="135" spans="1:14" x14ac:dyDescent="0.2">
      <c r="A135" t="s">
        <v>1099</v>
      </c>
      <c r="B135" t="s">
        <v>32</v>
      </c>
      <c r="C135">
        <v>48</v>
      </c>
      <c r="D135">
        <v>1</v>
      </c>
      <c r="E135">
        <v>48</v>
      </c>
      <c r="F135">
        <v>49</v>
      </c>
      <c r="G135">
        <v>1</v>
      </c>
      <c r="H135">
        <v>49</v>
      </c>
      <c r="I135">
        <v>0.1454</v>
      </c>
      <c r="J135">
        <f t="shared" si="2"/>
        <v>0.13755158184319119</v>
      </c>
      <c r="K135">
        <v>2.0000000000000001E-4</v>
      </c>
      <c r="L135" t="s">
        <v>17</v>
      </c>
      <c r="M135">
        <v>296</v>
      </c>
      <c r="N135" t="s">
        <v>553</v>
      </c>
    </row>
    <row r="136" spans="1:14" x14ac:dyDescent="0.2">
      <c r="A136" t="s">
        <v>1099</v>
      </c>
      <c r="B136" t="s">
        <v>32</v>
      </c>
      <c r="C136">
        <v>47</v>
      </c>
      <c r="D136">
        <v>1</v>
      </c>
      <c r="E136">
        <v>46</v>
      </c>
      <c r="F136">
        <v>48</v>
      </c>
      <c r="G136">
        <v>1</v>
      </c>
      <c r="H136">
        <v>47</v>
      </c>
      <c r="I136">
        <v>0.1484</v>
      </c>
      <c r="J136">
        <f t="shared" si="2"/>
        <v>6.7385444743935319E-2</v>
      </c>
      <c r="K136">
        <v>1E-4</v>
      </c>
      <c r="L136" t="s">
        <v>17</v>
      </c>
      <c r="M136">
        <v>296</v>
      </c>
      <c r="N136" t="s">
        <v>553</v>
      </c>
    </row>
    <row r="137" spans="1:14" x14ac:dyDescent="0.2">
      <c r="A137" t="s">
        <v>1099</v>
      </c>
      <c r="B137" t="s">
        <v>32</v>
      </c>
      <c r="C137">
        <v>45</v>
      </c>
      <c r="D137">
        <v>3</v>
      </c>
      <c r="E137">
        <v>42</v>
      </c>
      <c r="F137">
        <v>46</v>
      </c>
      <c r="G137">
        <v>3</v>
      </c>
      <c r="H137">
        <v>43</v>
      </c>
      <c r="I137">
        <v>0.15939999999999999</v>
      </c>
      <c r="J137">
        <f t="shared" si="2"/>
        <v>0.12547051442910917</v>
      </c>
      <c r="K137">
        <v>2.0000000000000001E-4</v>
      </c>
      <c r="L137" t="s">
        <v>17</v>
      </c>
      <c r="M137">
        <v>296</v>
      </c>
      <c r="N137" t="s">
        <v>553</v>
      </c>
    </row>
    <row r="138" spans="1:14" x14ac:dyDescent="0.2">
      <c r="A138" t="s">
        <v>1099</v>
      </c>
      <c r="B138" t="s">
        <v>32</v>
      </c>
      <c r="C138">
        <v>46</v>
      </c>
      <c r="D138">
        <v>3</v>
      </c>
      <c r="E138">
        <v>44</v>
      </c>
      <c r="F138">
        <v>47</v>
      </c>
      <c r="G138">
        <v>3</v>
      </c>
      <c r="H138">
        <v>45</v>
      </c>
      <c r="I138">
        <v>0.15640000000000001</v>
      </c>
      <c r="J138">
        <f t="shared" si="2"/>
        <v>0.12787723785166238</v>
      </c>
      <c r="K138">
        <v>2.0000000000000001E-4</v>
      </c>
      <c r="L138" t="s">
        <v>17</v>
      </c>
      <c r="M138">
        <v>296</v>
      </c>
      <c r="N138" t="s">
        <v>553</v>
      </c>
    </row>
    <row r="139" spans="1:14" x14ac:dyDescent="0.2">
      <c r="A139" t="s">
        <v>1099</v>
      </c>
      <c r="B139" t="s">
        <v>32</v>
      </c>
      <c r="C139">
        <v>44</v>
      </c>
      <c r="D139">
        <v>6</v>
      </c>
      <c r="E139">
        <v>39</v>
      </c>
      <c r="F139">
        <v>45</v>
      </c>
      <c r="G139">
        <v>6</v>
      </c>
      <c r="H139">
        <v>40</v>
      </c>
      <c r="I139">
        <v>0.16750000000000001</v>
      </c>
      <c r="J139">
        <f t="shared" si="2"/>
        <v>0.17910447761194029</v>
      </c>
      <c r="K139">
        <v>2.9999999999999997E-4</v>
      </c>
      <c r="L139" t="s">
        <v>17</v>
      </c>
      <c r="M139">
        <v>296</v>
      </c>
      <c r="N139" t="s">
        <v>553</v>
      </c>
    </row>
    <row r="140" spans="1:14" x14ac:dyDescent="0.2">
      <c r="A140" t="s">
        <v>1099</v>
      </c>
      <c r="B140" t="s">
        <v>32</v>
      </c>
      <c r="C140">
        <v>41</v>
      </c>
      <c r="D140">
        <v>14</v>
      </c>
      <c r="E140">
        <v>27</v>
      </c>
      <c r="F140">
        <v>42</v>
      </c>
      <c r="G140">
        <v>14</v>
      </c>
      <c r="H140">
        <v>28</v>
      </c>
      <c r="I140">
        <v>0.13700000000000001</v>
      </c>
      <c r="J140">
        <f t="shared" si="2"/>
        <v>0.51094890510948898</v>
      </c>
      <c r="K140">
        <v>6.9999999999999999E-4</v>
      </c>
      <c r="L140" t="s">
        <v>17</v>
      </c>
      <c r="M140">
        <v>296</v>
      </c>
      <c r="N140" t="s">
        <v>553</v>
      </c>
    </row>
    <row r="141" spans="1:14" x14ac:dyDescent="0.2">
      <c r="A141" t="s">
        <v>1099</v>
      </c>
      <c r="B141" t="s">
        <v>32</v>
      </c>
      <c r="C141">
        <v>42</v>
      </c>
      <c r="D141">
        <v>12</v>
      </c>
      <c r="E141">
        <v>31</v>
      </c>
      <c r="F141">
        <v>43</v>
      </c>
      <c r="G141">
        <v>12</v>
      </c>
      <c r="H141">
        <v>32</v>
      </c>
      <c r="I141">
        <v>0.14349999999999999</v>
      </c>
      <c r="J141">
        <f t="shared" si="2"/>
        <v>0.34843205574912894</v>
      </c>
      <c r="K141">
        <v>5.0000000000000001E-4</v>
      </c>
      <c r="L141" t="s">
        <v>17</v>
      </c>
      <c r="M141">
        <v>296</v>
      </c>
      <c r="N141" t="s">
        <v>553</v>
      </c>
    </row>
    <row r="142" spans="1:14" x14ac:dyDescent="0.2">
      <c r="A142" t="s">
        <v>1099</v>
      </c>
      <c r="B142" t="s">
        <v>32</v>
      </c>
      <c r="C142">
        <v>39</v>
      </c>
      <c r="D142">
        <v>17</v>
      </c>
      <c r="E142">
        <v>22</v>
      </c>
      <c r="F142">
        <v>40</v>
      </c>
      <c r="G142">
        <v>17</v>
      </c>
      <c r="H142">
        <v>23</v>
      </c>
      <c r="I142">
        <v>0.1484</v>
      </c>
      <c r="J142">
        <f t="shared" si="2"/>
        <v>0.74123989218328845</v>
      </c>
      <c r="K142">
        <v>1.1000000000000001E-3</v>
      </c>
      <c r="L142" t="s">
        <v>17</v>
      </c>
      <c r="M142">
        <v>296</v>
      </c>
      <c r="N142" t="s">
        <v>553</v>
      </c>
    </row>
    <row r="143" spans="1:14" x14ac:dyDescent="0.2">
      <c r="A143" t="s">
        <v>1099</v>
      </c>
      <c r="B143" t="s">
        <v>32</v>
      </c>
      <c r="C143">
        <v>43</v>
      </c>
      <c r="D143">
        <v>9</v>
      </c>
      <c r="E143">
        <v>34</v>
      </c>
      <c r="F143">
        <v>44</v>
      </c>
      <c r="G143">
        <v>9</v>
      </c>
      <c r="H143">
        <v>35</v>
      </c>
      <c r="I143">
        <v>0.1694</v>
      </c>
      <c r="J143">
        <f t="shared" si="2"/>
        <v>0.29515938606847697</v>
      </c>
      <c r="K143">
        <v>5.0000000000000001E-4</v>
      </c>
      <c r="L143" t="s">
        <v>17</v>
      </c>
      <c r="M143">
        <v>296</v>
      </c>
      <c r="N143" t="s">
        <v>553</v>
      </c>
    </row>
    <row r="144" spans="1:14" x14ac:dyDescent="0.2">
      <c r="A144" t="s">
        <v>1099</v>
      </c>
      <c r="B144" t="s">
        <v>32</v>
      </c>
      <c r="C144">
        <v>44</v>
      </c>
      <c r="D144">
        <v>5</v>
      </c>
      <c r="E144">
        <v>40</v>
      </c>
      <c r="F144">
        <v>45</v>
      </c>
      <c r="G144">
        <v>5</v>
      </c>
      <c r="H144">
        <v>41</v>
      </c>
      <c r="I144">
        <v>0.16</v>
      </c>
      <c r="J144">
        <f t="shared" si="2"/>
        <v>0.125</v>
      </c>
      <c r="K144">
        <v>2.0000000000000001E-4</v>
      </c>
      <c r="L144" t="s">
        <v>17</v>
      </c>
      <c r="M144">
        <v>296</v>
      </c>
      <c r="N144" t="s">
        <v>553</v>
      </c>
    </row>
    <row r="145" spans="1:14" x14ac:dyDescent="0.2">
      <c r="A145" t="s">
        <v>1099</v>
      </c>
      <c r="B145" t="s">
        <v>32</v>
      </c>
      <c r="C145">
        <v>43</v>
      </c>
      <c r="D145">
        <v>5</v>
      </c>
      <c r="E145">
        <v>38</v>
      </c>
      <c r="F145">
        <v>44</v>
      </c>
      <c r="G145">
        <v>5</v>
      </c>
      <c r="H145">
        <v>39</v>
      </c>
      <c r="I145">
        <v>0.16250000000000001</v>
      </c>
      <c r="J145">
        <f t="shared" si="2"/>
        <v>0.12307692307692308</v>
      </c>
      <c r="K145">
        <v>2.0000000000000001E-4</v>
      </c>
      <c r="L145" t="s">
        <v>17</v>
      </c>
      <c r="M145">
        <v>296</v>
      </c>
      <c r="N145" t="s">
        <v>553</v>
      </c>
    </row>
    <row r="146" spans="1:14" x14ac:dyDescent="0.2">
      <c r="A146" t="s">
        <v>1099</v>
      </c>
      <c r="B146" t="s">
        <v>32</v>
      </c>
      <c r="C146">
        <v>43</v>
      </c>
      <c r="D146">
        <v>8</v>
      </c>
      <c r="E146">
        <v>35</v>
      </c>
      <c r="F146">
        <v>44</v>
      </c>
      <c r="G146">
        <v>8</v>
      </c>
      <c r="H146">
        <v>36</v>
      </c>
      <c r="I146">
        <v>0.15429999999999999</v>
      </c>
      <c r="J146">
        <f t="shared" si="2"/>
        <v>0.77770576798444591</v>
      </c>
      <c r="K146">
        <v>1.1999999999999999E-3</v>
      </c>
      <c r="L146" t="s">
        <v>17</v>
      </c>
      <c r="M146">
        <v>296</v>
      </c>
      <c r="N146" t="s">
        <v>553</v>
      </c>
    </row>
    <row r="147" spans="1:14" x14ac:dyDescent="0.2">
      <c r="A147" t="s">
        <v>1099</v>
      </c>
      <c r="B147" t="s">
        <v>32</v>
      </c>
      <c r="C147">
        <v>41</v>
      </c>
      <c r="D147">
        <v>13</v>
      </c>
      <c r="E147">
        <v>28</v>
      </c>
      <c r="F147">
        <v>42</v>
      </c>
      <c r="G147">
        <v>13</v>
      </c>
      <c r="H147">
        <v>29</v>
      </c>
      <c r="I147">
        <v>0.15840000000000001</v>
      </c>
      <c r="J147">
        <f t="shared" si="2"/>
        <v>0.31565656565656564</v>
      </c>
      <c r="K147">
        <v>5.0000000000000001E-4</v>
      </c>
      <c r="L147" t="s">
        <v>17</v>
      </c>
      <c r="M147">
        <v>296</v>
      </c>
      <c r="N147" t="s">
        <v>553</v>
      </c>
    </row>
    <row r="148" spans="1:14" x14ac:dyDescent="0.2">
      <c r="A148" t="s">
        <v>1099</v>
      </c>
      <c r="B148" t="s">
        <v>32</v>
      </c>
      <c r="C148">
        <v>43</v>
      </c>
      <c r="D148">
        <v>7</v>
      </c>
      <c r="E148">
        <v>36</v>
      </c>
      <c r="F148">
        <v>44</v>
      </c>
      <c r="G148">
        <v>7</v>
      </c>
      <c r="H148">
        <v>37</v>
      </c>
      <c r="I148">
        <v>0.1573</v>
      </c>
      <c r="J148">
        <f t="shared" si="2"/>
        <v>0.19071837253655435</v>
      </c>
      <c r="K148">
        <v>2.9999999999999997E-4</v>
      </c>
      <c r="L148" t="s">
        <v>17</v>
      </c>
      <c r="M148">
        <v>296</v>
      </c>
      <c r="N148" t="s">
        <v>553</v>
      </c>
    </row>
    <row r="149" spans="1:14" x14ac:dyDescent="0.2">
      <c r="A149" t="s">
        <v>1099</v>
      </c>
      <c r="B149" t="s">
        <v>32</v>
      </c>
      <c r="C149">
        <v>43</v>
      </c>
      <c r="D149">
        <v>4</v>
      </c>
      <c r="E149">
        <v>39</v>
      </c>
      <c r="F149">
        <v>44</v>
      </c>
      <c r="G149">
        <v>4</v>
      </c>
      <c r="H149">
        <v>40</v>
      </c>
      <c r="I149">
        <v>0.1643</v>
      </c>
      <c r="J149">
        <f t="shared" si="2"/>
        <v>0.12172854534388314</v>
      </c>
      <c r="K149">
        <v>2.0000000000000001E-4</v>
      </c>
      <c r="L149" t="s">
        <v>17</v>
      </c>
      <c r="M149">
        <v>296</v>
      </c>
      <c r="N149" t="s">
        <v>553</v>
      </c>
    </row>
    <row r="150" spans="1:14" x14ac:dyDescent="0.2">
      <c r="A150" t="s">
        <v>1099</v>
      </c>
      <c r="B150" t="s">
        <v>32</v>
      </c>
      <c r="C150">
        <v>46</v>
      </c>
      <c r="D150">
        <v>2</v>
      </c>
      <c r="E150">
        <v>45</v>
      </c>
      <c r="F150">
        <v>47</v>
      </c>
      <c r="G150">
        <v>2</v>
      </c>
      <c r="H150">
        <v>46</v>
      </c>
      <c r="I150">
        <v>0.15260000000000001</v>
      </c>
      <c r="J150">
        <f t="shared" si="2"/>
        <v>0.13106159895150721</v>
      </c>
      <c r="K150">
        <v>2.0000000000000001E-4</v>
      </c>
      <c r="L150" t="s">
        <v>17</v>
      </c>
      <c r="M150">
        <v>296</v>
      </c>
      <c r="N150" t="s">
        <v>553</v>
      </c>
    </row>
    <row r="151" spans="1:14" x14ac:dyDescent="0.2">
      <c r="A151" t="s">
        <v>1099</v>
      </c>
      <c r="B151" t="s">
        <v>32</v>
      </c>
      <c r="C151">
        <v>45</v>
      </c>
      <c r="D151">
        <v>2</v>
      </c>
      <c r="E151">
        <v>43</v>
      </c>
      <c r="F151">
        <v>46</v>
      </c>
      <c r="G151">
        <v>2</v>
      </c>
      <c r="H151">
        <v>44</v>
      </c>
      <c r="I151">
        <v>0.15310000000000001</v>
      </c>
      <c r="J151">
        <f t="shared" si="2"/>
        <v>0.13063357282821686</v>
      </c>
      <c r="K151">
        <v>2.0000000000000001E-4</v>
      </c>
      <c r="L151" t="s">
        <v>17</v>
      </c>
      <c r="M151">
        <v>296</v>
      </c>
      <c r="N151" t="s">
        <v>553</v>
      </c>
    </row>
    <row r="152" spans="1:14" x14ac:dyDescent="0.2">
      <c r="A152" t="s">
        <v>1099</v>
      </c>
      <c r="B152" t="s">
        <v>32</v>
      </c>
      <c r="C152">
        <v>42</v>
      </c>
      <c r="D152">
        <v>10</v>
      </c>
      <c r="E152">
        <v>33</v>
      </c>
      <c r="F152">
        <v>43</v>
      </c>
      <c r="G152">
        <v>10</v>
      </c>
      <c r="H152">
        <v>34</v>
      </c>
      <c r="I152">
        <v>0.15179999999999999</v>
      </c>
      <c r="J152">
        <f t="shared" si="2"/>
        <v>0.5270092226613966</v>
      </c>
      <c r="K152">
        <v>8.0000000000000004E-4</v>
      </c>
      <c r="L152" t="s">
        <v>17</v>
      </c>
      <c r="M152">
        <v>296</v>
      </c>
      <c r="N152" t="s">
        <v>553</v>
      </c>
    </row>
    <row r="153" spans="1:14" x14ac:dyDescent="0.2">
      <c r="A153" t="s">
        <v>1099</v>
      </c>
      <c r="B153" t="s">
        <v>32</v>
      </c>
      <c r="C153">
        <v>40</v>
      </c>
      <c r="D153">
        <v>14</v>
      </c>
      <c r="E153">
        <v>27</v>
      </c>
      <c r="F153">
        <v>41</v>
      </c>
      <c r="G153">
        <v>14</v>
      </c>
      <c r="H153">
        <v>28</v>
      </c>
      <c r="I153">
        <v>0.1424</v>
      </c>
      <c r="J153">
        <f t="shared" si="2"/>
        <v>0.35112359550561795</v>
      </c>
      <c r="K153">
        <v>5.0000000000000001E-4</v>
      </c>
      <c r="L153" t="s">
        <v>17</v>
      </c>
      <c r="M153">
        <v>296</v>
      </c>
      <c r="N153" t="s">
        <v>553</v>
      </c>
    </row>
    <row r="154" spans="1:14" x14ac:dyDescent="0.2">
      <c r="A154" t="s">
        <v>1099</v>
      </c>
      <c r="B154" t="s">
        <v>32</v>
      </c>
      <c r="C154">
        <v>41</v>
      </c>
      <c r="D154">
        <v>12</v>
      </c>
      <c r="E154">
        <v>29</v>
      </c>
      <c r="F154">
        <v>42</v>
      </c>
      <c r="G154">
        <v>12</v>
      </c>
      <c r="H154">
        <v>30</v>
      </c>
      <c r="I154">
        <v>0.1492</v>
      </c>
      <c r="J154">
        <f t="shared" si="2"/>
        <v>0.26809651474530832</v>
      </c>
      <c r="K154">
        <v>4.0000000000000002E-4</v>
      </c>
      <c r="L154" t="s">
        <v>17</v>
      </c>
      <c r="M154">
        <v>296</v>
      </c>
      <c r="N154" t="s">
        <v>553</v>
      </c>
    </row>
    <row r="155" spans="1:14" x14ac:dyDescent="0.2">
      <c r="A155" t="s">
        <v>1099</v>
      </c>
      <c r="B155" t="s">
        <v>32</v>
      </c>
      <c r="C155">
        <v>41</v>
      </c>
      <c r="D155">
        <v>11</v>
      </c>
      <c r="E155">
        <v>30</v>
      </c>
      <c r="F155">
        <v>42</v>
      </c>
      <c r="G155">
        <v>11</v>
      </c>
      <c r="H155">
        <v>31</v>
      </c>
      <c r="I155">
        <v>0.14130000000000001</v>
      </c>
      <c r="J155">
        <f t="shared" si="2"/>
        <v>0.35385704175513089</v>
      </c>
      <c r="K155">
        <v>5.0000000000000001E-4</v>
      </c>
      <c r="L155" t="s">
        <v>17</v>
      </c>
      <c r="M155">
        <v>296</v>
      </c>
      <c r="N155" t="s">
        <v>553</v>
      </c>
    </row>
    <row r="156" spans="1:14" x14ac:dyDescent="0.2">
      <c r="A156" t="s">
        <v>1099</v>
      </c>
      <c r="B156" t="s">
        <v>32</v>
      </c>
      <c r="C156">
        <v>40</v>
      </c>
      <c r="D156">
        <v>13</v>
      </c>
      <c r="E156">
        <v>28</v>
      </c>
      <c r="F156">
        <v>41</v>
      </c>
      <c r="G156">
        <v>13</v>
      </c>
      <c r="H156">
        <v>29</v>
      </c>
      <c r="I156">
        <v>0.15409999999999999</v>
      </c>
      <c r="J156">
        <f t="shared" si="2"/>
        <v>0.32446463335496434</v>
      </c>
      <c r="K156">
        <v>5.0000000000000001E-4</v>
      </c>
      <c r="L156" t="s">
        <v>17</v>
      </c>
      <c r="M156">
        <v>296</v>
      </c>
      <c r="N156" t="s">
        <v>553</v>
      </c>
    </row>
    <row r="157" spans="1:14" x14ac:dyDescent="0.2">
      <c r="A157" t="s">
        <v>1099</v>
      </c>
      <c r="B157" t="s">
        <v>32</v>
      </c>
      <c r="C157">
        <v>46</v>
      </c>
      <c r="D157">
        <v>1</v>
      </c>
      <c r="E157">
        <v>46</v>
      </c>
      <c r="F157">
        <v>47</v>
      </c>
      <c r="G157">
        <v>1</v>
      </c>
      <c r="H157">
        <v>47</v>
      </c>
      <c r="I157">
        <v>0.13869999999999999</v>
      </c>
      <c r="J157">
        <f t="shared" si="2"/>
        <v>0.21629416005767843</v>
      </c>
      <c r="K157">
        <v>2.9999999999999997E-4</v>
      </c>
      <c r="L157" t="s">
        <v>17</v>
      </c>
      <c r="M157">
        <v>296</v>
      </c>
      <c r="N157" t="s">
        <v>553</v>
      </c>
    </row>
    <row r="158" spans="1:14" x14ac:dyDescent="0.2">
      <c r="A158" t="s">
        <v>1099</v>
      </c>
      <c r="B158" t="s">
        <v>32</v>
      </c>
      <c r="C158">
        <v>45</v>
      </c>
      <c r="D158">
        <v>1</v>
      </c>
      <c r="E158">
        <v>44</v>
      </c>
      <c r="F158">
        <v>46</v>
      </c>
      <c r="G158">
        <v>1</v>
      </c>
      <c r="H158">
        <v>45</v>
      </c>
      <c r="I158">
        <v>0.1492</v>
      </c>
      <c r="J158">
        <f t="shared" si="2"/>
        <v>0.13404825737265416</v>
      </c>
      <c r="K158">
        <v>2.0000000000000001E-4</v>
      </c>
      <c r="L158" t="s">
        <v>17</v>
      </c>
      <c r="M158">
        <v>296</v>
      </c>
      <c r="N158" t="s">
        <v>553</v>
      </c>
    </row>
    <row r="159" spans="1:14" x14ac:dyDescent="0.2">
      <c r="A159" t="s">
        <v>1099</v>
      </c>
      <c r="B159" t="s">
        <v>32</v>
      </c>
      <c r="C159">
        <v>43</v>
      </c>
      <c r="D159">
        <v>3</v>
      </c>
      <c r="E159">
        <v>40</v>
      </c>
      <c r="F159">
        <v>44</v>
      </c>
      <c r="G159">
        <v>3</v>
      </c>
      <c r="H159">
        <v>41</v>
      </c>
      <c r="I159">
        <v>0.16769999999999999</v>
      </c>
      <c r="J159">
        <f t="shared" si="2"/>
        <v>0.47704233750745384</v>
      </c>
      <c r="K159">
        <v>8.0000000000000004E-4</v>
      </c>
      <c r="L159" t="s">
        <v>17</v>
      </c>
      <c r="M159">
        <v>296</v>
      </c>
      <c r="N159" t="s">
        <v>553</v>
      </c>
    </row>
    <row r="160" spans="1:14" x14ac:dyDescent="0.2">
      <c r="A160" t="s">
        <v>1099</v>
      </c>
      <c r="B160" t="s">
        <v>32</v>
      </c>
      <c r="C160">
        <v>42</v>
      </c>
      <c r="D160">
        <v>7</v>
      </c>
      <c r="E160">
        <v>36</v>
      </c>
      <c r="F160">
        <v>43</v>
      </c>
      <c r="G160">
        <v>7</v>
      </c>
      <c r="H160">
        <v>37</v>
      </c>
      <c r="I160">
        <v>0.16439999999999999</v>
      </c>
      <c r="J160">
        <f t="shared" si="2"/>
        <v>0.18248175182481752</v>
      </c>
      <c r="K160">
        <v>2.9999999999999997E-4</v>
      </c>
      <c r="L160" t="s">
        <v>17</v>
      </c>
      <c r="M160">
        <v>296</v>
      </c>
      <c r="N160" t="s">
        <v>553</v>
      </c>
    </row>
    <row r="161" spans="1:14" x14ac:dyDescent="0.2">
      <c r="A161" t="s">
        <v>1099</v>
      </c>
      <c r="B161" t="s">
        <v>32</v>
      </c>
      <c r="C161">
        <v>44</v>
      </c>
      <c r="D161">
        <v>3</v>
      </c>
      <c r="E161">
        <v>42</v>
      </c>
      <c r="F161">
        <v>45</v>
      </c>
      <c r="G161">
        <v>3</v>
      </c>
      <c r="H161">
        <v>43</v>
      </c>
      <c r="I161">
        <v>0.161</v>
      </c>
      <c r="J161">
        <f t="shared" si="2"/>
        <v>0.2484472049689441</v>
      </c>
      <c r="K161">
        <v>4.0000000000000002E-4</v>
      </c>
      <c r="L161" t="s">
        <v>17</v>
      </c>
      <c r="M161">
        <v>296</v>
      </c>
      <c r="N161" t="s">
        <v>553</v>
      </c>
    </row>
    <row r="162" spans="1:14" x14ac:dyDescent="0.2">
      <c r="A162" t="s">
        <v>1099</v>
      </c>
      <c r="B162" t="s">
        <v>32</v>
      </c>
      <c r="C162">
        <v>38</v>
      </c>
      <c r="D162">
        <v>16</v>
      </c>
      <c r="E162">
        <v>23</v>
      </c>
      <c r="F162">
        <v>39</v>
      </c>
      <c r="G162">
        <v>16</v>
      </c>
      <c r="H162">
        <v>24</v>
      </c>
      <c r="I162">
        <v>0.151</v>
      </c>
      <c r="J162">
        <f t="shared" si="2"/>
        <v>0.39735099337748342</v>
      </c>
      <c r="K162">
        <v>5.9999999999999995E-4</v>
      </c>
      <c r="L162" t="s">
        <v>17</v>
      </c>
      <c r="M162">
        <v>296</v>
      </c>
      <c r="N162" t="s">
        <v>553</v>
      </c>
    </row>
    <row r="163" spans="1:14" x14ac:dyDescent="0.2">
      <c r="A163" t="s">
        <v>1099</v>
      </c>
      <c r="B163" t="s">
        <v>32</v>
      </c>
      <c r="C163">
        <v>41</v>
      </c>
      <c r="D163">
        <v>10</v>
      </c>
      <c r="E163">
        <v>31</v>
      </c>
      <c r="F163">
        <v>42</v>
      </c>
      <c r="G163">
        <v>10</v>
      </c>
      <c r="H163">
        <v>32</v>
      </c>
      <c r="I163">
        <v>0.15229999999999999</v>
      </c>
      <c r="J163">
        <f t="shared" si="2"/>
        <v>0.3282994090610637</v>
      </c>
      <c r="K163">
        <v>5.0000000000000001E-4</v>
      </c>
      <c r="L163" t="s">
        <v>17</v>
      </c>
      <c r="M163">
        <v>296</v>
      </c>
      <c r="N163" t="s">
        <v>553</v>
      </c>
    </row>
    <row r="164" spans="1:14" x14ac:dyDescent="0.2">
      <c r="A164" t="s">
        <v>1099</v>
      </c>
      <c r="B164" t="s">
        <v>32</v>
      </c>
      <c r="C164">
        <v>42</v>
      </c>
      <c r="D164">
        <v>6</v>
      </c>
      <c r="E164">
        <v>37</v>
      </c>
      <c r="F164">
        <v>43</v>
      </c>
      <c r="G164">
        <v>6</v>
      </c>
      <c r="H164">
        <v>38</v>
      </c>
      <c r="I164">
        <v>0.16600000000000001</v>
      </c>
      <c r="J164">
        <f t="shared" si="2"/>
        <v>0.24096385542168672</v>
      </c>
      <c r="K164">
        <v>4.0000000000000002E-4</v>
      </c>
      <c r="L164" t="s">
        <v>17</v>
      </c>
      <c r="M164">
        <v>296</v>
      </c>
      <c r="N164" t="s">
        <v>553</v>
      </c>
    </row>
    <row r="165" spans="1:14" x14ac:dyDescent="0.2">
      <c r="A165" t="s">
        <v>1099</v>
      </c>
      <c r="B165" t="s">
        <v>32</v>
      </c>
      <c r="C165">
        <v>40</v>
      </c>
      <c r="D165">
        <v>12</v>
      </c>
      <c r="E165">
        <v>29</v>
      </c>
      <c r="F165">
        <v>41</v>
      </c>
      <c r="G165">
        <v>12</v>
      </c>
      <c r="H165">
        <v>30</v>
      </c>
      <c r="I165">
        <v>0.14829999999999999</v>
      </c>
      <c r="J165">
        <f t="shared" si="2"/>
        <v>0.26972353337828731</v>
      </c>
      <c r="K165">
        <v>4.0000000000000002E-4</v>
      </c>
      <c r="L165" t="s">
        <v>17</v>
      </c>
      <c r="M165">
        <v>296</v>
      </c>
      <c r="N165" t="s">
        <v>553</v>
      </c>
    </row>
    <row r="166" spans="1:14" x14ac:dyDescent="0.2">
      <c r="A166" t="s">
        <v>1099</v>
      </c>
      <c r="B166" t="s">
        <v>32</v>
      </c>
      <c r="C166">
        <v>41</v>
      </c>
      <c r="D166">
        <v>9</v>
      </c>
      <c r="E166">
        <v>32</v>
      </c>
      <c r="F166">
        <v>42</v>
      </c>
      <c r="G166">
        <v>9</v>
      </c>
      <c r="H166">
        <v>33</v>
      </c>
      <c r="I166">
        <v>0.16270000000000001</v>
      </c>
      <c r="J166">
        <f t="shared" si="2"/>
        <v>0.18438844499078055</v>
      </c>
      <c r="K166">
        <v>2.9999999999999997E-4</v>
      </c>
      <c r="L166" t="s">
        <v>17</v>
      </c>
      <c r="M166">
        <v>296</v>
      </c>
      <c r="N166" t="s">
        <v>553</v>
      </c>
    </row>
    <row r="167" spans="1:14" x14ac:dyDescent="0.2">
      <c r="A167" t="s">
        <v>1099</v>
      </c>
      <c r="B167" t="s">
        <v>32</v>
      </c>
      <c r="C167">
        <v>42</v>
      </c>
      <c r="D167">
        <v>5</v>
      </c>
      <c r="E167">
        <v>38</v>
      </c>
      <c r="F167">
        <v>43</v>
      </c>
      <c r="G167">
        <v>5</v>
      </c>
      <c r="H167">
        <v>39</v>
      </c>
      <c r="I167">
        <v>0.15629999999999999</v>
      </c>
      <c r="J167">
        <f t="shared" si="2"/>
        <v>0.25591810620601413</v>
      </c>
      <c r="K167">
        <v>4.0000000000000002E-4</v>
      </c>
      <c r="L167" t="s">
        <v>17</v>
      </c>
      <c r="M167">
        <v>296</v>
      </c>
      <c r="N167" t="s">
        <v>553</v>
      </c>
    </row>
    <row r="168" spans="1:14" x14ac:dyDescent="0.2">
      <c r="A168" t="s">
        <v>1099</v>
      </c>
      <c r="B168" t="s">
        <v>32</v>
      </c>
      <c r="C168">
        <v>36</v>
      </c>
      <c r="D168">
        <v>18</v>
      </c>
      <c r="E168">
        <v>19</v>
      </c>
      <c r="F168">
        <v>37</v>
      </c>
      <c r="G168">
        <v>18</v>
      </c>
      <c r="H168">
        <v>20</v>
      </c>
      <c r="I168">
        <v>0.13270000000000001</v>
      </c>
      <c r="J168">
        <f t="shared" si="2"/>
        <v>0.90429540316503376</v>
      </c>
      <c r="K168">
        <v>1.1999999999999999E-3</v>
      </c>
      <c r="L168" t="s">
        <v>17</v>
      </c>
      <c r="M168">
        <v>296</v>
      </c>
      <c r="N168" t="s">
        <v>553</v>
      </c>
    </row>
    <row r="169" spans="1:14" x14ac:dyDescent="0.2">
      <c r="A169" t="s">
        <v>1099</v>
      </c>
      <c r="B169" t="s">
        <v>32</v>
      </c>
      <c r="C169">
        <v>38</v>
      </c>
      <c r="D169">
        <v>15</v>
      </c>
      <c r="E169">
        <v>24</v>
      </c>
      <c r="F169">
        <v>39</v>
      </c>
      <c r="G169">
        <v>15</v>
      </c>
      <c r="H169">
        <v>25</v>
      </c>
      <c r="I169">
        <v>0.13450000000000001</v>
      </c>
      <c r="J169">
        <f t="shared" si="2"/>
        <v>0.5204460966542751</v>
      </c>
      <c r="K169">
        <v>6.9999999999999999E-4</v>
      </c>
      <c r="L169" t="s">
        <v>17</v>
      </c>
      <c r="M169">
        <v>296</v>
      </c>
      <c r="N169" t="s">
        <v>553</v>
      </c>
    </row>
    <row r="170" spans="1:14" x14ac:dyDescent="0.2">
      <c r="A170" t="s">
        <v>1099</v>
      </c>
      <c r="B170" t="s">
        <v>32</v>
      </c>
      <c r="C170">
        <v>41</v>
      </c>
      <c r="D170">
        <v>5</v>
      </c>
      <c r="E170">
        <v>36</v>
      </c>
      <c r="F170">
        <v>42</v>
      </c>
      <c r="G170">
        <v>5</v>
      </c>
      <c r="H170">
        <v>37</v>
      </c>
      <c r="I170">
        <v>0.16320000000000001</v>
      </c>
      <c r="J170">
        <f t="shared" si="2"/>
        <v>0.18382352941176469</v>
      </c>
      <c r="K170">
        <v>2.9999999999999997E-4</v>
      </c>
      <c r="L170" t="s">
        <v>17</v>
      </c>
      <c r="M170">
        <v>296</v>
      </c>
      <c r="N170" t="s">
        <v>553</v>
      </c>
    </row>
    <row r="171" spans="1:14" x14ac:dyDescent="0.2">
      <c r="A171" t="s">
        <v>1099</v>
      </c>
      <c r="B171" t="s">
        <v>32</v>
      </c>
      <c r="C171">
        <v>40</v>
      </c>
      <c r="D171">
        <v>11</v>
      </c>
      <c r="E171">
        <v>30</v>
      </c>
      <c r="F171">
        <v>41</v>
      </c>
      <c r="G171">
        <v>11</v>
      </c>
      <c r="H171">
        <v>31</v>
      </c>
      <c r="I171">
        <v>0.14979999999999999</v>
      </c>
      <c r="J171">
        <f t="shared" si="2"/>
        <v>0.26702269692923902</v>
      </c>
      <c r="K171">
        <v>4.0000000000000002E-4</v>
      </c>
      <c r="L171" t="s">
        <v>17</v>
      </c>
      <c r="M171">
        <v>296</v>
      </c>
      <c r="N171" t="s">
        <v>553</v>
      </c>
    </row>
    <row r="172" spans="1:14" x14ac:dyDescent="0.2">
      <c r="A172" t="s">
        <v>1099</v>
      </c>
      <c r="B172" t="s">
        <v>32</v>
      </c>
      <c r="C172">
        <v>41</v>
      </c>
      <c r="D172">
        <v>8</v>
      </c>
      <c r="E172">
        <v>33</v>
      </c>
      <c r="F172">
        <v>42</v>
      </c>
      <c r="G172">
        <v>8</v>
      </c>
      <c r="H172">
        <v>34</v>
      </c>
      <c r="I172">
        <v>0.16389999999999999</v>
      </c>
      <c r="J172">
        <f t="shared" si="2"/>
        <v>0.24405125076266018</v>
      </c>
      <c r="K172">
        <v>4.0000000000000002E-4</v>
      </c>
      <c r="L172" t="s">
        <v>17</v>
      </c>
      <c r="M172">
        <v>296</v>
      </c>
      <c r="N172" t="s">
        <v>553</v>
      </c>
    </row>
    <row r="173" spans="1:14" x14ac:dyDescent="0.2">
      <c r="A173" t="s">
        <v>1099</v>
      </c>
      <c r="B173" t="s">
        <v>32</v>
      </c>
      <c r="C173">
        <v>45</v>
      </c>
      <c r="D173">
        <v>0</v>
      </c>
      <c r="E173">
        <v>45</v>
      </c>
      <c r="F173">
        <v>46</v>
      </c>
      <c r="G173">
        <v>0</v>
      </c>
      <c r="H173">
        <v>46</v>
      </c>
      <c r="I173">
        <v>0.1452</v>
      </c>
      <c r="J173">
        <f t="shared" si="2"/>
        <v>0.13774104683195593</v>
      </c>
      <c r="K173">
        <v>2.0000000000000001E-4</v>
      </c>
      <c r="L173" t="s">
        <v>17</v>
      </c>
      <c r="M173">
        <v>296</v>
      </c>
      <c r="N173" t="s">
        <v>553</v>
      </c>
    </row>
    <row r="174" spans="1:14" x14ac:dyDescent="0.2">
      <c r="A174" t="s">
        <v>1099</v>
      </c>
      <c r="B174" t="s">
        <v>32</v>
      </c>
      <c r="C174">
        <v>44</v>
      </c>
      <c r="D174">
        <v>2</v>
      </c>
      <c r="E174">
        <v>43</v>
      </c>
      <c r="F174">
        <v>45</v>
      </c>
      <c r="G174">
        <v>2</v>
      </c>
      <c r="H174">
        <v>44</v>
      </c>
      <c r="I174">
        <v>0.1489</v>
      </c>
      <c r="J174">
        <f t="shared" si="2"/>
        <v>0.13431833445265279</v>
      </c>
      <c r="K174">
        <v>2.0000000000000001E-4</v>
      </c>
      <c r="L174" t="s">
        <v>17</v>
      </c>
      <c r="M174">
        <v>296</v>
      </c>
      <c r="N174" t="s">
        <v>553</v>
      </c>
    </row>
    <row r="175" spans="1:14" x14ac:dyDescent="0.2">
      <c r="A175" t="s">
        <v>1099</v>
      </c>
      <c r="B175" t="s">
        <v>32</v>
      </c>
      <c r="C175">
        <v>41</v>
      </c>
      <c r="D175">
        <v>4</v>
      </c>
      <c r="E175">
        <v>37</v>
      </c>
      <c r="F175">
        <v>42</v>
      </c>
      <c r="G175">
        <v>4</v>
      </c>
      <c r="H175">
        <v>38</v>
      </c>
      <c r="I175">
        <v>0.16839999999999999</v>
      </c>
      <c r="J175">
        <f t="shared" si="2"/>
        <v>0.17814726840855105</v>
      </c>
      <c r="K175">
        <v>2.9999999999999997E-4</v>
      </c>
      <c r="L175" t="s">
        <v>17</v>
      </c>
      <c r="M175">
        <v>296</v>
      </c>
      <c r="N175" t="s">
        <v>553</v>
      </c>
    </row>
    <row r="176" spans="1:14" x14ac:dyDescent="0.2">
      <c r="A176" t="s">
        <v>1099</v>
      </c>
      <c r="B176" t="s">
        <v>32</v>
      </c>
      <c r="C176">
        <v>43</v>
      </c>
      <c r="D176">
        <v>2</v>
      </c>
      <c r="E176">
        <v>41</v>
      </c>
      <c r="F176">
        <v>44</v>
      </c>
      <c r="G176">
        <v>2</v>
      </c>
      <c r="H176">
        <v>42</v>
      </c>
      <c r="I176">
        <v>0.1573</v>
      </c>
      <c r="J176">
        <f t="shared" si="2"/>
        <v>0.12714558169103624</v>
      </c>
      <c r="K176">
        <v>2.0000000000000001E-4</v>
      </c>
      <c r="L176" t="s">
        <v>17</v>
      </c>
      <c r="M176">
        <v>296</v>
      </c>
      <c r="N176" t="s">
        <v>553</v>
      </c>
    </row>
    <row r="177" spans="1:14" x14ac:dyDescent="0.2">
      <c r="A177" t="s">
        <v>1099</v>
      </c>
      <c r="B177" t="s">
        <v>32</v>
      </c>
      <c r="C177">
        <v>41</v>
      </c>
      <c r="D177">
        <v>7</v>
      </c>
      <c r="E177">
        <v>34</v>
      </c>
      <c r="F177">
        <v>42</v>
      </c>
      <c r="G177">
        <v>7</v>
      </c>
      <c r="H177">
        <v>35</v>
      </c>
      <c r="I177">
        <v>0.15870000000000001</v>
      </c>
      <c r="J177">
        <f t="shared" si="2"/>
        <v>0.18903591682419657</v>
      </c>
      <c r="K177">
        <v>2.9999999999999997E-4</v>
      </c>
      <c r="L177" t="s">
        <v>17</v>
      </c>
      <c r="M177">
        <v>296</v>
      </c>
      <c r="N177" t="s">
        <v>553</v>
      </c>
    </row>
    <row r="178" spans="1:14" x14ac:dyDescent="0.2">
      <c r="A178" t="s">
        <v>1099</v>
      </c>
      <c r="B178" t="s">
        <v>32</v>
      </c>
      <c r="C178">
        <v>41</v>
      </c>
      <c r="D178">
        <v>6</v>
      </c>
      <c r="E178">
        <v>35</v>
      </c>
      <c r="F178">
        <v>42</v>
      </c>
      <c r="G178">
        <v>6</v>
      </c>
      <c r="H178">
        <v>36</v>
      </c>
      <c r="I178">
        <v>0.15720000000000001</v>
      </c>
      <c r="J178">
        <f t="shared" si="2"/>
        <v>0.2544529262086514</v>
      </c>
      <c r="K178">
        <v>4.0000000000000002E-4</v>
      </c>
      <c r="L178" t="s">
        <v>17</v>
      </c>
      <c r="M178">
        <v>296</v>
      </c>
      <c r="N178" t="s">
        <v>553</v>
      </c>
    </row>
    <row r="179" spans="1:14" x14ac:dyDescent="0.2">
      <c r="A179" t="s">
        <v>1099</v>
      </c>
      <c r="B179" t="s">
        <v>32</v>
      </c>
      <c r="C179">
        <v>42</v>
      </c>
      <c r="D179">
        <v>4</v>
      </c>
      <c r="E179">
        <v>39</v>
      </c>
      <c r="F179">
        <v>43</v>
      </c>
      <c r="G179">
        <v>4</v>
      </c>
      <c r="H179">
        <v>40</v>
      </c>
      <c r="I179">
        <v>0.15820000000000001</v>
      </c>
      <c r="J179">
        <f t="shared" si="2"/>
        <v>0.25284450063211128</v>
      </c>
      <c r="K179">
        <v>4.0000000000000002E-4</v>
      </c>
      <c r="L179" t="s">
        <v>17</v>
      </c>
      <c r="M179">
        <v>296</v>
      </c>
      <c r="N179" t="s">
        <v>553</v>
      </c>
    </row>
    <row r="180" spans="1:14" x14ac:dyDescent="0.2">
      <c r="A180" t="s">
        <v>1099</v>
      </c>
      <c r="B180" t="s">
        <v>32</v>
      </c>
      <c r="C180">
        <v>40</v>
      </c>
      <c r="D180">
        <v>10</v>
      </c>
      <c r="E180">
        <v>31</v>
      </c>
      <c r="F180">
        <v>41</v>
      </c>
      <c r="G180">
        <v>10</v>
      </c>
      <c r="H180">
        <v>32</v>
      </c>
      <c r="I180">
        <v>0.15909999999999999</v>
      </c>
      <c r="J180">
        <f t="shared" si="2"/>
        <v>0.37712130735386551</v>
      </c>
      <c r="K180">
        <v>5.9999999999999995E-4</v>
      </c>
      <c r="L180" t="s">
        <v>17</v>
      </c>
      <c r="M180">
        <v>296</v>
      </c>
      <c r="N180" t="s">
        <v>553</v>
      </c>
    </row>
    <row r="181" spans="1:14" x14ac:dyDescent="0.2">
      <c r="A181" t="s">
        <v>1099</v>
      </c>
      <c r="B181" t="s">
        <v>32</v>
      </c>
      <c r="C181">
        <v>38</v>
      </c>
      <c r="D181">
        <v>14</v>
      </c>
      <c r="E181">
        <v>25</v>
      </c>
      <c r="F181">
        <v>39</v>
      </c>
      <c r="G181">
        <v>14</v>
      </c>
      <c r="H181">
        <v>26</v>
      </c>
      <c r="I181">
        <v>0.14499999999999999</v>
      </c>
      <c r="J181">
        <f t="shared" si="2"/>
        <v>0.41379310344827586</v>
      </c>
      <c r="K181">
        <v>5.9999999999999995E-4</v>
      </c>
      <c r="L181" t="s">
        <v>17</v>
      </c>
      <c r="M181">
        <v>296</v>
      </c>
      <c r="N181" t="s">
        <v>553</v>
      </c>
    </row>
    <row r="182" spans="1:14" x14ac:dyDescent="0.2">
      <c r="A182" t="s">
        <v>1099</v>
      </c>
      <c r="B182" t="s">
        <v>32</v>
      </c>
      <c r="C182">
        <v>39</v>
      </c>
      <c r="D182">
        <v>12</v>
      </c>
      <c r="E182">
        <v>27</v>
      </c>
      <c r="F182">
        <v>40</v>
      </c>
      <c r="G182">
        <v>12</v>
      </c>
      <c r="H182">
        <v>28</v>
      </c>
      <c r="I182">
        <v>0.1537</v>
      </c>
      <c r="J182">
        <f t="shared" si="2"/>
        <v>0.26024723487312951</v>
      </c>
      <c r="K182">
        <v>4.0000000000000002E-4</v>
      </c>
      <c r="L182" t="s">
        <v>17</v>
      </c>
      <c r="M182">
        <v>296</v>
      </c>
      <c r="N182" t="s">
        <v>553</v>
      </c>
    </row>
    <row r="183" spans="1:14" x14ac:dyDescent="0.2">
      <c r="A183" t="s">
        <v>1099</v>
      </c>
      <c r="B183" t="s">
        <v>32</v>
      </c>
      <c r="C183">
        <v>40</v>
      </c>
      <c r="D183">
        <v>8</v>
      </c>
      <c r="E183">
        <v>33</v>
      </c>
      <c r="F183">
        <v>41</v>
      </c>
      <c r="G183">
        <v>8</v>
      </c>
      <c r="H183">
        <v>34</v>
      </c>
      <c r="I183">
        <v>0.16420000000000001</v>
      </c>
      <c r="J183">
        <f t="shared" si="2"/>
        <v>0.24360535931790497</v>
      </c>
      <c r="K183">
        <v>4.0000000000000002E-4</v>
      </c>
      <c r="L183" t="s">
        <v>17</v>
      </c>
      <c r="M183">
        <v>296</v>
      </c>
      <c r="N183" t="s">
        <v>553</v>
      </c>
    </row>
    <row r="184" spans="1:14" x14ac:dyDescent="0.2">
      <c r="A184" t="s">
        <v>1099</v>
      </c>
      <c r="B184" t="s">
        <v>32</v>
      </c>
      <c r="C184">
        <v>44</v>
      </c>
      <c r="D184">
        <v>1</v>
      </c>
      <c r="E184">
        <v>44</v>
      </c>
      <c r="F184">
        <v>45</v>
      </c>
      <c r="G184">
        <v>1</v>
      </c>
      <c r="H184">
        <v>45</v>
      </c>
      <c r="I184">
        <v>0.1447</v>
      </c>
      <c r="J184">
        <f t="shared" si="2"/>
        <v>0.2073255010366275</v>
      </c>
      <c r="K184">
        <v>2.9999999999999997E-4</v>
      </c>
      <c r="L184" t="s">
        <v>17</v>
      </c>
      <c r="M184">
        <v>296</v>
      </c>
      <c r="N184" t="s">
        <v>553</v>
      </c>
    </row>
    <row r="185" spans="1:14" x14ac:dyDescent="0.2">
      <c r="A185" t="s">
        <v>1099</v>
      </c>
      <c r="B185" t="s">
        <v>32</v>
      </c>
      <c r="C185">
        <v>38</v>
      </c>
      <c r="D185">
        <v>13</v>
      </c>
      <c r="E185">
        <v>26</v>
      </c>
      <c r="F185">
        <v>39</v>
      </c>
      <c r="G185">
        <v>13</v>
      </c>
      <c r="H185">
        <v>27</v>
      </c>
      <c r="I185">
        <v>0.1459</v>
      </c>
      <c r="J185">
        <f t="shared" si="2"/>
        <v>0.54832076764907478</v>
      </c>
      <c r="K185">
        <v>8.0000000000000004E-4</v>
      </c>
      <c r="L185" t="s">
        <v>17</v>
      </c>
      <c r="M185">
        <v>296</v>
      </c>
      <c r="N185" t="s">
        <v>553</v>
      </c>
    </row>
    <row r="186" spans="1:14" x14ac:dyDescent="0.2">
      <c r="A186" t="s">
        <v>1099</v>
      </c>
      <c r="B186" t="s">
        <v>32</v>
      </c>
      <c r="C186">
        <v>41</v>
      </c>
      <c r="D186">
        <v>3</v>
      </c>
      <c r="E186">
        <v>38</v>
      </c>
      <c r="F186">
        <v>42</v>
      </c>
      <c r="G186">
        <v>3</v>
      </c>
      <c r="H186">
        <v>39</v>
      </c>
      <c r="I186">
        <v>0.16270000000000001</v>
      </c>
      <c r="J186">
        <f t="shared" si="2"/>
        <v>0.1229256299938537</v>
      </c>
      <c r="K186">
        <v>2.0000000000000001E-4</v>
      </c>
      <c r="L186" t="s">
        <v>17</v>
      </c>
      <c r="M186">
        <v>296</v>
      </c>
      <c r="N186" t="s">
        <v>553</v>
      </c>
    </row>
    <row r="187" spans="1:14" x14ac:dyDescent="0.2">
      <c r="A187" t="s">
        <v>1099</v>
      </c>
      <c r="B187" t="s">
        <v>32</v>
      </c>
      <c r="C187">
        <v>43</v>
      </c>
      <c r="D187">
        <v>1</v>
      </c>
      <c r="E187">
        <v>42</v>
      </c>
      <c r="F187">
        <v>44</v>
      </c>
      <c r="G187">
        <v>1</v>
      </c>
      <c r="H187">
        <v>43</v>
      </c>
      <c r="I187">
        <v>0.1477</v>
      </c>
      <c r="J187">
        <f t="shared" si="2"/>
        <v>0.2031144211238998</v>
      </c>
      <c r="K187">
        <v>2.9999999999999997E-4</v>
      </c>
      <c r="L187" t="s">
        <v>17</v>
      </c>
      <c r="M187">
        <v>296</v>
      </c>
      <c r="N187" t="s">
        <v>553</v>
      </c>
    </row>
    <row r="188" spans="1:14" x14ac:dyDescent="0.2">
      <c r="A188" t="s">
        <v>1099</v>
      </c>
      <c r="B188" t="s">
        <v>32</v>
      </c>
      <c r="C188">
        <v>42</v>
      </c>
      <c r="D188">
        <v>3</v>
      </c>
      <c r="E188">
        <v>40</v>
      </c>
      <c r="F188">
        <v>43</v>
      </c>
      <c r="G188">
        <v>3</v>
      </c>
      <c r="H188">
        <v>41</v>
      </c>
      <c r="I188">
        <v>0.15279999999999999</v>
      </c>
      <c r="J188">
        <f t="shared" si="2"/>
        <v>0.13089005235602094</v>
      </c>
      <c r="K188">
        <v>2.0000000000000001E-4</v>
      </c>
      <c r="L188" t="s">
        <v>17</v>
      </c>
      <c r="M188">
        <v>296</v>
      </c>
      <c r="N188" t="s">
        <v>553</v>
      </c>
    </row>
    <row r="189" spans="1:14" x14ac:dyDescent="0.2">
      <c r="A189" t="s">
        <v>1099</v>
      </c>
      <c r="B189" t="s">
        <v>32</v>
      </c>
      <c r="C189">
        <v>36</v>
      </c>
      <c r="D189">
        <v>16</v>
      </c>
      <c r="E189">
        <v>21</v>
      </c>
      <c r="F189">
        <v>37</v>
      </c>
      <c r="G189">
        <v>16</v>
      </c>
      <c r="H189">
        <v>22</v>
      </c>
      <c r="I189">
        <v>0.14499999999999999</v>
      </c>
      <c r="J189">
        <f t="shared" si="2"/>
        <v>0.55172413793103448</v>
      </c>
      <c r="K189">
        <v>8.0000000000000004E-4</v>
      </c>
      <c r="L189" t="s">
        <v>17</v>
      </c>
      <c r="M189">
        <v>296</v>
      </c>
      <c r="N189" t="s">
        <v>553</v>
      </c>
    </row>
    <row r="190" spans="1:14" x14ac:dyDescent="0.2">
      <c r="A190" t="s">
        <v>1099</v>
      </c>
      <c r="B190" t="s">
        <v>32</v>
      </c>
      <c r="C190">
        <v>39</v>
      </c>
      <c r="D190">
        <v>10</v>
      </c>
      <c r="E190">
        <v>29</v>
      </c>
      <c r="F190">
        <v>40</v>
      </c>
      <c r="G190">
        <v>10</v>
      </c>
      <c r="H190">
        <v>30</v>
      </c>
      <c r="I190">
        <v>0.15490000000000001</v>
      </c>
      <c r="J190">
        <f t="shared" si="2"/>
        <v>0.19367333763718525</v>
      </c>
      <c r="K190">
        <v>2.9999999999999997E-4</v>
      </c>
      <c r="L190" t="s">
        <v>17</v>
      </c>
      <c r="M190">
        <v>296</v>
      </c>
      <c r="N190" t="s">
        <v>553</v>
      </c>
    </row>
    <row r="191" spans="1:14" x14ac:dyDescent="0.2">
      <c r="A191" t="s">
        <v>1099</v>
      </c>
      <c r="B191" t="s">
        <v>32</v>
      </c>
      <c r="C191">
        <v>40</v>
      </c>
      <c r="D191">
        <v>6</v>
      </c>
      <c r="E191">
        <v>35</v>
      </c>
      <c r="F191">
        <v>41</v>
      </c>
      <c r="G191">
        <v>6</v>
      </c>
      <c r="H191">
        <v>36</v>
      </c>
      <c r="I191">
        <v>0.16450000000000001</v>
      </c>
      <c r="J191">
        <f t="shared" si="2"/>
        <v>0.24316109422492402</v>
      </c>
      <c r="K191">
        <v>4.0000000000000002E-4</v>
      </c>
      <c r="L191" t="s">
        <v>17</v>
      </c>
      <c r="M191">
        <v>296</v>
      </c>
      <c r="N191" t="s">
        <v>553</v>
      </c>
    </row>
    <row r="192" spans="1:14" x14ac:dyDescent="0.2">
      <c r="A192" t="s">
        <v>1099</v>
      </c>
      <c r="B192" t="s">
        <v>32</v>
      </c>
      <c r="C192">
        <v>37</v>
      </c>
      <c r="D192">
        <v>14</v>
      </c>
      <c r="E192">
        <v>23</v>
      </c>
      <c r="F192">
        <v>38</v>
      </c>
      <c r="G192">
        <v>14</v>
      </c>
      <c r="H192">
        <v>24</v>
      </c>
      <c r="I192">
        <v>0.14979999999999999</v>
      </c>
      <c r="J192">
        <f t="shared" si="2"/>
        <v>0.6008010680907877</v>
      </c>
      <c r="K192">
        <v>8.9999999999999998E-4</v>
      </c>
      <c r="L192" t="s">
        <v>17</v>
      </c>
      <c r="M192">
        <v>296</v>
      </c>
      <c r="N192" t="s">
        <v>553</v>
      </c>
    </row>
    <row r="193" spans="1:14" x14ac:dyDescent="0.2">
      <c r="A193" t="s">
        <v>1099</v>
      </c>
      <c r="B193" t="s">
        <v>32</v>
      </c>
      <c r="C193">
        <v>38</v>
      </c>
      <c r="D193">
        <v>12</v>
      </c>
      <c r="E193">
        <v>27</v>
      </c>
      <c r="F193">
        <v>39</v>
      </c>
      <c r="G193">
        <v>12</v>
      </c>
      <c r="H193">
        <v>28</v>
      </c>
      <c r="I193">
        <v>0.15310000000000001</v>
      </c>
      <c r="J193">
        <f t="shared" si="2"/>
        <v>0.19595035924232523</v>
      </c>
      <c r="K193">
        <v>2.9999999999999997E-4</v>
      </c>
      <c r="L193" t="s">
        <v>17</v>
      </c>
      <c r="M193">
        <v>296</v>
      </c>
      <c r="N193" t="s">
        <v>553</v>
      </c>
    </row>
    <row r="194" spans="1:14" x14ac:dyDescent="0.2">
      <c r="A194" t="s">
        <v>1099</v>
      </c>
      <c r="B194" t="s">
        <v>32</v>
      </c>
      <c r="C194">
        <v>35</v>
      </c>
      <c r="D194">
        <v>17</v>
      </c>
      <c r="E194">
        <v>18</v>
      </c>
      <c r="F194">
        <v>36</v>
      </c>
      <c r="G194">
        <v>17</v>
      </c>
      <c r="H194">
        <v>19</v>
      </c>
      <c r="I194">
        <v>0.1326</v>
      </c>
      <c r="J194">
        <f t="shared" si="2"/>
        <v>0.67873303167420818</v>
      </c>
      <c r="K194">
        <v>8.9999999999999998E-4</v>
      </c>
      <c r="L194" t="s">
        <v>17</v>
      </c>
      <c r="M194">
        <v>296</v>
      </c>
      <c r="N194" t="s">
        <v>553</v>
      </c>
    </row>
    <row r="195" spans="1:14" x14ac:dyDescent="0.2">
      <c r="A195" t="s">
        <v>1099</v>
      </c>
      <c r="B195" t="s">
        <v>32</v>
      </c>
      <c r="C195">
        <v>34</v>
      </c>
      <c r="D195">
        <v>18</v>
      </c>
      <c r="E195">
        <v>17</v>
      </c>
      <c r="F195">
        <v>35</v>
      </c>
      <c r="G195">
        <v>18</v>
      </c>
      <c r="H195">
        <v>18</v>
      </c>
      <c r="I195">
        <v>0.14369999999999999</v>
      </c>
      <c r="J195">
        <f t="shared" ref="J195:J258" si="3">K195/I195*100</f>
        <v>1.0438413361169103</v>
      </c>
      <c r="K195">
        <v>1.5E-3</v>
      </c>
      <c r="L195" t="s">
        <v>17</v>
      </c>
      <c r="M195">
        <v>296</v>
      </c>
      <c r="N195" t="s">
        <v>553</v>
      </c>
    </row>
    <row r="196" spans="1:14" x14ac:dyDescent="0.2">
      <c r="A196" t="s">
        <v>1099</v>
      </c>
      <c r="B196" t="s">
        <v>32</v>
      </c>
      <c r="C196">
        <v>43</v>
      </c>
      <c r="D196">
        <v>0</v>
      </c>
      <c r="E196">
        <v>43</v>
      </c>
      <c r="F196">
        <v>44</v>
      </c>
      <c r="G196">
        <v>0</v>
      </c>
      <c r="H196">
        <v>44</v>
      </c>
      <c r="I196">
        <v>0.1615</v>
      </c>
      <c r="J196">
        <f t="shared" si="3"/>
        <v>0.30959752321981426</v>
      </c>
      <c r="K196">
        <v>5.0000000000000001E-4</v>
      </c>
      <c r="L196" t="s">
        <v>17</v>
      </c>
      <c r="M196">
        <v>296</v>
      </c>
      <c r="N196" t="s">
        <v>553</v>
      </c>
    </row>
    <row r="197" spans="1:14" x14ac:dyDescent="0.2">
      <c r="A197" t="s">
        <v>1099</v>
      </c>
      <c r="B197" t="s">
        <v>32</v>
      </c>
      <c r="C197">
        <v>39</v>
      </c>
      <c r="D197">
        <v>5</v>
      </c>
      <c r="E197">
        <v>34</v>
      </c>
      <c r="F197">
        <v>40</v>
      </c>
      <c r="G197">
        <v>5</v>
      </c>
      <c r="H197">
        <v>35</v>
      </c>
      <c r="I197">
        <v>0.1595</v>
      </c>
      <c r="J197">
        <f t="shared" si="3"/>
        <v>0.12539184952978058</v>
      </c>
      <c r="K197">
        <v>2.0000000000000001E-4</v>
      </c>
      <c r="L197" t="s">
        <v>17</v>
      </c>
      <c r="M197">
        <v>296</v>
      </c>
      <c r="N197" t="s">
        <v>553</v>
      </c>
    </row>
    <row r="198" spans="1:14" x14ac:dyDescent="0.2">
      <c r="A198" t="s">
        <v>1099</v>
      </c>
      <c r="B198" t="s">
        <v>32</v>
      </c>
      <c r="C198">
        <v>39</v>
      </c>
      <c r="D198">
        <v>4</v>
      </c>
      <c r="E198">
        <v>35</v>
      </c>
      <c r="F198">
        <v>40</v>
      </c>
      <c r="G198">
        <v>4</v>
      </c>
      <c r="H198">
        <v>36</v>
      </c>
      <c r="I198">
        <v>0.16200000000000001</v>
      </c>
      <c r="J198">
        <f t="shared" si="3"/>
        <v>0.12345679012345678</v>
      </c>
      <c r="K198">
        <v>2.0000000000000001E-4</v>
      </c>
      <c r="L198" t="s">
        <v>17</v>
      </c>
      <c r="M198">
        <v>296</v>
      </c>
      <c r="N198" t="s">
        <v>553</v>
      </c>
    </row>
    <row r="199" spans="1:14" x14ac:dyDescent="0.2">
      <c r="A199" t="s">
        <v>1099</v>
      </c>
      <c r="B199" t="s">
        <v>32</v>
      </c>
      <c r="C199">
        <v>39</v>
      </c>
      <c r="D199">
        <v>7</v>
      </c>
      <c r="E199">
        <v>32</v>
      </c>
      <c r="F199">
        <v>40</v>
      </c>
      <c r="G199">
        <v>7</v>
      </c>
      <c r="H199">
        <v>33</v>
      </c>
      <c r="I199">
        <v>0.17069999999999999</v>
      </c>
      <c r="J199">
        <f t="shared" si="3"/>
        <v>0.17574692442882248</v>
      </c>
      <c r="K199">
        <v>2.9999999999999997E-4</v>
      </c>
      <c r="L199" t="s">
        <v>17</v>
      </c>
      <c r="M199">
        <v>296</v>
      </c>
      <c r="N199" t="s">
        <v>553</v>
      </c>
    </row>
    <row r="200" spans="1:14" x14ac:dyDescent="0.2">
      <c r="A200" t="s">
        <v>1099</v>
      </c>
      <c r="B200" t="s">
        <v>32</v>
      </c>
      <c r="C200">
        <v>40</v>
      </c>
      <c r="D200">
        <v>4</v>
      </c>
      <c r="E200">
        <v>37</v>
      </c>
      <c r="F200">
        <v>41</v>
      </c>
      <c r="G200">
        <v>4</v>
      </c>
      <c r="H200">
        <v>38</v>
      </c>
      <c r="I200">
        <v>0.16289999999999999</v>
      </c>
      <c r="J200">
        <f t="shared" si="3"/>
        <v>0.12277470841006753</v>
      </c>
      <c r="K200">
        <v>2.0000000000000001E-4</v>
      </c>
      <c r="L200" t="s">
        <v>17</v>
      </c>
      <c r="M200">
        <v>296</v>
      </c>
      <c r="N200" t="s">
        <v>553</v>
      </c>
    </row>
    <row r="201" spans="1:14" x14ac:dyDescent="0.2">
      <c r="A201" t="s">
        <v>1099</v>
      </c>
      <c r="B201" t="s">
        <v>32</v>
      </c>
      <c r="C201">
        <v>39</v>
      </c>
      <c r="D201">
        <v>6</v>
      </c>
      <c r="E201">
        <v>33</v>
      </c>
      <c r="F201">
        <v>40</v>
      </c>
      <c r="G201">
        <v>6</v>
      </c>
      <c r="H201">
        <v>34</v>
      </c>
      <c r="I201">
        <v>0.16589999999999999</v>
      </c>
      <c r="J201">
        <f t="shared" si="3"/>
        <v>0.12055455093429779</v>
      </c>
      <c r="K201">
        <v>2.0000000000000001E-4</v>
      </c>
      <c r="L201" t="s">
        <v>17</v>
      </c>
      <c r="M201">
        <v>296</v>
      </c>
      <c r="N201" t="s">
        <v>553</v>
      </c>
    </row>
    <row r="202" spans="1:14" x14ac:dyDescent="0.2">
      <c r="A202" t="s">
        <v>1099</v>
      </c>
      <c r="B202" t="s">
        <v>32</v>
      </c>
      <c r="C202">
        <v>36</v>
      </c>
      <c r="D202">
        <v>14</v>
      </c>
      <c r="E202">
        <v>23</v>
      </c>
      <c r="F202">
        <v>37</v>
      </c>
      <c r="G202">
        <v>14</v>
      </c>
      <c r="H202">
        <v>24</v>
      </c>
      <c r="I202">
        <v>0.14860000000000001</v>
      </c>
      <c r="J202">
        <f t="shared" si="3"/>
        <v>0.87483176312247635</v>
      </c>
      <c r="K202">
        <v>1.2999999999999999E-3</v>
      </c>
      <c r="L202" t="s">
        <v>17</v>
      </c>
      <c r="M202">
        <v>296</v>
      </c>
      <c r="N202" t="s">
        <v>553</v>
      </c>
    </row>
    <row r="203" spans="1:14" x14ac:dyDescent="0.2">
      <c r="A203" t="s">
        <v>1099</v>
      </c>
      <c r="B203" t="s">
        <v>32</v>
      </c>
      <c r="C203">
        <v>38</v>
      </c>
      <c r="D203">
        <v>9</v>
      </c>
      <c r="E203">
        <v>30</v>
      </c>
      <c r="F203">
        <v>39</v>
      </c>
      <c r="G203">
        <v>9</v>
      </c>
      <c r="H203">
        <v>31</v>
      </c>
      <c r="I203">
        <v>0.15770000000000001</v>
      </c>
      <c r="J203">
        <f t="shared" si="3"/>
        <v>0.2536461636017755</v>
      </c>
      <c r="K203">
        <v>4.0000000000000002E-4</v>
      </c>
      <c r="L203" t="s">
        <v>17</v>
      </c>
      <c r="M203">
        <v>296</v>
      </c>
      <c r="N203" t="s">
        <v>553</v>
      </c>
    </row>
    <row r="204" spans="1:14" x14ac:dyDescent="0.2">
      <c r="A204" t="s">
        <v>1099</v>
      </c>
      <c r="B204" t="s">
        <v>32</v>
      </c>
      <c r="C204">
        <v>39</v>
      </c>
      <c r="D204">
        <v>3</v>
      </c>
      <c r="E204">
        <v>36</v>
      </c>
      <c r="F204">
        <v>40</v>
      </c>
      <c r="G204">
        <v>3</v>
      </c>
      <c r="H204">
        <v>37</v>
      </c>
      <c r="I204">
        <v>0.16209999999999999</v>
      </c>
      <c r="J204">
        <f t="shared" si="3"/>
        <v>0.24676125848241826</v>
      </c>
      <c r="K204">
        <v>4.0000000000000002E-4</v>
      </c>
      <c r="L204" t="s">
        <v>17</v>
      </c>
      <c r="M204">
        <v>296</v>
      </c>
      <c r="N204" t="s">
        <v>553</v>
      </c>
    </row>
    <row r="205" spans="1:14" x14ac:dyDescent="0.2">
      <c r="A205" t="s">
        <v>1099</v>
      </c>
      <c r="B205" t="s">
        <v>32</v>
      </c>
      <c r="C205">
        <v>42</v>
      </c>
      <c r="D205">
        <v>1</v>
      </c>
      <c r="E205">
        <v>42</v>
      </c>
      <c r="F205">
        <v>43</v>
      </c>
      <c r="G205">
        <v>1</v>
      </c>
      <c r="H205">
        <v>43</v>
      </c>
      <c r="I205">
        <v>0.14399999999999999</v>
      </c>
      <c r="J205">
        <f t="shared" si="3"/>
        <v>0.20833333333333334</v>
      </c>
      <c r="K205">
        <v>2.9999999999999997E-4</v>
      </c>
      <c r="L205" t="s">
        <v>17</v>
      </c>
      <c r="M205">
        <v>296</v>
      </c>
      <c r="N205" t="s">
        <v>553</v>
      </c>
    </row>
    <row r="206" spans="1:14" x14ac:dyDescent="0.2">
      <c r="A206" t="s">
        <v>1099</v>
      </c>
      <c r="B206" t="s">
        <v>32</v>
      </c>
      <c r="C206">
        <v>41</v>
      </c>
      <c r="D206">
        <v>1</v>
      </c>
      <c r="E206">
        <v>40</v>
      </c>
      <c r="F206">
        <v>42</v>
      </c>
      <c r="G206">
        <v>1</v>
      </c>
      <c r="H206">
        <v>41</v>
      </c>
      <c r="I206">
        <v>0.16070000000000001</v>
      </c>
      <c r="J206">
        <f t="shared" si="3"/>
        <v>0.31113876789047917</v>
      </c>
      <c r="K206">
        <v>5.0000000000000001E-4</v>
      </c>
      <c r="L206" t="s">
        <v>17</v>
      </c>
      <c r="M206">
        <v>296</v>
      </c>
      <c r="N206" t="s">
        <v>553</v>
      </c>
    </row>
    <row r="207" spans="1:14" x14ac:dyDescent="0.2">
      <c r="A207" t="s">
        <v>1099</v>
      </c>
      <c r="B207" t="s">
        <v>32</v>
      </c>
      <c r="C207">
        <v>36</v>
      </c>
      <c r="D207">
        <v>13</v>
      </c>
      <c r="E207">
        <v>24</v>
      </c>
      <c r="F207">
        <v>37</v>
      </c>
      <c r="G207">
        <v>13</v>
      </c>
      <c r="H207">
        <v>25</v>
      </c>
      <c r="I207">
        <v>0.1593</v>
      </c>
      <c r="J207">
        <f t="shared" si="3"/>
        <v>1.0043942247332078</v>
      </c>
      <c r="K207">
        <v>1.6000000000000001E-3</v>
      </c>
      <c r="L207" t="s">
        <v>17</v>
      </c>
      <c r="M207">
        <v>296</v>
      </c>
      <c r="N207" t="s">
        <v>553</v>
      </c>
    </row>
    <row r="208" spans="1:14" x14ac:dyDescent="0.2">
      <c r="A208" t="s">
        <v>1099</v>
      </c>
      <c r="B208" t="s">
        <v>32</v>
      </c>
      <c r="C208">
        <v>38</v>
      </c>
      <c r="D208">
        <v>6</v>
      </c>
      <c r="E208">
        <v>33</v>
      </c>
      <c r="F208">
        <v>39</v>
      </c>
      <c r="G208">
        <v>6</v>
      </c>
      <c r="H208">
        <v>34</v>
      </c>
      <c r="I208">
        <v>0.14929999999999999</v>
      </c>
      <c r="J208">
        <f t="shared" si="3"/>
        <v>0.26791694574681851</v>
      </c>
      <c r="K208">
        <v>4.0000000000000002E-4</v>
      </c>
      <c r="L208" t="s">
        <v>17</v>
      </c>
      <c r="M208">
        <v>296</v>
      </c>
      <c r="N208" t="s">
        <v>553</v>
      </c>
    </row>
    <row r="209" spans="1:14" x14ac:dyDescent="0.2">
      <c r="A209" t="s">
        <v>1099</v>
      </c>
      <c r="B209" t="s">
        <v>32</v>
      </c>
      <c r="C209">
        <v>37</v>
      </c>
      <c r="D209">
        <v>9</v>
      </c>
      <c r="E209">
        <v>28</v>
      </c>
      <c r="F209">
        <v>38</v>
      </c>
      <c r="G209">
        <v>9</v>
      </c>
      <c r="H209">
        <v>29</v>
      </c>
      <c r="I209">
        <v>0.1643</v>
      </c>
      <c r="J209">
        <f t="shared" si="3"/>
        <v>0.36518563603164939</v>
      </c>
      <c r="K209">
        <v>5.9999999999999995E-4</v>
      </c>
      <c r="L209" t="s">
        <v>17</v>
      </c>
      <c r="M209">
        <v>296</v>
      </c>
      <c r="N209" t="s">
        <v>553</v>
      </c>
    </row>
    <row r="210" spans="1:14" x14ac:dyDescent="0.2">
      <c r="A210" t="s">
        <v>1099</v>
      </c>
      <c r="B210" t="s">
        <v>32</v>
      </c>
      <c r="C210">
        <v>41</v>
      </c>
      <c r="D210">
        <v>0</v>
      </c>
      <c r="E210">
        <v>41</v>
      </c>
      <c r="F210">
        <v>42</v>
      </c>
      <c r="G210">
        <v>0</v>
      </c>
      <c r="H210">
        <v>42</v>
      </c>
      <c r="I210">
        <v>0.14630000000000001</v>
      </c>
      <c r="J210">
        <f t="shared" si="3"/>
        <v>0.27341079972658916</v>
      </c>
      <c r="K210">
        <v>4.0000000000000002E-4</v>
      </c>
      <c r="L210" t="s">
        <v>17</v>
      </c>
      <c r="M210">
        <v>296</v>
      </c>
      <c r="N210" t="s">
        <v>553</v>
      </c>
    </row>
    <row r="211" spans="1:14" x14ac:dyDescent="0.2">
      <c r="A211" t="s">
        <v>1099</v>
      </c>
      <c r="B211" t="s">
        <v>32</v>
      </c>
      <c r="C211">
        <v>40</v>
      </c>
      <c r="D211">
        <v>2</v>
      </c>
      <c r="E211">
        <v>39</v>
      </c>
      <c r="F211">
        <v>41</v>
      </c>
      <c r="G211">
        <v>2</v>
      </c>
      <c r="H211">
        <v>40</v>
      </c>
      <c r="I211">
        <v>0.152</v>
      </c>
      <c r="J211">
        <f t="shared" si="3"/>
        <v>0.32894736842105265</v>
      </c>
      <c r="K211">
        <v>5.0000000000000001E-4</v>
      </c>
      <c r="L211" t="s">
        <v>17</v>
      </c>
      <c r="M211">
        <v>296</v>
      </c>
      <c r="N211" t="s">
        <v>553</v>
      </c>
    </row>
    <row r="212" spans="1:14" x14ac:dyDescent="0.2">
      <c r="A212" t="s">
        <v>1099</v>
      </c>
      <c r="B212" t="s">
        <v>32</v>
      </c>
      <c r="C212">
        <v>39</v>
      </c>
      <c r="D212">
        <v>2</v>
      </c>
      <c r="E212">
        <v>37</v>
      </c>
      <c r="F212">
        <v>40</v>
      </c>
      <c r="G212">
        <v>2</v>
      </c>
      <c r="H212">
        <v>38</v>
      </c>
      <c r="I212">
        <v>0.15590000000000001</v>
      </c>
      <c r="J212">
        <f t="shared" si="3"/>
        <v>0.25657472738935211</v>
      </c>
      <c r="K212">
        <v>4.0000000000000002E-4</v>
      </c>
      <c r="L212" t="s">
        <v>17</v>
      </c>
      <c r="M212">
        <v>296</v>
      </c>
      <c r="N212" t="s">
        <v>553</v>
      </c>
    </row>
    <row r="213" spans="1:14" x14ac:dyDescent="0.2">
      <c r="A213" t="s">
        <v>1099</v>
      </c>
      <c r="B213" t="s">
        <v>32</v>
      </c>
      <c r="C213">
        <v>36</v>
      </c>
      <c r="D213">
        <v>11</v>
      </c>
      <c r="E213">
        <v>26</v>
      </c>
      <c r="F213">
        <v>37</v>
      </c>
      <c r="G213">
        <v>11</v>
      </c>
      <c r="H213">
        <v>27</v>
      </c>
      <c r="I213">
        <v>0.1457</v>
      </c>
      <c r="J213">
        <f t="shared" si="3"/>
        <v>0.48043925875085791</v>
      </c>
      <c r="K213">
        <v>6.9999999999999999E-4</v>
      </c>
      <c r="L213" t="s">
        <v>17</v>
      </c>
      <c r="M213">
        <v>296</v>
      </c>
      <c r="N213" t="s">
        <v>553</v>
      </c>
    </row>
    <row r="214" spans="1:14" x14ac:dyDescent="0.2">
      <c r="A214" t="s">
        <v>1099</v>
      </c>
      <c r="B214" t="s">
        <v>32</v>
      </c>
      <c r="C214">
        <v>35</v>
      </c>
      <c r="D214">
        <v>13</v>
      </c>
      <c r="E214">
        <v>22</v>
      </c>
      <c r="F214">
        <v>36</v>
      </c>
      <c r="G214">
        <v>13</v>
      </c>
      <c r="H214">
        <v>23</v>
      </c>
      <c r="I214">
        <v>0.14610000000000001</v>
      </c>
      <c r="J214">
        <f t="shared" si="3"/>
        <v>0.88980150581793283</v>
      </c>
      <c r="K214">
        <v>1.2999999999999999E-3</v>
      </c>
      <c r="L214" t="s">
        <v>17</v>
      </c>
      <c r="M214">
        <v>296</v>
      </c>
      <c r="N214" t="s">
        <v>553</v>
      </c>
    </row>
    <row r="215" spans="1:14" x14ac:dyDescent="0.2">
      <c r="A215" t="s">
        <v>1099</v>
      </c>
      <c r="B215" t="s">
        <v>32</v>
      </c>
      <c r="C215">
        <v>37</v>
      </c>
      <c r="D215">
        <v>8</v>
      </c>
      <c r="E215">
        <v>29</v>
      </c>
      <c r="F215">
        <v>38</v>
      </c>
      <c r="G215">
        <v>8</v>
      </c>
      <c r="H215">
        <v>30</v>
      </c>
      <c r="I215">
        <v>0.16539999999999999</v>
      </c>
      <c r="J215">
        <f t="shared" si="3"/>
        <v>0.42321644498186217</v>
      </c>
      <c r="K215">
        <v>6.9999999999999999E-4</v>
      </c>
      <c r="L215" t="s">
        <v>17</v>
      </c>
      <c r="M215">
        <v>296</v>
      </c>
      <c r="N215" t="s">
        <v>553</v>
      </c>
    </row>
    <row r="216" spans="1:14" x14ac:dyDescent="0.2">
      <c r="A216" t="s">
        <v>1099</v>
      </c>
      <c r="B216" t="s">
        <v>32</v>
      </c>
      <c r="C216">
        <v>37</v>
      </c>
      <c r="D216">
        <v>4</v>
      </c>
      <c r="E216">
        <v>33</v>
      </c>
      <c r="F216">
        <v>38</v>
      </c>
      <c r="G216">
        <v>4</v>
      </c>
      <c r="H216">
        <v>34</v>
      </c>
      <c r="I216">
        <v>0.1633</v>
      </c>
      <c r="J216">
        <f t="shared" si="3"/>
        <v>0.30618493570116351</v>
      </c>
      <c r="K216">
        <v>5.0000000000000001E-4</v>
      </c>
      <c r="L216" t="s">
        <v>17</v>
      </c>
      <c r="M216">
        <v>296</v>
      </c>
      <c r="N216" t="s">
        <v>553</v>
      </c>
    </row>
    <row r="217" spans="1:14" x14ac:dyDescent="0.2">
      <c r="A217" t="s">
        <v>1099</v>
      </c>
      <c r="B217" t="s">
        <v>32</v>
      </c>
      <c r="C217">
        <v>38</v>
      </c>
      <c r="D217">
        <v>4</v>
      </c>
      <c r="E217">
        <v>35</v>
      </c>
      <c r="F217">
        <v>39</v>
      </c>
      <c r="G217">
        <v>4</v>
      </c>
      <c r="H217">
        <v>36</v>
      </c>
      <c r="I217">
        <v>0.17519999999999999</v>
      </c>
      <c r="J217">
        <f t="shared" si="3"/>
        <v>0.3995433789954338</v>
      </c>
      <c r="K217">
        <v>6.9999999999999999E-4</v>
      </c>
      <c r="L217" t="s">
        <v>17</v>
      </c>
      <c r="M217">
        <v>296</v>
      </c>
      <c r="N217" t="s">
        <v>553</v>
      </c>
    </row>
    <row r="218" spans="1:14" x14ac:dyDescent="0.2">
      <c r="A218" t="s">
        <v>1099</v>
      </c>
      <c r="B218" t="s">
        <v>32</v>
      </c>
      <c r="C218">
        <v>37</v>
      </c>
      <c r="D218">
        <v>5</v>
      </c>
      <c r="E218">
        <v>32</v>
      </c>
      <c r="F218">
        <v>38</v>
      </c>
      <c r="G218">
        <v>5</v>
      </c>
      <c r="H218">
        <v>33</v>
      </c>
      <c r="I218">
        <v>0.16070000000000001</v>
      </c>
      <c r="J218">
        <f t="shared" si="3"/>
        <v>0.37336652146857496</v>
      </c>
      <c r="K218">
        <v>5.9999999999999995E-4</v>
      </c>
      <c r="L218" t="s">
        <v>17</v>
      </c>
      <c r="M218">
        <v>296</v>
      </c>
      <c r="N218" t="s">
        <v>553</v>
      </c>
    </row>
    <row r="219" spans="1:14" x14ac:dyDescent="0.2">
      <c r="A219" t="s">
        <v>1099</v>
      </c>
      <c r="B219" t="s">
        <v>32</v>
      </c>
      <c r="C219">
        <v>36</v>
      </c>
      <c r="D219">
        <v>9</v>
      </c>
      <c r="E219">
        <v>28</v>
      </c>
      <c r="F219">
        <v>37</v>
      </c>
      <c r="G219">
        <v>9</v>
      </c>
      <c r="H219">
        <v>29</v>
      </c>
      <c r="I219">
        <v>0.1515</v>
      </c>
      <c r="J219">
        <f t="shared" si="3"/>
        <v>0.46204620462046203</v>
      </c>
      <c r="K219">
        <v>6.9999999999999999E-4</v>
      </c>
      <c r="L219" t="s">
        <v>17</v>
      </c>
      <c r="M219">
        <v>296</v>
      </c>
      <c r="N219" t="s">
        <v>553</v>
      </c>
    </row>
    <row r="220" spans="1:14" x14ac:dyDescent="0.2">
      <c r="A220" t="s">
        <v>1099</v>
      </c>
      <c r="B220" t="s">
        <v>32</v>
      </c>
      <c r="C220">
        <v>37</v>
      </c>
      <c r="D220">
        <v>3</v>
      </c>
      <c r="E220">
        <v>34</v>
      </c>
      <c r="F220">
        <v>38</v>
      </c>
      <c r="G220">
        <v>3</v>
      </c>
      <c r="H220">
        <v>35</v>
      </c>
      <c r="I220">
        <v>0.1552</v>
      </c>
      <c r="J220">
        <f t="shared" si="3"/>
        <v>0.25773195876288657</v>
      </c>
      <c r="K220">
        <v>4.0000000000000002E-4</v>
      </c>
      <c r="L220" t="s">
        <v>17</v>
      </c>
      <c r="M220">
        <v>296</v>
      </c>
      <c r="N220" t="s">
        <v>553</v>
      </c>
    </row>
    <row r="221" spans="1:14" x14ac:dyDescent="0.2">
      <c r="A221" t="s">
        <v>1099</v>
      </c>
      <c r="B221" t="s">
        <v>32</v>
      </c>
      <c r="C221">
        <v>40</v>
      </c>
      <c r="D221">
        <v>1</v>
      </c>
      <c r="E221">
        <v>40</v>
      </c>
      <c r="F221">
        <v>41</v>
      </c>
      <c r="G221">
        <v>1</v>
      </c>
      <c r="H221">
        <v>41</v>
      </c>
      <c r="I221">
        <v>0.14360000000000001</v>
      </c>
      <c r="J221">
        <f t="shared" si="3"/>
        <v>0.20891364902506959</v>
      </c>
      <c r="K221">
        <v>2.9999999999999997E-4</v>
      </c>
      <c r="L221" t="s">
        <v>17</v>
      </c>
      <c r="M221">
        <v>296</v>
      </c>
      <c r="N221" t="s">
        <v>553</v>
      </c>
    </row>
    <row r="222" spans="1:14" x14ac:dyDescent="0.2">
      <c r="A222" t="s">
        <v>1099</v>
      </c>
      <c r="B222" t="s">
        <v>32</v>
      </c>
      <c r="C222">
        <v>39</v>
      </c>
      <c r="D222">
        <v>1</v>
      </c>
      <c r="E222">
        <v>38</v>
      </c>
      <c r="F222">
        <v>40</v>
      </c>
      <c r="G222">
        <v>1</v>
      </c>
      <c r="H222">
        <v>39</v>
      </c>
      <c r="I222">
        <v>0.14929999999999999</v>
      </c>
      <c r="J222">
        <f t="shared" si="3"/>
        <v>0.26791694574681851</v>
      </c>
      <c r="K222">
        <v>4.0000000000000002E-4</v>
      </c>
      <c r="L222" t="s">
        <v>17</v>
      </c>
      <c r="M222">
        <v>296</v>
      </c>
      <c r="N222" t="s">
        <v>553</v>
      </c>
    </row>
    <row r="223" spans="1:14" x14ac:dyDescent="0.2">
      <c r="A223" t="s">
        <v>1099</v>
      </c>
      <c r="B223" t="s">
        <v>32</v>
      </c>
      <c r="C223">
        <v>38</v>
      </c>
      <c r="D223">
        <v>3</v>
      </c>
      <c r="E223">
        <v>36</v>
      </c>
      <c r="F223">
        <v>39</v>
      </c>
      <c r="G223">
        <v>3</v>
      </c>
      <c r="H223">
        <v>37</v>
      </c>
      <c r="I223">
        <v>0.15970000000000001</v>
      </c>
      <c r="J223">
        <f t="shared" si="3"/>
        <v>0.25046963055729493</v>
      </c>
      <c r="K223">
        <v>4.0000000000000002E-4</v>
      </c>
      <c r="L223" t="s">
        <v>17</v>
      </c>
      <c r="M223">
        <v>296</v>
      </c>
      <c r="N223" t="s">
        <v>553</v>
      </c>
    </row>
    <row r="224" spans="1:14" x14ac:dyDescent="0.2">
      <c r="A224" t="s">
        <v>1099</v>
      </c>
      <c r="B224" t="s">
        <v>32</v>
      </c>
      <c r="C224">
        <v>35</v>
      </c>
      <c r="D224">
        <v>11</v>
      </c>
      <c r="E224">
        <v>24</v>
      </c>
      <c r="F224">
        <v>36</v>
      </c>
      <c r="G224">
        <v>11</v>
      </c>
      <c r="H224">
        <v>25</v>
      </c>
      <c r="I224">
        <v>0.14460000000000001</v>
      </c>
      <c r="J224">
        <f t="shared" si="3"/>
        <v>0.34578146611341631</v>
      </c>
      <c r="K224">
        <v>5.0000000000000001E-4</v>
      </c>
      <c r="L224" t="s">
        <v>17</v>
      </c>
      <c r="M224">
        <v>296</v>
      </c>
      <c r="N224" t="s">
        <v>553</v>
      </c>
    </row>
    <row r="225" spans="1:14" x14ac:dyDescent="0.2">
      <c r="A225" t="s">
        <v>1099</v>
      </c>
      <c r="B225" t="s">
        <v>32</v>
      </c>
      <c r="C225">
        <v>34</v>
      </c>
      <c r="D225">
        <v>13</v>
      </c>
      <c r="E225">
        <v>22</v>
      </c>
      <c r="F225">
        <v>35</v>
      </c>
      <c r="G225">
        <v>13</v>
      </c>
      <c r="H225">
        <v>23</v>
      </c>
      <c r="I225">
        <v>0.13370000000000001</v>
      </c>
      <c r="J225">
        <f t="shared" si="3"/>
        <v>0.44876589379207171</v>
      </c>
      <c r="K225">
        <v>5.9999999999999995E-4</v>
      </c>
      <c r="L225" t="s">
        <v>17</v>
      </c>
      <c r="M225">
        <v>296</v>
      </c>
      <c r="N225" t="s">
        <v>553</v>
      </c>
    </row>
    <row r="226" spans="1:14" x14ac:dyDescent="0.2">
      <c r="A226" t="s">
        <v>1099</v>
      </c>
      <c r="B226" t="s">
        <v>32</v>
      </c>
      <c r="C226">
        <v>36</v>
      </c>
      <c r="D226">
        <v>8</v>
      </c>
      <c r="E226">
        <v>29</v>
      </c>
      <c r="F226">
        <v>37</v>
      </c>
      <c r="G226">
        <v>8</v>
      </c>
      <c r="H226">
        <v>30</v>
      </c>
      <c r="I226">
        <v>0.16020000000000001</v>
      </c>
      <c r="J226">
        <f t="shared" si="3"/>
        <v>0.37453183520599248</v>
      </c>
      <c r="K226">
        <v>5.9999999999999995E-4</v>
      </c>
      <c r="L226" t="s">
        <v>17</v>
      </c>
      <c r="M226">
        <v>296</v>
      </c>
      <c r="N226" t="s">
        <v>553</v>
      </c>
    </row>
    <row r="227" spans="1:14" x14ac:dyDescent="0.2">
      <c r="A227" t="s">
        <v>1099</v>
      </c>
      <c r="B227" t="s">
        <v>32</v>
      </c>
      <c r="C227">
        <v>36</v>
      </c>
      <c r="D227">
        <v>7</v>
      </c>
      <c r="E227">
        <v>30</v>
      </c>
      <c r="F227">
        <v>37</v>
      </c>
      <c r="G227">
        <v>7</v>
      </c>
      <c r="H227">
        <v>31</v>
      </c>
      <c r="I227">
        <v>0.17119999999999999</v>
      </c>
      <c r="J227">
        <f t="shared" si="3"/>
        <v>0.23364485981308414</v>
      </c>
      <c r="K227">
        <v>4.0000000000000002E-4</v>
      </c>
      <c r="L227" t="s">
        <v>17</v>
      </c>
      <c r="M227">
        <v>296</v>
      </c>
      <c r="N227" t="s">
        <v>553</v>
      </c>
    </row>
    <row r="228" spans="1:14" x14ac:dyDescent="0.2">
      <c r="A228" t="s">
        <v>1099</v>
      </c>
      <c r="B228" t="s">
        <v>32</v>
      </c>
      <c r="C228">
        <v>35</v>
      </c>
      <c r="D228">
        <v>10</v>
      </c>
      <c r="E228">
        <v>25</v>
      </c>
      <c r="F228">
        <v>36</v>
      </c>
      <c r="G228">
        <v>10</v>
      </c>
      <c r="H228">
        <v>26</v>
      </c>
      <c r="I228">
        <v>0.15490000000000001</v>
      </c>
      <c r="J228">
        <f t="shared" si="3"/>
        <v>0.32278889606197547</v>
      </c>
      <c r="K228">
        <v>5.0000000000000001E-4</v>
      </c>
      <c r="L228" t="s">
        <v>17</v>
      </c>
      <c r="M228">
        <v>296</v>
      </c>
      <c r="N228" t="s">
        <v>553</v>
      </c>
    </row>
    <row r="229" spans="1:14" x14ac:dyDescent="0.2">
      <c r="A229" t="s">
        <v>1099</v>
      </c>
      <c r="B229" t="s">
        <v>32</v>
      </c>
      <c r="C229">
        <v>31</v>
      </c>
      <c r="D229">
        <v>17</v>
      </c>
      <c r="E229">
        <v>14</v>
      </c>
      <c r="F229">
        <v>32</v>
      </c>
      <c r="G229">
        <v>17</v>
      </c>
      <c r="H229">
        <v>15</v>
      </c>
      <c r="I229">
        <v>0.13389999999999999</v>
      </c>
      <c r="J229">
        <f t="shared" si="3"/>
        <v>0.52277819268110537</v>
      </c>
      <c r="K229">
        <v>6.9999999999999999E-4</v>
      </c>
      <c r="L229" t="s">
        <v>17</v>
      </c>
      <c r="M229">
        <v>296</v>
      </c>
      <c r="N229" t="s">
        <v>553</v>
      </c>
    </row>
    <row r="230" spans="1:14" x14ac:dyDescent="0.2">
      <c r="A230" t="s">
        <v>1099</v>
      </c>
      <c r="B230" t="s">
        <v>32</v>
      </c>
      <c r="C230">
        <v>34</v>
      </c>
      <c r="D230">
        <v>12</v>
      </c>
      <c r="E230">
        <v>23</v>
      </c>
      <c r="F230">
        <v>35</v>
      </c>
      <c r="G230">
        <v>12</v>
      </c>
      <c r="H230">
        <v>24</v>
      </c>
      <c r="I230">
        <v>0.14599999999999999</v>
      </c>
      <c r="J230">
        <f t="shared" si="3"/>
        <v>0.34246575342465757</v>
      </c>
      <c r="K230">
        <v>5.0000000000000001E-4</v>
      </c>
      <c r="L230" t="s">
        <v>17</v>
      </c>
      <c r="M230">
        <v>296</v>
      </c>
      <c r="N230" t="s">
        <v>553</v>
      </c>
    </row>
    <row r="231" spans="1:14" x14ac:dyDescent="0.2">
      <c r="A231" t="s">
        <v>1099</v>
      </c>
      <c r="B231" t="s">
        <v>32</v>
      </c>
      <c r="C231">
        <v>36</v>
      </c>
      <c r="D231">
        <v>6</v>
      </c>
      <c r="E231">
        <v>31</v>
      </c>
      <c r="F231">
        <v>37</v>
      </c>
      <c r="G231">
        <v>6</v>
      </c>
      <c r="H231">
        <v>32</v>
      </c>
      <c r="I231">
        <v>0.16919999999999999</v>
      </c>
      <c r="J231">
        <f t="shared" si="3"/>
        <v>0.23640661938534283</v>
      </c>
      <c r="K231">
        <v>4.0000000000000002E-4</v>
      </c>
      <c r="L231" t="s">
        <v>17</v>
      </c>
      <c r="M231">
        <v>296</v>
      </c>
      <c r="N231" t="s">
        <v>553</v>
      </c>
    </row>
    <row r="232" spans="1:14" x14ac:dyDescent="0.2">
      <c r="A232" t="s">
        <v>1099</v>
      </c>
      <c r="B232" t="s">
        <v>32</v>
      </c>
      <c r="C232">
        <v>36</v>
      </c>
      <c r="D232">
        <v>5</v>
      </c>
      <c r="E232">
        <v>32</v>
      </c>
      <c r="F232">
        <v>37</v>
      </c>
      <c r="G232">
        <v>5</v>
      </c>
      <c r="H232">
        <v>33</v>
      </c>
      <c r="I232">
        <v>0.16850000000000001</v>
      </c>
      <c r="J232">
        <f t="shared" si="3"/>
        <v>0.23738872403560829</v>
      </c>
      <c r="K232">
        <v>4.0000000000000002E-4</v>
      </c>
      <c r="L232" t="s">
        <v>17</v>
      </c>
      <c r="M232">
        <v>296</v>
      </c>
      <c r="N232" t="s">
        <v>553</v>
      </c>
    </row>
    <row r="233" spans="1:14" x14ac:dyDescent="0.2">
      <c r="A233" t="s">
        <v>1099</v>
      </c>
      <c r="B233" t="s">
        <v>32</v>
      </c>
      <c r="C233">
        <v>35</v>
      </c>
      <c r="D233">
        <v>9</v>
      </c>
      <c r="E233">
        <v>26</v>
      </c>
      <c r="F233">
        <v>36</v>
      </c>
      <c r="G233">
        <v>9</v>
      </c>
      <c r="H233">
        <v>27</v>
      </c>
      <c r="I233">
        <v>0.1608</v>
      </c>
      <c r="J233">
        <f t="shared" si="3"/>
        <v>0.24875621890547264</v>
      </c>
      <c r="K233">
        <v>4.0000000000000002E-4</v>
      </c>
      <c r="L233" t="s">
        <v>17</v>
      </c>
      <c r="M233">
        <v>296</v>
      </c>
      <c r="N233" t="s">
        <v>553</v>
      </c>
    </row>
    <row r="234" spans="1:14" x14ac:dyDescent="0.2">
      <c r="A234" t="s">
        <v>1099</v>
      </c>
      <c r="B234" t="s">
        <v>32</v>
      </c>
      <c r="C234">
        <v>39</v>
      </c>
      <c r="D234">
        <v>0</v>
      </c>
      <c r="E234">
        <v>39</v>
      </c>
      <c r="F234">
        <v>40</v>
      </c>
      <c r="G234">
        <v>0</v>
      </c>
      <c r="H234">
        <v>40</v>
      </c>
      <c r="I234">
        <v>0.14779999999999999</v>
      </c>
      <c r="J234">
        <f t="shared" si="3"/>
        <v>0.13531799729364005</v>
      </c>
      <c r="K234">
        <v>2.0000000000000001E-4</v>
      </c>
      <c r="L234" t="s">
        <v>17</v>
      </c>
      <c r="M234">
        <v>296</v>
      </c>
      <c r="N234" t="s">
        <v>553</v>
      </c>
    </row>
    <row r="235" spans="1:14" x14ac:dyDescent="0.2">
      <c r="A235" t="s">
        <v>1099</v>
      </c>
      <c r="B235" t="s">
        <v>32</v>
      </c>
      <c r="C235">
        <v>32</v>
      </c>
      <c r="D235">
        <v>15</v>
      </c>
      <c r="E235">
        <v>18</v>
      </c>
      <c r="F235">
        <v>33</v>
      </c>
      <c r="G235">
        <v>15</v>
      </c>
      <c r="H235">
        <v>19</v>
      </c>
      <c r="I235">
        <v>0.15179999999999999</v>
      </c>
      <c r="J235">
        <f t="shared" si="3"/>
        <v>0.32938076416337292</v>
      </c>
      <c r="K235">
        <v>5.0000000000000001E-4</v>
      </c>
      <c r="L235" t="s">
        <v>17</v>
      </c>
      <c r="M235">
        <v>296</v>
      </c>
      <c r="N235" t="s">
        <v>553</v>
      </c>
    </row>
    <row r="236" spans="1:14" x14ac:dyDescent="0.2">
      <c r="A236" t="s">
        <v>1099</v>
      </c>
      <c r="B236" t="s">
        <v>32</v>
      </c>
      <c r="C236">
        <v>34</v>
      </c>
      <c r="D236">
        <v>11</v>
      </c>
      <c r="E236">
        <v>24</v>
      </c>
      <c r="F236">
        <v>35</v>
      </c>
      <c r="G236">
        <v>11</v>
      </c>
      <c r="H236">
        <v>25</v>
      </c>
      <c r="I236">
        <v>0.16009999999999999</v>
      </c>
      <c r="J236">
        <f t="shared" si="3"/>
        <v>0.43722673329169265</v>
      </c>
      <c r="K236">
        <v>6.9999999999999999E-4</v>
      </c>
      <c r="L236" t="s">
        <v>17</v>
      </c>
      <c r="M236">
        <v>296</v>
      </c>
      <c r="N236" t="s">
        <v>553</v>
      </c>
    </row>
    <row r="237" spans="1:14" x14ac:dyDescent="0.2">
      <c r="A237" t="s">
        <v>1099</v>
      </c>
      <c r="B237" t="s">
        <v>32</v>
      </c>
      <c r="C237">
        <v>33</v>
      </c>
      <c r="D237">
        <v>13</v>
      </c>
      <c r="E237">
        <v>20</v>
      </c>
      <c r="F237">
        <v>34</v>
      </c>
      <c r="G237">
        <v>13</v>
      </c>
      <c r="H237">
        <v>21</v>
      </c>
      <c r="I237">
        <v>0.14760000000000001</v>
      </c>
      <c r="J237">
        <f t="shared" si="3"/>
        <v>0.40650406504065034</v>
      </c>
      <c r="K237">
        <v>5.9999999999999995E-4</v>
      </c>
      <c r="L237" t="s">
        <v>17</v>
      </c>
      <c r="M237">
        <v>296</v>
      </c>
      <c r="N237" t="s">
        <v>553</v>
      </c>
    </row>
    <row r="238" spans="1:14" x14ac:dyDescent="0.2">
      <c r="A238" t="s">
        <v>1099</v>
      </c>
      <c r="B238" t="s">
        <v>32</v>
      </c>
      <c r="C238">
        <v>35</v>
      </c>
      <c r="D238">
        <v>8</v>
      </c>
      <c r="E238">
        <v>27</v>
      </c>
      <c r="F238">
        <v>36</v>
      </c>
      <c r="G238">
        <v>8</v>
      </c>
      <c r="H238">
        <v>28</v>
      </c>
      <c r="I238">
        <v>0.1711</v>
      </c>
      <c r="J238">
        <f t="shared" si="3"/>
        <v>0.23378141437755701</v>
      </c>
      <c r="K238">
        <v>4.0000000000000002E-4</v>
      </c>
      <c r="L238" t="s">
        <v>17</v>
      </c>
      <c r="M238">
        <v>296</v>
      </c>
      <c r="N238" t="s">
        <v>553</v>
      </c>
    </row>
    <row r="239" spans="1:14" x14ac:dyDescent="0.2">
      <c r="A239" t="s">
        <v>1099</v>
      </c>
      <c r="B239" t="s">
        <v>32</v>
      </c>
      <c r="C239">
        <v>31</v>
      </c>
      <c r="D239">
        <v>16</v>
      </c>
      <c r="E239">
        <v>15</v>
      </c>
      <c r="F239">
        <v>32</v>
      </c>
      <c r="G239">
        <v>16</v>
      </c>
      <c r="H239">
        <v>16</v>
      </c>
      <c r="I239">
        <v>0.14249999999999999</v>
      </c>
      <c r="J239">
        <f t="shared" si="3"/>
        <v>0.42105263157894735</v>
      </c>
      <c r="K239">
        <v>5.9999999999999995E-4</v>
      </c>
      <c r="L239" t="s">
        <v>17</v>
      </c>
      <c r="M239">
        <v>296</v>
      </c>
      <c r="N239" t="s">
        <v>553</v>
      </c>
    </row>
    <row r="240" spans="1:14" x14ac:dyDescent="0.2">
      <c r="A240" t="s">
        <v>1099</v>
      </c>
      <c r="B240" t="s">
        <v>32</v>
      </c>
      <c r="C240">
        <v>35</v>
      </c>
      <c r="D240">
        <v>4</v>
      </c>
      <c r="E240">
        <v>31</v>
      </c>
      <c r="F240">
        <v>36</v>
      </c>
      <c r="G240">
        <v>4</v>
      </c>
      <c r="H240">
        <v>32</v>
      </c>
      <c r="I240">
        <v>0.17180000000000001</v>
      </c>
      <c r="J240">
        <f t="shared" si="3"/>
        <v>0.23282887077997672</v>
      </c>
      <c r="K240">
        <v>4.0000000000000002E-4</v>
      </c>
      <c r="L240" t="s">
        <v>17</v>
      </c>
      <c r="M240">
        <v>296</v>
      </c>
      <c r="N240" t="s">
        <v>553</v>
      </c>
    </row>
    <row r="241" spans="1:14" x14ac:dyDescent="0.2">
      <c r="A241" t="s">
        <v>1099</v>
      </c>
      <c r="B241" t="s">
        <v>32</v>
      </c>
      <c r="C241">
        <v>35</v>
      </c>
      <c r="D241">
        <v>7</v>
      </c>
      <c r="E241">
        <v>28</v>
      </c>
      <c r="F241">
        <v>36</v>
      </c>
      <c r="G241">
        <v>7</v>
      </c>
      <c r="H241">
        <v>29</v>
      </c>
      <c r="I241">
        <v>0.16550000000000001</v>
      </c>
      <c r="J241">
        <f t="shared" si="3"/>
        <v>0.4833836858006042</v>
      </c>
      <c r="K241">
        <v>8.0000000000000004E-4</v>
      </c>
      <c r="L241" t="s">
        <v>17</v>
      </c>
      <c r="M241">
        <v>296</v>
      </c>
      <c r="N241" t="s">
        <v>553</v>
      </c>
    </row>
    <row r="242" spans="1:14" x14ac:dyDescent="0.2">
      <c r="A242" t="s">
        <v>1099</v>
      </c>
      <c r="B242" t="s">
        <v>32</v>
      </c>
      <c r="C242">
        <v>34</v>
      </c>
      <c r="D242">
        <v>10</v>
      </c>
      <c r="E242">
        <v>25</v>
      </c>
      <c r="F242">
        <v>35</v>
      </c>
      <c r="G242">
        <v>10</v>
      </c>
      <c r="H242">
        <v>26</v>
      </c>
      <c r="I242">
        <v>0.158</v>
      </c>
      <c r="J242">
        <f t="shared" si="3"/>
        <v>0.75949367088607578</v>
      </c>
      <c r="K242">
        <v>1.1999999999999999E-3</v>
      </c>
      <c r="L242" t="s">
        <v>17</v>
      </c>
      <c r="M242">
        <v>296</v>
      </c>
      <c r="N242" t="s">
        <v>553</v>
      </c>
    </row>
    <row r="243" spans="1:14" x14ac:dyDescent="0.2">
      <c r="A243" t="s">
        <v>1099</v>
      </c>
      <c r="B243" t="s">
        <v>32</v>
      </c>
      <c r="C243">
        <v>35</v>
      </c>
      <c r="D243">
        <v>5</v>
      </c>
      <c r="E243">
        <v>30</v>
      </c>
      <c r="F243">
        <v>36</v>
      </c>
      <c r="G243">
        <v>5</v>
      </c>
      <c r="H243">
        <v>31</v>
      </c>
      <c r="I243">
        <v>0.16639999999999999</v>
      </c>
      <c r="J243">
        <f t="shared" si="3"/>
        <v>0.78125</v>
      </c>
      <c r="K243">
        <v>1.2999999999999999E-3</v>
      </c>
      <c r="L243" t="s">
        <v>17</v>
      </c>
      <c r="M243">
        <v>296</v>
      </c>
      <c r="N243" t="s">
        <v>553</v>
      </c>
    </row>
    <row r="244" spans="1:14" x14ac:dyDescent="0.2">
      <c r="A244" t="s">
        <v>1099</v>
      </c>
      <c r="B244" t="s">
        <v>32</v>
      </c>
      <c r="C244">
        <v>32</v>
      </c>
      <c r="D244">
        <v>14</v>
      </c>
      <c r="E244">
        <v>19</v>
      </c>
      <c r="F244">
        <v>33</v>
      </c>
      <c r="G244">
        <v>14</v>
      </c>
      <c r="H244">
        <v>20</v>
      </c>
      <c r="I244">
        <v>0.13850000000000001</v>
      </c>
      <c r="J244">
        <f t="shared" si="3"/>
        <v>1.2274368231046928</v>
      </c>
      <c r="K244">
        <v>1.6999999999999999E-3</v>
      </c>
      <c r="L244" t="s">
        <v>17</v>
      </c>
      <c r="M244">
        <v>296</v>
      </c>
      <c r="N244" t="s">
        <v>553</v>
      </c>
    </row>
    <row r="245" spans="1:14" x14ac:dyDescent="0.2">
      <c r="A245" t="s">
        <v>1099</v>
      </c>
      <c r="B245" t="s">
        <v>32</v>
      </c>
      <c r="C245">
        <v>35</v>
      </c>
      <c r="D245">
        <v>3</v>
      </c>
      <c r="E245">
        <v>32</v>
      </c>
      <c r="F245">
        <v>36</v>
      </c>
      <c r="G245">
        <v>3</v>
      </c>
      <c r="H245">
        <v>33</v>
      </c>
      <c r="I245">
        <v>0.1641</v>
      </c>
      <c r="J245">
        <f t="shared" si="3"/>
        <v>0.24375380865326021</v>
      </c>
      <c r="K245">
        <v>4.0000000000000002E-4</v>
      </c>
      <c r="L245" t="s">
        <v>17</v>
      </c>
      <c r="M245">
        <v>296</v>
      </c>
      <c r="N245" t="s">
        <v>553</v>
      </c>
    </row>
    <row r="246" spans="1:14" x14ac:dyDescent="0.2">
      <c r="A246" t="s">
        <v>1099</v>
      </c>
      <c r="B246" t="s">
        <v>32</v>
      </c>
      <c r="C246">
        <v>38</v>
      </c>
      <c r="D246">
        <v>1</v>
      </c>
      <c r="E246">
        <v>38</v>
      </c>
      <c r="F246">
        <v>39</v>
      </c>
      <c r="G246">
        <v>1</v>
      </c>
      <c r="H246">
        <v>39</v>
      </c>
      <c r="I246">
        <v>0.14510000000000001</v>
      </c>
      <c r="J246">
        <f t="shared" si="3"/>
        <v>0.13783597518952445</v>
      </c>
      <c r="K246">
        <v>2.0000000000000001E-4</v>
      </c>
      <c r="L246" t="s">
        <v>17</v>
      </c>
      <c r="M246">
        <v>296</v>
      </c>
      <c r="N246" t="s">
        <v>553</v>
      </c>
    </row>
    <row r="247" spans="1:14" x14ac:dyDescent="0.2">
      <c r="A247" t="s">
        <v>1099</v>
      </c>
      <c r="B247" t="s">
        <v>32</v>
      </c>
      <c r="C247">
        <v>33</v>
      </c>
      <c r="D247">
        <v>11</v>
      </c>
      <c r="E247">
        <v>22</v>
      </c>
      <c r="F247">
        <v>34</v>
      </c>
      <c r="G247">
        <v>11</v>
      </c>
      <c r="H247">
        <v>23</v>
      </c>
      <c r="I247">
        <v>0.1497</v>
      </c>
      <c r="J247">
        <f t="shared" si="3"/>
        <v>0.33400133600534404</v>
      </c>
      <c r="K247">
        <v>5.0000000000000001E-4</v>
      </c>
      <c r="L247" t="s">
        <v>17</v>
      </c>
      <c r="M247">
        <v>296</v>
      </c>
      <c r="N247" t="s">
        <v>553</v>
      </c>
    </row>
    <row r="248" spans="1:14" x14ac:dyDescent="0.2">
      <c r="A248" t="s">
        <v>1099</v>
      </c>
      <c r="B248" t="s">
        <v>32</v>
      </c>
      <c r="C248">
        <v>32</v>
      </c>
      <c r="D248">
        <v>13</v>
      </c>
      <c r="E248">
        <v>20</v>
      </c>
      <c r="F248">
        <v>33</v>
      </c>
      <c r="G248">
        <v>13</v>
      </c>
      <c r="H248">
        <v>21</v>
      </c>
      <c r="I248">
        <v>0.15160000000000001</v>
      </c>
      <c r="J248">
        <f t="shared" si="3"/>
        <v>0.46174142480211072</v>
      </c>
      <c r="K248">
        <v>6.9999999999999999E-4</v>
      </c>
      <c r="L248" t="s">
        <v>17</v>
      </c>
      <c r="M248">
        <v>296</v>
      </c>
      <c r="N248" t="s">
        <v>553</v>
      </c>
    </row>
    <row r="249" spans="1:14" x14ac:dyDescent="0.2">
      <c r="A249" t="s">
        <v>1099</v>
      </c>
      <c r="B249" t="s">
        <v>32</v>
      </c>
      <c r="C249">
        <v>34</v>
      </c>
      <c r="D249">
        <v>8</v>
      </c>
      <c r="E249">
        <v>27</v>
      </c>
      <c r="F249">
        <v>35</v>
      </c>
      <c r="G249">
        <v>8</v>
      </c>
      <c r="H249">
        <v>28</v>
      </c>
      <c r="I249">
        <v>0.16619999999999999</v>
      </c>
      <c r="J249">
        <f t="shared" si="3"/>
        <v>0.30084235860409148</v>
      </c>
      <c r="K249">
        <v>5.0000000000000001E-4</v>
      </c>
      <c r="L249" t="s">
        <v>17</v>
      </c>
      <c r="M249">
        <v>296</v>
      </c>
      <c r="N249" t="s">
        <v>553</v>
      </c>
    </row>
    <row r="250" spans="1:14" x14ac:dyDescent="0.2">
      <c r="A250" t="s">
        <v>1099</v>
      </c>
      <c r="B250" t="s">
        <v>32</v>
      </c>
      <c r="C250">
        <v>30</v>
      </c>
      <c r="D250">
        <v>16</v>
      </c>
      <c r="E250">
        <v>15</v>
      </c>
      <c r="F250">
        <v>31</v>
      </c>
      <c r="G250">
        <v>16</v>
      </c>
      <c r="H250">
        <v>16</v>
      </c>
      <c r="I250">
        <v>0.14510000000000001</v>
      </c>
      <c r="J250">
        <f t="shared" si="3"/>
        <v>0.5513439007580978</v>
      </c>
      <c r="K250">
        <v>8.0000000000000004E-4</v>
      </c>
      <c r="L250" t="s">
        <v>17</v>
      </c>
      <c r="M250">
        <v>296</v>
      </c>
      <c r="N250" t="s">
        <v>553</v>
      </c>
    </row>
    <row r="251" spans="1:14" x14ac:dyDescent="0.2">
      <c r="A251" t="s">
        <v>1099</v>
      </c>
      <c r="B251" t="s">
        <v>32</v>
      </c>
      <c r="C251">
        <v>34</v>
      </c>
      <c r="D251">
        <v>7</v>
      </c>
      <c r="E251">
        <v>28</v>
      </c>
      <c r="F251">
        <v>35</v>
      </c>
      <c r="G251">
        <v>7</v>
      </c>
      <c r="H251">
        <v>29</v>
      </c>
      <c r="I251">
        <v>0.1686</v>
      </c>
      <c r="J251">
        <f t="shared" si="3"/>
        <v>0.11862396204033215</v>
      </c>
      <c r="K251">
        <v>2.0000000000000001E-4</v>
      </c>
      <c r="L251" t="s">
        <v>17</v>
      </c>
      <c r="M251">
        <v>296</v>
      </c>
      <c r="N251" t="s">
        <v>553</v>
      </c>
    </row>
    <row r="252" spans="1:14" x14ac:dyDescent="0.2">
      <c r="A252" t="s">
        <v>1099</v>
      </c>
      <c r="B252" t="s">
        <v>32</v>
      </c>
      <c r="C252">
        <v>33</v>
      </c>
      <c r="D252">
        <v>10</v>
      </c>
      <c r="E252">
        <v>23</v>
      </c>
      <c r="F252">
        <v>34</v>
      </c>
      <c r="G252">
        <v>10</v>
      </c>
      <c r="H252">
        <v>24</v>
      </c>
      <c r="I252">
        <v>0.15640000000000001</v>
      </c>
      <c r="J252">
        <f t="shared" si="3"/>
        <v>0.19181585677749358</v>
      </c>
      <c r="K252">
        <v>2.9999999999999997E-4</v>
      </c>
      <c r="L252" t="s">
        <v>17</v>
      </c>
      <c r="M252">
        <v>296</v>
      </c>
      <c r="N252" t="s">
        <v>553</v>
      </c>
    </row>
    <row r="253" spans="1:14" x14ac:dyDescent="0.2">
      <c r="A253" t="s">
        <v>1099</v>
      </c>
      <c r="B253" t="s">
        <v>32</v>
      </c>
      <c r="C253">
        <v>32</v>
      </c>
      <c r="D253">
        <v>12</v>
      </c>
      <c r="E253">
        <v>21</v>
      </c>
      <c r="F253">
        <v>33</v>
      </c>
      <c r="G253">
        <v>12</v>
      </c>
      <c r="H253">
        <v>22</v>
      </c>
      <c r="I253">
        <v>0.16209999999999999</v>
      </c>
      <c r="J253">
        <f t="shared" si="3"/>
        <v>0.61690314620604569</v>
      </c>
      <c r="K253">
        <v>1E-3</v>
      </c>
      <c r="L253" t="s">
        <v>17</v>
      </c>
      <c r="M253">
        <v>296</v>
      </c>
      <c r="N253" t="s">
        <v>553</v>
      </c>
    </row>
    <row r="254" spans="1:14" x14ac:dyDescent="0.2">
      <c r="A254" t="s">
        <v>1099</v>
      </c>
      <c r="B254" t="s">
        <v>32</v>
      </c>
      <c r="C254">
        <v>34</v>
      </c>
      <c r="D254">
        <v>6</v>
      </c>
      <c r="E254">
        <v>29</v>
      </c>
      <c r="F254">
        <v>35</v>
      </c>
      <c r="G254">
        <v>6</v>
      </c>
      <c r="H254">
        <v>30</v>
      </c>
      <c r="I254">
        <v>0.16839999999999999</v>
      </c>
      <c r="J254">
        <f t="shared" si="3"/>
        <v>0.23752969121140144</v>
      </c>
      <c r="K254">
        <v>4.0000000000000002E-4</v>
      </c>
      <c r="L254" t="s">
        <v>17</v>
      </c>
      <c r="M254">
        <v>296</v>
      </c>
      <c r="N254" t="s">
        <v>553</v>
      </c>
    </row>
    <row r="255" spans="1:14" x14ac:dyDescent="0.2">
      <c r="A255" t="s">
        <v>1099</v>
      </c>
      <c r="B255" t="s">
        <v>32</v>
      </c>
      <c r="C255">
        <v>28</v>
      </c>
      <c r="D255">
        <v>18</v>
      </c>
      <c r="E255">
        <v>11</v>
      </c>
      <c r="F255">
        <v>29</v>
      </c>
      <c r="G255">
        <v>18</v>
      </c>
      <c r="H255">
        <v>12</v>
      </c>
      <c r="I255">
        <v>0.13700000000000001</v>
      </c>
      <c r="J255">
        <f t="shared" si="3"/>
        <v>0.72992700729927007</v>
      </c>
      <c r="K255">
        <v>1E-3</v>
      </c>
      <c r="L255" t="s">
        <v>17</v>
      </c>
      <c r="M255">
        <v>296</v>
      </c>
      <c r="N255" t="s">
        <v>553</v>
      </c>
    </row>
    <row r="256" spans="1:14" x14ac:dyDescent="0.2">
      <c r="A256" t="s">
        <v>1099</v>
      </c>
      <c r="B256" t="s">
        <v>32</v>
      </c>
      <c r="C256">
        <v>37</v>
      </c>
      <c r="D256">
        <v>0</v>
      </c>
      <c r="E256">
        <v>37</v>
      </c>
      <c r="F256">
        <v>38</v>
      </c>
      <c r="G256">
        <v>0</v>
      </c>
      <c r="H256">
        <v>38</v>
      </c>
      <c r="I256">
        <v>0.1507</v>
      </c>
      <c r="J256">
        <f t="shared" si="3"/>
        <v>0.13271400132714001</v>
      </c>
      <c r="K256">
        <v>2.0000000000000001E-4</v>
      </c>
      <c r="L256" t="s">
        <v>17</v>
      </c>
      <c r="M256">
        <v>296</v>
      </c>
      <c r="N256" t="s">
        <v>553</v>
      </c>
    </row>
    <row r="257" spans="1:14" x14ac:dyDescent="0.2">
      <c r="A257" t="s">
        <v>1099</v>
      </c>
      <c r="B257" t="s">
        <v>32</v>
      </c>
      <c r="C257">
        <v>35</v>
      </c>
      <c r="D257">
        <v>2</v>
      </c>
      <c r="E257">
        <v>33</v>
      </c>
      <c r="F257">
        <v>36</v>
      </c>
      <c r="G257">
        <v>2</v>
      </c>
      <c r="H257">
        <v>34</v>
      </c>
      <c r="I257">
        <v>0.16589999999999999</v>
      </c>
      <c r="J257">
        <f t="shared" si="3"/>
        <v>0.18083182640144665</v>
      </c>
      <c r="K257">
        <v>2.9999999999999997E-4</v>
      </c>
      <c r="L257" t="s">
        <v>17</v>
      </c>
      <c r="M257">
        <v>296</v>
      </c>
      <c r="N257" t="s">
        <v>553</v>
      </c>
    </row>
    <row r="258" spans="1:14" x14ac:dyDescent="0.2">
      <c r="A258" t="s">
        <v>1099</v>
      </c>
      <c r="B258" t="s">
        <v>32</v>
      </c>
      <c r="C258">
        <v>36</v>
      </c>
      <c r="D258">
        <v>2</v>
      </c>
      <c r="E258">
        <v>35</v>
      </c>
      <c r="F258">
        <v>37</v>
      </c>
      <c r="G258">
        <v>2</v>
      </c>
      <c r="H258">
        <v>36</v>
      </c>
      <c r="I258">
        <v>0.15759999999999999</v>
      </c>
      <c r="J258">
        <f t="shared" si="3"/>
        <v>6.3451776649746203E-2</v>
      </c>
      <c r="K258">
        <v>1E-4</v>
      </c>
      <c r="L258" t="s">
        <v>17</v>
      </c>
      <c r="M258">
        <v>296</v>
      </c>
      <c r="N258" t="s">
        <v>553</v>
      </c>
    </row>
    <row r="259" spans="1:14" x14ac:dyDescent="0.2">
      <c r="A259" t="s">
        <v>1099</v>
      </c>
      <c r="B259" t="s">
        <v>32</v>
      </c>
      <c r="C259">
        <v>34</v>
      </c>
      <c r="D259">
        <v>5</v>
      </c>
      <c r="E259">
        <v>30</v>
      </c>
      <c r="F259">
        <v>35</v>
      </c>
      <c r="G259">
        <v>5</v>
      </c>
      <c r="H259">
        <v>31</v>
      </c>
      <c r="I259">
        <v>0.17899999999999999</v>
      </c>
      <c r="J259">
        <f t="shared" ref="J259:J322" si="4">K259/I259*100</f>
        <v>0.27932960893854747</v>
      </c>
      <c r="K259">
        <v>5.0000000000000001E-4</v>
      </c>
      <c r="L259" t="s">
        <v>17</v>
      </c>
      <c r="M259">
        <v>296</v>
      </c>
      <c r="N259" t="s">
        <v>553</v>
      </c>
    </row>
    <row r="260" spans="1:14" x14ac:dyDescent="0.2">
      <c r="A260" t="s">
        <v>1099</v>
      </c>
      <c r="B260" t="s">
        <v>32</v>
      </c>
      <c r="C260">
        <v>34</v>
      </c>
      <c r="D260">
        <v>4</v>
      </c>
      <c r="E260">
        <v>31</v>
      </c>
      <c r="F260">
        <v>35</v>
      </c>
      <c r="G260">
        <v>4</v>
      </c>
      <c r="H260">
        <v>32</v>
      </c>
      <c r="I260">
        <v>0.1641</v>
      </c>
      <c r="J260">
        <f t="shared" si="4"/>
        <v>0.12187690432663011</v>
      </c>
      <c r="K260">
        <v>2.0000000000000001E-4</v>
      </c>
      <c r="L260" t="s">
        <v>17</v>
      </c>
      <c r="M260">
        <v>296</v>
      </c>
      <c r="N260" t="s">
        <v>553</v>
      </c>
    </row>
    <row r="261" spans="1:14" x14ac:dyDescent="0.2">
      <c r="A261" t="s">
        <v>1099</v>
      </c>
      <c r="B261" t="s">
        <v>32</v>
      </c>
      <c r="C261">
        <v>33</v>
      </c>
      <c r="D261">
        <v>4</v>
      </c>
      <c r="E261">
        <v>29</v>
      </c>
      <c r="F261">
        <v>34</v>
      </c>
      <c r="G261">
        <v>4</v>
      </c>
      <c r="H261">
        <v>30</v>
      </c>
      <c r="I261">
        <v>0.17730000000000001</v>
      </c>
      <c r="J261">
        <f t="shared" si="4"/>
        <v>0.11280315848843767</v>
      </c>
      <c r="K261">
        <v>2.0000000000000001E-4</v>
      </c>
      <c r="L261" t="s">
        <v>17</v>
      </c>
      <c r="M261">
        <v>296</v>
      </c>
      <c r="N261" t="s">
        <v>553</v>
      </c>
    </row>
    <row r="262" spans="1:14" x14ac:dyDescent="0.2">
      <c r="A262" t="s">
        <v>1099</v>
      </c>
      <c r="B262" t="s">
        <v>32</v>
      </c>
      <c r="C262">
        <v>32</v>
      </c>
      <c r="D262">
        <v>10</v>
      </c>
      <c r="E262">
        <v>23</v>
      </c>
      <c r="F262">
        <v>33</v>
      </c>
      <c r="G262">
        <v>10</v>
      </c>
      <c r="H262">
        <v>24</v>
      </c>
      <c r="I262">
        <v>0.16220000000000001</v>
      </c>
      <c r="J262">
        <f t="shared" si="4"/>
        <v>0.30826140567200988</v>
      </c>
      <c r="K262">
        <v>5.0000000000000001E-4</v>
      </c>
      <c r="L262" t="s">
        <v>17</v>
      </c>
      <c r="M262">
        <v>296</v>
      </c>
      <c r="N262" t="s">
        <v>553</v>
      </c>
    </row>
    <row r="263" spans="1:14" x14ac:dyDescent="0.2">
      <c r="A263" t="s">
        <v>1099</v>
      </c>
      <c r="B263" t="s">
        <v>32</v>
      </c>
      <c r="C263">
        <v>31</v>
      </c>
      <c r="D263">
        <v>12</v>
      </c>
      <c r="E263">
        <v>19</v>
      </c>
      <c r="F263">
        <v>32</v>
      </c>
      <c r="G263">
        <v>12</v>
      </c>
      <c r="H263">
        <v>20</v>
      </c>
      <c r="I263">
        <v>0.15659999999999999</v>
      </c>
      <c r="J263">
        <f t="shared" si="4"/>
        <v>0.51085568326947639</v>
      </c>
      <c r="K263">
        <v>8.0000000000000004E-4</v>
      </c>
      <c r="L263" t="s">
        <v>17</v>
      </c>
      <c r="M263">
        <v>296</v>
      </c>
      <c r="N263" t="s">
        <v>553</v>
      </c>
    </row>
    <row r="264" spans="1:14" x14ac:dyDescent="0.2">
      <c r="A264" t="s">
        <v>1099</v>
      </c>
      <c r="B264" t="s">
        <v>32</v>
      </c>
      <c r="C264">
        <v>33</v>
      </c>
      <c r="D264">
        <v>5</v>
      </c>
      <c r="E264">
        <v>28</v>
      </c>
      <c r="F264">
        <v>34</v>
      </c>
      <c r="G264">
        <v>5</v>
      </c>
      <c r="H264">
        <v>29</v>
      </c>
      <c r="I264">
        <v>0.16400000000000001</v>
      </c>
      <c r="J264">
        <f t="shared" si="4"/>
        <v>0.18292682926829265</v>
      </c>
      <c r="K264">
        <v>2.9999999999999997E-4</v>
      </c>
      <c r="L264" t="s">
        <v>17</v>
      </c>
      <c r="M264">
        <v>296</v>
      </c>
      <c r="N264" t="s">
        <v>553</v>
      </c>
    </row>
    <row r="265" spans="1:14" x14ac:dyDescent="0.2">
      <c r="A265" t="s">
        <v>1099</v>
      </c>
      <c r="B265" t="s">
        <v>32</v>
      </c>
      <c r="C265">
        <v>33</v>
      </c>
      <c r="D265">
        <v>3</v>
      </c>
      <c r="E265">
        <v>30</v>
      </c>
      <c r="F265">
        <v>34</v>
      </c>
      <c r="G265">
        <v>3</v>
      </c>
      <c r="H265">
        <v>31</v>
      </c>
      <c r="I265">
        <v>0.1641</v>
      </c>
      <c r="J265">
        <f t="shared" si="4"/>
        <v>0.18281535648994515</v>
      </c>
      <c r="K265">
        <v>2.9999999999999997E-4</v>
      </c>
      <c r="L265" t="s">
        <v>17</v>
      </c>
      <c r="M265">
        <v>296</v>
      </c>
      <c r="N265" t="s">
        <v>553</v>
      </c>
    </row>
    <row r="266" spans="1:14" x14ac:dyDescent="0.2">
      <c r="A266" t="s">
        <v>1099</v>
      </c>
      <c r="B266" t="s">
        <v>32</v>
      </c>
      <c r="C266">
        <v>36</v>
      </c>
      <c r="D266">
        <v>1</v>
      </c>
      <c r="E266">
        <v>36</v>
      </c>
      <c r="F266">
        <v>37</v>
      </c>
      <c r="G266">
        <v>1</v>
      </c>
      <c r="H266">
        <v>37</v>
      </c>
      <c r="I266">
        <v>0.1487</v>
      </c>
      <c r="J266">
        <f t="shared" si="4"/>
        <v>0.13449899125756556</v>
      </c>
      <c r="K266">
        <v>2.0000000000000001E-4</v>
      </c>
      <c r="L266" t="s">
        <v>17</v>
      </c>
      <c r="M266">
        <v>296</v>
      </c>
      <c r="N266" t="s">
        <v>553</v>
      </c>
    </row>
    <row r="267" spans="1:14" x14ac:dyDescent="0.2">
      <c r="A267" t="s">
        <v>1099</v>
      </c>
      <c r="B267" t="s">
        <v>32</v>
      </c>
      <c r="C267">
        <v>35</v>
      </c>
      <c r="D267">
        <v>1</v>
      </c>
      <c r="E267">
        <v>34</v>
      </c>
      <c r="F267">
        <v>36</v>
      </c>
      <c r="G267">
        <v>1</v>
      </c>
      <c r="H267">
        <v>35</v>
      </c>
      <c r="I267">
        <v>0.15540000000000001</v>
      </c>
      <c r="J267">
        <f t="shared" si="4"/>
        <v>0.2574002574002574</v>
      </c>
      <c r="K267">
        <v>4.0000000000000002E-4</v>
      </c>
      <c r="L267" t="s">
        <v>17</v>
      </c>
      <c r="M267">
        <v>296</v>
      </c>
      <c r="N267" t="s">
        <v>553</v>
      </c>
    </row>
    <row r="268" spans="1:14" x14ac:dyDescent="0.2">
      <c r="A268" t="s">
        <v>1099</v>
      </c>
      <c r="B268" t="s">
        <v>32</v>
      </c>
      <c r="C268">
        <v>34</v>
      </c>
      <c r="D268">
        <v>3</v>
      </c>
      <c r="E268">
        <v>32</v>
      </c>
      <c r="F268">
        <v>35</v>
      </c>
      <c r="G268">
        <v>3</v>
      </c>
      <c r="H268">
        <v>33</v>
      </c>
      <c r="I268">
        <v>0.1646</v>
      </c>
      <c r="J268">
        <f t="shared" si="4"/>
        <v>0.72904009720534624</v>
      </c>
      <c r="K268">
        <v>1.1999999999999999E-3</v>
      </c>
      <c r="L268" t="s">
        <v>17</v>
      </c>
      <c r="M268">
        <v>296</v>
      </c>
      <c r="N268" t="s">
        <v>553</v>
      </c>
    </row>
    <row r="269" spans="1:14" x14ac:dyDescent="0.2">
      <c r="A269" t="s">
        <v>1099</v>
      </c>
      <c r="B269" t="s">
        <v>32</v>
      </c>
      <c r="C269">
        <v>31</v>
      </c>
      <c r="D269">
        <v>11</v>
      </c>
      <c r="E269">
        <v>20</v>
      </c>
      <c r="F269">
        <v>32</v>
      </c>
      <c r="G269">
        <v>11</v>
      </c>
      <c r="H269">
        <v>21</v>
      </c>
      <c r="I269">
        <v>0.15409999999999999</v>
      </c>
      <c r="J269">
        <f t="shared" si="4"/>
        <v>0.19467878001297859</v>
      </c>
      <c r="K269">
        <v>2.9999999999999997E-4</v>
      </c>
      <c r="L269" t="s">
        <v>17</v>
      </c>
      <c r="M269">
        <v>296</v>
      </c>
      <c r="N269" t="s">
        <v>553</v>
      </c>
    </row>
    <row r="270" spans="1:14" x14ac:dyDescent="0.2">
      <c r="A270" t="s">
        <v>1099</v>
      </c>
      <c r="B270" t="s">
        <v>32</v>
      </c>
      <c r="C270">
        <v>32</v>
      </c>
      <c r="D270">
        <v>8</v>
      </c>
      <c r="E270">
        <v>25</v>
      </c>
      <c r="F270">
        <v>33</v>
      </c>
      <c r="G270">
        <v>8</v>
      </c>
      <c r="H270">
        <v>26</v>
      </c>
      <c r="I270">
        <v>0.16009999999999999</v>
      </c>
      <c r="J270">
        <f t="shared" si="4"/>
        <v>0.24984384759525299</v>
      </c>
      <c r="K270">
        <v>4.0000000000000002E-4</v>
      </c>
      <c r="L270" t="s">
        <v>17</v>
      </c>
      <c r="M270">
        <v>296</v>
      </c>
      <c r="N270" t="s">
        <v>553</v>
      </c>
    </row>
    <row r="271" spans="1:14" x14ac:dyDescent="0.2">
      <c r="A271" t="s">
        <v>1099</v>
      </c>
      <c r="B271" t="s">
        <v>32</v>
      </c>
      <c r="C271">
        <v>29</v>
      </c>
      <c r="D271">
        <v>14</v>
      </c>
      <c r="E271">
        <v>15</v>
      </c>
      <c r="F271">
        <v>30</v>
      </c>
      <c r="G271">
        <v>14</v>
      </c>
      <c r="H271">
        <v>16</v>
      </c>
      <c r="I271">
        <v>0.13569999999999999</v>
      </c>
      <c r="J271">
        <f t="shared" si="4"/>
        <v>0.58953574060427427</v>
      </c>
      <c r="K271">
        <v>8.0000000000000004E-4</v>
      </c>
      <c r="L271" t="s">
        <v>17</v>
      </c>
      <c r="M271">
        <v>296</v>
      </c>
      <c r="N271" t="s">
        <v>553</v>
      </c>
    </row>
    <row r="272" spans="1:14" x14ac:dyDescent="0.2">
      <c r="A272" t="s">
        <v>1099</v>
      </c>
      <c r="B272" t="s">
        <v>32</v>
      </c>
      <c r="C272">
        <v>32</v>
      </c>
      <c r="D272">
        <v>7</v>
      </c>
      <c r="E272">
        <v>26</v>
      </c>
      <c r="F272">
        <v>33</v>
      </c>
      <c r="G272">
        <v>7</v>
      </c>
      <c r="H272">
        <v>27</v>
      </c>
      <c r="I272">
        <v>0.16239999999999999</v>
      </c>
      <c r="J272">
        <f t="shared" si="4"/>
        <v>0.43103448275862066</v>
      </c>
      <c r="K272">
        <v>6.9999999999999999E-4</v>
      </c>
      <c r="L272" t="s">
        <v>17</v>
      </c>
      <c r="M272">
        <v>296</v>
      </c>
      <c r="N272" t="s">
        <v>553</v>
      </c>
    </row>
    <row r="273" spans="1:14" x14ac:dyDescent="0.2">
      <c r="A273" t="s">
        <v>1099</v>
      </c>
      <c r="B273" t="s">
        <v>32</v>
      </c>
      <c r="C273">
        <v>30</v>
      </c>
      <c r="D273">
        <v>12</v>
      </c>
      <c r="E273">
        <v>19</v>
      </c>
      <c r="F273">
        <v>31</v>
      </c>
      <c r="G273">
        <v>12</v>
      </c>
      <c r="H273">
        <v>20</v>
      </c>
      <c r="I273">
        <v>0.15529999999999999</v>
      </c>
      <c r="J273">
        <f t="shared" si="4"/>
        <v>0.45074050225370249</v>
      </c>
      <c r="K273">
        <v>6.9999999999999999E-4</v>
      </c>
      <c r="L273" t="s">
        <v>17</v>
      </c>
      <c r="M273">
        <v>296</v>
      </c>
      <c r="N273" t="s">
        <v>553</v>
      </c>
    </row>
    <row r="274" spans="1:14" x14ac:dyDescent="0.2">
      <c r="A274" t="s">
        <v>1099</v>
      </c>
      <c r="B274" t="s">
        <v>32</v>
      </c>
      <c r="C274">
        <v>34</v>
      </c>
      <c r="D274">
        <v>2</v>
      </c>
      <c r="E274">
        <v>33</v>
      </c>
      <c r="F274">
        <v>35</v>
      </c>
      <c r="G274">
        <v>2</v>
      </c>
      <c r="H274">
        <v>34</v>
      </c>
      <c r="I274">
        <v>0.15179999999999999</v>
      </c>
      <c r="J274">
        <f t="shared" si="4"/>
        <v>0.19762845849802371</v>
      </c>
      <c r="K274">
        <v>2.9999999999999997E-4</v>
      </c>
      <c r="L274" t="s">
        <v>17</v>
      </c>
      <c r="M274">
        <v>296</v>
      </c>
      <c r="N274" t="s">
        <v>553</v>
      </c>
    </row>
    <row r="275" spans="1:14" x14ac:dyDescent="0.2">
      <c r="A275" t="s">
        <v>1099</v>
      </c>
      <c r="B275" t="s">
        <v>32</v>
      </c>
      <c r="C275">
        <v>31</v>
      </c>
      <c r="D275">
        <v>9</v>
      </c>
      <c r="E275">
        <v>22</v>
      </c>
      <c r="F275">
        <v>32</v>
      </c>
      <c r="G275">
        <v>9</v>
      </c>
      <c r="H275">
        <v>23</v>
      </c>
      <c r="I275">
        <v>0.16070000000000001</v>
      </c>
      <c r="J275">
        <f t="shared" si="4"/>
        <v>0.31113876789047917</v>
      </c>
      <c r="K275">
        <v>5.0000000000000001E-4</v>
      </c>
      <c r="L275" t="s">
        <v>17</v>
      </c>
      <c r="M275">
        <v>296</v>
      </c>
      <c r="N275" t="s">
        <v>553</v>
      </c>
    </row>
    <row r="276" spans="1:14" x14ac:dyDescent="0.2">
      <c r="A276" t="s">
        <v>1099</v>
      </c>
      <c r="B276" t="s">
        <v>32</v>
      </c>
      <c r="C276">
        <v>32</v>
      </c>
      <c r="D276">
        <v>5</v>
      </c>
      <c r="E276">
        <v>28</v>
      </c>
      <c r="F276">
        <v>33</v>
      </c>
      <c r="G276">
        <v>5</v>
      </c>
      <c r="H276">
        <v>29</v>
      </c>
      <c r="I276">
        <v>0.1686</v>
      </c>
      <c r="J276">
        <f t="shared" si="4"/>
        <v>0.23724792408066431</v>
      </c>
      <c r="K276">
        <v>4.0000000000000002E-4</v>
      </c>
      <c r="L276" t="s">
        <v>17</v>
      </c>
      <c r="M276">
        <v>296</v>
      </c>
      <c r="N276" t="s">
        <v>553</v>
      </c>
    </row>
    <row r="277" spans="1:14" x14ac:dyDescent="0.2">
      <c r="A277" t="s">
        <v>1099</v>
      </c>
      <c r="B277" t="s">
        <v>32</v>
      </c>
      <c r="C277">
        <v>29</v>
      </c>
      <c r="D277">
        <v>13</v>
      </c>
      <c r="E277">
        <v>16</v>
      </c>
      <c r="F277">
        <v>30</v>
      </c>
      <c r="G277">
        <v>13</v>
      </c>
      <c r="H277">
        <v>17</v>
      </c>
      <c r="I277">
        <v>0.14990000000000001</v>
      </c>
      <c r="J277">
        <f t="shared" si="4"/>
        <v>0.40026684456304196</v>
      </c>
      <c r="K277">
        <v>5.9999999999999995E-4</v>
      </c>
      <c r="L277" t="s">
        <v>17</v>
      </c>
      <c r="M277">
        <v>296</v>
      </c>
      <c r="N277" t="s">
        <v>553</v>
      </c>
    </row>
    <row r="278" spans="1:14" x14ac:dyDescent="0.2">
      <c r="A278" t="s">
        <v>1099</v>
      </c>
      <c r="B278" t="s">
        <v>32</v>
      </c>
      <c r="C278">
        <v>27</v>
      </c>
      <c r="D278">
        <v>16</v>
      </c>
      <c r="E278">
        <v>11</v>
      </c>
      <c r="F278">
        <v>28</v>
      </c>
      <c r="G278">
        <v>16</v>
      </c>
      <c r="H278">
        <v>12</v>
      </c>
      <c r="I278">
        <v>0.15060000000000001</v>
      </c>
      <c r="J278">
        <f t="shared" si="4"/>
        <v>0.39840637450199196</v>
      </c>
      <c r="K278">
        <v>5.9999999999999995E-4</v>
      </c>
      <c r="L278" t="s">
        <v>17</v>
      </c>
      <c r="M278">
        <v>296</v>
      </c>
      <c r="N278" t="s">
        <v>553</v>
      </c>
    </row>
    <row r="279" spans="1:14" x14ac:dyDescent="0.2">
      <c r="A279" t="s">
        <v>1099</v>
      </c>
      <c r="B279" t="s">
        <v>32</v>
      </c>
      <c r="C279">
        <v>32</v>
      </c>
      <c r="D279">
        <v>4</v>
      </c>
      <c r="E279">
        <v>29</v>
      </c>
      <c r="F279">
        <v>33</v>
      </c>
      <c r="G279">
        <v>4</v>
      </c>
      <c r="H279">
        <v>30</v>
      </c>
      <c r="I279">
        <v>0.16589999999999999</v>
      </c>
      <c r="J279">
        <f t="shared" si="4"/>
        <v>0.18083182640144665</v>
      </c>
      <c r="K279">
        <v>2.9999999999999997E-4</v>
      </c>
      <c r="L279" t="s">
        <v>17</v>
      </c>
      <c r="M279">
        <v>296</v>
      </c>
      <c r="N279" t="s">
        <v>553</v>
      </c>
    </row>
    <row r="280" spans="1:14" x14ac:dyDescent="0.2">
      <c r="A280" t="s">
        <v>1099</v>
      </c>
      <c r="B280" t="s">
        <v>32</v>
      </c>
      <c r="C280">
        <v>31</v>
      </c>
      <c r="D280">
        <v>8</v>
      </c>
      <c r="E280">
        <v>23</v>
      </c>
      <c r="F280">
        <v>32</v>
      </c>
      <c r="G280">
        <v>8</v>
      </c>
      <c r="H280">
        <v>24</v>
      </c>
      <c r="I280">
        <v>0.16289999999999999</v>
      </c>
      <c r="J280">
        <f t="shared" si="4"/>
        <v>0.18416206261510129</v>
      </c>
      <c r="K280">
        <v>2.9999999999999997E-4</v>
      </c>
      <c r="L280" t="s">
        <v>17</v>
      </c>
      <c r="M280">
        <v>296</v>
      </c>
      <c r="N280" t="s">
        <v>553</v>
      </c>
    </row>
    <row r="281" spans="1:14" x14ac:dyDescent="0.2">
      <c r="A281" t="s">
        <v>1099</v>
      </c>
      <c r="B281" t="s">
        <v>32</v>
      </c>
      <c r="C281">
        <v>26</v>
      </c>
      <c r="D281">
        <v>17</v>
      </c>
      <c r="E281">
        <v>10</v>
      </c>
      <c r="F281">
        <v>27</v>
      </c>
      <c r="G281">
        <v>17</v>
      </c>
      <c r="H281">
        <v>11</v>
      </c>
      <c r="I281">
        <v>0.1429</v>
      </c>
      <c r="J281">
        <f t="shared" si="4"/>
        <v>0.55983205038488459</v>
      </c>
      <c r="K281">
        <v>8.0000000000000004E-4</v>
      </c>
      <c r="L281" t="s">
        <v>17</v>
      </c>
      <c r="M281">
        <v>296</v>
      </c>
      <c r="N281" t="s">
        <v>553</v>
      </c>
    </row>
    <row r="282" spans="1:14" x14ac:dyDescent="0.2">
      <c r="A282" t="s">
        <v>1099</v>
      </c>
      <c r="B282" t="s">
        <v>32</v>
      </c>
      <c r="C282">
        <v>28</v>
      </c>
      <c r="D282">
        <v>14</v>
      </c>
      <c r="E282">
        <v>15</v>
      </c>
      <c r="F282">
        <v>29</v>
      </c>
      <c r="G282">
        <v>14</v>
      </c>
      <c r="H282">
        <v>16</v>
      </c>
      <c r="I282">
        <v>0.14610000000000001</v>
      </c>
      <c r="J282">
        <f t="shared" si="4"/>
        <v>0.27378507871321012</v>
      </c>
      <c r="K282">
        <v>4.0000000000000002E-4</v>
      </c>
      <c r="L282" t="s">
        <v>17</v>
      </c>
      <c r="M282">
        <v>296</v>
      </c>
      <c r="N282" t="s">
        <v>553</v>
      </c>
    </row>
    <row r="283" spans="1:14" x14ac:dyDescent="0.2">
      <c r="A283" t="s">
        <v>1099</v>
      </c>
      <c r="B283" t="s">
        <v>32</v>
      </c>
      <c r="C283">
        <v>30</v>
      </c>
      <c r="D283">
        <v>10</v>
      </c>
      <c r="E283">
        <v>21</v>
      </c>
      <c r="F283">
        <v>31</v>
      </c>
      <c r="G283">
        <v>10</v>
      </c>
      <c r="H283">
        <v>22</v>
      </c>
      <c r="I283">
        <v>0.1517</v>
      </c>
      <c r="J283">
        <f t="shared" si="4"/>
        <v>0.46143704680290049</v>
      </c>
      <c r="K283">
        <v>6.9999999999999999E-4</v>
      </c>
      <c r="L283" t="s">
        <v>17</v>
      </c>
      <c r="M283">
        <v>296</v>
      </c>
      <c r="N283" t="s">
        <v>553</v>
      </c>
    </row>
    <row r="284" spans="1:14" x14ac:dyDescent="0.2">
      <c r="A284" t="s">
        <v>1099</v>
      </c>
      <c r="B284" t="s">
        <v>32</v>
      </c>
      <c r="C284">
        <v>31</v>
      </c>
      <c r="D284">
        <v>7</v>
      </c>
      <c r="E284">
        <v>24</v>
      </c>
      <c r="F284">
        <v>32</v>
      </c>
      <c r="G284">
        <v>7</v>
      </c>
      <c r="H284">
        <v>25</v>
      </c>
      <c r="I284">
        <v>0.1643</v>
      </c>
      <c r="J284">
        <f t="shared" si="4"/>
        <v>0.30432136335970783</v>
      </c>
      <c r="K284">
        <v>5.0000000000000001E-4</v>
      </c>
      <c r="L284" t="s">
        <v>17</v>
      </c>
      <c r="M284">
        <v>296</v>
      </c>
      <c r="N284" t="s">
        <v>553</v>
      </c>
    </row>
    <row r="285" spans="1:14" x14ac:dyDescent="0.2">
      <c r="A285" t="s">
        <v>1099</v>
      </c>
      <c r="B285" t="s">
        <v>32</v>
      </c>
      <c r="C285">
        <v>31</v>
      </c>
      <c r="D285">
        <v>4</v>
      </c>
      <c r="E285">
        <v>27</v>
      </c>
      <c r="F285">
        <v>32</v>
      </c>
      <c r="G285">
        <v>4</v>
      </c>
      <c r="H285">
        <v>28</v>
      </c>
      <c r="I285">
        <v>0.1764</v>
      </c>
      <c r="J285">
        <f t="shared" si="4"/>
        <v>0.22675736961451248</v>
      </c>
      <c r="K285">
        <v>4.0000000000000002E-4</v>
      </c>
      <c r="L285" t="s">
        <v>17</v>
      </c>
      <c r="M285">
        <v>296</v>
      </c>
      <c r="N285" t="s">
        <v>553</v>
      </c>
    </row>
    <row r="286" spans="1:14" x14ac:dyDescent="0.2">
      <c r="A286" t="s">
        <v>1099</v>
      </c>
      <c r="B286" t="s">
        <v>32</v>
      </c>
      <c r="C286">
        <v>29</v>
      </c>
      <c r="D286">
        <v>12</v>
      </c>
      <c r="E286">
        <v>17</v>
      </c>
      <c r="F286">
        <v>30</v>
      </c>
      <c r="G286">
        <v>12</v>
      </c>
      <c r="H286">
        <v>18</v>
      </c>
      <c r="I286">
        <v>0.154</v>
      </c>
      <c r="J286">
        <f t="shared" si="4"/>
        <v>0.45454545454545453</v>
      </c>
      <c r="K286">
        <v>6.9999999999999999E-4</v>
      </c>
      <c r="L286" t="s">
        <v>17</v>
      </c>
      <c r="M286">
        <v>296</v>
      </c>
      <c r="N286" t="s">
        <v>553</v>
      </c>
    </row>
    <row r="287" spans="1:14" x14ac:dyDescent="0.2">
      <c r="A287" t="s">
        <v>1099</v>
      </c>
      <c r="B287" t="s">
        <v>32</v>
      </c>
      <c r="C287">
        <v>34</v>
      </c>
      <c r="D287">
        <v>1</v>
      </c>
      <c r="E287">
        <v>34</v>
      </c>
      <c r="F287">
        <v>35</v>
      </c>
      <c r="G287">
        <v>1</v>
      </c>
      <c r="H287">
        <v>35</v>
      </c>
      <c r="I287">
        <v>0.1482</v>
      </c>
      <c r="J287">
        <f t="shared" si="4"/>
        <v>0.13495276653171392</v>
      </c>
      <c r="K287">
        <v>2.0000000000000001E-4</v>
      </c>
      <c r="L287" t="s">
        <v>17</v>
      </c>
      <c r="M287">
        <v>296</v>
      </c>
      <c r="N287" t="s">
        <v>553</v>
      </c>
    </row>
    <row r="288" spans="1:14" x14ac:dyDescent="0.2">
      <c r="A288" t="s">
        <v>1099</v>
      </c>
      <c r="B288" t="s">
        <v>32</v>
      </c>
      <c r="C288">
        <v>33</v>
      </c>
      <c r="D288">
        <v>1</v>
      </c>
      <c r="E288">
        <v>32</v>
      </c>
      <c r="F288">
        <v>34</v>
      </c>
      <c r="G288">
        <v>1</v>
      </c>
      <c r="H288">
        <v>33</v>
      </c>
      <c r="I288">
        <v>0.15679999999999999</v>
      </c>
      <c r="J288">
        <f t="shared" si="4"/>
        <v>0.31887755102040816</v>
      </c>
      <c r="K288">
        <v>5.0000000000000001E-4</v>
      </c>
      <c r="L288" t="s">
        <v>17</v>
      </c>
      <c r="M288">
        <v>296</v>
      </c>
      <c r="N288" t="s">
        <v>553</v>
      </c>
    </row>
    <row r="289" spans="1:14" x14ac:dyDescent="0.2">
      <c r="A289" t="s">
        <v>1099</v>
      </c>
      <c r="B289" t="s">
        <v>32</v>
      </c>
      <c r="C289">
        <v>31</v>
      </c>
      <c r="D289">
        <v>3</v>
      </c>
      <c r="E289">
        <v>28</v>
      </c>
      <c r="F289">
        <v>32</v>
      </c>
      <c r="G289">
        <v>3</v>
      </c>
      <c r="H289">
        <v>29</v>
      </c>
      <c r="I289">
        <v>0.1812</v>
      </c>
      <c r="J289">
        <f t="shared" si="4"/>
        <v>0.27593818984547464</v>
      </c>
      <c r="K289">
        <v>5.0000000000000001E-4</v>
      </c>
      <c r="L289" t="s">
        <v>17</v>
      </c>
      <c r="M289">
        <v>296</v>
      </c>
      <c r="N289" t="s">
        <v>553</v>
      </c>
    </row>
    <row r="290" spans="1:14" x14ac:dyDescent="0.2">
      <c r="A290" t="s">
        <v>1099</v>
      </c>
      <c r="B290" t="s">
        <v>32</v>
      </c>
      <c r="C290">
        <v>31</v>
      </c>
      <c r="D290">
        <v>5</v>
      </c>
      <c r="E290">
        <v>26</v>
      </c>
      <c r="F290">
        <v>32</v>
      </c>
      <c r="G290">
        <v>5</v>
      </c>
      <c r="H290">
        <v>27</v>
      </c>
      <c r="I290">
        <v>0.16950000000000001</v>
      </c>
      <c r="J290">
        <f t="shared" si="4"/>
        <v>0.17699115044247785</v>
      </c>
      <c r="K290">
        <v>2.9999999999999997E-4</v>
      </c>
      <c r="L290" t="s">
        <v>17</v>
      </c>
      <c r="M290">
        <v>296</v>
      </c>
      <c r="N290" t="s">
        <v>553</v>
      </c>
    </row>
    <row r="291" spans="1:14" x14ac:dyDescent="0.2">
      <c r="A291" t="s">
        <v>1099</v>
      </c>
      <c r="B291" t="s">
        <v>32</v>
      </c>
      <c r="C291">
        <v>32</v>
      </c>
      <c r="D291">
        <v>3</v>
      </c>
      <c r="E291">
        <v>30</v>
      </c>
      <c r="F291">
        <v>33</v>
      </c>
      <c r="G291">
        <v>3</v>
      </c>
      <c r="H291">
        <v>31</v>
      </c>
      <c r="I291">
        <v>0.16200000000000001</v>
      </c>
      <c r="J291">
        <f t="shared" si="4"/>
        <v>0.18518518518518517</v>
      </c>
      <c r="K291">
        <v>2.9999999999999997E-4</v>
      </c>
      <c r="L291" t="s">
        <v>17</v>
      </c>
      <c r="M291">
        <v>296</v>
      </c>
      <c r="N291" t="s">
        <v>553</v>
      </c>
    </row>
    <row r="292" spans="1:14" x14ac:dyDescent="0.2">
      <c r="A292" t="s">
        <v>1099</v>
      </c>
      <c r="B292" t="s">
        <v>32</v>
      </c>
      <c r="C292">
        <v>27</v>
      </c>
      <c r="D292">
        <v>15</v>
      </c>
      <c r="E292">
        <v>12</v>
      </c>
      <c r="F292">
        <v>28</v>
      </c>
      <c r="G292">
        <v>15</v>
      </c>
      <c r="H292">
        <v>13</v>
      </c>
      <c r="I292">
        <v>0.1358</v>
      </c>
      <c r="J292">
        <f t="shared" si="4"/>
        <v>0.5891016200294551</v>
      </c>
      <c r="K292">
        <v>8.0000000000000004E-4</v>
      </c>
      <c r="L292" t="s">
        <v>17</v>
      </c>
      <c r="M292">
        <v>296</v>
      </c>
      <c r="N292" t="s">
        <v>553</v>
      </c>
    </row>
    <row r="293" spans="1:14" x14ac:dyDescent="0.2">
      <c r="A293" t="s">
        <v>1099</v>
      </c>
      <c r="B293" t="s">
        <v>32</v>
      </c>
      <c r="C293">
        <v>30</v>
      </c>
      <c r="D293">
        <v>9</v>
      </c>
      <c r="E293">
        <v>22</v>
      </c>
      <c r="F293">
        <v>31</v>
      </c>
      <c r="G293">
        <v>9</v>
      </c>
      <c r="H293">
        <v>23</v>
      </c>
      <c r="I293">
        <v>0.16109999999999999</v>
      </c>
      <c r="J293">
        <f t="shared" si="4"/>
        <v>0.12414649286157668</v>
      </c>
      <c r="K293">
        <v>2.0000000000000001E-4</v>
      </c>
      <c r="L293" t="s">
        <v>17</v>
      </c>
      <c r="M293">
        <v>296</v>
      </c>
      <c r="N293" t="s">
        <v>553</v>
      </c>
    </row>
    <row r="294" spans="1:14" x14ac:dyDescent="0.2">
      <c r="A294" t="s">
        <v>1099</v>
      </c>
      <c r="B294" t="s">
        <v>32</v>
      </c>
      <c r="C294">
        <v>29</v>
      </c>
      <c r="D294">
        <v>11</v>
      </c>
      <c r="E294">
        <v>18</v>
      </c>
      <c r="F294">
        <v>30</v>
      </c>
      <c r="G294">
        <v>11</v>
      </c>
      <c r="H294">
        <v>19</v>
      </c>
      <c r="I294">
        <v>0.15770000000000001</v>
      </c>
      <c r="J294">
        <f t="shared" si="4"/>
        <v>0.38046924540266325</v>
      </c>
      <c r="K294">
        <v>5.9999999999999995E-4</v>
      </c>
      <c r="L294" t="s">
        <v>17</v>
      </c>
      <c r="M294">
        <v>296</v>
      </c>
      <c r="N294" t="s">
        <v>553</v>
      </c>
    </row>
    <row r="295" spans="1:14" x14ac:dyDescent="0.2">
      <c r="A295" t="s">
        <v>1099</v>
      </c>
      <c r="B295" t="s">
        <v>32</v>
      </c>
      <c r="C295">
        <v>26</v>
      </c>
      <c r="D295">
        <v>16</v>
      </c>
      <c r="E295">
        <v>11</v>
      </c>
      <c r="F295">
        <v>27</v>
      </c>
      <c r="G295">
        <v>16</v>
      </c>
      <c r="H295">
        <v>12</v>
      </c>
      <c r="I295">
        <v>0.1522</v>
      </c>
      <c r="J295">
        <f t="shared" si="4"/>
        <v>0.26281208935611039</v>
      </c>
      <c r="K295">
        <v>4.0000000000000002E-4</v>
      </c>
      <c r="L295" t="s">
        <v>17</v>
      </c>
      <c r="M295">
        <v>296</v>
      </c>
      <c r="N295" t="s">
        <v>553</v>
      </c>
    </row>
    <row r="296" spans="1:14" x14ac:dyDescent="0.2">
      <c r="A296" t="s">
        <v>1099</v>
      </c>
      <c r="B296" t="s">
        <v>32</v>
      </c>
      <c r="C296">
        <v>30</v>
      </c>
      <c r="D296">
        <v>8</v>
      </c>
      <c r="E296">
        <v>23</v>
      </c>
      <c r="F296">
        <v>31</v>
      </c>
      <c r="G296">
        <v>8</v>
      </c>
      <c r="H296">
        <v>24</v>
      </c>
      <c r="I296">
        <v>0.16200000000000001</v>
      </c>
      <c r="J296">
        <f t="shared" si="4"/>
        <v>0.18518518518518517</v>
      </c>
      <c r="K296">
        <v>2.9999999999999997E-4</v>
      </c>
      <c r="L296" t="s">
        <v>17</v>
      </c>
      <c r="M296">
        <v>296</v>
      </c>
      <c r="N296" t="s">
        <v>553</v>
      </c>
    </row>
    <row r="297" spans="1:14" x14ac:dyDescent="0.2">
      <c r="A297" t="s">
        <v>1099</v>
      </c>
      <c r="B297" t="s">
        <v>32</v>
      </c>
      <c r="C297">
        <v>25</v>
      </c>
      <c r="D297">
        <v>17</v>
      </c>
      <c r="E297">
        <v>8</v>
      </c>
      <c r="F297">
        <v>26</v>
      </c>
      <c r="G297">
        <v>17</v>
      </c>
      <c r="H297">
        <v>9</v>
      </c>
      <c r="I297">
        <v>0.14699999999999999</v>
      </c>
      <c r="J297">
        <f t="shared" si="4"/>
        <v>0.34013605442176875</v>
      </c>
      <c r="K297">
        <v>5.0000000000000001E-4</v>
      </c>
      <c r="L297" t="s">
        <v>17</v>
      </c>
      <c r="M297">
        <v>296</v>
      </c>
      <c r="N297" t="s">
        <v>553</v>
      </c>
    </row>
    <row r="298" spans="1:14" x14ac:dyDescent="0.2">
      <c r="A298" t="s">
        <v>1099</v>
      </c>
      <c r="B298" t="s">
        <v>32</v>
      </c>
      <c r="C298">
        <v>27</v>
      </c>
      <c r="D298">
        <v>14</v>
      </c>
      <c r="E298">
        <v>13</v>
      </c>
      <c r="F298">
        <v>28</v>
      </c>
      <c r="G298">
        <v>14</v>
      </c>
      <c r="H298">
        <v>14</v>
      </c>
      <c r="I298">
        <v>0.15709999999999999</v>
      </c>
      <c r="J298">
        <f t="shared" si="4"/>
        <v>0.38192234245703371</v>
      </c>
      <c r="K298">
        <v>5.9999999999999995E-4</v>
      </c>
      <c r="L298" t="s">
        <v>17</v>
      </c>
      <c r="M298">
        <v>296</v>
      </c>
      <c r="N298" t="s">
        <v>553</v>
      </c>
    </row>
    <row r="299" spans="1:14" x14ac:dyDescent="0.2">
      <c r="A299" t="s">
        <v>1099</v>
      </c>
      <c r="B299" t="s">
        <v>32</v>
      </c>
      <c r="C299">
        <v>29</v>
      </c>
      <c r="D299">
        <v>10</v>
      </c>
      <c r="E299">
        <v>19</v>
      </c>
      <c r="F299">
        <v>30</v>
      </c>
      <c r="G299">
        <v>10</v>
      </c>
      <c r="H299">
        <v>20</v>
      </c>
      <c r="I299">
        <v>0.15790000000000001</v>
      </c>
      <c r="J299">
        <f t="shared" si="4"/>
        <v>0.18999366687777072</v>
      </c>
      <c r="K299">
        <v>2.9999999999999997E-4</v>
      </c>
      <c r="L299" t="s">
        <v>17</v>
      </c>
      <c r="M299">
        <v>296</v>
      </c>
      <c r="N299" t="s">
        <v>553</v>
      </c>
    </row>
    <row r="300" spans="1:14" x14ac:dyDescent="0.2">
      <c r="A300" t="s">
        <v>1099</v>
      </c>
      <c r="B300" t="s">
        <v>32</v>
      </c>
      <c r="C300">
        <v>31</v>
      </c>
      <c r="D300">
        <v>2</v>
      </c>
      <c r="E300">
        <v>29</v>
      </c>
      <c r="F300">
        <v>32</v>
      </c>
      <c r="G300">
        <v>2</v>
      </c>
      <c r="H300">
        <v>30</v>
      </c>
      <c r="I300">
        <v>0.1731</v>
      </c>
      <c r="J300">
        <f t="shared" si="4"/>
        <v>0.17331022530329288</v>
      </c>
      <c r="K300">
        <v>2.9999999999999997E-4</v>
      </c>
      <c r="L300" t="s">
        <v>17</v>
      </c>
      <c r="M300">
        <v>296</v>
      </c>
      <c r="N300" t="s">
        <v>553</v>
      </c>
    </row>
    <row r="301" spans="1:14" x14ac:dyDescent="0.2">
      <c r="A301" t="s">
        <v>1099</v>
      </c>
      <c r="B301" t="s">
        <v>32</v>
      </c>
      <c r="C301">
        <v>28</v>
      </c>
      <c r="D301">
        <v>12</v>
      </c>
      <c r="E301">
        <v>17</v>
      </c>
      <c r="F301">
        <v>29</v>
      </c>
      <c r="G301">
        <v>12</v>
      </c>
      <c r="H301">
        <v>18</v>
      </c>
      <c r="I301">
        <v>0.1573</v>
      </c>
      <c r="J301">
        <f t="shared" si="4"/>
        <v>0.25429116338207247</v>
      </c>
      <c r="K301">
        <v>4.0000000000000002E-4</v>
      </c>
      <c r="L301" t="s">
        <v>17</v>
      </c>
      <c r="M301">
        <v>296</v>
      </c>
      <c r="N301" t="s">
        <v>553</v>
      </c>
    </row>
    <row r="302" spans="1:14" x14ac:dyDescent="0.2">
      <c r="A302" t="s">
        <v>1099</v>
      </c>
      <c r="B302" t="s">
        <v>32</v>
      </c>
      <c r="C302">
        <v>33</v>
      </c>
      <c r="D302">
        <v>0</v>
      </c>
      <c r="E302">
        <v>33</v>
      </c>
      <c r="F302">
        <v>34</v>
      </c>
      <c r="G302">
        <v>0</v>
      </c>
      <c r="H302">
        <v>34</v>
      </c>
      <c r="I302">
        <v>0.15210000000000001</v>
      </c>
      <c r="J302">
        <f t="shared" si="4"/>
        <v>0.13149243918474687</v>
      </c>
      <c r="K302">
        <v>2.0000000000000001E-4</v>
      </c>
      <c r="L302" t="s">
        <v>17</v>
      </c>
      <c r="M302">
        <v>296</v>
      </c>
      <c r="N302" t="s">
        <v>553</v>
      </c>
    </row>
    <row r="303" spans="1:14" x14ac:dyDescent="0.2">
      <c r="A303" t="s">
        <v>1099</v>
      </c>
      <c r="B303" t="s">
        <v>32</v>
      </c>
      <c r="C303">
        <v>32</v>
      </c>
      <c r="D303">
        <v>2</v>
      </c>
      <c r="E303">
        <v>31</v>
      </c>
      <c r="F303">
        <v>33</v>
      </c>
      <c r="G303">
        <v>2</v>
      </c>
      <c r="H303">
        <v>32</v>
      </c>
      <c r="I303">
        <v>0.16109999999999999</v>
      </c>
      <c r="J303">
        <f t="shared" si="4"/>
        <v>0.12414649286157668</v>
      </c>
      <c r="K303">
        <v>2.0000000000000001E-4</v>
      </c>
      <c r="L303" t="s">
        <v>17</v>
      </c>
      <c r="M303">
        <v>296</v>
      </c>
      <c r="N303" t="s">
        <v>553</v>
      </c>
    </row>
    <row r="304" spans="1:14" x14ac:dyDescent="0.2">
      <c r="A304" t="s">
        <v>1099</v>
      </c>
      <c r="B304" t="s">
        <v>32</v>
      </c>
      <c r="C304">
        <v>30</v>
      </c>
      <c r="D304">
        <v>6</v>
      </c>
      <c r="E304">
        <v>25</v>
      </c>
      <c r="F304">
        <v>31</v>
      </c>
      <c r="G304">
        <v>6</v>
      </c>
      <c r="H304">
        <v>26</v>
      </c>
      <c r="I304">
        <v>0.16819999999999999</v>
      </c>
      <c r="J304">
        <f t="shared" si="4"/>
        <v>0.178359096313912</v>
      </c>
      <c r="K304">
        <v>2.9999999999999997E-4</v>
      </c>
      <c r="L304" t="s">
        <v>17</v>
      </c>
      <c r="M304">
        <v>296</v>
      </c>
      <c r="N304" t="s">
        <v>553</v>
      </c>
    </row>
    <row r="305" spans="1:14" x14ac:dyDescent="0.2">
      <c r="A305" t="s">
        <v>1099</v>
      </c>
      <c r="B305" t="s">
        <v>32</v>
      </c>
      <c r="C305">
        <v>29</v>
      </c>
      <c r="D305">
        <v>9</v>
      </c>
      <c r="E305">
        <v>20</v>
      </c>
      <c r="F305">
        <v>30</v>
      </c>
      <c r="G305">
        <v>9</v>
      </c>
      <c r="H305">
        <v>21</v>
      </c>
      <c r="I305">
        <v>0.1646</v>
      </c>
      <c r="J305">
        <f t="shared" si="4"/>
        <v>0.18226002430133656</v>
      </c>
      <c r="K305">
        <v>2.9999999999999997E-4</v>
      </c>
      <c r="L305" t="s">
        <v>17</v>
      </c>
      <c r="M305">
        <v>296</v>
      </c>
      <c r="N305" t="s">
        <v>553</v>
      </c>
    </row>
    <row r="306" spans="1:14" x14ac:dyDescent="0.2">
      <c r="A306" t="s">
        <v>1099</v>
      </c>
      <c r="B306" t="s">
        <v>32</v>
      </c>
      <c r="C306">
        <v>30</v>
      </c>
      <c r="D306">
        <v>5</v>
      </c>
      <c r="E306">
        <v>26</v>
      </c>
      <c r="F306">
        <v>31</v>
      </c>
      <c r="G306">
        <v>5</v>
      </c>
      <c r="H306">
        <v>27</v>
      </c>
      <c r="I306">
        <v>0.16819999999999999</v>
      </c>
      <c r="J306">
        <f t="shared" si="4"/>
        <v>0.11890606420927469</v>
      </c>
      <c r="K306">
        <v>2.0000000000000001E-4</v>
      </c>
      <c r="L306" t="s">
        <v>17</v>
      </c>
      <c r="M306">
        <v>296</v>
      </c>
      <c r="N306" t="s">
        <v>553</v>
      </c>
    </row>
    <row r="307" spans="1:14" x14ac:dyDescent="0.2">
      <c r="A307" t="s">
        <v>1099</v>
      </c>
      <c r="B307" t="s">
        <v>32</v>
      </c>
      <c r="C307">
        <v>27</v>
      </c>
      <c r="D307">
        <v>13</v>
      </c>
      <c r="E307">
        <v>14</v>
      </c>
      <c r="F307">
        <v>28</v>
      </c>
      <c r="G307">
        <v>13</v>
      </c>
      <c r="H307">
        <v>15</v>
      </c>
      <c r="I307">
        <v>0.15379999999999999</v>
      </c>
      <c r="J307">
        <f t="shared" si="4"/>
        <v>0.39011703511053314</v>
      </c>
      <c r="K307">
        <v>5.9999999999999995E-4</v>
      </c>
      <c r="L307" t="s">
        <v>17</v>
      </c>
      <c r="M307">
        <v>296</v>
      </c>
      <c r="N307" t="s">
        <v>553</v>
      </c>
    </row>
    <row r="308" spans="1:14" x14ac:dyDescent="0.2">
      <c r="A308" t="s">
        <v>1099</v>
      </c>
      <c r="B308" t="s">
        <v>32</v>
      </c>
      <c r="C308">
        <v>28</v>
      </c>
      <c r="D308">
        <v>11</v>
      </c>
      <c r="E308">
        <v>18</v>
      </c>
      <c r="F308">
        <v>29</v>
      </c>
      <c r="G308">
        <v>11</v>
      </c>
      <c r="H308">
        <v>19</v>
      </c>
      <c r="I308">
        <v>0.15759999999999999</v>
      </c>
      <c r="J308">
        <f t="shared" si="4"/>
        <v>0.25380710659898481</v>
      </c>
      <c r="K308">
        <v>4.0000000000000002E-4</v>
      </c>
      <c r="L308" t="s">
        <v>17</v>
      </c>
      <c r="M308">
        <v>296</v>
      </c>
      <c r="N308" t="s">
        <v>553</v>
      </c>
    </row>
    <row r="309" spans="1:14" x14ac:dyDescent="0.2">
      <c r="A309" t="s">
        <v>1099</v>
      </c>
      <c r="B309" t="s">
        <v>32</v>
      </c>
      <c r="C309">
        <v>25</v>
      </c>
      <c r="D309">
        <v>16</v>
      </c>
      <c r="E309">
        <v>9</v>
      </c>
      <c r="F309">
        <v>26</v>
      </c>
      <c r="G309">
        <v>16</v>
      </c>
      <c r="H309">
        <v>10</v>
      </c>
      <c r="I309">
        <v>0.1457</v>
      </c>
      <c r="J309">
        <f t="shared" si="4"/>
        <v>0.34317089910775567</v>
      </c>
      <c r="K309">
        <v>5.0000000000000001E-4</v>
      </c>
      <c r="L309" t="s">
        <v>17</v>
      </c>
      <c r="M309">
        <v>296</v>
      </c>
      <c r="N309" t="s">
        <v>553</v>
      </c>
    </row>
    <row r="310" spans="1:14" x14ac:dyDescent="0.2">
      <c r="A310" t="s">
        <v>1099</v>
      </c>
      <c r="B310" t="s">
        <v>32</v>
      </c>
      <c r="C310">
        <v>30</v>
      </c>
      <c r="D310">
        <v>4</v>
      </c>
      <c r="E310">
        <v>27</v>
      </c>
      <c r="F310">
        <v>31</v>
      </c>
      <c r="G310">
        <v>4</v>
      </c>
      <c r="H310">
        <v>28</v>
      </c>
      <c r="I310">
        <v>0.1686</v>
      </c>
      <c r="J310">
        <f t="shared" si="4"/>
        <v>0.11862396204033215</v>
      </c>
      <c r="K310">
        <v>2.0000000000000001E-4</v>
      </c>
      <c r="L310" t="s">
        <v>17</v>
      </c>
      <c r="M310">
        <v>296</v>
      </c>
      <c r="N310" t="s">
        <v>553</v>
      </c>
    </row>
    <row r="311" spans="1:14" x14ac:dyDescent="0.2">
      <c r="A311" t="s">
        <v>1099</v>
      </c>
      <c r="B311" t="s">
        <v>32</v>
      </c>
      <c r="C311">
        <v>29</v>
      </c>
      <c r="D311">
        <v>8</v>
      </c>
      <c r="E311">
        <v>21</v>
      </c>
      <c r="F311">
        <v>30</v>
      </c>
      <c r="G311">
        <v>8</v>
      </c>
      <c r="H311">
        <v>22</v>
      </c>
      <c r="I311">
        <v>0.17</v>
      </c>
      <c r="J311">
        <f t="shared" si="4"/>
        <v>0.17647058823529407</v>
      </c>
      <c r="K311">
        <v>2.9999999999999997E-4</v>
      </c>
      <c r="L311" t="s">
        <v>17</v>
      </c>
      <c r="M311">
        <v>296</v>
      </c>
      <c r="N311" t="s">
        <v>553</v>
      </c>
    </row>
    <row r="312" spans="1:14" x14ac:dyDescent="0.2">
      <c r="A312" t="s">
        <v>1099</v>
      </c>
      <c r="B312" t="s">
        <v>32</v>
      </c>
      <c r="C312">
        <v>24</v>
      </c>
      <c r="D312">
        <v>17</v>
      </c>
      <c r="E312">
        <v>8</v>
      </c>
      <c r="F312">
        <v>25</v>
      </c>
      <c r="G312">
        <v>17</v>
      </c>
      <c r="H312">
        <v>9</v>
      </c>
      <c r="I312">
        <v>0.13639999999999999</v>
      </c>
      <c r="J312">
        <f t="shared" si="4"/>
        <v>0.5865102639296188</v>
      </c>
      <c r="K312">
        <v>8.0000000000000004E-4</v>
      </c>
      <c r="L312" t="s">
        <v>17</v>
      </c>
      <c r="M312">
        <v>296</v>
      </c>
      <c r="N312" t="s">
        <v>553</v>
      </c>
    </row>
    <row r="313" spans="1:14" x14ac:dyDescent="0.2">
      <c r="A313" t="s">
        <v>1099</v>
      </c>
      <c r="B313" t="s">
        <v>32</v>
      </c>
      <c r="C313">
        <v>26</v>
      </c>
      <c r="D313">
        <v>14</v>
      </c>
      <c r="E313">
        <v>13</v>
      </c>
      <c r="F313">
        <v>27</v>
      </c>
      <c r="G313">
        <v>14</v>
      </c>
      <c r="H313">
        <v>14</v>
      </c>
      <c r="I313">
        <v>0.14799999999999999</v>
      </c>
      <c r="J313">
        <f t="shared" si="4"/>
        <v>0.20270270270270271</v>
      </c>
      <c r="K313">
        <v>2.9999999999999997E-4</v>
      </c>
      <c r="L313" t="s">
        <v>17</v>
      </c>
      <c r="M313">
        <v>296</v>
      </c>
      <c r="N313" t="s">
        <v>553</v>
      </c>
    </row>
    <row r="314" spans="1:14" x14ac:dyDescent="0.2">
      <c r="A314" t="s">
        <v>1099</v>
      </c>
      <c r="B314" t="s">
        <v>32</v>
      </c>
      <c r="C314">
        <v>28</v>
      </c>
      <c r="D314">
        <v>10</v>
      </c>
      <c r="E314">
        <v>19</v>
      </c>
      <c r="F314">
        <v>29</v>
      </c>
      <c r="G314">
        <v>10</v>
      </c>
      <c r="H314">
        <v>20</v>
      </c>
      <c r="I314">
        <v>0.16059999999999999</v>
      </c>
      <c r="J314">
        <f t="shared" si="4"/>
        <v>0.31133250311332505</v>
      </c>
      <c r="K314">
        <v>5.0000000000000001E-4</v>
      </c>
      <c r="L314" t="s">
        <v>17</v>
      </c>
      <c r="M314">
        <v>296</v>
      </c>
      <c r="N314" t="s">
        <v>553</v>
      </c>
    </row>
    <row r="315" spans="1:14" x14ac:dyDescent="0.2">
      <c r="A315" t="s">
        <v>1099</v>
      </c>
      <c r="B315" t="s">
        <v>32</v>
      </c>
      <c r="C315">
        <v>32</v>
      </c>
      <c r="D315">
        <v>1</v>
      </c>
      <c r="E315">
        <v>32</v>
      </c>
      <c r="F315">
        <v>33</v>
      </c>
      <c r="G315">
        <v>1</v>
      </c>
      <c r="H315">
        <v>33</v>
      </c>
      <c r="I315">
        <v>0.15659999999999999</v>
      </c>
      <c r="J315">
        <f t="shared" si="4"/>
        <v>0.31928480204342274</v>
      </c>
      <c r="K315">
        <v>5.0000000000000001E-4</v>
      </c>
      <c r="L315" t="s">
        <v>17</v>
      </c>
      <c r="M315">
        <v>296</v>
      </c>
      <c r="N315" t="s">
        <v>553</v>
      </c>
    </row>
    <row r="316" spans="1:14" x14ac:dyDescent="0.2">
      <c r="A316" t="s">
        <v>1099</v>
      </c>
      <c r="B316" t="s">
        <v>32</v>
      </c>
      <c r="C316">
        <v>29</v>
      </c>
      <c r="D316">
        <v>3</v>
      </c>
      <c r="E316">
        <v>26</v>
      </c>
      <c r="F316">
        <v>30</v>
      </c>
      <c r="G316">
        <v>3</v>
      </c>
      <c r="H316">
        <v>27</v>
      </c>
      <c r="I316">
        <v>0.16009999999999999</v>
      </c>
      <c r="J316">
        <f t="shared" si="4"/>
        <v>0.1249219237976265</v>
      </c>
      <c r="K316">
        <v>2.0000000000000001E-4</v>
      </c>
      <c r="L316" t="s">
        <v>17</v>
      </c>
      <c r="M316">
        <v>296</v>
      </c>
      <c r="N316" t="s">
        <v>553</v>
      </c>
    </row>
    <row r="317" spans="1:14" x14ac:dyDescent="0.2">
      <c r="A317" t="s">
        <v>1099</v>
      </c>
      <c r="B317" t="s">
        <v>32</v>
      </c>
      <c r="C317">
        <v>29</v>
      </c>
      <c r="D317">
        <v>4</v>
      </c>
      <c r="E317">
        <v>25</v>
      </c>
      <c r="F317">
        <v>30</v>
      </c>
      <c r="G317">
        <v>4</v>
      </c>
      <c r="H317">
        <v>26</v>
      </c>
      <c r="I317">
        <v>0.1656</v>
      </c>
      <c r="J317">
        <f t="shared" si="4"/>
        <v>0.12077294685990339</v>
      </c>
      <c r="K317">
        <v>2.0000000000000001E-4</v>
      </c>
      <c r="L317" t="s">
        <v>17</v>
      </c>
      <c r="M317">
        <v>296</v>
      </c>
      <c r="N317" t="s">
        <v>553</v>
      </c>
    </row>
    <row r="318" spans="1:14" x14ac:dyDescent="0.2">
      <c r="A318" t="s">
        <v>1099</v>
      </c>
      <c r="B318" t="s">
        <v>32</v>
      </c>
      <c r="C318">
        <v>30</v>
      </c>
      <c r="D318">
        <v>3</v>
      </c>
      <c r="E318">
        <v>28</v>
      </c>
      <c r="F318">
        <v>31</v>
      </c>
      <c r="G318">
        <v>3</v>
      </c>
      <c r="H318">
        <v>29</v>
      </c>
      <c r="I318">
        <v>0.16500000000000001</v>
      </c>
      <c r="J318">
        <f t="shared" si="4"/>
        <v>0.1818181818181818</v>
      </c>
      <c r="K318">
        <v>2.9999999999999997E-4</v>
      </c>
      <c r="L318" t="s">
        <v>17</v>
      </c>
      <c r="M318">
        <v>296</v>
      </c>
      <c r="N318" t="s">
        <v>553</v>
      </c>
    </row>
    <row r="319" spans="1:14" x14ac:dyDescent="0.2">
      <c r="A319" t="s">
        <v>1099</v>
      </c>
      <c r="B319" t="s">
        <v>32</v>
      </c>
      <c r="C319">
        <v>29</v>
      </c>
      <c r="D319">
        <v>6</v>
      </c>
      <c r="E319">
        <v>23</v>
      </c>
      <c r="F319">
        <v>30</v>
      </c>
      <c r="G319">
        <v>6</v>
      </c>
      <c r="H319">
        <v>24</v>
      </c>
      <c r="I319">
        <v>0.1711</v>
      </c>
      <c r="J319">
        <f t="shared" si="4"/>
        <v>0.23378141437755701</v>
      </c>
      <c r="K319">
        <v>4.0000000000000002E-4</v>
      </c>
      <c r="L319" t="s">
        <v>17</v>
      </c>
      <c r="M319">
        <v>296</v>
      </c>
      <c r="N319" t="s">
        <v>553</v>
      </c>
    </row>
    <row r="320" spans="1:14" x14ac:dyDescent="0.2">
      <c r="A320" t="s">
        <v>1099</v>
      </c>
      <c r="B320" t="s">
        <v>32</v>
      </c>
      <c r="C320">
        <v>25</v>
      </c>
      <c r="D320">
        <v>15</v>
      </c>
      <c r="E320">
        <v>10</v>
      </c>
      <c r="F320">
        <v>26</v>
      </c>
      <c r="G320">
        <v>15</v>
      </c>
      <c r="H320">
        <v>11</v>
      </c>
      <c r="I320">
        <v>0.14360000000000001</v>
      </c>
      <c r="J320">
        <f t="shared" si="4"/>
        <v>0.62674094707520889</v>
      </c>
      <c r="K320">
        <v>8.9999999999999998E-4</v>
      </c>
      <c r="L320" t="s">
        <v>17</v>
      </c>
      <c r="M320">
        <v>296</v>
      </c>
      <c r="N320" t="s">
        <v>553</v>
      </c>
    </row>
    <row r="321" spans="1:14" x14ac:dyDescent="0.2">
      <c r="A321" t="s">
        <v>1099</v>
      </c>
      <c r="B321" t="s">
        <v>32</v>
      </c>
      <c r="C321">
        <v>29</v>
      </c>
      <c r="D321">
        <v>5</v>
      </c>
      <c r="E321">
        <v>24</v>
      </c>
      <c r="F321">
        <v>30</v>
      </c>
      <c r="G321">
        <v>5</v>
      </c>
      <c r="H321">
        <v>25</v>
      </c>
      <c r="I321">
        <v>0.16789999999999999</v>
      </c>
      <c r="J321">
        <f t="shared" si="4"/>
        <v>0.17867778439547349</v>
      </c>
      <c r="K321">
        <v>2.9999999999999997E-4</v>
      </c>
      <c r="L321" t="s">
        <v>17</v>
      </c>
      <c r="M321">
        <v>296</v>
      </c>
      <c r="N321" t="s">
        <v>553</v>
      </c>
    </row>
    <row r="322" spans="1:14" x14ac:dyDescent="0.2">
      <c r="A322" t="s">
        <v>1099</v>
      </c>
      <c r="B322" t="s">
        <v>32</v>
      </c>
      <c r="C322">
        <v>26</v>
      </c>
      <c r="D322">
        <v>13</v>
      </c>
      <c r="E322">
        <v>14</v>
      </c>
      <c r="F322">
        <v>27</v>
      </c>
      <c r="G322">
        <v>13</v>
      </c>
      <c r="H322">
        <v>15</v>
      </c>
      <c r="I322">
        <v>0.14480000000000001</v>
      </c>
      <c r="J322">
        <f t="shared" si="4"/>
        <v>0.27624309392265189</v>
      </c>
      <c r="K322">
        <v>4.0000000000000002E-4</v>
      </c>
      <c r="L322" t="s">
        <v>17</v>
      </c>
      <c r="M322">
        <v>296</v>
      </c>
      <c r="N322" t="s">
        <v>553</v>
      </c>
    </row>
    <row r="323" spans="1:14" x14ac:dyDescent="0.2">
      <c r="A323" t="s">
        <v>1099</v>
      </c>
      <c r="B323" t="s">
        <v>32</v>
      </c>
      <c r="C323">
        <v>27</v>
      </c>
      <c r="D323">
        <v>11</v>
      </c>
      <c r="E323">
        <v>16</v>
      </c>
      <c r="F323">
        <v>28</v>
      </c>
      <c r="G323">
        <v>11</v>
      </c>
      <c r="H323">
        <v>17</v>
      </c>
      <c r="I323">
        <v>0.1545</v>
      </c>
      <c r="J323">
        <f t="shared" ref="J323:J386" si="5">K323/I323*100</f>
        <v>0.1941747572815534</v>
      </c>
      <c r="K323">
        <v>2.9999999999999997E-4</v>
      </c>
      <c r="L323" t="s">
        <v>17</v>
      </c>
      <c r="M323">
        <v>296</v>
      </c>
      <c r="N323" t="s">
        <v>553</v>
      </c>
    </row>
    <row r="324" spans="1:14" x14ac:dyDescent="0.2">
      <c r="A324" t="s">
        <v>1099</v>
      </c>
      <c r="B324" t="s">
        <v>32</v>
      </c>
      <c r="C324">
        <v>28</v>
      </c>
      <c r="D324">
        <v>8</v>
      </c>
      <c r="E324">
        <v>21</v>
      </c>
      <c r="F324">
        <v>29</v>
      </c>
      <c r="G324">
        <v>8</v>
      </c>
      <c r="H324">
        <v>22</v>
      </c>
      <c r="I324">
        <v>0.16669999999999999</v>
      </c>
      <c r="J324">
        <f t="shared" si="5"/>
        <v>0.11997600479904021</v>
      </c>
      <c r="K324">
        <v>2.0000000000000001E-4</v>
      </c>
      <c r="L324" t="s">
        <v>17</v>
      </c>
      <c r="M324">
        <v>296</v>
      </c>
      <c r="N324" t="s">
        <v>553</v>
      </c>
    </row>
    <row r="325" spans="1:14" x14ac:dyDescent="0.2">
      <c r="A325" t="s">
        <v>1099</v>
      </c>
      <c r="B325" t="s">
        <v>32</v>
      </c>
      <c r="C325">
        <v>23</v>
      </c>
      <c r="D325">
        <v>17</v>
      </c>
      <c r="E325">
        <v>6</v>
      </c>
      <c r="F325">
        <v>24</v>
      </c>
      <c r="G325">
        <v>17</v>
      </c>
      <c r="H325">
        <v>7</v>
      </c>
      <c r="I325">
        <v>0.14460000000000001</v>
      </c>
      <c r="J325">
        <f t="shared" si="5"/>
        <v>0.48409405255878285</v>
      </c>
      <c r="K325">
        <v>6.9999999999999999E-4</v>
      </c>
      <c r="L325" t="s">
        <v>17</v>
      </c>
      <c r="M325">
        <v>296</v>
      </c>
      <c r="N325" t="s">
        <v>553</v>
      </c>
    </row>
    <row r="326" spans="1:14" x14ac:dyDescent="0.2">
      <c r="A326" t="s">
        <v>1099</v>
      </c>
      <c r="B326" t="s">
        <v>32</v>
      </c>
      <c r="C326">
        <v>29</v>
      </c>
      <c r="D326">
        <v>2</v>
      </c>
      <c r="E326">
        <v>27</v>
      </c>
      <c r="F326">
        <v>30</v>
      </c>
      <c r="G326">
        <v>2</v>
      </c>
      <c r="H326">
        <v>28</v>
      </c>
      <c r="I326">
        <v>0.16569999999999999</v>
      </c>
      <c r="J326">
        <f t="shared" si="5"/>
        <v>0.18105009052504525</v>
      </c>
      <c r="K326">
        <v>2.9999999999999997E-4</v>
      </c>
      <c r="L326" t="s">
        <v>17</v>
      </c>
      <c r="M326">
        <v>296</v>
      </c>
      <c r="N326" t="s">
        <v>553</v>
      </c>
    </row>
    <row r="327" spans="1:14" x14ac:dyDescent="0.2">
      <c r="A327" t="s">
        <v>1099</v>
      </c>
      <c r="B327" t="s">
        <v>32</v>
      </c>
      <c r="C327">
        <v>31</v>
      </c>
      <c r="D327">
        <v>0</v>
      </c>
      <c r="E327">
        <v>31</v>
      </c>
      <c r="F327">
        <v>32</v>
      </c>
      <c r="G327">
        <v>0</v>
      </c>
      <c r="H327">
        <v>32</v>
      </c>
      <c r="I327">
        <v>0.15290000000000001</v>
      </c>
      <c r="J327">
        <f t="shared" si="5"/>
        <v>0.13080444735120994</v>
      </c>
      <c r="K327">
        <v>2.0000000000000001E-4</v>
      </c>
      <c r="L327" t="s">
        <v>17</v>
      </c>
      <c r="M327">
        <v>296</v>
      </c>
      <c r="N327" t="s">
        <v>553</v>
      </c>
    </row>
    <row r="328" spans="1:14" x14ac:dyDescent="0.2">
      <c r="A328" t="s">
        <v>1099</v>
      </c>
      <c r="B328" t="s">
        <v>32</v>
      </c>
      <c r="C328">
        <v>27</v>
      </c>
      <c r="D328">
        <v>10</v>
      </c>
      <c r="E328">
        <v>17</v>
      </c>
      <c r="F328">
        <v>28</v>
      </c>
      <c r="G328">
        <v>10</v>
      </c>
      <c r="H328">
        <v>18</v>
      </c>
      <c r="I328">
        <v>0.1565</v>
      </c>
      <c r="J328">
        <f t="shared" si="5"/>
        <v>0.19169329073482427</v>
      </c>
      <c r="K328">
        <v>2.9999999999999997E-4</v>
      </c>
      <c r="L328" t="s">
        <v>17</v>
      </c>
      <c r="M328">
        <v>296</v>
      </c>
      <c r="N328" t="s">
        <v>553</v>
      </c>
    </row>
    <row r="329" spans="1:14" x14ac:dyDescent="0.2">
      <c r="A329" t="s">
        <v>1099</v>
      </c>
      <c r="B329" t="s">
        <v>32</v>
      </c>
      <c r="C329">
        <v>30</v>
      </c>
      <c r="D329">
        <v>2</v>
      </c>
      <c r="E329">
        <v>29</v>
      </c>
      <c r="F329">
        <v>31</v>
      </c>
      <c r="G329">
        <v>2</v>
      </c>
      <c r="H329">
        <v>30</v>
      </c>
      <c r="I329">
        <v>0.15820000000000001</v>
      </c>
      <c r="J329">
        <f t="shared" si="5"/>
        <v>0.12642225031605564</v>
      </c>
      <c r="K329">
        <v>2.0000000000000001E-4</v>
      </c>
      <c r="L329" t="s">
        <v>17</v>
      </c>
      <c r="M329">
        <v>296</v>
      </c>
      <c r="N329" t="s">
        <v>553</v>
      </c>
    </row>
    <row r="330" spans="1:14" x14ac:dyDescent="0.2">
      <c r="A330" t="s">
        <v>1099</v>
      </c>
      <c r="B330" t="s">
        <v>32</v>
      </c>
      <c r="C330">
        <v>26</v>
      </c>
      <c r="D330">
        <v>12</v>
      </c>
      <c r="E330">
        <v>15</v>
      </c>
      <c r="F330">
        <v>27</v>
      </c>
      <c r="G330">
        <v>12</v>
      </c>
      <c r="H330">
        <v>16</v>
      </c>
      <c r="I330">
        <v>0.16350000000000001</v>
      </c>
      <c r="J330">
        <f t="shared" si="5"/>
        <v>0.9785932721712538</v>
      </c>
      <c r="K330">
        <v>1.6000000000000001E-3</v>
      </c>
      <c r="L330" t="s">
        <v>17</v>
      </c>
      <c r="M330">
        <v>296</v>
      </c>
      <c r="N330" t="s">
        <v>553</v>
      </c>
    </row>
    <row r="331" spans="1:14" x14ac:dyDescent="0.2">
      <c r="A331" t="s">
        <v>1099</v>
      </c>
      <c r="B331" t="s">
        <v>32</v>
      </c>
      <c r="C331">
        <v>28</v>
      </c>
      <c r="D331">
        <v>7</v>
      </c>
      <c r="E331">
        <v>22</v>
      </c>
      <c r="F331">
        <v>29</v>
      </c>
      <c r="G331">
        <v>7</v>
      </c>
      <c r="H331">
        <v>23</v>
      </c>
      <c r="I331">
        <v>0.16489999999999999</v>
      </c>
      <c r="J331">
        <f t="shared" si="5"/>
        <v>0.3638568829593693</v>
      </c>
      <c r="K331">
        <v>5.9999999999999995E-4</v>
      </c>
      <c r="L331" t="s">
        <v>17</v>
      </c>
      <c r="M331">
        <v>296</v>
      </c>
      <c r="N331" t="s">
        <v>553</v>
      </c>
    </row>
    <row r="332" spans="1:14" x14ac:dyDescent="0.2">
      <c r="A332" t="s">
        <v>1099</v>
      </c>
      <c r="B332" t="s">
        <v>32</v>
      </c>
      <c r="C332">
        <v>24</v>
      </c>
      <c r="D332">
        <v>15</v>
      </c>
      <c r="E332">
        <v>10</v>
      </c>
      <c r="F332">
        <v>25</v>
      </c>
      <c r="G332">
        <v>15</v>
      </c>
      <c r="H332">
        <v>11</v>
      </c>
      <c r="I332">
        <v>0.13980000000000001</v>
      </c>
      <c r="J332">
        <f t="shared" si="5"/>
        <v>0.28612303290414876</v>
      </c>
      <c r="K332">
        <v>4.0000000000000002E-4</v>
      </c>
      <c r="L332" t="s">
        <v>17</v>
      </c>
      <c r="M332">
        <v>296</v>
      </c>
      <c r="N332" t="s">
        <v>553</v>
      </c>
    </row>
    <row r="333" spans="1:14" x14ac:dyDescent="0.2">
      <c r="A333" t="s">
        <v>1099</v>
      </c>
      <c r="B333" t="s">
        <v>32</v>
      </c>
      <c r="C333">
        <v>28</v>
      </c>
      <c r="D333">
        <v>6</v>
      </c>
      <c r="E333">
        <v>23</v>
      </c>
      <c r="F333">
        <v>29</v>
      </c>
      <c r="G333">
        <v>6</v>
      </c>
      <c r="H333">
        <v>24</v>
      </c>
      <c r="I333">
        <v>0.17219999999999999</v>
      </c>
      <c r="J333">
        <f t="shared" si="5"/>
        <v>0.29036004645760743</v>
      </c>
      <c r="K333">
        <v>5.0000000000000001E-4</v>
      </c>
      <c r="L333" t="s">
        <v>17</v>
      </c>
      <c r="M333">
        <v>296</v>
      </c>
      <c r="N333" t="s">
        <v>553</v>
      </c>
    </row>
    <row r="334" spans="1:14" x14ac:dyDescent="0.2">
      <c r="A334" t="s">
        <v>1099</v>
      </c>
      <c r="B334" t="s">
        <v>32</v>
      </c>
      <c r="C334">
        <v>27</v>
      </c>
      <c r="D334">
        <v>9</v>
      </c>
      <c r="E334">
        <v>18</v>
      </c>
      <c r="F334">
        <v>28</v>
      </c>
      <c r="G334">
        <v>9</v>
      </c>
      <c r="H334">
        <v>19</v>
      </c>
      <c r="I334">
        <v>0.15759999999999999</v>
      </c>
      <c r="J334">
        <f t="shared" si="5"/>
        <v>0.19035532994923857</v>
      </c>
      <c r="K334">
        <v>2.9999999999999997E-4</v>
      </c>
      <c r="L334" t="s">
        <v>17</v>
      </c>
      <c r="M334">
        <v>296</v>
      </c>
      <c r="N334" t="s">
        <v>553</v>
      </c>
    </row>
    <row r="335" spans="1:14" x14ac:dyDescent="0.2">
      <c r="A335" t="s">
        <v>1099</v>
      </c>
      <c r="B335" t="s">
        <v>32</v>
      </c>
      <c r="C335">
        <v>28</v>
      </c>
      <c r="D335">
        <v>5</v>
      </c>
      <c r="E335">
        <v>24</v>
      </c>
      <c r="F335">
        <v>29</v>
      </c>
      <c r="G335">
        <v>5</v>
      </c>
      <c r="H335">
        <v>25</v>
      </c>
      <c r="I335">
        <v>0.1731</v>
      </c>
      <c r="J335">
        <f t="shared" si="5"/>
        <v>0.40439052570768341</v>
      </c>
      <c r="K335">
        <v>6.9999999999999999E-4</v>
      </c>
      <c r="L335" t="s">
        <v>17</v>
      </c>
      <c r="M335">
        <v>296</v>
      </c>
      <c r="N335" t="s">
        <v>553</v>
      </c>
    </row>
    <row r="336" spans="1:14" x14ac:dyDescent="0.2">
      <c r="A336" t="s">
        <v>1099</v>
      </c>
      <c r="B336" t="s">
        <v>32</v>
      </c>
      <c r="C336">
        <v>25</v>
      </c>
      <c r="D336">
        <v>13</v>
      </c>
      <c r="E336">
        <v>12</v>
      </c>
      <c r="F336">
        <v>26</v>
      </c>
      <c r="G336">
        <v>13</v>
      </c>
      <c r="H336">
        <v>13</v>
      </c>
      <c r="I336">
        <v>0.15440000000000001</v>
      </c>
      <c r="J336">
        <f t="shared" si="5"/>
        <v>0.38860103626942999</v>
      </c>
      <c r="K336">
        <v>5.9999999999999995E-4</v>
      </c>
      <c r="L336" t="s">
        <v>17</v>
      </c>
      <c r="M336">
        <v>296</v>
      </c>
      <c r="N336" t="s">
        <v>553</v>
      </c>
    </row>
    <row r="337" spans="1:14" x14ac:dyDescent="0.2">
      <c r="A337" t="s">
        <v>1099</v>
      </c>
      <c r="B337" t="s">
        <v>32</v>
      </c>
      <c r="C337">
        <v>26</v>
      </c>
      <c r="D337">
        <v>11</v>
      </c>
      <c r="E337">
        <v>16</v>
      </c>
      <c r="F337">
        <v>27</v>
      </c>
      <c r="G337">
        <v>11</v>
      </c>
      <c r="H337">
        <v>17</v>
      </c>
      <c r="I337">
        <v>0.16159999999999999</v>
      </c>
      <c r="J337">
        <f t="shared" si="5"/>
        <v>0.55693069306930687</v>
      </c>
      <c r="K337">
        <v>8.9999999999999998E-4</v>
      </c>
      <c r="L337" t="s">
        <v>17</v>
      </c>
      <c r="M337">
        <v>296</v>
      </c>
      <c r="N337" t="s">
        <v>553</v>
      </c>
    </row>
    <row r="338" spans="1:14" x14ac:dyDescent="0.2">
      <c r="A338" t="s">
        <v>1099</v>
      </c>
      <c r="B338" t="s">
        <v>32</v>
      </c>
      <c r="C338">
        <v>28</v>
      </c>
      <c r="D338">
        <v>4</v>
      </c>
      <c r="E338">
        <v>25</v>
      </c>
      <c r="F338">
        <v>29</v>
      </c>
      <c r="G338">
        <v>4</v>
      </c>
      <c r="H338">
        <v>26</v>
      </c>
      <c r="I338">
        <v>0.1638</v>
      </c>
      <c r="J338">
        <f t="shared" si="5"/>
        <v>0.18315018315018314</v>
      </c>
      <c r="K338">
        <v>2.9999999999999997E-4</v>
      </c>
      <c r="L338" t="s">
        <v>17</v>
      </c>
      <c r="M338">
        <v>296</v>
      </c>
      <c r="N338" t="s">
        <v>553</v>
      </c>
    </row>
    <row r="339" spans="1:14" x14ac:dyDescent="0.2">
      <c r="A339" t="s">
        <v>1099</v>
      </c>
      <c r="B339" t="s">
        <v>32</v>
      </c>
      <c r="C339">
        <v>27</v>
      </c>
      <c r="D339">
        <v>8</v>
      </c>
      <c r="E339">
        <v>19</v>
      </c>
      <c r="F339">
        <v>28</v>
      </c>
      <c r="G339">
        <v>8</v>
      </c>
      <c r="H339">
        <v>20</v>
      </c>
      <c r="I339">
        <v>0.157</v>
      </c>
      <c r="J339">
        <f t="shared" si="5"/>
        <v>0.19108280254777069</v>
      </c>
      <c r="K339">
        <v>2.9999999999999997E-4</v>
      </c>
      <c r="L339" t="s">
        <v>17</v>
      </c>
      <c r="M339">
        <v>296</v>
      </c>
      <c r="N339" t="s">
        <v>553</v>
      </c>
    </row>
    <row r="340" spans="1:14" x14ac:dyDescent="0.2">
      <c r="A340" t="s">
        <v>1099</v>
      </c>
      <c r="B340" t="s">
        <v>32</v>
      </c>
      <c r="C340">
        <v>30</v>
      </c>
      <c r="D340">
        <v>1</v>
      </c>
      <c r="E340">
        <v>30</v>
      </c>
      <c r="F340">
        <v>31</v>
      </c>
      <c r="G340">
        <v>1</v>
      </c>
      <c r="H340">
        <v>31</v>
      </c>
      <c r="I340">
        <v>0.14660000000000001</v>
      </c>
      <c r="J340">
        <f t="shared" si="5"/>
        <v>0.13642564802182811</v>
      </c>
      <c r="K340">
        <v>2.0000000000000001E-4</v>
      </c>
      <c r="L340" t="s">
        <v>17</v>
      </c>
      <c r="M340">
        <v>296</v>
      </c>
      <c r="N340" t="s">
        <v>553</v>
      </c>
    </row>
    <row r="341" spans="1:14" x14ac:dyDescent="0.2">
      <c r="A341" t="s">
        <v>1099</v>
      </c>
      <c r="B341" t="s">
        <v>32</v>
      </c>
      <c r="C341">
        <v>29</v>
      </c>
      <c r="D341">
        <v>1</v>
      </c>
      <c r="E341">
        <v>28</v>
      </c>
      <c r="F341">
        <v>30</v>
      </c>
      <c r="G341">
        <v>1</v>
      </c>
      <c r="H341">
        <v>29</v>
      </c>
      <c r="I341">
        <v>0.159</v>
      </c>
      <c r="J341">
        <f t="shared" si="5"/>
        <v>0.12578616352201258</v>
      </c>
      <c r="K341">
        <v>2.0000000000000001E-4</v>
      </c>
      <c r="L341" t="s">
        <v>17</v>
      </c>
      <c r="M341">
        <v>296</v>
      </c>
      <c r="N341" t="s">
        <v>553</v>
      </c>
    </row>
    <row r="342" spans="1:14" x14ac:dyDescent="0.2">
      <c r="A342" t="s">
        <v>1099</v>
      </c>
      <c r="B342" t="s">
        <v>32</v>
      </c>
      <c r="C342">
        <v>26</v>
      </c>
      <c r="D342">
        <v>10</v>
      </c>
      <c r="E342">
        <v>17</v>
      </c>
      <c r="F342">
        <v>27</v>
      </c>
      <c r="G342">
        <v>10</v>
      </c>
      <c r="H342">
        <v>18</v>
      </c>
      <c r="I342">
        <v>0.16400000000000001</v>
      </c>
      <c r="J342">
        <f t="shared" si="5"/>
        <v>0.18292682926829265</v>
      </c>
      <c r="K342">
        <v>2.9999999999999997E-4</v>
      </c>
      <c r="L342" t="s">
        <v>17</v>
      </c>
      <c r="M342">
        <v>296</v>
      </c>
      <c r="N342" t="s">
        <v>553</v>
      </c>
    </row>
    <row r="343" spans="1:14" x14ac:dyDescent="0.2">
      <c r="A343" t="s">
        <v>1099</v>
      </c>
      <c r="B343" t="s">
        <v>32</v>
      </c>
      <c r="C343">
        <v>25</v>
      </c>
      <c r="D343">
        <v>12</v>
      </c>
      <c r="E343">
        <v>13</v>
      </c>
      <c r="F343">
        <v>26</v>
      </c>
      <c r="G343">
        <v>12</v>
      </c>
      <c r="H343">
        <v>14</v>
      </c>
      <c r="I343">
        <v>0.15970000000000001</v>
      </c>
      <c r="J343">
        <f t="shared" si="5"/>
        <v>0.25046963055729493</v>
      </c>
      <c r="K343">
        <v>4.0000000000000002E-4</v>
      </c>
      <c r="L343" t="s">
        <v>17</v>
      </c>
      <c r="M343">
        <v>296</v>
      </c>
      <c r="N343" t="s">
        <v>553</v>
      </c>
    </row>
    <row r="344" spans="1:14" x14ac:dyDescent="0.2">
      <c r="A344" t="s">
        <v>1099</v>
      </c>
      <c r="B344" t="s">
        <v>32</v>
      </c>
      <c r="C344">
        <v>27</v>
      </c>
      <c r="D344">
        <v>7</v>
      </c>
      <c r="E344">
        <v>20</v>
      </c>
      <c r="F344">
        <v>28</v>
      </c>
      <c r="G344">
        <v>7</v>
      </c>
      <c r="H344">
        <v>21</v>
      </c>
      <c r="I344">
        <v>0.17349999999999999</v>
      </c>
      <c r="J344">
        <f t="shared" si="5"/>
        <v>0.11527377521613834</v>
      </c>
      <c r="K344">
        <v>2.0000000000000001E-4</v>
      </c>
      <c r="L344" t="s">
        <v>17</v>
      </c>
      <c r="M344">
        <v>296</v>
      </c>
      <c r="N344" t="s">
        <v>553</v>
      </c>
    </row>
    <row r="345" spans="1:14" x14ac:dyDescent="0.2">
      <c r="A345" t="s">
        <v>1099</v>
      </c>
      <c r="B345" t="s">
        <v>32</v>
      </c>
      <c r="C345">
        <v>28</v>
      </c>
      <c r="D345">
        <v>3</v>
      </c>
      <c r="E345">
        <v>26</v>
      </c>
      <c r="F345">
        <v>29</v>
      </c>
      <c r="G345">
        <v>3</v>
      </c>
      <c r="H345">
        <v>27</v>
      </c>
      <c r="I345">
        <v>0.1673</v>
      </c>
      <c r="J345">
        <f t="shared" si="5"/>
        <v>0.11954572624028692</v>
      </c>
      <c r="K345">
        <v>2.0000000000000001E-4</v>
      </c>
      <c r="L345" t="s">
        <v>17</v>
      </c>
      <c r="M345">
        <v>296</v>
      </c>
      <c r="N345" t="s">
        <v>553</v>
      </c>
    </row>
    <row r="346" spans="1:14" x14ac:dyDescent="0.2">
      <c r="A346" t="s">
        <v>1099</v>
      </c>
      <c r="B346" t="s">
        <v>32</v>
      </c>
      <c r="C346">
        <v>27</v>
      </c>
      <c r="D346">
        <v>3</v>
      </c>
      <c r="E346">
        <v>24</v>
      </c>
      <c r="F346">
        <v>28</v>
      </c>
      <c r="G346">
        <v>3</v>
      </c>
      <c r="H346">
        <v>25</v>
      </c>
      <c r="I346">
        <v>0.1787</v>
      </c>
      <c r="J346">
        <f t="shared" si="5"/>
        <v>0.16787912702853944</v>
      </c>
      <c r="K346">
        <v>2.9999999999999997E-4</v>
      </c>
      <c r="L346" t="s">
        <v>17</v>
      </c>
      <c r="M346">
        <v>296</v>
      </c>
      <c r="N346" t="s">
        <v>553</v>
      </c>
    </row>
    <row r="347" spans="1:14" x14ac:dyDescent="0.2">
      <c r="A347" t="s">
        <v>1099</v>
      </c>
      <c r="B347" t="s">
        <v>32</v>
      </c>
      <c r="C347">
        <v>23</v>
      </c>
      <c r="D347">
        <v>15</v>
      </c>
      <c r="E347">
        <v>8</v>
      </c>
      <c r="F347">
        <v>24</v>
      </c>
      <c r="G347">
        <v>15</v>
      </c>
      <c r="H347">
        <v>9</v>
      </c>
      <c r="I347">
        <v>0.15529999999999999</v>
      </c>
      <c r="J347">
        <f t="shared" si="5"/>
        <v>0.45074050225370249</v>
      </c>
      <c r="K347">
        <v>6.9999999999999999E-4</v>
      </c>
      <c r="L347" t="s">
        <v>17</v>
      </c>
      <c r="M347">
        <v>296</v>
      </c>
      <c r="N347" t="s">
        <v>553</v>
      </c>
    </row>
    <row r="348" spans="1:14" x14ac:dyDescent="0.2">
      <c r="A348" t="s">
        <v>1099</v>
      </c>
      <c r="B348" t="s">
        <v>32</v>
      </c>
      <c r="C348">
        <v>27</v>
      </c>
      <c r="D348">
        <v>6</v>
      </c>
      <c r="E348">
        <v>21</v>
      </c>
      <c r="F348">
        <v>28</v>
      </c>
      <c r="G348">
        <v>6</v>
      </c>
      <c r="H348">
        <v>22</v>
      </c>
      <c r="I348">
        <v>0.1696</v>
      </c>
      <c r="J348">
        <f t="shared" si="5"/>
        <v>5.8962264150943397E-2</v>
      </c>
      <c r="K348">
        <v>1E-4</v>
      </c>
      <c r="L348" t="s">
        <v>17</v>
      </c>
      <c r="M348">
        <v>296</v>
      </c>
      <c r="N348" t="s">
        <v>553</v>
      </c>
    </row>
    <row r="349" spans="1:14" x14ac:dyDescent="0.2">
      <c r="A349" t="s">
        <v>1099</v>
      </c>
      <c r="B349" t="s">
        <v>32</v>
      </c>
      <c r="C349">
        <v>27</v>
      </c>
      <c r="D349">
        <v>4</v>
      </c>
      <c r="E349">
        <v>23</v>
      </c>
      <c r="F349">
        <v>28</v>
      </c>
      <c r="G349">
        <v>4</v>
      </c>
      <c r="H349">
        <v>24</v>
      </c>
      <c r="I349">
        <v>0.17280000000000001</v>
      </c>
      <c r="J349">
        <f t="shared" si="5"/>
        <v>0.11574074074074073</v>
      </c>
      <c r="K349">
        <v>2.0000000000000001E-4</v>
      </c>
      <c r="L349" t="s">
        <v>17</v>
      </c>
      <c r="M349">
        <v>296</v>
      </c>
      <c r="N349" t="s">
        <v>553</v>
      </c>
    </row>
    <row r="350" spans="1:14" x14ac:dyDescent="0.2">
      <c r="A350" t="s">
        <v>1099</v>
      </c>
      <c r="B350" t="s">
        <v>32</v>
      </c>
      <c r="C350">
        <v>26</v>
      </c>
      <c r="D350">
        <v>9</v>
      </c>
      <c r="E350">
        <v>18</v>
      </c>
      <c r="F350">
        <v>27</v>
      </c>
      <c r="G350">
        <v>9</v>
      </c>
      <c r="H350">
        <v>19</v>
      </c>
      <c r="I350">
        <v>0.16370000000000001</v>
      </c>
      <c r="J350">
        <f t="shared" si="5"/>
        <v>0.18326206475259618</v>
      </c>
      <c r="K350">
        <v>2.9999999999999997E-4</v>
      </c>
      <c r="L350" t="s">
        <v>17</v>
      </c>
      <c r="M350">
        <v>296</v>
      </c>
      <c r="N350" t="s">
        <v>553</v>
      </c>
    </row>
    <row r="351" spans="1:14" x14ac:dyDescent="0.2">
      <c r="A351" t="s">
        <v>1099</v>
      </c>
      <c r="B351" t="s">
        <v>32</v>
      </c>
      <c r="C351">
        <v>27</v>
      </c>
      <c r="D351">
        <v>5</v>
      </c>
      <c r="E351">
        <v>22</v>
      </c>
      <c r="F351">
        <v>28</v>
      </c>
      <c r="G351">
        <v>5</v>
      </c>
      <c r="H351">
        <v>23</v>
      </c>
      <c r="I351">
        <v>0.17030000000000001</v>
      </c>
      <c r="J351">
        <f t="shared" si="5"/>
        <v>0.17615971814445094</v>
      </c>
      <c r="K351">
        <v>2.9999999999999997E-4</v>
      </c>
      <c r="L351" t="s">
        <v>17</v>
      </c>
      <c r="M351">
        <v>296</v>
      </c>
      <c r="N351" t="s">
        <v>553</v>
      </c>
    </row>
    <row r="352" spans="1:14" x14ac:dyDescent="0.2">
      <c r="A352" t="s">
        <v>1099</v>
      </c>
      <c r="B352" t="s">
        <v>32</v>
      </c>
      <c r="C352">
        <v>24</v>
      </c>
      <c r="D352">
        <v>13</v>
      </c>
      <c r="E352">
        <v>12</v>
      </c>
      <c r="F352">
        <v>25</v>
      </c>
      <c r="G352">
        <v>13</v>
      </c>
      <c r="H352">
        <v>13</v>
      </c>
      <c r="I352">
        <v>0.15690000000000001</v>
      </c>
      <c r="J352">
        <f t="shared" si="5"/>
        <v>0.44614404079031222</v>
      </c>
      <c r="K352">
        <v>6.9999999999999999E-4</v>
      </c>
      <c r="L352" t="s">
        <v>17</v>
      </c>
      <c r="M352">
        <v>296</v>
      </c>
      <c r="N352" t="s">
        <v>553</v>
      </c>
    </row>
    <row r="353" spans="1:14" x14ac:dyDescent="0.2">
      <c r="A353" t="s">
        <v>1099</v>
      </c>
      <c r="B353" t="s">
        <v>32</v>
      </c>
      <c r="C353">
        <v>25</v>
      </c>
      <c r="D353">
        <v>11</v>
      </c>
      <c r="E353">
        <v>14</v>
      </c>
      <c r="F353">
        <v>26</v>
      </c>
      <c r="G353">
        <v>11</v>
      </c>
      <c r="H353">
        <v>15</v>
      </c>
      <c r="I353">
        <v>0.15840000000000001</v>
      </c>
      <c r="J353">
        <f t="shared" si="5"/>
        <v>0.31565656565656564</v>
      </c>
      <c r="K353">
        <v>5.0000000000000001E-4</v>
      </c>
      <c r="L353" t="s">
        <v>17</v>
      </c>
      <c r="M353">
        <v>296</v>
      </c>
      <c r="N353" t="s">
        <v>553</v>
      </c>
    </row>
    <row r="354" spans="1:14" x14ac:dyDescent="0.2">
      <c r="A354" t="s">
        <v>1099</v>
      </c>
      <c r="B354" t="s">
        <v>32</v>
      </c>
      <c r="C354">
        <v>27</v>
      </c>
      <c r="D354">
        <v>2</v>
      </c>
      <c r="E354">
        <v>25</v>
      </c>
      <c r="F354">
        <v>28</v>
      </c>
      <c r="G354">
        <v>2</v>
      </c>
      <c r="H354">
        <v>26</v>
      </c>
      <c r="I354">
        <v>0.1787</v>
      </c>
      <c r="J354">
        <f t="shared" si="5"/>
        <v>0.11191941801902631</v>
      </c>
      <c r="K354">
        <v>2.0000000000000001E-4</v>
      </c>
      <c r="L354" t="s">
        <v>17</v>
      </c>
      <c r="M354">
        <v>296</v>
      </c>
      <c r="N354" t="s">
        <v>553</v>
      </c>
    </row>
    <row r="355" spans="1:14" x14ac:dyDescent="0.2">
      <c r="A355" t="s">
        <v>1099</v>
      </c>
      <c r="B355" t="s">
        <v>32</v>
      </c>
      <c r="C355">
        <v>23</v>
      </c>
      <c r="D355">
        <v>14</v>
      </c>
      <c r="E355">
        <v>9</v>
      </c>
      <c r="F355">
        <v>24</v>
      </c>
      <c r="G355">
        <v>14</v>
      </c>
      <c r="H355">
        <v>10</v>
      </c>
      <c r="I355">
        <v>0.14280000000000001</v>
      </c>
      <c r="J355">
        <f t="shared" si="5"/>
        <v>0.35014005602240894</v>
      </c>
      <c r="K355">
        <v>5.0000000000000001E-4</v>
      </c>
      <c r="L355" t="s">
        <v>17</v>
      </c>
      <c r="M355">
        <v>296</v>
      </c>
      <c r="N355" t="s">
        <v>553</v>
      </c>
    </row>
    <row r="356" spans="1:14" x14ac:dyDescent="0.2">
      <c r="A356" t="s">
        <v>1099</v>
      </c>
      <c r="B356" t="s">
        <v>32</v>
      </c>
      <c r="C356">
        <v>29</v>
      </c>
      <c r="D356">
        <v>0</v>
      </c>
      <c r="E356">
        <v>29</v>
      </c>
      <c r="F356">
        <v>30</v>
      </c>
      <c r="G356">
        <v>0</v>
      </c>
      <c r="H356">
        <v>30</v>
      </c>
      <c r="I356">
        <v>0.1525</v>
      </c>
      <c r="J356">
        <f t="shared" si="5"/>
        <v>0.13114754098360656</v>
      </c>
      <c r="K356">
        <v>2.0000000000000001E-4</v>
      </c>
      <c r="L356" t="s">
        <v>17</v>
      </c>
      <c r="M356">
        <v>296</v>
      </c>
      <c r="N356" t="s">
        <v>553</v>
      </c>
    </row>
    <row r="357" spans="1:14" x14ac:dyDescent="0.2">
      <c r="A357" t="s">
        <v>1099</v>
      </c>
      <c r="B357" t="s">
        <v>32</v>
      </c>
      <c r="C357">
        <v>28</v>
      </c>
      <c r="D357">
        <v>2</v>
      </c>
      <c r="E357">
        <v>27</v>
      </c>
      <c r="F357">
        <v>29</v>
      </c>
      <c r="G357">
        <v>2</v>
      </c>
      <c r="H357">
        <v>28</v>
      </c>
      <c r="I357">
        <v>0.16</v>
      </c>
      <c r="J357">
        <f t="shared" si="5"/>
        <v>0.125</v>
      </c>
      <c r="K357">
        <v>2.0000000000000001E-4</v>
      </c>
      <c r="L357" t="s">
        <v>17</v>
      </c>
      <c r="M357">
        <v>296</v>
      </c>
      <c r="N357" t="s">
        <v>553</v>
      </c>
    </row>
    <row r="358" spans="1:14" x14ac:dyDescent="0.2">
      <c r="A358" t="s">
        <v>1099</v>
      </c>
      <c r="B358" t="s">
        <v>32</v>
      </c>
      <c r="C358">
        <v>25</v>
      </c>
      <c r="D358">
        <v>10</v>
      </c>
      <c r="E358">
        <v>15</v>
      </c>
      <c r="F358">
        <v>26</v>
      </c>
      <c r="G358">
        <v>10</v>
      </c>
      <c r="H358">
        <v>16</v>
      </c>
      <c r="I358">
        <v>0.16089999999999999</v>
      </c>
      <c r="J358">
        <f t="shared" si="5"/>
        <v>0.24860161591050345</v>
      </c>
      <c r="K358">
        <v>4.0000000000000002E-4</v>
      </c>
      <c r="L358" t="s">
        <v>17</v>
      </c>
      <c r="M358">
        <v>296</v>
      </c>
      <c r="N358" t="s">
        <v>553</v>
      </c>
    </row>
    <row r="359" spans="1:14" x14ac:dyDescent="0.2">
      <c r="A359" t="s">
        <v>1099</v>
      </c>
      <c r="B359" t="s">
        <v>32</v>
      </c>
      <c r="C359">
        <v>24</v>
      </c>
      <c r="D359">
        <v>12</v>
      </c>
      <c r="E359">
        <v>13</v>
      </c>
      <c r="F359">
        <v>25</v>
      </c>
      <c r="G359">
        <v>12</v>
      </c>
      <c r="H359">
        <v>14</v>
      </c>
      <c r="I359">
        <v>0.15240000000000001</v>
      </c>
      <c r="J359">
        <f t="shared" si="5"/>
        <v>0.26246719160104987</v>
      </c>
      <c r="K359">
        <v>4.0000000000000002E-4</v>
      </c>
      <c r="L359" t="s">
        <v>17</v>
      </c>
      <c r="M359">
        <v>296</v>
      </c>
      <c r="N359" t="s">
        <v>553</v>
      </c>
    </row>
    <row r="360" spans="1:14" x14ac:dyDescent="0.2">
      <c r="A360" t="s">
        <v>1099</v>
      </c>
      <c r="B360" t="s">
        <v>32</v>
      </c>
      <c r="C360">
        <v>26</v>
      </c>
      <c r="D360">
        <v>7</v>
      </c>
      <c r="E360">
        <v>20</v>
      </c>
      <c r="F360">
        <v>27</v>
      </c>
      <c r="G360">
        <v>7</v>
      </c>
      <c r="H360">
        <v>21</v>
      </c>
      <c r="I360">
        <v>0.1671</v>
      </c>
      <c r="J360">
        <f t="shared" si="5"/>
        <v>0.11968880909634949</v>
      </c>
      <c r="K360">
        <v>2.0000000000000001E-4</v>
      </c>
      <c r="L360" t="s">
        <v>17</v>
      </c>
      <c r="M360">
        <v>296</v>
      </c>
      <c r="N360" t="s">
        <v>553</v>
      </c>
    </row>
    <row r="361" spans="1:14" x14ac:dyDescent="0.2">
      <c r="A361" t="s">
        <v>1099</v>
      </c>
      <c r="B361" t="s">
        <v>32</v>
      </c>
      <c r="C361">
        <v>22</v>
      </c>
      <c r="D361">
        <v>15</v>
      </c>
      <c r="E361">
        <v>8</v>
      </c>
      <c r="F361">
        <v>23</v>
      </c>
      <c r="G361">
        <v>15</v>
      </c>
      <c r="H361">
        <v>9</v>
      </c>
      <c r="I361">
        <v>0.14249999999999999</v>
      </c>
      <c r="J361">
        <f t="shared" si="5"/>
        <v>0.28070175438596495</v>
      </c>
      <c r="K361">
        <v>4.0000000000000002E-4</v>
      </c>
      <c r="L361" t="s">
        <v>17</v>
      </c>
      <c r="M361">
        <v>296</v>
      </c>
      <c r="N361" t="s">
        <v>553</v>
      </c>
    </row>
    <row r="362" spans="1:14" x14ac:dyDescent="0.2">
      <c r="A362" t="s">
        <v>1099</v>
      </c>
      <c r="B362" t="s">
        <v>32</v>
      </c>
      <c r="C362">
        <v>26</v>
      </c>
      <c r="D362">
        <v>6</v>
      </c>
      <c r="E362">
        <v>21</v>
      </c>
      <c r="F362">
        <v>27</v>
      </c>
      <c r="G362">
        <v>6</v>
      </c>
      <c r="H362">
        <v>22</v>
      </c>
      <c r="I362">
        <v>0.16969999999999999</v>
      </c>
      <c r="J362">
        <f t="shared" si="5"/>
        <v>0.11785503830288746</v>
      </c>
      <c r="K362">
        <v>2.0000000000000001E-4</v>
      </c>
      <c r="L362" t="s">
        <v>17</v>
      </c>
      <c r="M362">
        <v>296</v>
      </c>
      <c r="N362" t="s">
        <v>553</v>
      </c>
    </row>
    <row r="363" spans="1:14" x14ac:dyDescent="0.2">
      <c r="A363" t="s">
        <v>1099</v>
      </c>
      <c r="B363" t="s">
        <v>32</v>
      </c>
      <c r="C363">
        <v>25</v>
      </c>
      <c r="D363">
        <v>9</v>
      </c>
      <c r="E363">
        <v>16</v>
      </c>
      <c r="F363">
        <v>26</v>
      </c>
      <c r="G363">
        <v>9</v>
      </c>
      <c r="H363">
        <v>17</v>
      </c>
      <c r="I363">
        <v>0.1618</v>
      </c>
      <c r="J363">
        <f t="shared" si="5"/>
        <v>0.12360939431396788</v>
      </c>
      <c r="K363">
        <v>2.0000000000000001E-4</v>
      </c>
      <c r="L363" t="s">
        <v>17</v>
      </c>
      <c r="M363">
        <v>296</v>
      </c>
      <c r="N363" t="s">
        <v>553</v>
      </c>
    </row>
    <row r="364" spans="1:14" x14ac:dyDescent="0.2">
      <c r="A364" t="s">
        <v>1099</v>
      </c>
      <c r="B364" t="s">
        <v>32</v>
      </c>
      <c r="C364">
        <v>23</v>
      </c>
      <c r="D364">
        <v>13</v>
      </c>
      <c r="E364">
        <v>10</v>
      </c>
      <c r="F364">
        <v>24</v>
      </c>
      <c r="G364">
        <v>13</v>
      </c>
      <c r="H364">
        <v>11</v>
      </c>
      <c r="I364">
        <v>0.15670000000000001</v>
      </c>
      <c r="J364">
        <f t="shared" si="5"/>
        <v>0.31908104658583281</v>
      </c>
      <c r="K364">
        <v>5.0000000000000001E-4</v>
      </c>
      <c r="L364" t="s">
        <v>17</v>
      </c>
      <c r="M364">
        <v>296</v>
      </c>
      <c r="N364" t="s">
        <v>553</v>
      </c>
    </row>
    <row r="365" spans="1:14" x14ac:dyDescent="0.2">
      <c r="A365" t="s">
        <v>1099</v>
      </c>
      <c r="B365" t="s">
        <v>32</v>
      </c>
      <c r="C365">
        <v>26</v>
      </c>
      <c r="D365">
        <v>5</v>
      </c>
      <c r="E365">
        <v>22</v>
      </c>
      <c r="F365">
        <v>27</v>
      </c>
      <c r="G365">
        <v>5</v>
      </c>
      <c r="H365">
        <v>23</v>
      </c>
      <c r="I365">
        <v>0.1726</v>
      </c>
      <c r="J365">
        <f t="shared" si="5"/>
        <v>0.17381228273464655</v>
      </c>
      <c r="K365">
        <v>2.9999999999999997E-4</v>
      </c>
      <c r="L365" t="s">
        <v>17</v>
      </c>
      <c r="M365">
        <v>296</v>
      </c>
      <c r="N365" t="s">
        <v>553</v>
      </c>
    </row>
    <row r="366" spans="1:14" x14ac:dyDescent="0.2">
      <c r="A366" t="s">
        <v>1099</v>
      </c>
      <c r="B366" t="s">
        <v>32</v>
      </c>
      <c r="C366">
        <v>24</v>
      </c>
      <c r="D366">
        <v>11</v>
      </c>
      <c r="E366">
        <v>14</v>
      </c>
      <c r="F366">
        <v>25</v>
      </c>
      <c r="G366">
        <v>11</v>
      </c>
      <c r="H366">
        <v>15</v>
      </c>
      <c r="I366">
        <v>0.15540000000000001</v>
      </c>
      <c r="J366">
        <f t="shared" si="5"/>
        <v>0.2574002574002574</v>
      </c>
      <c r="K366">
        <v>4.0000000000000002E-4</v>
      </c>
      <c r="L366" t="s">
        <v>17</v>
      </c>
      <c r="M366">
        <v>296</v>
      </c>
      <c r="N366" t="s">
        <v>553</v>
      </c>
    </row>
    <row r="367" spans="1:14" x14ac:dyDescent="0.2">
      <c r="A367" t="s">
        <v>1099</v>
      </c>
      <c r="B367" t="s">
        <v>32</v>
      </c>
      <c r="C367">
        <v>26</v>
      </c>
      <c r="D367">
        <v>4</v>
      </c>
      <c r="E367">
        <v>23</v>
      </c>
      <c r="F367">
        <v>27</v>
      </c>
      <c r="G367">
        <v>4</v>
      </c>
      <c r="H367">
        <v>24</v>
      </c>
      <c r="I367">
        <v>0.17</v>
      </c>
      <c r="J367">
        <f t="shared" si="5"/>
        <v>0.1176470588235294</v>
      </c>
      <c r="K367">
        <v>2.0000000000000001E-4</v>
      </c>
      <c r="L367" t="s">
        <v>17</v>
      </c>
      <c r="M367">
        <v>296</v>
      </c>
      <c r="N367" t="s">
        <v>553</v>
      </c>
    </row>
    <row r="368" spans="1:14" x14ac:dyDescent="0.2">
      <c r="A368" t="s">
        <v>1099</v>
      </c>
      <c r="B368" t="s">
        <v>32</v>
      </c>
      <c r="C368">
        <v>25</v>
      </c>
      <c r="D368">
        <v>8</v>
      </c>
      <c r="E368">
        <v>17</v>
      </c>
      <c r="F368">
        <v>26</v>
      </c>
      <c r="G368">
        <v>8</v>
      </c>
      <c r="H368">
        <v>18</v>
      </c>
      <c r="I368">
        <v>0.17419999999999999</v>
      </c>
      <c r="J368">
        <f t="shared" si="5"/>
        <v>0.17221584385763489</v>
      </c>
      <c r="K368">
        <v>2.9999999999999997E-4</v>
      </c>
      <c r="L368" t="s">
        <v>17</v>
      </c>
      <c r="M368">
        <v>296</v>
      </c>
      <c r="N368" t="s">
        <v>553</v>
      </c>
    </row>
    <row r="369" spans="1:14" x14ac:dyDescent="0.2">
      <c r="A369" t="s">
        <v>1099</v>
      </c>
      <c r="B369" t="s">
        <v>32</v>
      </c>
      <c r="C369">
        <v>27</v>
      </c>
      <c r="D369">
        <v>1</v>
      </c>
      <c r="E369">
        <v>26</v>
      </c>
      <c r="F369">
        <v>28</v>
      </c>
      <c r="G369">
        <v>1</v>
      </c>
      <c r="H369">
        <v>27</v>
      </c>
      <c r="I369">
        <v>0.16370000000000001</v>
      </c>
      <c r="J369">
        <f t="shared" si="5"/>
        <v>0.18326206475259618</v>
      </c>
      <c r="K369">
        <v>2.9999999999999997E-4</v>
      </c>
      <c r="L369" t="s">
        <v>17</v>
      </c>
      <c r="M369">
        <v>296</v>
      </c>
      <c r="N369" t="s">
        <v>553</v>
      </c>
    </row>
    <row r="370" spans="1:14" x14ac:dyDescent="0.2">
      <c r="A370" t="s">
        <v>1099</v>
      </c>
      <c r="B370" t="s">
        <v>32</v>
      </c>
      <c r="C370">
        <v>28</v>
      </c>
      <c r="D370">
        <v>1</v>
      </c>
      <c r="E370">
        <v>28</v>
      </c>
      <c r="F370">
        <v>29</v>
      </c>
      <c r="G370">
        <v>1</v>
      </c>
      <c r="H370">
        <v>29</v>
      </c>
      <c r="I370">
        <v>0.1507</v>
      </c>
      <c r="J370">
        <f t="shared" si="5"/>
        <v>0.19907100199070998</v>
      </c>
      <c r="K370">
        <v>2.9999999999999997E-4</v>
      </c>
      <c r="L370" t="s">
        <v>17</v>
      </c>
      <c r="M370">
        <v>296</v>
      </c>
      <c r="N370" t="s">
        <v>553</v>
      </c>
    </row>
    <row r="371" spans="1:14" x14ac:dyDescent="0.2">
      <c r="A371" t="s">
        <v>1099</v>
      </c>
      <c r="B371" t="s">
        <v>32</v>
      </c>
      <c r="C371">
        <v>22</v>
      </c>
      <c r="D371">
        <v>14</v>
      </c>
      <c r="E371">
        <v>9</v>
      </c>
      <c r="F371">
        <v>23</v>
      </c>
      <c r="G371">
        <v>14</v>
      </c>
      <c r="H371">
        <v>10</v>
      </c>
      <c r="I371">
        <v>0.15440000000000001</v>
      </c>
      <c r="J371">
        <f t="shared" si="5"/>
        <v>0.2590673575129534</v>
      </c>
      <c r="K371">
        <v>4.0000000000000002E-4</v>
      </c>
      <c r="L371" t="s">
        <v>17</v>
      </c>
      <c r="M371">
        <v>296</v>
      </c>
      <c r="N371" t="s">
        <v>553</v>
      </c>
    </row>
    <row r="372" spans="1:14" x14ac:dyDescent="0.2">
      <c r="A372" t="s">
        <v>1099</v>
      </c>
      <c r="B372" t="s">
        <v>32</v>
      </c>
      <c r="C372">
        <v>24</v>
      </c>
      <c r="D372">
        <v>10</v>
      </c>
      <c r="E372">
        <v>15</v>
      </c>
      <c r="F372">
        <v>25</v>
      </c>
      <c r="G372">
        <v>10</v>
      </c>
      <c r="H372">
        <v>16</v>
      </c>
      <c r="I372">
        <v>0.16289999999999999</v>
      </c>
      <c r="J372">
        <f t="shared" si="5"/>
        <v>0.24554941682013506</v>
      </c>
      <c r="K372">
        <v>4.0000000000000002E-4</v>
      </c>
      <c r="L372" t="s">
        <v>17</v>
      </c>
      <c r="M372">
        <v>296</v>
      </c>
      <c r="N372" t="s">
        <v>553</v>
      </c>
    </row>
    <row r="373" spans="1:14" x14ac:dyDescent="0.2">
      <c r="A373" t="s">
        <v>1099</v>
      </c>
      <c r="B373" t="s">
        <v>32</v>
      </c>
      <c r="C373">
        <v>23</v>
      </c>
      <c r="D373">
        <v>12</v>
      </c>
      <c r="E373">
        <v>11</v>
      </c>
      <c r="F373">
        <v>24</v>
      </c>
      <c r="G373">
        <v>12</v>
      </c>
      <c r="H373">
        <v>12</v>
      </c>
      <c r="I373">
        <v>0.15690000000000001</v>
      </c>
      <c r="J373">
        <f t="shared" si="5"/>
        <v>0.38240917782026762</v>
      </c>
      <c r="K373">
        <v>5.9999999999999995E-4</v>
      </c>
      <c r="L373" t="s">
        <v>17</v>
      </c>
      <c r="M373">
        <v>296</v>
      </c>
      <c r="N373" t="s">
        <v>553</v>
      </c>
    </row>
    <row r="374" spans="1:14" x14ac:dyDescent="0.2">
      <c r="A374" t="s">
        <v>1099</v>
      </c>
      <c r="B374" t="s">
        <v>32</v>
      </c>
      <c r="C374">
        <v>25</v>
      </c>
      <c r="D374">
        <v>7</v>
      </c>
      <c r="E374">
        <v>18</v>
      </c>
      <c r="F374">
        <v>26</v>
      </c>
      <c r="G374">
        <v>7</v>
      </c>
      <c r="H374">
        <v>19</v>
      </c>
      <c r="I374">
        <v>0.16220000000000001</v>
      </c>
      <c r="J374">
        <f t="shared" si="5"/>
        <v>0.1849568434032059</v>
      </c>
      <c r="K374">
        <v>2.9999999999999997E-4</v>
      </c>
      <c r="L374" t="s">
        <v>17</v>
      </c>
      <c r="M374">
        <v>296</v>
      </c>
      <c r="N374" t="s">
        <v>553</v>
      </c>
    </row>
    <row r="375" spans="1:14" x14ac:dyDescent="0.2">
      <c r="A375" t="s">
        <v>1099</v>
      </c>
      <c r="B375" t="s">
        <v>32</v>
      </c>
      <c r="C375">
        <v>26</v>
      </c>
      <c r="D375">
        <v>3</v>
      </c>
      <c r="E375">
        <v>24</v>
      </c>
      <c r="F375">
        <v>27</v>
      </c>
      <c r="G375">
        <v>3</v>
      </c>
      <c r="H375">
        <v>25</v>
      </c>
      <c r="I375">
        <v>0.17349999999999999</v>
      </c>
      <c r="J375">
        <f t="shared" si="5"/>
        <v>0.1729106628242075</v>
      </c>
      <c r="K375">
        <v>2.9999999999999997E-4</v>
      </c>
      <c r="L375" t="s">
        <v>17</v>
      </c>
      <c r="M375">
        <v>296</v>
      </c>
      <c r="N375" t="s">
        <v>553</v>
      </c>
    </row>
    <row r="376" spans="1:14" x14ac:dyDescent="0.2">
      <c r="A376" t="s">
        <v>1099</v>
      </c>
      <c r="B376" t="s">
        <v>32</v>
      </c>
      <c r="C376">
        <v>21</v>
      </c>
      <c r="D376">
        <v>15</v>
      </c>
      <c r="E376">
        <v>6</v>
      </c>
      <c r="F376">
        <v>22</v>
      </c>
      <c r="G376">
        <v>15</v>
      </c>
      <c r="H376">
        <v>7</v>
      </c>
      <c r="I376">
        <v>0.14610000000000001</v>
      </c>
      <c r="J376">
        <f t="shared" si="5"/>
        <v>0.41067761806981512</v>
      </c>
      <c r="K376">
        <v>5.9999999999999995E-4</v>
      </c>
      <c r="L376" t="s">
        <v>17</v>
      </c>
      <c r="M376">
        <v>296</v>
      </c>
      <c r="N376" t="s">
        <v>553</v>
      </c>
    </row>
    <row r="377" spans="1:14" x14ac:dyDescent="0.2">
      <c r="A377" t="s">
        <v>1099</v>
      </c>
      <c r="B377" t="s">
        <v>32</v>
      </c>
      <c r="C377">
        <v>25</v>
      </c>
      <c r="D377">
        <v>3</v>
      </c>
      <c r="E377">
        <v>22</v>
      </c>
      <c r="F377">
        <v>26</v>
      </c>
      <c r="G377">
        <v>3</v>
      </c>
      <c r="H377">
        <v>23</v>
      </c>
      <c r="I377">
        <v>0.1762</v>
      </c>
      <c r="J377">
        <f t="shared" si="5"/>
        <v>0.1135073779795687</v>
      </c>
      <c r="K377">
        <v>2.0000000000000001E-4</v>
      </c>
      <c r="L377" t="s">
        <v>17</v>
      </c>
      <c r="M377">
        <v>296</v>
      </c>
      <c r="N377" t="s">
        <v>553</v>
      </c>
    </row>
    <row r="378" spans="1:14" x14ac:dyDescent="0.2">
      <c r="A378" t="s">
        <v>1099</v>
      </c>
      <c r="B378" t="s">
        <v>32</v>
      </c>
      <c r="C378">
        <v>25</v>
      </c>
      <c r="D378">
        <v>6</v>
      </c>
      <c r="E378">
        <v>19</v>
      </c>
      <c r="F378">
        <v>26</v>
      </c>
      <c r="G378">
        <v>6</v>
      </c>
      <c r="H378">
        <v>20</v>
      </c>
      <c r="I378">
        <v>0.1837</v>
      </c>
      <c r="J378">
        <f t="shared" si="5"/>
        <v>0.16330974414806748</v>
      </c>
      <c r="K378">
        <v>2.9999999999999997E-4</v>
      </c>
      <c r="L378" t="s">
        <v>17</v>
      </c>
      <c r="M378">
        <v>296</v>
      </c>
      <c r="N378" t="s">
        <v>553</v>
      </c>
    </row>
    <row r="379" spans="1:14" x14ac:dyDescent="0.2">
      <c r="A379" t="s">
        <v>1099</v>
      </c>
      <c r="B379" t="s">
        <v>32</v>
      </c>
      <c r="C379">
        <v>25</v>
      </c>
      <c r="D379">
        <v>4</v>
      </c>
      <c r="E379">
        <v>21</v>
      </c>
      <c r="F379">
        <v>26</v>
      </c>
      <c r="G379">
        <v>4</v>
      </c>
      <c r="H379">
        <v>22</v>
      </c>
      <c r="I379">
        <v>0.17349999999999999</v>
      </c>
      <c r="J379">
        <f t="shared" si="5"/>
        <v>0.23054755043227668</v>
      </c>
      <c r="K379">
        <v>4.0000000000000002E-4</v>
      </c>
      <c r="L379" t="s">
        <v>17</v>
      </c>
      <c r="M379">
        <v>296</v>
      </c>
      <c r="N379" t="s">
        <v>553</v>
      </c>
    </row>
    <row r="380" spans="1:14" x14ac:dyDescent="0.2">
      <c r="A380" t="s">
        <v>1099</v>
      </c>
      <c r="B380" t="s">
        <v>32</v>
      </c>
      <c r="C380">
        <v>25</v>
      </c>
      <c r="D380">
        <v>5</v>
      </c>
      <c r="E380">
        <v>20</v>
      </c>
      <c r="F380">
        <v>26</v>
      </c>
      <c r="G380">
        <v>5</v>
      </c>
      <c r="H380">
        <v>21</v>
      </c>
      <c r="I380">
        <v>0.1716</v>
      </c>
      <c r="J380">
        <f t="shared" si="5"/>
        <v>0.23310023310023309</v>
      </c>
      <c r="K380">
        <v>4.0000000000000002E-4</v>
      </c>
      <c r="L380" t="s">
        <v>17</v>
      </c>
      <c r="M380">
        <v>296</v>
      </c>
      <c r="N380" t="s">
        <v>553</v>
      </c>
    </row>
    <row r="381" spans="1:14" x14ac:dyDescent="0.2">
      <c r="A381" t="s">
        <v>1099</v>
      </c>
      <c r="B381" t="s">
        <v>32</v>
      </c>
      <c r="C381">
        <v>23</v>
      </c>
      <c r="D381">
        <v>11</v>
      </c>
      <c r="E381">
        <v>12</v>
      </c>
      <c r="F381">
        <v>24</v>
      </c>
      <c r="G381">
        <v>11</v>
      </c>
      <c r="H381">
        <v>13</v>
      </c>
      <c r="I381">
        <v>0.15479999999999999</v>
      </c>
      <c r="J381">
        <f t="shared" si="5"/>
        <v>0.19379844961240311</v>
      </c>
      <c r="K381">
        <v>2.9999999999999997E-4</v>
      </c>
      <c r="L381" t="s">
        <v>17</v>
      </c>
      <c r="M381">
        <v>296</v>
      </c>
      <c r="N381" t="s">
        <v>553</v>
      </c>
    </row>
    <row r="382" spans="1:14" x14ac:dyDescent="0.2">
      <c r="A382" t="s">
        <v>1099</v>
      </c>
      <c r="B382" t="s">
        <v>32</v>
      </c>
      <c r="C382">
        <v>25</v>
      </c>
      <c r="D382">
        <v>2</v>
      </c>
      <c r="E382">
        <v>23</v>
      </c>
      <c r="F382">
        <v>26</v>
      </c>
      <c r="G382">
        <v>2</v>
      </c>
      <c r="H382">
        <v>24</v>
      </c>
      <c r="I382">
        <v>0.17630000000000001</v>
      </c>
      <c r="J382">
        <f t="shared" si="5"/>
        <v>0.17016449234259781</v>
      </c>
      <c r="K382">
        <v>2.9999999999999997E-4</v>
      </c>
      <c r="L382" t="s">
        <v>17</v>
      </c>
      <c r="M382">
        <v>296</v>
      </c>
      <c r="N382" t="s">
        <v>553</v>
      </c>
    </row>
    <row r="383" spans="1:14" x14ac:dyDescent="0.2">
      <c r="A383" t="s">
        <v>1099</v>
      </c>
      <c r="B383" t="s">
        <v>32</v>
      </c>
      <c r="C383">
        <v>27</v>
      </c>
      <c r="D383">
        <v>0</v>
      </c>
      <c r="E383">
        <v>27</v>
      </c>
      <c r="F383">
        <v>28</v>
      </c>
      <c r="G383">
        <v>0</v>
      </c>
      <c r="H383">
        <v>28</v>
      </c>
      <c r="I383">
        <v>0.15179999999999999</v>
      </c>
      <c r="J383">
        <f t="shared" si="5"/>
        <v>0.13175230566534915</v>
      </c>
      <c r="K383">
        <v>2.0000000000000001E-4</v>
      </c>
      <c r="L383" t="s">
        <v>17</v>
      </c>
      <c r="M383">
        <v>296</v>
      </c>
      <c r="N383" t="s">
        <v>553</v>
      </c>
    </row>
    <row r="384" spans="1:14" x14ac:dyDescent="0.2">
      <c r="A384" t="s">
        <v>1099</v>
      </c>
      <c r="B384" t="s">
        <v>32</v>
      </c>
      <c r="C384">
        <v>24</v>
      </c>
      <c r="D384">
        <v>8</v>
      </c>
      <c r="E384">
        <v>17</v>
      </c>
      <c r="F384">
        <v>25</v>
      </c>
      <c r="G384">
        <v>8</v>
      </c>
      <c r="H384">
        <v>18</v>
      </c>
      <c r="I384">
        <v>0.16450000000000001</v>
      </c>
      <c r="J384">
        <f t="shared" si="5"/>
        <v>0.36474164133738596</v>
      </c>
      <c r="K384">
        <v>5.9999999999999995E-4</v>
      </c>
      <c r="L384" t="s">
        <v>17</v>
      </c>
      <c r="M384">
        <v>296</v>
      </c>
      <c r="N384" t="s">
        <v>553</v>
      </c>
    </row>
    <row r="385" spans="1:14" x14ac:dyDescent="0.2">
      <c r="A385" t="s">
        <v>1099</v>
      </c>
      <c r="B385" t="s">
        <v>32</v>
      </c>
      <c r="C385">
        <v>21</v>
      </c>
      <c r="D385">
        <v>14</v>
      </c>
      <c r="E385">
        <v>7</v>
      </c>
      <c r="F385">
        <v>22</v>
      </c>
      <c r="G385">
        <v>14</v>
      </c>
      <c r="H385">
        <v>8</v>
      </c>
      <c r="I385">
        <v>0.16109999999999999</v>
      </c>
      <c r="J385">
        <f t="shared" si="5"/>
        <v>0.4345127250155183</v>
      </c>
      <c r="K385">
        <v>6.9999999999999999E-4</v>
      </c>
      <c r="L385" t="s">
        <v>17</v>
      </c>
      <c r="M385">
        <v>296</v>
      </c>
      <c r="N385" t="s">
        <v>553</v>
      </c>
    </row>
    <row r="386" spans="1:14" x14ac:dyDescent="0.2">
      <c r="A386" t="s">
        <v>1099</v>
      </c>
      <c r="B386" t="s">
        <v>32</v>
      </c>
      <c r="C386">
        <v>26</v>
      </c>
      <c r="D386">
        <v>2</v>
      </c>
      <c r="E386">
        <v>25</v>
      </c>
      <c r="F386">
        <v>27</v>
      </c>
      <c r="G386">
        <v>2</v>
      </c>
      <c r="H386">
        <v>26</v>
      </c>
      <c r="I386">
        <v>0.15629999999999999</v>
      </c>
      <c r="J386">
        <f t="shared" si="5"/>
        <v>0.12795905310300706</v>
      </c>
      <c r="K386">
        <v>2.0000000000000001E-4</v>
      </c>
      <c r="L386" t="s">
        <v>17</v>
      </c>
      <c r="M386">
        <v>296</v>
      </c>
      <c r="N386" t="s">
        <v>553</v>
      </c>
    </row>
    <row r="387" spans="1:14" x14ac:dyDescent="0.2">
      <c r="A387" t="s">
        <v>1099</v>
      </c>
      <c r="B387" t="s">
        <v>32</v>
      </c>
      <c r="C387">
        <v>23</v>
      </c>
      <c r="D387">
        <v>10</v>
      </c>
      <c r="E387">
        <v>13</v>
      </c>
      <c r="F387">
        <v>24</v>
      </c>
      <c r="G387">
        <v>10</v>
      </c>
      <c r="H387">
        <v>14</v>
      </c>
      <c r="I387">
        <v>0.16259999999999999</v>
      </c>
      <c r="J387">
        <f t="shared" ref="J387:J450" si="6">K387/I387*100</f>
        <v>0.30750307503075031</v>
      </c>
      <c r="K387">
        <v>5.0000000000000001E-4</v>
      </c>
      <c r="L387" t="s">
        <v>17</v>
      </c>
      <c r="M387">
        <v>296</v>
      </c>
      <c r="N387" t="s">
        <v>553</v>
      </c>
    </row>
    <row r="388" spans="1:14" x14ac:dyDescent="0.2">
      <c r="A388" t="s">
        <v>1099</v>
      </c>
      <c r="B388" t="s">
        <v>32</v>
      </c>
      <c r="C388">
        <v>22</v>
      </c>
      <c r="D388">
        <v>12</v>
      </c>
      <c r="E388">
        <v>11</v>
      </c>
      <c r="F388">
        <v>23</v>
      </c>
      <c r="G388">
        <v>12</v>
      </c>
      <c r="H388">
        <v>12</v>
      </c>
      <c r="I388">
        <v>0.15529999999999999</v>
      </c>
      <c r="J388">
        <f t="shared" si="6"/>
        <v>0.38634900193174498</v>
      </c>
      <c r="K388">
        <v>5.9999999999999995E-4</v>
      </c>
      <c r="L388" t="s">
        <v>17</v>
      </c>
      <c r="M388">
        <v>296</v>
      </c>
      <c r="N388" t="s">
        <v>553</v>
      </c>
    </row>
    <row r="389" spans="1:14" x14ac:dyDescent="0.2">
      <c r="A389" t="s">
        <v>1099</v>
      </c>
      <c r="B389" t="s">
        <v>32</v>
      </c>
      <c r="C389">
        <v>24</v>
      </c>
      <c r="D389">
        <v>7</v>
      </c>
      <c r="E389">
        <v>18</v>
      </c>
      <c r="F389">
        <v>25</v>
      </c>
      <c r="G389">
        <v>7</v>
      </c>
      <c r="H389">
        <v>19</v>
      </c>
      <c r="I389">
        <v>0.17510000000000001</v>
      </c>
      <c r="J389">
        <f t="shared" si="6"/>
        <v>0.22844089091947459</v>
      </c>
      <c r="K389">
        <v>4.0000000000000002E-4</v>
      </c>
      <c r="L389" t="s">
        <v>17</v>
      </c>
      <c r="M389">
        <v>296</v>
      </c>
      <c r="N389" t="s">
        <v>553</v>
      </c>
    </row>
    <row r="390" spans="1:14" x14ac:dyDescent="0.2">
      <c r="A390" t="s">
        <v>1099</v>
      </c>
      <c r="B390" t="s">
        <v>32</v>
      </c>
      <c r="C390">
        <v>20</v>
      </c>
      <c r="D390">
        <v>15</v>
      </c>
      <c r="E390">
        <v>6</v>
      </c>
      <c r="F390">
        <v>21</v>
      </c>
      <c r="G390">
        <v>15</v>
      </c>
      <c r="H390">
        <v>7</v>
      </c>
      <c r="I390">
        <v>0.14330000000000001</v>
      </c>
      <c r="J390">
        <f t="shared" si="6"/>
        <v>0.27913468248429868</v>
      </c>
      <c r="K390">
        <v>4.0000000000000002E-4</v>
      </c>
      <c r="L390" t="s">
        <v>17</v>
      </c>
      <c r="M390">
        <v>296</v>
      </c>
      <c r="N390" t="s">
        <v>553</v>
      </c>
    </row>
    <row r="391" spans="1:14" x14ac:dyDescent="0.2">
      <c r="A391" t="s">
        <v>1099</v>
      </c>
      <c r="B391" t="s">
        <v>32</v>
      </c>
      <c r="C391">
        <v>24</v>
      </c>
      <c r="D391">
        <v>6</v>
      </c>
      <c r="E391">
        <v>19</v>
      </c>
      <c r="F391">
        <v>25</v>
      </c>
      <c r="G391">
        <v>6</v>
      </c>
      <c r="H391">
        <v>20</v>
      </c>
      <c r="I391">
        <v>0.17019999999999999</v>
      </c>
      <c r="J391">
        <f t="shared" si="6"/>
        <v>0.11750881316098709</v>
      </c>
      <c r="K391">
        <v>2.0000000000000001E-4</v>
      </c>
      <c r="L391" t="s">
        <v>17</v>
      </c>
      <c r="M391">
        <v>296</v>
      </c>
      <c r="N391" t="s">
        <v>553</v>
      </c>
    </row>
    <row r="392" spans="1:14" x14ac:dyDescent="0.2">
      <c r="A392" t="s">
        <v>1099</v>
      </c>
      <c r="B392" t="s">
        <v>32</v>
      </c>
      <c r="C392">
        <v>23</v>
      </c>
      <c r="D392">
        <v>9</v>
      </c>
      <c r="E392">
        <v>14</v>
      </c>
      <c r="F392">
        <v>24</v>
      </c>
      <c r="G392">
        <v>9</v>
      </c>
      <c r="H392">
        <v>15</v>
      </c>
      <c r="I392">
        <v>0.16300000000000001</v>
      </c>
      <c r="J392">
        <f t="shared" si="6"/>
        <v>0.245398773006135</v>
      </c>
      <c r="K392">
        <v>4.0000000000000002E-4</v>
      </c>
      <c r="L392" t="s">
        <v>17</v>
      </c>
      <c r="M392">
        <v>296</v>
      </c>
      <c r="N392" t="s">
        <v>553</v>
      </c>
    </row>
    <row r="393" spans="1:14" x14ac:dyDescent="0.2">
      <c r="A393" t="s">
        <v>1099</v>
      </c>
      <c r="B393" t="s">
        <v>32</v>
      </c>
      <c r="C393">
        <v>21</v>
      </c>
      <c r="D393">
        <v>13</v>
      </c>
      <c r="E393">
        <v>8</v>
      </c>
      <c r="F393">
        <v>22</v>
      </c>
      <c r="G393">
        <v>13</v>
      </c>
      <c r="H393">
        <v>9</v>
      </c>
      <c r="I393">
        <v>0.15049999999999999</v>
      </c>
      <c r="J393">
        <f t="shared" si="6"/>
        <v>0.26578073089700999</v>
      </c>
      <c r="K393">
        <v>4.0000000000000002E-4</v>
      </c>
      <c r="L393" t="s">
        <v>17</v>
      </c>
      <c r="M393">
        <v>296</v>
      </c>
      <c r="N393" t="s">
        <v>553</v>
      </c>
    </row>
    <row r="394" spans="1:14" x14ac:dyDescent="0.2">
      <c r="A394" t="s">
        <v>1099</v>
      </c>
      <c r="B394" t="s">
        <v>32</v>
      </c>
      <c r="C394">
        <v>22</v>
      </c>
      <c r="D394">
        <v>11</v>
      </c>
      <c r="E394">
        <v>12</v>
      </c>
      <c r="F394">
        <v>23</v>
      </c>
      <c r="G394">
        <v>11</v>
      </c>
      <c r="H394">
        <v>13</v>
      </c>
      <c r="I394">
        <v>0.16589999999999999</v>
      </c>
      <c r="J394">
        <f t="shared" si="6"/>
        <v>0.30138637733574442</v>
      </c>
      <c r="K394">
        <v>5.0000000000000001E-4</v>
      </c>
      <c r="L394" t="s">
        <v>17</v>
      </c>
      <c r="M394">
        <v>296</v>
      </c>
      <c r="N394" t="s">
        <v>553</v>
      </c>
    </row>
    <row r="395" spans="1:14" x14ac:dyDescent="0.2">
      <c r="A395" t="s">
        <v>1099</v>
      </c>
      <c r="B395" t="s">
        <v>32</v>
      </c>
      <c r="C395">
        <v>24</v>
      </c>
      <c r="D395">
        <v>5</v>
      </c>
      <c r="E395">
        <v>20</v>
      </c>
      <c r="F395">
        <v>25</v>
      </c>
      <c r="G395">
        <v>5</v>
      </c>
      <c r="H395">
        <v>21</v>
      </c>
      <c r="I395">
        <v>0.17879999999999999</v>
      </c>
      <c r="J395">
        <f t="shared" si="6"/>
        <v>0.16778523489932887</v>
      </c>
      <c r="K395">
        <v>2.9999999999999997E-4</v>
      </c>
      <c r="L395" t="s">
        <v>17</v>
      </c>
      <c r="M395">
        <v>296</v>
      </c>
      <c r="N395" t="s">
        <v>553</v>
      </c>
    </row>
    <row r="396" spans="1:14" x14ac:dyDescent="0.2">
      <c r="A396" t="s">
        <v>1099</v>
      </c>
      <c r="B396" t="s">
        <v>32</v>
      </c>
      <c r="C396">
        <v>25</v>
      </c>
      <c r="D396">
        <v>1</v>
      </c>
      <c r="E396">
        <v>24</v>
      </c>
      <c r="F396">
        <v>26</v>
      </c>
      <c r="G396">
        <v>1</v>
      </c>
      <c r="H396">
        <v>25</v>
      </c>
      <c r="I396">
        <v>0.1658</v>
      </c>
      <c r="J396">
        <f t="shared" si="6"/>
        <v>0.12062726176115804</v>
      </c>
      <c r="K396">
        <v>2.0000000000000001E-4</v>
      </c>
      <c r="L396" t="s">
        <v>17</v>
      </c>
      <c r="M396">
        <v>296</v>
      </c>
      <c r="N396" t="s">
        <v>553</v>
      </c>
    </row>
    <row r="397" spans="1:14" x14ac:dyDescent="0.2">
      <c r="A397" t="s">
        <v>1099</v>
      </c>
      <c r="B397" t="s">
        <v>32</v>
      </c>
      <c r="C397">
        <v>26</v>
      </c>
      <c r="D397">
        <v>1</v>
      </c>
      <c r="E397">
        <v>26</v>
      </c>
      <c r="F397">
        <v>27</v>
      </c>
      <c r="G397">
        <v>1</v>
      </c>
      <c r="H397">
        <v>27</v>
      </c>
      <c r="I397">
        <v>0.15679999999999999</v>
      </c>
      <c r="J397">
        <f t="shared" si="6"/>
        <v>0.12755102040816327</v>
      </c>
      <c r="K397">
        <v>2.0000000000000001E-4</v>
      </c>
      <c r="L397" t="s">
        <v>17</v>
      </c>
      <c r="M397">
        <v>296</v>
      </c>
      <c r="N397" t="s">
        <v>553</v>
      </c>
    </row>
    <row r="398" spans="1:14" x14ac:dyDescent="0.2">
      <c r="A398" t="s">
        <v>1099</v>
      </c>
      <c r="B398" t="s">
        <v>32</v>
      </c>
      <c r="C398">
        <v>24</v>
      </c>
      <c r="D398">
        <v>4</v>
      </c>
      <c r="E398">
        <v>21</v>
      </c>
      <c r="F398">
        <v>25</v>
      </c>
      <c r="G398">
        <v>4</v>
      </c>
      <c r="H398">
        <v>22</v>
      </c>
      <c r="I398">
        <v>0.17460000000000001</v>
      </c>
      <c r="J398">
        <f t="shared" si="6"/>
        <v>0.11454753722794961</v>
      </c>
      <c r="K398">
        <v>2.0000000000000001E-4</v>
      </c>
      <c r="L398" t="s">
        <v>17</v>
      </c>
      <c r="M398">
        <v>296</v>
      </c>
      <c r="N398" t="s">
        <v>553</v>
      </c>
    </row>
    <row r="399" spans="1:14" x14ac:dyDescent="0.2">
      <c r="A399" t="s">
        <v>1099</v>
      </c>
      <c r="B399" t="s">
        <v>32</v>
      </c>
      <c r="C399">
        <v>23</v>
      </c>
      <c r="D399">
        <v>8</v>
      </c>
      <c r="E399">
        <v>15</v>
      </c>
      <c r="F399">
        <v>24</v>
      </c>
      <c r="G399">
        <v>8</v>
      </c>
      <c r="H399">
        <v>16</v>
      </c>
      <c r="I399">
        <v>0.16789999999999999</v>
      </c>
      <c r="J399">
        <f t="shared" si="6"/>
        <v>0.11911852293031568</v>
      </c>
      <c r="K399">
        <v>2.0000000000000001E-4</v>
      </c>
      <c r="L399" t="s">
        <v>17</v>
      </c>
      <c r="M399">
        <v>296</v>
      </c>
      <c r="N399" t="s">
        <v>553</v>
      </c>
    </row>
    <row r="400" spans="1:14" x14ac:dyDescent="0.2">
      <c r="A400" t="s">
        <v>1099</v>
      </c>
      <c r="B400" t="s">
        <v>32</v>
      </c>
      <c r="C400">
        <v>20</v>
      </c>
      <c r="D400">
        <v>14</v>
      </c>
      <c r="E400">
        <v>7</v>
      </c>
      <c r="F400">
        <v>21</v>
      </c>
      <c r="G400">
        <v>14</v>
      </c>
      <c r="H400">
        <v>8</v>
      </c>
      <c r="I400">
        <v>0.15920000000000001</v>
      </c>
      <c r="J400">
        <f t="shared" si="6"/>
        <v>0.50251256281407031</v>
      </c>
      <c r="K400">
        <v>8.0000000000000004E-4</v>
      </c>
      <c r="L400" t="s">
        <v>17</v>
      </c>
      <c r="M400">
        <v>296</v>
      </c>
      <c r="N400" t="s">
        <v>553</v>
      </c>
    </row>
    <row r="401" spans="1:14" x14ac:dyDescent="0.2">
      <c r="A401" t="s">
        <v>1099</v>
      </c>
      <c r="B401" t="s">
        <v>32</v>
      </c>
      <c r="C401">
        <v>22</v>
      </c>
      <c r="D401">
        <v>10</v>
      </c>
      <c r="E401">
        <v>13</v>
      </c>
      <c r="F401">
        <v>23</v>
      </c>
      <c r="G401">
        <v>10</v>
      </c>
      <c r="H401">
        <v>14</v>
      </c>
      <c r="I401">
        <v>0.1731</v>
      </c>
      <c r="J401">
        <f t="shared" si="6"/>
        <v>0.51993067590987863</v>
      </c>
      <c r="K401">
        <v>8.9999999999999998E-4</v>
      </c>
      <c r="L401" t="s">
        <v>17</v>
      </c>
      <c r="M401">
        <v>296</v>
      </c>
      <c r="N401" t="s">
        <v>553</v>
      </c>
    </row>
    <row r="402" spans="1:14" x14ac:dyDescent="0.2">
      <c r="A402" t="s">
        <v>1099</v>
      </c>
      <c r="B402" t="s">
        <v>32</v>
      </c>
      <c r="C402">
        <v>21</v>
      </c>
      <c r="D402">
        <v>12</v>
      </c>
      <c r="E402">
        <v>9</v>
      </c>
      <c r="F402">
        <v>22</v>
      </c>
      <c r="G402">
        <v>12</v>
      </c>
      <c r="H402">
        <v>10</v>
      </c>
      <c r="I402">
        <v>0.154</v>
      </c>
      <c r="J402">
        <f t="shared" si="6"/>
        <v>0.7142857142857143</v>
      </c>
      <c r="K402">
        <v>1.1000000000000001E-3</v>
      </c>
      <c r="L402" t="s">
        <v>17</v>
      </c>
      <c r="M402">
        <v>296</v>
      </c>
      <c r="N402" t="s">
        <v>553</v>
      </c>
    </row>
    <row r="403" spans="1:14" x14ac:dyDescent="0.2">
      <c r="A403" t="s">
        <v>1099</v>
      </c>
      <c r="B403" t="s">
        <v>32</v>
      </c>
      <c r="C403">
        <v>24</v>
      </c>
      <c r="D403">
        <v>3</v>
      </c>
      <c r="E403">
        <v>22</v>
      </c>
      <c r="F403">
        <v>25</v>
      </c>
      <c r="G403">
        <v>3</v>
      </c>
      <c r="H403">
        <v>23</v>
      </c>
      <c r="I403">
        <v>0.16769999999999999</v>
      </c>
      <c r="J403">
        <f t="shared" si="6"/>
        <v>0.17889087656529518</v>
      </c>
      <c r="K403">
        <v>2.9999999999999997E-4</v>
      </c>
      <c r="L403" t="s">
        <v>17</v>
      </c>
      <c r="M403">
        <v>296</v>
      </c>
      <c r="N403" t="s">
        <v>553</v>
      </c>
    </row>
    <row r="404" spans="1:14" x14ac:dyDescent="0.2">
      <c r="A404" t="s">
        <v>1099</v>
      </c>
      <c r="B404" t="s">
        <v>32</v>
      </c>
      <c r="C404">
        <v>23</v>
      </c>
      <c r="D404">
        <v>7</v>
      </c>
      <c r="E404">
        <v>16</v>
      </c>
      <c r="F404">
        <v>24</v>
      </c>
      <c r="G404">
        <v>7</v>
      </c>
      <c r="H404">
        <v>17</v>
      </c>
      <c r="I404">
        <v>0.16739999999999999</v>
      </c>
      <c r="J404">
        <f t="shared" si="6"/>
        <v>0.29868578255675032</v>
      </c>
      <c r="K404">
        <v>5.0000000000000001E-4</v>
      </c>
      <c r="L404" t="s">
        <v>17</v>
      </c>
      <c r="M404">
        <v>296</v>
      </c>
      <c r="N404" t="s">
        <v>553</v>
      </c>
    </row>
    <row r="405" spans="1:14" x14ac:dyDescent="0.2">
      <c r="A405" t="s">
        <v>1099</v>
      </c>
      <c r="B405" t="s">
        <v>32</v>
      </c>
      <c r="C405">
        <v>19</v>
      </c>
      <c r="D405">
        <v>15</v>
      </c>
      <c r="E405">
        <v>4</v>
      </c>
      <c r="F405">
        <v>20</v>
      </c>
      <c r="G405">
        <v>15</v>
      </c>
      <c r="H405">
        <v>5</v>
      </c>
      <c r="I405">
        <v>0.13789999999999999</v>
      </c>
      <c r="J405">
        <f t="shared" si="6"/>
        <v>0.50761421319796962</v>
      </c>
      <c r="K405">
        <v>6.9999999999999999E-4</v>
      </c>
      <c r="L405" t="s">
        <v>17</v>
      </c>
      <c r="M405">
        <v>296</v>
      </c>
      <c r="N405" t="s">
        <v>553</v>
      </c>
    </row>
    <row r="406" spans="1:14" x14ac:dyDescent="0.2">
      <c r="A406" t="s">
        <v>1099</v>
      </c>
      <c r="B406" t="s">
        <v>32</v>
      </c>
      <c r="C406">
        <v>23</v>
      </c>
      <c r="D406">
        <v>6</v>
      </c>
      <c r="E406">
        <v>17</v>
      </c>
      <c r="F406">
        <v>24</v>
      </c>
      <c r="G406">
        <v>6</v>
      </c>
      <c r="H406">
        <v>18</v>
      </c>
      <c r="I406">
        <v>0.1749</v>
      </c>
      <c r="J406">
        <f t="shared" si="6"/>
        <v>0.22870211549456831</v>
      </c>
      <c r="K406">
        <v>4.0000000000000002E-4</v>
      </c>
      <c r="L406" t="s">
        <v>17</v>
      </c>
      <c r="M406">
        <v>296</v>
      </c>
      <c r="N406" t="s">
        <v>553</v>
      </c>
    </row>
    <row r="407" spans="1:14" x14ac:dyDescent="0.2">
      <c r="A407" t="s">
        <v>1099</v>
      </c>
      <c r="B407" t="s">
        <v>32</v>
      </c>
      <c r="C407">
        <v>23</v>
      </c>
      <c r="D407">
        <v>3</v>
      </c>
      <c r="E407">
        <v>20</v>
      </c>
      <c r="F407">
        <v>24</v>
      </c>
      <c r="G407">
        <v>3</v>
      </c>
      <c r="H407">
        <v>21</v>
      </c>
      <c r="I407">
        <v>0.17799999999999999</v>
      </c>
      <c r="J407">
        <f t="shared" si="6"/>
        <v>0.16853932584269662</v>
      </c>
      <c r="K407">
        <v>2.9999999999999997E-4</v>
      </c>
      <c r="L407" t="s">
        <v>17</v>
      </c>
      <c r="M407">
        <v>296</v>
      </c>
      <c r="N407" t="s">
        <v>553</v>
      </c>
    </row>
    <row r="408" spans="1:14" x14ac:dyDescent="0.2">
      <c r="A408" t="s">
        <v>1099</v>
      </c>
      <c r="B408" t="s">
        <v>32</v>
      </c>
      <c r="C408">
        <v>22</v>
      </c>
      <c r="D408">
        <v>9</v>
      </c>
      <c r="E408">
        <v>14</v>
      </c>
      <c r="F408">
        <v>23</v>
      </c>
      <c r="G408">
        <v>9</v>
      </c>
      <c r="H408">
        <v>15</v>
      </c>
      <c r="I408">
        <v>0.1593</v>
      </c>
      <c r="J408">
        <f t="shared" si="6"/>
        <v>0.37664783427495291</v>
      </c>
      <c r="K408">
        <v>5.9999999999999995E-4</v>
      </c>
      <c r="L408" t="s">
        <v>17</v>
      </c>
      <c r="M408">
        <v>296</v>
      </c>
      <c r="N408" t="s">
        <v>553</v>
      </c>
    </row>
    <row r="409" spans="1:14" x14ac:dyDescent="0.2">
      <c r="A409" t="s">
        <v>1099</v>
      </c>
      <c r="B409" t="s">
        <v>32</v>
      </c>
      <c r="C409">
        <v>21</v>
      </c>
      <c r="D409">
        <v>11</v>
      </c>
      <c r="E409">
        <v>10</v>
      </c>
      <c r="F409">
        <v>22</v>
      </c>
      <c r="G409">
        <v>11</v>
      </c>
      <c r="H409">
        <v>11</v>
      </c>
      <c r="I409">
        <v>0.15970000000000001</v>
      </c>
      <c r="J409">
        <f t="shared" si="6"/>
        <v>0.18785222291797118</v>
      </c>
      <c r="K409">
        <v>2.9999999999999997E-4</v>
      </c>
      <c r="L409" t="s">
        <v>17</v>
      </c>
      <c r="M409">
        <v>296</v>
      </c>
      <c r="N409" t="s">
        <v>553</v>
      </c>
    </row>
    <row r="410" spans="1:14" x14ac:dyDescent="0.2">
      <c r="A410" t="s">
        <v>1099</v>
      </c>
      <c r="B410" t="s">
        <v>32</v>
      </c>
      <c r="C410">
        <v>23</v>
      </c>
      <c r="D410">
        <v>5</v>
      </c>
      <c r="E410">
        <v>18</v>
      </c>
      <c r="F410">
        <v>24</v>
      </c>
      <c r="G410">
        <v>5</v>
      </c>
      <c r="H410">
        <v>19</v>
      </c>
      <c r="I410">
        <v>0.1724</v>
      </c>
      <c r="J410">
        <f t="shared" si="6"/>
        <v>0.11600928074245942</v>
      </c>
      <c r="K410">
        <v>2.0000000000000001E-4</v>
      </c>
      <c r="L410" t="s">
        <v>17</v>
      </c>
      <c r="M410">
        <v>296</v>
      </c>
      <c r="N410" t="s">
        <v>553</v>
      </c>
    </row>
    <row r="411" spans="1:14" x14ac:dyDescent="0.2">
      <c r="A411" t="s">
        <v>1099</v>
      </c>
      <c r="B411" t="s">
        <v>32</v>
      </c>
      <c r="C411">
        <v>23</v>
      </c>
      <c r="D411">
        <v>4</v>
      </c>
      <c r="E411">
        <v>19</v>
      </c>
      <c r="F411">
        <v>24</v>
      </c>
      <c r="G411">
        <v>4</v>
      </c>
      <c r="H411">
        <v>20</v>
      </c>
      <c r="I411">
        <v>0.18310000000000001</v>
      </c>
      <c r="J411">
        <f t="shared" si="6"/>
        <v>0.27307482250136533</v>
      </c>
      <c r="K411">
        <v>5.0000000000000001E-4</v>
      </c>
      <c r="L411" t="s">
        <v>17</v>
      </c>
      <c r="M411">
        <v>296</v>
      </c>
      <c r="N411" t="s">
        <v>553</v>
      </c>
    </row>
    <row r="412" spans="1:14" x14ac:dyDescent="0.2">
      <c r="A412" t="s">
        <v>1099</v>
      </c>
      <c r="B412" t="s">
        <v>32</v>
      </c>
      <c r="C412">
        <v>23</v>
      </c>
      <c r="D412">
        <v>2</v>
      </c>
      <c r="E412">
        <v>21</v>
      </c>
      <c r="F412">
        <v>24</v>
      </c>
      <c r="G412">
        <v>2</v>
      </c>
      <c r="H412">
        <v>22</v>
      </c>
      <c r="I412">
        <v>0.1787</v>
      </c>
      <c r="J412">
        <f t="shared" si="6"/>
        <v>0.16787912702853944</v>
      </c>
      <c r="K412">
        <v>2.9999999999999997E-4</v>
      </c>
      <c r="L412" t="s">
        <v>17</v>
      </c>
      <c r="M412">
        <v>296</v>
      </c>
      <c r="N412" t="s">
        <v>553</v>
      </c>
    </row>
    <row r="413" spans="1:14" x14ac:dyDescent="0.2">
      <c r="A413" t="s">
        <v>1099</v>
      </c>
      <c r="B413" t="s">
        <v>32</v>
      </c>
      <c r="C413">
        <v>25</v>
      </c>
      <c r="D413">
        <v>0</v>
      </c>
      <c r="E413">
        <v>25</v>
      </c>
      <c r="F413">
        <v>26</v>
      </c>
      <c r="G413">
        <v>0</v>
      </c>
      <c r="H413">
        <v>26</v>
      </c>
      <c r="I413">
        <v>0.15210000000000001</v>
      </c>
      <c r="J413">
        <f t="shared" si="6"/>
        <v>0.13149243918474687</v>
      </c>
      <c r="K413">
        <v>2.0000000000000001E-4</v>
      </c>
      <c r="L413" t="s">
        <v>17</v>
      </c>
      <c r="M413">
        <v>296</v>
      </c>
      <c r="N413" t="s">
        <v>553</v>
      </c>
    </row>
    <row r="414" spans="1:14" x14ac:dyDescent="0.2">
      <c r="A414" t="s">
        <v>1099</v>
      </c>
      <c r="B414" t="s">
        <v>32</v>
      </c>
      <c r="C414">
        <v>24</v>
      </c>
      <c r="D414">
        <v>2</v>
      </c>
      <c r="E414">
        <v>23</v>
      </c>
      <c r="F414">
        <v>25</v>
      </c>
      <c r="G414">
        <v>2</v>
      </c>
      <c r="H414">
        <v>24</v>
      </c>
      <c r="I414">
        <v>0.16839999999999999</v>
      </c>
      <c r="J414">
        <f t="shared" si="6"/>
        <v>0.11876484560570072</v>
      </c>
      <c r="K414">
        <v>2.0000000000000001E-4</v>
      </c>
      <c r="L414" t="s">
        <v>17</v>
      </c>
      <c r="M414">
        <v>296</v>
      </c>
      <c r="N414" t="s">
        <v>553</v>
      </c>
    </row>
    <row r="415" spans="1:14" x14ac:dyDescent="0.2">
      <c r="A415" t="s">
        <v>1099</v>
      </c>
      <c r="B415" t="s">
        <v>32</v>
      </c>
      <c r="C415">
        <v>22</v>
      </c>
      <c r="D415">
        <v>7</v>
      </c>
      <c r="E415">
        <v>16</v>
      </c>
      <c r="F415">
        <v>23</v>
      </c>
      <c r="G415">
        <v>7</v>
      </c>
      <c r="H415">
        <v>17</v>
      </c>
      <c r="I415">
        <v>0.1661</v>
      </c>
      <c r="J415">
        <f t="shared" si="6"/>
        <v>0.12040939193257075</v>
      </c>
      <c r="K415">
        <v>2.0000000000000001E-4</v>
      </c>
      <c r="L415" t="s">
        <v>17</v>
      </c>
      <c r="M415">
        <v>296</v>
      </c>
      <c r="N415" t="s">
        <v>553</v>
      </c>
    </row>
    <row r="416" spans="1:14" x14ac:dyDescent="0.2">
      <c r="A416" t="s">
        <v>1099</v>
      </c>
      <c r="B416" t="s">
        <v>32</v>
      </c>
      <c r="C416">
        <v>22</v>
      </c>
      <c r="D416">
        <v>6</v>
      </c>
      <c r="E416">
        <v>17</v>
      </c>
      <c r="F416">
        <v>23</v>
      </c>
      <c r="G416">
        <v>6</v>
      </c>
      <c r="H416">
        <v>18</v>
      </c>
      <c r="I416">
        <v>0.1714</v>
      </c>
      <c r="J416">
        <f t="shared" si="6"/>
        <v>0.17502917152858807</v>
      </c>
      <c r="K416">
        <v>2.9999999999999997E-4</v>
      </c>
      <c r="L416" t="s">
        <v>17</v>
      </c>
      <c r="M416">
        <v>296</v>
      </c>
      <c r="N416" t="s">
        <v>553</v>
      </c>
    </row>
    <row r="417" spans="1:14" x14ac:dyDescent="0.2">
      <c r="A417" t="s">
        <v>1099</v>
      </c>
      <c r="B417" t="s">
        <v>32</v>
      </c>
      <c r="C417">
        <v>21</v>
      </c>
      <c r="D417">
        <v>9</v>
      </c>
      <c r="E417">
        <v>12</v>
      </c>
      <c r="F417">
        <v>22</v>
      </c>
      <c r="G417">
        <v>9</v>
      </c>
      <c r="H417">
        <v>13</v>
      </c>
      <c r="I417">
        <v>0.159</v>
      </c>
      <c r="J417">
        <f t="shared" si="6"/>
        <v>0.18867924528301885</v>
      </c>
      <c r="K417">
        <v>2.9999999999999997E-4</v>
      </c>
      <c r="L417" t="s">
        <v>17</v>
      </c>
      <c r="M417">
        <v>296</v>
      </c>
      <c r="N417" t="s">
        <v>553</v>
      </c>
    </row>
    <row r="418" spans="1:14" x14ac:dyDescent="0.2">
      <c r="A418" t="s">
        <v>1099</v>
      </c>
      <c r="B418" t="s">
        <v>32</v>
      </c>
      <c r="C418">
        <v>20</v>
      </c>
      <c r="D418">
        <v>11</v>
      </c>
      <c r="E418">
        <v>10</v>
      </c>
      <c r="F418">
        <v>21</v>
      </c>
      <c r="G418">
        <v>11</v>
      </c>
      <c r="H418">
        <v>11</v>
      </c>
      <c r="I418">
        <v>0.158</v>
      </c>
      <c r="J418">
        <f t="shared" si="6"/>
        <v>0.18987341772151894</v>
      </c>
      <c r="K418">
        <v>2.9999999999999997E-4</v>
      </c>
      <c r="L418" t="s">
        <v>17</v>
      </c>
      <c r="M418">
        <v>296</v>
      </c>
      <c r="N418" t="s">
        <v>553</v>
      </c>
    </row>
    <row r="419" spans="1:14" x14ac:dyDescent="0.2">
      <c r="A419" t="s">
        <v>1099</v>
      </c>
      <c r="B419" t="s">
        <v>32</v>
      </c>
      <c r="C419">
        <v>23</v>
      </c>
      <c r="D419">
        <v>1</v>
      </c>
      <c r="E419">
        <v>22</v>
      </c>
      <c r="F419">
        <v>24</v>
      </c>
      <c r="G419">
        <v>1</v>
      </c>
      <c r="H419">
        <v>23</v>
      </c>
      <c r="I419">
        <v>0.1736</v>
      </c>
      <c r="J419">
        <f t="shared" si="6"/>
        <v>5.7603686635944701E-2</v>
      </c>
      <c r="K419">
        <v>1E-4</v>
      </c>
      <c r="L419" t="s">
        <v>17</v>
      </c>
      <c r="M419">
        <v>296</v>
      </c>
      <c r="N419" t="s">
        <v>553</v>
      </c>
    </row>
    <row r="420" spans="1:14" x14ac:dyDescent="0.2">
      <c r="A420" t="s">
        <v>1099</v>
      </c>
      <c r="B420" t="s">
        <v>32</v>
      </c>
      <c r="C420">
        <v>22</v>
      </c>
      <c r="D420">
        <v>5</v>
      </c>
      <c r="E420">
        <v>18</v>
      </c>
      <c r="F420">
        <v>23</v>
      </c>
      <c r="G420">
        <v>5</v>
      </c>
      <c r="H420">
        <v>19</v>
      </c>
      <c r="I420">
        <v>0.1865</v>
      </c>
      <c r="J420">
        <f t="shared" si="6"/>
        <v>0.26809651474530832</v>
      </c>
      <c r="K420">
        <v>5.0000000000000001E-4</v>
      </c>
      <c r="L420" t="s">
        <v>17</v>
      </c>
      <c r="M420">
        <v>296</v>
      </c>
      <c r="N420" t="s">
        <v>553</v>
      </c>
    </row>
    <row r="421" spans="1:14" x14ac:dyDescent="0.2">
      <c r="A421" t="s">
        <v>1099</v>
      </c>
      <c r="B421" t="s">
        <v>32</v>
      </c>
      <c r="C421">
        <v>24</v>
      </c>
      <c r="D421">
        <v>1</v>
      </c>
      <c r="E421">
        <v>24</v>
      </c>
      <c r="F421">
        <v>25</v>
      </c>
      <c r="G421">
        <v>1</v>
      </c>
      <c r="H421">
        <v>25</v>
      </c>
      <c r="I421">
        <v>0.15160000000000001</v>
      </c>
      <c r="J421">
        <f t="shared" si="6"/>
        <v>0.13192612137203166</v>
      </c>
      <c r="K421">
        <v>2.0000000000000001E-4</v>
      </c>
      <c r="L421" t="s">
        <v>17</v>
      </c>
      <c r="M421">
        <v>296</v>
      </c>
      <c r="N421" t="s">
        <v>553</v>
      </c>
    </row>
    <row r="422" spans="1:14" x14ac:dyDescent="0.2">
      <c r="A422" t="s">
        <v>1099</v>
      </c>
      <c r="B422" t="s">
        <v>32</v>
      </c>
      <c r="C422">
        <v>22</v>
      </c>
      <c r="D422">
        <v>4</v>
      </c>
      <c r="E422">
        <v>19</v>
      </c>
      <c r="F422">
        <v>23</v>
      </c>
      <c r="G422">
        <v>4</v>
      </c>
      <c r="H422">
        <v>20</v>
      </c>
      <c r="I422">
        <v>0.17130000000000001</v>
      </c>
      <c r="J422">
        <f t="shared" si="6"/>
        <v>0.23350846468184472</v>
      </c>
      <c r="K422">
        <v>4.0000000000000002E-4</v>
      </c>
      <c r="L422" t="s">
        <v>17</v>
      </c>
      <c r="M422">
        <v>296</v>
      </c>
      <c r="N422" t="s">
        <v>553</v>
      </c>
    </row>
    <row r="423" spans="1:14" x14ac:dyDescent="0.2">
      <c r="A423" t="s">
        <v>1099</v>
      </c>
      <c r="B423" t="s">
        <v>32</v>
      </c>
      <c r="C423">
        <v>19</v>
      </c>
      <c r="D423">
        <v>12</v>
      </c>
      <c r="E423">
        <v>7</v>
      </c>
      <c r="F423">
        <v>20</v>
      </c>
      <c r="G423">
        <v>12</v>
      </c>
      <c r="H423">
        <v>8</v>
      </c>
      <c r="I423">
        <v>0.1547</v>
      </c>
      <c r="J423">
        <f t="shared" si="6"/>
        <v>0.51712992889463472</v>
      </c>
      <c r="K423">
        <v>8.0000000000000004E-4</v>
      </c>
      <c r="L423" t="s">
        <v>17</v>
      </c>
      <c r="M423">
        <v>296</v>
      </c>
      <c r="N423" t="s">
        <v>553</v>
      </c>
    </row>
    <row r="424" spans="1:14" x14ac:dyDescent="0.2">
      <c r="A424" t="s">
        <v>1099</v>
      </c>
      <c r="B424" t="s">
        <v>32</v>
      </c>
      <c r="C424">
        <v>20</v>
      </c>
      <c r="D424">
        <v>10</v>
      </c>
      <c r="E424">
        <v>11</v>
      </c>
      <c r="F424">
        <v>21</v>
      </c>
      <c r="G424">
        <v>10</v>
      </c>
      <c r="H424">
        <v>12</v>
      </c>
      <c r="I424">
        <v>0.1605</v>
      </c>
      <c r="J424">
        <f t="shared" si="6"/>
        <v>0.37383177570093457</v>
      </c>
      <c r="K424">
        <v>5.9999999999999995E-4</v>
      </c>
      <c r="L424" t="s">
        <v>17</v>
      </c>
      <c r="M424">
        <v>296</v>
      </c>
      <c r="N424" t="s">
        <v>553</v>
      </c>
    </row>
    <row r="425" spans="1:14" x14ac:dyDescent="0.2">
      <c r="A425" t="s">
        <v>1099</v>
      </c>
      <c r="B425" t="s">
        <v>32</v>
      </c>
      <c r="C425">
        <v>22</v>
      </c>
      <c r="D425">
        <v>3</v>
      </c>
      <c r="E425">
        <v>20</v>
      </c>
      <c r="F425">
        <v>23</v>
      </c>
      <c r="G425">
        <v>3</v>
      </c>
      <c r="H425">
        <v>21</v>
      </c>
      <c r="I425">
        <v>0.1721</v>
      </c>
      <c r="J425">
        <f t="shared" si="6"/>
        <v>0.17431725740848342</v>
      </c>
      <c r="K425">
        <v>2.9999999999999997E-4</v>
      </c>
      <c r="L425" t="s">
        <v>17</v>
      </c>
      <c r="M425">
        <v>296</v>
      </c>
      <c r="N425" t="s">
        <v>553</v>
      </c>
    </row>
    <row r="426" spans="1:14" x14ac:dyDescent="0.2">
      <c r="A426" t="s">
        <v>1099</v>
      </c>
      <c r="B426" t="s">
        <v>32</v>
      </c>
      <c r="C426">
        <v>21</v>
      </c>
      <c r="D426">
        <v>7</v>
      </c>
      <c r="E426">
        <v>14</v>
      </c>
      <c r="F426">
        <v>22</v>
      </c>
      <c r="G426">
        <v>7</v>
      </c>
      <c r="H426">
        <v>15</v>
      </c>
      <c r="I426">
        <v>0.1673</v>
      </c>
      <c r="J426">
        <f t="shared" si="6"/>
        <v>5.977286312014346E-2</v>
      </c>
      <c r="K426">
        <v>1E-4</v>
      </c>
      <c r="L426" t="s">
        <v>17</v>
      </c>
      <c r="M426">
        <v>296</v>
      </c>
      <c r="N426" t="s">
        <v>553</v>
      </c>
    </row>
    <row r="427" spans="1:14" x14ac:dyDescent="0.2">
      <c r="A427" t="s">
        <v>1099</v>
      </c>
      <c r="B427" t="s">
        <v>32</v>
      </c>
      <c r="C427">
        <v>18</v>
      </c>
      <c r="D427">
        <v>13</v>
      </c>
      <c r="E427">
        <v>6</v>
      </c>
      <c r="F427">
        <v>19</v>
      </c>
      <c r="G427">
        <v>13</v>
      </c>
      <c r="H427">
        <v>7</v>
      </c>
      <c r="I427">
        <v>0.16070000000000001</v>
      </c>
      <c r="J427">
        <f t="shared" si="6"/>
        <v>0.31113876789047917</v>
      </c>
      <c r="K427">
        <v>5.0000000000000001E-4</v>
      </c>
      <c r="L427" t="s">
        <v>17</v>
      </c>
      <c r="M427">
        <v>296</v>
      </c>
      <c r="N427" t="s">
        <v>553</v>
      </c>
    </row>
    <row r="428" spans="1:14" x14ac:dyDescent="0.2">
      <c r="A428" t="s">
        <v>1099</v>
      </c>
      <c r="B428" t="s">
        <v>32</v>
      </c>
      <c r="C428">
        <v>21</v>
      </c>
      <c r="D428">
        <v>6</v>
      </c>
      <c r="E428">
        <v>15</v>
      </c>
      <c r="F428">
        <v>22</v>
      </c>
      <c r="G428">
        <v>6</v>
      </c>
      <c r="H428">
        <v>16</v>
      </c>
      <c r="I428">
        <v>0.17169999999999999</v>
      </c>
      <c r="J428">
        <f t="shared" si="6"/>
        <v>0.29120559114735006</v>
      </c>
      <c r="K428">
        <v>5.0000000000000001E-4</v>
      </c>
      <c r="L428" t="s">
        <v>17</v>
      </c>
      <c r="M428">
        <v>296</v>
      </c>
      <c r="N428" t="s">
        <v>553</v>
      </c>
    </row>
    <row r="429" spans="1:14" x14ac:dyDescent="0.2">
      <c r="A429" t="s">
        <v>1099</v>
      </c>
      <c r="B429" t="s">
        <v>32</v>
      </c>
      <c r="C429">
        <v>20</v>
      </c>
      <c r="D429">
        <v>9</v>
      </c>
      <c r="E429">
        <v>12</v>
      </c>
      <c r="F429">
        <v>21</v>
      </c>
      <c r="G429">
        <v>9</v>
      </c>
      <c r="H429">
        <v>13</v>
      </c>
      <c r="I429">
        <v>0.1711</v>
      </c>
      <c r="J429">
        <f t="shared" si="6"/>
        <v>0.46756282875511401</v>
      </c>
      <c r="K429">
        <v>8.0000000000000004E-4</v>
      </c>
      <c r="L429" t="s">
        <v>17</v>
      </c>
      <c r="M429">
        <v>296</v>
      </c>
      <c r="N429" t="s">
        <v>553</v>
      </c>
    </row>
    <row r="430" spans="1:14" x14ac:dyDescent="0.2">
      <c r="A430" t="s">
        <v>1099</v>
      </c>
      <c r="B430" t="s">
        <v>32</v>
      </c>
      <c r="C430">
        <v>19</v>
      </c>
      <c r="D430">
        <v>11</v>
      </c>
      <c r="E430">
        <v>8</v>
      </c>
      <c r="F430">
        <v>20</v>
      </c>
      <c r="G430">
        <v>11</v>
      </c>
      <c r="H430">
        <v>9</v>
      </c>
      <c r="I430">
        <v>0.16420000000000001</v>
      </c>
      <c r="J430">
        <f t="shared" si="6"/>
        <v>0.18270401948842871</v>
      </c>
      <c r="K430">
        <v>2.9999999999999997E-4</v>
      </c>
      <c r="L430" t="s">
        <v>17</v>
      </c>
      <c r="M430">
        <v>296</v>
      </c>
      <c r="N430" t="s">
        <v>553</v>
      </c>
    </row>
    <row r="431" spans="1:14" x14ac:dyDescent="0.2">
      <c r="A431" t="s">
        <v>1099</v>
      </c>
      <c r="B431" t="s">
        <v>32</v>
      </c>
      <c r="C431">
        <v>21</v>
      </c>
      <c r="D431">
        <v>3</v>
      </c>
      <c r="E431">
        <v>18</v>
      </c>
      <c r="F431">
        <v>22</v>
      </c>
      <c r="G431">
        <v>3</v>
      </c>
      <c r="H431">
        <v>19</v>
      </c>
      <c r="I431">
        <v>0.1797</v>
      </c>
      <c r="J431">
        <f t="shared" si="6"/>
        <v>0.22259321090706735</v>
      </c>
      <c r="K431">
        <v>4.0000000000000002E-4</v>
      </c>
      <c r="L431" t="s">
        <v>17</v>
      </c>
      <c r="M431">
        <v>296</v>
      </c>
      <c r="N431" t="s">
        <v>553</v>
      </c>
    </row>
    <row r="432" spans="1:14" x14ac:dyDescent="0.2">
      <c r="A432" t="s">
        <v>1099</v>
      </c>
      <c r="B432" t="s">
        <v>32</v>
      </c>
      <c r="C432">
        <v>23</v>
      </c>
      <c r="D432">
        <v>0</v>
      </c>
      <c r="E432">
        <v>23</v>
      </c>
      <c r="F432">
        <v>24</v>
      </c>
      <c r="G432">
        <v>0</v>
      </c>
      <c r="H432">
        <v>24</v>
      </c>
      <c r="I432">
        <v>0.16289999999999999</v>
      </c>
      <c r="J432">
        <f t="shared" si="6"/>
        <v>0.18416206261510129</v>
      </c>
      <c r="K432">
        <v>2.9999999999999997E-4</v>
      </c>
      <c r="L432" t="s">
        <v>17</v>
      </c>
      <c r="M432">
        <v>296</v>
      </c>
      <c r="N432" t="s">
        <v>553</v>
      </c>
    </row>
    <row r="433" spans="1:14" x14ac:dyDescent="0.2">
      <c r="A433" t="s">
        <v>1099</v>
      </c>
      <c r="B433" t="s">
        <v>32</v>
      </c>
      <c r="C433">
        <v>22</v>
      </c>
      <c r="D433">
        <v>2</v>
      </c>
      <c r="E433">
        <v>21</v>
      </c>
      <c r="F433">
        <v>23</v>
      </c>
      <c r="G433">
        <v>2</v>
      </c>
      <c r="H433">
        <v>22</v>
      </c>
      <c r="I433">
        <v>0.1699</v>
      </c>
      <c r="J433">
        <f t="shared" si="6"/>
        <v>0.11771630370806359</v>
      </c>
      <c r="K433">
        <v>2.0000000000000001E-4</v>
      </c>
      <c r="L433" t="s">
        <v>17</v>
      </c>
      <c r="M433">
        <v>296</v>
      </c>
      <c r="N433" t="s">
        <v>553</v>
      </c>
    </row>
    <row r="434" spans="1:14" x14ac:dyDescent="0.2">
      <c r="A434" t="s">
        <v>1099</v>
      </c>
      <c r="B434" t="s">
        <v>32</v>
      </c>
      <c r="C434">
        <v>21</v>
      </c>
      <c r="D434">
        <v>4</v>
      </c>
      <c r="E434">
        <v>17</v>
      </c>
      <c r="F434">
        <v>22</v>
      </c>
      <c r="G434">
        <v>4</v>
      </c>
      <c r="H434">
        <v>18</v>
      </c>
      <c r="I434">
        <v>0.18279999999999999</v>
      </c>
      <c r="J434">
        <f t="shared" si="6"/>
        <v>0.21881838074398252</v>
      </c>
      <c r="K434">
        <v>4.0000000000000002E-4</v>
      </c>
      <c r="L434" t="s">
        <v>17</v>
      </c>
      <c r="M434">
        <v>296</v>
      </c>
      <c r="N434" t="s">
        <v>553</v>
      </c>
    </row>
    <row r="435" spans="1:14" x14ac:dyDescent="0.2">
      <c r="A435" t="s">
        <v>1099</v>
      </c>
      <c r="B435" t="s">
        <v>32</v>
      </c>
      <c r="C435">
        <v>20</v>
      </c>
      <c r="D435">
        <v>8</v>
      </c>
      <c r="E435">
        <v>13</v>
      </c>
      <c r="F435">
        <v>21</v>
      </c>
      <c r="G435">
        <v>8</v>
      </c>
      <c r="H435">
        <v>14</v>
      </c>
      <c r="I435">
        <v>0.1656</v>
      </c>
      <c r="J435">
        <f t="shared" si="6"/>
        <v>0.12077294685990339</v>
      </c>
      <c r="K435">
        <v>2.0000000000000001E-4</v>
      </c>
      <c r="L435" t="s">
        <v>17</v>
      </c>
      <c r="M435">
        <v>296</v>
      </c>
      <c r="N435" t="s">
        <v>553</v>
      </c>
    </row>
    <row r="436" spans="1:14" x14ac:dyDescent="0.2">
      <c r="A436" t="s">
        <v>1099</v>
      </c>
      <c r="B436" t="s">
        <v>32</v>
      </c>
      <c r="C436">
        <v>18</v>
      </c>
      <c r="D436">
        <v>12</v>
      </c>
      <c r="E436">
        <v>7</v>
      </c>
      <c r="F436">
        <v>19</v>
      </c>
      <c r="G436">
        <v>12</v>
      </c>
      <c r="H436">
        <v>8</v>
      </c>
      <c r="I436">
        <v>0.16009999999999999</v>
      </c>
      <c r="J436">
        <f t="shared" si="6"/>
        <v>0.24984384759525299</v>
      </c>
      <c r="K436">
        <v>4.0000000000000002E-4</v>
      </c>
      <c r="L436" t="s">
        <v>17</v>
      </c>
      <c r="M436">
        <v>296</v>
      </c>
      <c r="N436" t="s">
        <v>553</v>
      </c>
    </row>
    <row r="437" spans="1:14" x14ac:dyDescent="0.2">
      <c r="A437" t="s">
        <v>1099</v>
      </c>
      <c r="B437" t="s">
        <v>32</v>
      </c>
      <c r="C437">
        <v>19</v>
      </c>
      <c r="D437">
        <v>10</v>
      </c>
      <c r="E437">
        <v>9</v>
      </c>
      <c r="F437">
        <v>20</v>
      </c>
      <c r="G437">
        <v>10</v>
      </c>
      <c r="H437">
        <v>10</v>
      </c>
      <c r="I437">
        <v>0.16700000000000001</v>
      </c>
      <c r="J437">
        <f t="shared" si="6"/>
        <v>0.29940119760479039</v>
      </c>
      <c r="K437">
        <v>5.0000000000000001E-4</v>
      </c>
      <c r="L437" t="s">
        <v>17</v>
      </c>
      <c r="M437">
        <v>296</v>
      </c>
      <c r="N437" t="s">
        <v>553</v>
      </c>
    </row>
    <row r="438" spans="1:14" x14ac:dyDescent="0.2">
      <c r="A438" t="s">
        <v>1099</v>
      </c>
      <c r="B438" t="s">
        <v>32</v>
      </c>
      <c r="C438">
        <v>20</v>
      </c>
      <c r="D438">
        <v>7</v>
      </c>
      <c r="E438">
        <v>14</v>
      </c>
      <c r="F438">
        <v>21</v>
      </c>
      <c r="G438">
        <v>7</v>
      </c>
      <c r="H438">
        <v>15</v>
      </c>
      <c r="I438">
        <v>0.17499999999999999</v>
      </c>
      <c r="J438">
        <f t="shared" si="6"/>
        <v>0.1142857142857143</v>
      </c>
      <c r="K438">
        <v>2.0000000000000001E-4</v>
      </c>
      <c r="L438" t="s">
        <v>17</v>
      </c>
      <c r="M438">
        <v>296</v>
      </c>
      <c r="N438" t="s">
        <v>553</v>
      </c>
    </row>
    <row r="439" spans="1:14" x14ac:dyDescent="0.2">
      <c r="A439" t="s">
        <v>1099</v>
      </c>
      <c r="B439" t="s">
        <v>32</v>
      </c>
      <c r="C439">
        <v>17</v>
      </c>
      <c r="D439">
        <v>13</v>
      </c>
      <c r="E439">
        <v>4</v>
      </c>
      <c r="F439">
        <v>18</v>
      </c>
      <c r="G439">
        <v>13</v>
      </c>
      <c r="H439">
        <v>5</v>
      </c>
      <c r="I439">
        <v>0.1628</v>
      </c>
      <c r="J439">
        <f t="shared" si="6"/>
        <v>0.42997542997542998</v>
      </c>
      <c r="K439">
        <v>6.9999999999999999E-4</v>
      </c>
      <c r="L439" t="s">
        <v>17</v>
      </c>
      <c r="M439">
        <v>296</v>
      </c>
      <c r="N439" t="s">
        <v>553</v>
      </c>
    </row>
    <row r="440" spans="1:14" x14ac:dyDescent="0.2">
      <c r="A440" t="s">
        <v>1099</v>
      </c>
      <c r="B440" t="s">
        <v>32</v>
      </c>
      <c r="C440">
        <v>22</v>
      </c>
      <c r="D440">
        <v>1</v>
      </c>
      <c r="E440">
        <v>22</v>
      </c>
      <c r="F440">
        <v>23</v>
      </c>
      <c r="G440">
        <v>1</v>
      </c>
      <c r="H440">
        <v>23</v>
      </c>
      <c r="I440">
        <v>0.1585</v>
      </c>
      <c r="J440">
        <f t="shared" si="6"/>
        <v>0.12618296529968456</v>
      </c>
      <c r="K440">
        <v>2.0000000000000001E-4</v>
      </c>
      <c r="L440" t="s">
        <v>17</v>
      </c>
      <c r="M440">
        <v>296</v>
      </c>
      <c r="N440" t="s">
        <v>553</v>
      </c>
    </row>
    <row r="441" spans="1:14" x14ac:dyDescent="0.2">
      <c r="A441" t="s">
        <v>1099</v>
      </c>
      <c r="B441" t="s">
        <v>32</v>
      </c>
      <c r="C441">
        <v>20</v>
      </c>
      <c r="D441">
        <v>5</v>
      </c>
      <c r="E441">
        <v>16</v>
      </c>
      <c r="F441">
        <v>21</v>
      </c>
      <c r="G441">
        <v>5</v>
      </c>
      <c r="H441">
        <v>17</v>
      </c>
      <c r="I441">
        <v>0.17269999999999999</v>
      </c>
      <c r="J441">
        <f t="shared" si="6"/>
        <v>0.11580775911986105</v>
      </c>
      <c r="K441">
        <v>2.0000000000000001E-4</v>
      </c>
      <c r="L441" t="s">
        <v>17</v>
      </c>
      <c r="M441">
        <v>296</v>
      </c>
      <c r="N441" t="s">
        <v>553</v>
      </c>
    </row>
    <row r="442" spans="1:14" x14ac:dyDescent="0.2">
      <c r="A442" t="s">
        <v>1099</v>
      </c>
      <c r="B442" t="s">
        <v>32</v>
      </c>
      <c r="C442">
        <v>16</v>
      </c>
      <c r="D442">
        <v>14</v>
      </c>
      <c r="E442">
        <v>3</v>
      </c>
      <c r="F442">
        <v>17</v>
      </c>
      <c r="G442">
        <v>14</v>
      </c>
      <c r="H442">
        <v>4</v>
      </c>
      <c r="I442">
        <v>0.14799999999999999</v>
      </c>
      <c r="J442">
        <f t="shared" si="6"/>
        <v>0.40540540540540543</v>
      </c>
      <c r="K442">
        <v>5.9999999999999995E-4</v>
      </c>
      <c r="L442" t="s">
        <v>17</v>
      </c>
      <c r="M442">
        <v>296</v>
      </c>
      <c r="N442" t="s">
        <v>553</v>
      </c>
    </row>
    <row r="443" spans="1:14" x14ac:dyDescent="0.2">
      <c r="A443" t="s">
        <v>1099</v>
      </c>
      <c r="B443" t="s">
        <v>32</v>
      </c>
      <c r="C443">
        <v>20</v>
      </c>
      <c r="D443">
        <v>4</v>
      </c>
      <c r="E443">
        <v>17</v>
      </c>
      <c r="F443">
        <v>21</v>
      </c>
      <c r="G443">
        <v>4</v>
      </c>
      <c r="H443">
        <v>18</v>
      </c>
      <c r="I443">
        <v>0.17449999999999999</v>
      </c>
      <c r="J443">
        <f t="shared" si="6"/>
        <v>0.11461318051575933</v>
      </c>
      <c r="K443">
        <v>2.0000000000000001E-4</v>
      </c>
      <c r="L443" t="s">
        <v>17</v>
      </c>
      <c r="M443">
        <v>296</v>
      </c>
      <c r="N443" t="s">
        <v>553</v>
      </c>
    </row>
    <row r="444" spans="1:14" x14ac:dyDescent="0.2">
      <c r="A444" t="s">
        <v>1099</v>
      </c>
      <c r="B444" t="s">
        <v>32</v>
      </c>
      <c r="C444">
        <v>18</v>
      </c>
      <c r="D444">
        <v>9</v>
      </c>
      <c r="E444">
        <v>10</v>
      </c>
      <c r="F444">
        <v>19</v>
      </c>
      <c r="G444">
        <v>9</v>
      </c>
      <c r="H444">
        <v>11</v>
      </c>
      <c r="I444">
        <v>0.15379999999999999</v>
      </c>
      <c r="J444">
        <f t="shared" si="6"/>
        <v>0.26007802340702213</v>
      </c>
      <c r="K444">
        <v>4.0000000000000002E-4</v>
      </c>
      <c r="L444" t="s">
        <v>17</v>
      </c>
      <c r="M444">
        <v>296</v>
      </c>
      <c r="N444" t="s">
        <v>553</v>
      </c>
    </row>
    <row r="445" spans="1:14" x14ac:dyDescent="0.2">
      <c r="A445" t="s">
        <v>1099</v>
      </c>
      <c r="B445" t="s">
        <v>32</v>
      </c>
      <c r="C445">
        <v>17</v>
      </c>
      <c r="D445">
        <v>11</v>
      </c>
      <c r="E445">
        <v>6</v>
      </c>
      <c r="F445">
        <v>18</v>
      </c>
      <c r="G445">
        <v>11</v>
      </c>
      <c r="H445">
        <v>7</v>
      </c>
      <c r="I445">
        <v>0.15959999999999999</v>
      </c>
      <c r="J445">
        <f t="shared" si="6"/>
        <v>0.25062656641604014</v>
      </c>
      <c r="K445">
        <v>4.0000000000000002E-4</v>
      </c>
      <c r="L445" t="s">
        <v>17</v>
      </c>
      <c r="M445">
        <v>296</v>
      </c>
      <c r="N445" t="s">
        <v>553</v>
      </c>
    </row>
    <row r="446" spans="1:14" x14ac:dyDescent="0.2">
      <c r="A446" t="s">
        <v>1099</v>
      </c>
      <c r="B446" t="s">
        <v>32</v>
      </c>
      <c r="C446">
        <v>19</v>
      </c>
      <c r="D446">
        <v>2</v>
      </c>
      <c r="E446">
        <v>17</v>
      </c>
      <c r="F446">
        <v>20</v>
      </c>
      <c r="G446">
        <v>2</v>
      </c>
      <c r="H446">
        <v>18</v>
      </c>
      <c r="I446">
        <v>0.1754</v>
      </c>
      <c r="J446">
        <f t="shared" si="6"/>
        <v>0.11402508551881414</v>
      </c>
      <c r="K446">
        <v>2.0000000000000001E-4</v>
      </c>
      <c r="L446" t="s">
        <v>17</v>
      </c>
      <c r="M446">
        <v>296</v>
      </c>
      <c r="N446" t="s">
        <v>553</v>
      </c>
    </row>
    <row r="447" spans="1:14" x14ac:dyDescent="0.2">
      <c r="A447" t="s">
        <v>1099</v>
      </c>
      <c r="B447" t="s">
        <v>32</v>
      </c>
      <c r="C447">
        <v>19</v>
      </c>
      <c r="D447">
        <v>3</v>
      </c>
      <c r="E447">
        <v>16</v>
      </c>
      <c r="F447">
        <v>20</v>
      </c>
      <c r="G447">
        <v>3</v>
      </c>
      <c r="H447">
        <v>17</v>
      </c>
      <c r="I447">
        <v>0.17449999999999999</v>
      </c>
      <c r="J447">
        <f t="shared" si="6"/>
        <v>0.22922636103151867</v>
      </c>
      <c r="K447">
        <v>4.0000000000000002E-4</v>
      </c>
      <c r="L447" t="s">
        <v>17</v>
      </c>
      <c r="M447">
        <v>296</v>
      </c>
      <c r="N447" t="s">
        <v>553</v>
      </c>
    </row>
    <row r="448" spans="1:14" x14ac:dyDescent="0.2">
      <c r="A448" t="s">
        <v>1099</v>
      </c>
      <c r="B448" t="s">
        <v>32</v>
      </c>
      <c r="C448">
        <v>19</v>
      </c>
      <c r="D448">
        <v>4</v>
      </c>
      <c r="E448">
        <v>15</v>
      </c>
      <c r="F448">
        <v>20</v>
      </c>
      <c r="G448">
        <v>4</v>
      </c>
      <c r="H448">
        <v>16</v>
      </c>
      <c r="I448">
        <v>0.17280000000000001</v>
      </c>
      <c r="J448">
        <f t="shared" si="6"/>
        <v>0.17361111111111108</v>
      </c>
      <c r="K448">
        <v>2.9999999999999997E-4</v>
      </c>
      <c r="L448" t="s">
        <v>17</v>
      </c>
      <c r="M448">
        <v>296</v>
      </c>
      <c r="N448" t="s">
        <v>553</v>
      </c>
    </row>
    <row r="449" spans="1:14" x14ac:dyDescent="0.2">
      <c r="A449" t="s">
        <v>1099</v>
      </c>
      <c r="B449" t="s">
        <v>32</v>
      </c>
      <c r="C449">
        <v>18</v>
      </c>
      <c r="D449">
        <v>8</v>
      </c>
      <c r="E449">
        <v>11</v>
      </c>
      <c r="F449">
        <v>19</v>
      </c>
      <c r="G449">
        <v>8</v>
      </c>
      <c r="H449">
        <v>12</v>
      </c>
      <c r="I449">
        <v>0.16830000000000001</v>
      </c>
      <c r="J449">
        <f t="shared" si="6"/>
        <v>0.23767082590612004</v>
      </c>
      <c r="K449">
        <v>4.0000000000000002E-4</v>
      </c>
      <c r="L449" t="s">
        <v>17</v>
      </c>
      <c r="M449">
        <v>296</v>
      </c>
      <c r="N449" t="s">
        <v>553</v>
      </c>
    </row>
    <row r="450" spans="1:14" x14ac:dyDescent="0.2">
      <c r="A450" t="s">
        <v>1099</v>
      </c>
      <c r="B450" t="s">
        <v>32</v>
      </c>
      <c r="C450">
        <v>16</v>
      </c>
      <c r="D450">
        <v>12</v>
      </c>
      <c r="E450">
        <v>5</v>
      </c>
      <c r="F450">
        <v>17</v>
      </c>
      <c r="G450">
        <v>12</v>
      </c>
      <c r="H450">
        <v>6</v>
      </c>
      <c r="I450">
        <v>0.1565</v>
      </c>
      <c r="J450">
        <f t="shared" si="6"/>
        <v>0.76677316293929709</v>
      </c>
      <c r="K450">
        <v>1.1999999999999999E-3</v>
      </c>
      <c r="L450" t="s">
        <v>17</v>
      </c>
      <c r="M450">
        <v>296</v>
      </c>
      <c r="N450" t="s">
        <v>553</v>
      </c>
    </row>
    <row r="451" spans="1:14" x14ac:dyDescent="0.2">
      <c r="A451" t="s">
        <v>1099</v>
      </c>
      <c r="B451" t="s">
        <v>32</v>
      </c>
      <c r="C451">
        <v>17</v>
      </c>
      <c r="D451">
        <v>10</v>
      </c>
      <c r="E451">
        <v>7</v>
      </c>
      <c r="F451">
        <v>18</v>
      </c>
      <c r="G451">
        <v>10</v>
      </c>
      <c r="H451">
        <v>8</v>
      </c>
      <c r="I451">
        <v>0.1595</v>
      </c>
      <c r="J451">
        <f t="shared" ref="J451:J514" si="7">K451/I451*100</f>
        <v>0.31347962382445138</v>
      </c>
      <c r="K451">
        <v>5.0000000000000001E-4</v>
      </c>
      <c r="L451" t="s">
        <v>17</v>
      </c>
      <c r="M451">
        <v>296</v>
      </c>
      <c r="N451" t="s">
        <v>553</v>
      </c>
    </row>
    <row r="452" spans="1:14" x14ac:dyDescent="0.2">
      <c r="A452" t="s">
        <v>1099</v>
      </c>
      <c r="B452" t="s">
        <v>32</v>
      </c>
      <c r="C452">
        <v>18</v>
      </c>
      <c r="D452">
        <v>7</v>
      </c>
      <c r="E452">
        <v>12</v>
      </c>
      <c r="F452">
        <v>19</v>
      </c>
      <c r="G452">
        <v>7</v>
      </c>
      <c r="H452">
        <v>13</v>
      </c>
      <c r="I452">
        <v>0.16839999999999999</v>
      </c>
      <c r="J452">
        <f t="shared" si="7"/>
        <v>0.17814726840855105</v>
      </c>
      <c r="K452">
        <v>2.9999999999999997E-4</v>
      </c>
      <c r="L452" t="s">
        <v>17</v>
      </c>
      <c r="M452">
        <v>296</v>
      </c>
      <c r="N452" t="s">
        <v>553</v>
      </c>
    </row>
    <row r="453" spans="1:14" x14ac:dyDescent="0.2">
      <c r="A453" t="s">
        <v>1099</v>
      </c>
      <c r="B453" t="s">
        <v>32</v>
      </c>
      <c r="C453">
        <v>19</v>
      </c>
      <c r="D453">
        <v>1</v>
      </c>
      <c r="E453">
        <v>18</v>
      </c>
      <c r="F453">
        <v>20</v>
      </c>
      <c r="G453">
        <v>1</v>
      </c>
      <c r="H453">
        <v>19</v>
      </c>
      <c r="I453">
        <v>0.17369999999999999</v>
      </c>
      <c r="J453">
        <f t="shared" si="7"/>
        <v>0.11514104778353484</v>
      </c>
      <c r="K453">
        <v>2.0000000000000001E-4</v>
      </c>
      <c r="L453" t="s">
        <v>17</v>
      </c>
      <c r="M453">
        <v>296</v>
      </c>
      <c r="N453" t="s">
        <v>553</v>
      </c>
    </row>
    <row r="454" spans="1:14" x14ac:dyDescent="0.2">
      <c r="A454" t="s">
        <v>1099</v>
      </c>
      <c r="B454" t="s">
        <v>32</v>
      </c>
      <c r="C454">
        <v>15</v>
      </c>
      <c r="D454">
        <v>13</v>
      </c>
      <c r="E454">
        <v>2</v>
      </c>
      <c r="F454">
        <v>16</v>
      </c>
      <c r="G454">
        <v>13</v>
      </c>
      <c r="H454">
        <v>3</v>
      </c>
      <c r="I454">
        <v>0.1464</v>
      </c>
      <c r="J454">
        <f t="shared" si="7"/>
        <v>0.47814207650273227</v>
      </c>
      <c r="K454">
        <v>6.9999999999999999E-4</v>
      </c>
      <c r="L454" t="s">
        <v>17</v>
      </c>
      <c r="M454">
        <v>296</v>
      </c>
      <c r="N454" t="s">
        <v>553</v>
      </c>
    </row>
    <row r="455" spans="1:14" x14ac:dyDescent="0.2">
      <c r="A455" t="s">
        <v>1099</v>
      </c>
      <c r="B455" t="s">
        <v>32</v>
      </c>
      <c r="C455">
        <v>20</v>
      </c>
      <c r="D455">
        <v>1</v>
      </c>
      <c r="E455">
        <v>20</v>
      </c>
      <c r="F455">
        <v>21</v>
      </c>
      <c r="G455">
        <v>1</v>
      </c>
      <c r="H455">
        <v>21</v>
      </c>
      <c r="I455">
        <v>0.16</v>
      </c>
      <c r="J455">
        <f t="shared" si="7"/>
        <v>0.25</v>
      </c>
      <c r="K455">
        <v>4.0000000000000002E-4</v>
      </c>
      <c r="L455" t="s">
        <v>17</v>
      </c>
      <c r="M455">
        <v>296</v>
      </c>
      <c r="N455" t="s">
        <v>553</v>
      </c>
    </row>
    <row r="456" spans="1:14" x14ac:dyDescent="0.2">
      <c r="A456" t="s">
        <v>1099</v>
      </c>
      <c r="B456" t="s">
        <v>32</v>
      </c>
      <c r="C456">
        <v>17</v>
      </c>
      <c r="D456">
        <v>9</v>
      </c>
      <c r="E456">
        <v>8</v>
      </c>
      <c r="F456">
        <v>18</v>
      </c>
      <c r="G456">
        <v>9</v>
      </c>
      <c r="H456">
        <v>9</v>
      </c>
      <c r="I456">
        <v>0.1636</v>
      </c>
      <c r="J456">
        <f t="shared" si="7"/>
        <v>0.30562347188264061</v>
      </c>
      <c r="K456">
        <v>5.0000000000000001E-4</v>
      </c>
      <c r="L456" t="s">
        <v>17</v>
      </c>
      <c r="M456">
        <v>296</v>
      </c>
      <c r="N456" t="s">
        <v>553</v>
      </c>
    </row>
    <row r="457" spans="1:14" x14ac:dyDescent="0.2">
      <c r="A457" t="s">
        <v>1099</v>
      </c>
      <c r="B457" t="s">
        <v>32</v>
      </c>
      <c r="C457">
        <v>18</v>
      </c>
      <c r="D457">
        <v>6</v>
      </c>
      <c r="E457">
        <v>13</v>
      </c>
      <c r="F457">
        <v>19</v>
      </c>
      <c r="G457">
        <v>6</v>
      </c>
      <c r="H457">
        <v>14</v>
      </c>
      <c r="I457">
        <v>0.17399999999999999</v>
      </c>
      <c r="J457">
        <f t="shared" si="7"/>
        <v>0.17241379310344829</v>
      </c>
      <c r="K457">
        <v>2.9999999999999997E-4</v>
      </c>
      <c r="L457" t="s">
        <v>17</v>
      </c>
      <c r="M457">
        <v>296</v>
      </c>
      <c r="N457" t="s">
        <v>553</v>
      </c>
    </row>
    <row r="458" spans="1:14" x14ac:dyDescent="0.2">
      <c r="A458" t="s">
        <v>1099</v>
      </c>
      <c r="B458" t="s">
        <v>32</v>
      </c>
      <c r="C458">
        <v>16</v>
      </c>
      <c r="D458">
        <v>11</v>
      </c>
      <c r="E458">
        <v>6</v>
      </c>
      <c r="F458">
        <v>17</v>
      </c>
      <c r="G458">
        <v>11</v>
      </c>
      <c r="H458">
        <v>7</v>
      </c>
      <c r="I458">
        <v>0.17050000000000001</v>
      </c>
      <c r="J458">
        <f t="shared" si="7"/>
        <v>0.46920821114369504</v>
      </c>
      <c r="K458">
        <v>8.0000000000000004E-4</v>
      </c>
      <c r="L458" t="s">
        <v>17</v>
      </c>
      <c r="M458">
        <v>296</v>
      </c>
      <c r="N458" t="s">
        <v>553</v>
      </c>
    </row>
    <row r="459" spans="1:14" x14ac:dyDescent="0.2">
      <c r="A459" t="s">
        <v>1099</v>
      </c>
      <c r="B459" t="s">
        <v>32</v>
      </c>
      <c r="C459">
        <v>18</v>
      </c>
      <c r="D459">
        <v>5</v>
      </c>
      <c r="E459">
        <v>14</v>
      </c>
      <c r="F459">
        <v>19</v>
      </c>
      <c r="G459">
        <v>5</v>
      </c>
      <c r="H459">
        <v>15</v>
      </c>
      <c r="I459">
        <v>0.17280000000000001</v>
      </c>
      <c r="J459">
        <f t="shared" si="7"/>
        <v>0.17361111111111108</v>
      </c>
      <c r="K459">
        <v>2.9999999999999997E-4</v>
      </c>
      <c r="L459" t="s">
        <v>17</v>
      </c>
      <c r="M459">
        <v>296</v>
      </c>
      <c r="N459" t="s">
        <v>553</v>
      </c>
    </row>
    <row r="460" spans="1:14" x14ac:dyDescent="0.2">
      <c r="A460" t="s">
        <v>1099</v>
      </c>
      <c r="B460" t="s">
        <v>32</v>
      </c>
      <c r="C460">
        <v>17</v>
      </c>
      <c r="D460">
        <v>8</v>
      </c>
      <c r="E460">
        <v>9</v>
      </c>
      <c r="F460">
        <v>18</v>
      </c>
      <c r="G460">
        <v>8</v>
      </c>
      <c r="H460">
        <v>10</v>
      </c>
      <c r="I460">
        <v>0.1656</v>
      </c>
      <c r="J460">
        <f t="shared" si="7"/>
        <v>0.18115942028985504</v>
      </c>
      <c r="K460">
        <v>2.9999999999999997E-4</v>
      </c>
      <c r="L460" t="s">
        <v>17</v>
      </c>
      <c r="M460">
        <v>296</v>
      </c>
      <c r="N460" t="s">
        <v>553</v>
      </c>
    </row>
    <row r="461" spans="1:14" x14ac:dyDescent="0.2">
      <c r="A461" t="s">
        <v>1099</v>
      </c>
      <c r="B461" t="s">
        <v>32</v>
      </c>
      <c r="C461">
        <v>18</v>
      </c>
      <c r="D461">
        <v>4</v>
      </c>
      <c r="E461">
        <v>15</v>
      </c>
      <c r="F461">
        <v>19</v>
      </c>
      <c r="G461">
        <v>4</v>
      </c>
      <c r="H461">
        <v>16</v>
      </c>
      <c r="I461">
        <v>0.17630000000000001</v>
      </c>
      <c r="J461">
        <f t="shared" si="7"/>
        <v>0.17016449234259781</v>
      </c>
      <c r="K461">
        <v>2.9999999999999997E-4</v>
      </c>
      <c r="L461" t="s">
        <v>17</v>
      </c>
      <c r="M461">
        <v>296</v>
      </c>
      <c r="N461" t="s">
        <v>553</v>
      </c>
    </row>
    <row r="462" spans="1:14" x14ac:dyDescent="0.2">
      <c r="A462" t="s">
        <v>1099</v>
      </c>
      <c r="B462" t="s">
        <v>32</v>
      </c>
      <c r="C462">
        <v>18</v>
      </c>
      <c r="D462">
        <v>3</v>
      </c>
      <c r="E462">
        <v>16</v>
      </c>
      <c r="F462">
        <v>19</v>
      </c>
      <c r="G462">
        <v>3</v>
      </c>
      <c r="H462">
        <v>17</v>
      </c>
      <c r="I462">
        <v>0.17130000000000001</v>
      </c>
      <c r="J462">
        <f t="shared" si="7"/>
        <v>0.17513134851138351</v>
      </c>
      <c r="K462">
        <v>2.9999999999999997E-4</v>
      </c>
      <c r="L462" t="s">
        <v>17</v>
      </c>
      <c r="M462">
        <v>296</v>
      </c>
      <c r="N462" t="s">
        <v>553</v>
      </c>
    </row>
    <row r="463" spans="1:14" x14ac:dyDescent="0.2">
      <c r="A463" t="s">
        <v>1099</v>
      </c>
      <c r="B463" t="s">
        <v>32</v>
      </c>
      <c r="C463">
        <v>17</v>
      </c>
      <c r="D463">
        <v>7</v>
      </c>
      <c r="E463">
        <v>10</v>
      </c>
      <c r="F463">
        <v>18</v>
      </c>
      <c r="G463">
        <v>7</v>
      </c>
      <c r="H463">
        <v>11</v>
      </c>
      <c r="I463">
        <v>0.16289999999999999</v>
      </c>
      <c r="J463">
        <f t="shared" si="7"/>
        <v>0.30693677102516886</v>
      </c>
      <c r="K463">
        <v>5.0000000000000001E-4</v>
      </c>
      <c r="L463" t="s">
        <v>17</v>
      </c>
      <c r="M463">
        <v>296</v>
      </c>
      <c r="N463" t="s">
        <v>553</v>
      </c>
    </row>
    <row r="464" spans="1:14" x14ac:dyDescent="0.2">
      <c r="A464" t="s">
        <v>1099</v>
      </c>
      <c r="B464" t="s">
        <v>32</v>
      </c>
      <c r="C464">
        <v>19</v>
      </c>
      <c r="D464">
        <v>0</v>
      </c>
      <c r="E464">
        <v>19</v>
      </c>
      <c r="F464">
        <v>20</v>
      </c>
      <c r="G464">
        <v>0</v>
      </c>
      <c r="H464">
        <v>20</v>
      </c>
      <c r="I464">
        <v>0.15859999999999999</v>
      </c>
      <c r="J464">
        <f t="shared" si="7"/>
        <v>0.18915510718789408</v>
      </c>
      <c r="K464">
        <v>2.9999999999999997E-4</v>
      </c>
      <c r="L464" t="s">
        <v>17</v>
      </c>
      <c r="M464">
        <v>296</v>
      </c>
      <c r="N464" t="s">
        <v>553</v>
      </c>
    </row>
    <row r="465" spans="1:14" x14ac:dyDescent="0.2">
      <c r="A465" t="s">
        <v>1099</v>
      </c>
      <c r="B465" t="s">
        <v>32</v>
      </c>
      <c r="C465">
        <v>16</v>
      </c>
      <c r="D465">
        <v>9</v>
      </c>
      <c r="E465">
        <v>8</v>
      </c>
      <c r="F465">
        <v>17</v>
      </c>
      <c r="G465">
        <v>9</v>
      </c>
      <c r="H465">
        <v>9</v>
      </c>
      <c r="I465">
        <v>0.16850000000000001</v>
      </c>
      <c r="J465">
        <f t="shared" si="7"/>
        <v>0.41543026706231451</v>
      </c>
      <c r="K465">
        <v>6.9999999999999999E-4</v>
      </c>
      <c r="L465" t="s">
        <v>17</v>
      </c>
      <c r="M465">
        <v>296</v>
      </c>
      <c r="N465" t="s">
        <v>553</v>
      </c>
    </row>
    <row r="466" spans="1:14" x14ac:dyDescent="0.2">
      <c r="A466" t="s">
        <v>1099</v>
      </c>
      <c r="B466" t="s">
        <v>32</v>
      </c>
      <c r="C466">
        <v>17</v>
      </c>
      <c r="D466">
        <v>6</v>
      </c>
      <c r="E466">
        <v>11</v>
      </c>
      <c r="F466">
        <v>18</v>
      </c>
      <c r="G466">
        <v>6</v>
      </c>
      <c r="H466">
        <v>12</v>
      </c>
      <c r="I466">
        <v>0.16819999999999999</v>
      </c>
      <c r="J466">
        <f t="shared" si="7"/>
        <v>0.29726516052318669</v>
      </c>
      <c r="K466">
        <v>5.0000000000000001E-4</v>
      </c>
      <c r="L466" t="s">
        <v>17</v>
      </c>
      <c r="M466">
        <v>296</v>
      </c>
      <c r="N466" t="s">
        <v>553</v>
      </c>
    </row>
    <row r="467" spans="1:14" x14ac:dyDescent="0.2">
      <c r="A467" t="s">
        <v>1099</v>
      </c>
      <c r="B467" t="s">
        <v>32</v>
      </c>
      <c r="C467">
        <v>15</v>
      </c>
      <c r="D467">
        <v>11</v>
      </c>
      <c r="E467">
        <v>4</v>
      </c>
      <c r="F467">
        <v>16</v>
      </c>
      <c r="G467">
        <v>11</v>
      </c>
      <c r="H467">
        <v>5</v>
      </c>
      <c r="I467">
        <v>0.1565</v>
      </c>
      <c r="J467">
        <f t="shared" si="7"/>
        <v>0.31948881789137379</v>
      </c>
      <c r="K467">
        <v>5.0000000000000001E-4</v>
      </c>
      <c r="L467" t="s">
        <v>17</v>
      </c>
      <c r="M467">
        <v>296</v>
      </c>
      <c r="N467" t="s">
        <v>553</v>
      </c>
    </row>
    <row r="468" spans="1:14" x14ac:dyDescent="0.2">
      <c r="A468" t="s">
        <v>1099</v>
      </c>
      <c r="B468" t="s">
        <v>32</v>
      </c>
      <c r="C468">
        <v>18</v>
      </c>
      <c r="D468">
        <v>2</v>
      </c>
      <c r="E468">
        <v>17</v>
      </c>
      <c r="F468">
        <v>19</v>
      </c>
      <c r="G468">
        <v>2</v>
      </c>
      <c r="H468">
        <v>18</v>
      </c>
      <c r="I468">
        <v>0.1656</v>
      </c>
      <c r="J468">
        <f t="shared" si="7"/>
        <v>0.12077294685990339</v>
      </c>
      <c r="K468">
        <v>2.0000000000000001E-4</v>
      </c>
      <c r="L468" t="s">
        <v>17</v>
      </c>
      <c r="M468">
        <v>296</v>
      </c>
      <c r="N468" t="s">
        <v>553</v>
      </c>
    </row>
    <row r="469" spans="1:14" x14ac:dyDescent="0.2">
      <c r="A469" t="s">
        <v>1099</v>
      </c>
      <c r="B469" t="s">
        <v>32</v>
      </c>
      <c r="C469">
        <v>17</v>
      </c>
      <c r="D469">
        <v>4</v>
      </c>
      <c r="E469">
        <v>13</v>
      </c>
      <c r="F469">
        <v>18</v>
      </c>
      <c r="G469">
        <v>4</v>
      </c>
      <c r="H469">
        <v>14</v>
      </c>
      <c r="I469">
        <v>0.1643</v>
      </c>
      <c r="J469">
        <f t="shared" si="7"/>
        <v>0.12172854534388314</v>
      </c>
      <c r="K469">
        <v>2.0000000000000001E-4</v>
      </c>
      <c r="L469" t="s">
        <v>17</v>
      </c>
      <c r="M469">
        <v>296</v>
      </c>
      <c r="N469" t="s">
        <v>553</v>
      </c>
    </row>
    <row r="470" spans="1:14" x14ac:dyDescent="0.2">
      <c r="A470" t="s">
        <v>1099</v>
      </c>
      <c r="B470" t="s">
        <v>32</v>
      </c>
      <c r="C470">
        <v>16</v>
      </c>
      <c r="D470">
        <v>7</v>
      </c>
      <c r="E470">
        <v>10</v>
      </c>
      <c r="F470">
        <v>17</v>
      </c>
      <c r="G470">
        <v>7</v>
      </c>
      <c r="H470">
        <v>11</v>
      </c>
      <c r="I470">
        <v>0.16769999999999999</v>
      </c>
      <c r="J470">
        <f t="shared" si="7"/>
        <v>0.17889087656529518</v>
      </c>
      <c r="K470">
        <v>2.9999999999999997E-4</v>
      </c>
      <c r="L470" t="s">
        <v>17</v>
      </c>
      <c r="M470">
        <v>296</v>
      </c>
      <c r="N470" t="s">
        <v>553</v>
      </c>
    </row>
    <row r="471" spans="1:14" x14ac:dyDescent="0.2">
      <c r="A471" t="s">
        <v>1099</v>
      </c>
      <c r="B471" t="s">
        <v>32</v>
      </c>
      <c r="C471">
        <v>17</v>
      </c>
      <c r="D471">
        <v>1</v>
      </c>
      <c r="E471">
        <v>16</v>
      </c>
      <c r="F471">
        <v>18</v>
      </c>
      <c r="G471">
        <v>1</v>
      </c>
      <c r="H471">
        <v>17</v>
      </c>
      <c r="I471">
        <v>0.1804</v>
      </c>
      <c r="J471">
        <f t="shared" si="7"/>
        <v>0.11086474501108648</v>
      </c>
      <c r="K471">
        <v>2.0000000000000001E-4</v>
      </c>
      <c r="L471" t="s">
        <v>17</v>
      </c>
      <c r="M471">
        <v>296</v>
      </c>
      <c r="N471" t="s">
        <v>553</v>
      </c>
    </row>
    <row r="472" spans="1:14" x14ac:dyDescent="0.2">
      <c r="A472" t="s">
        <v>1099</v>
      </c>
      <c r="B472" t="s">
        <v>32</v>
      </c>
      <c r="C472">
        <v>18</v>
      </c>
      <c r="D472">
        <v>1</v>
      </c>
      <c r="E472">
        <v>18</v>
      </c>
      <c r="F472">
        <v>19</v>
      </c>
      <c r="G472">
        <v>1</v>
      </c>
      <c r="H472">
        <v>19</v>
      </c>
      <c r="I472">
        <v>0.1678</v>
      </c>
      <c r="J472">
        <f t="shared" si="7"/>
        <v>0.11918951132300357</v>
      </c>
      <c r="K472">
        <v>2.0000000000000001E-4</v>
      </c>
      <c r="L472" t="s">
        <v>17</v>
      </c>
      <c r="M472">
        <v>296</v>
      </c>
      <c r="N472" t="s">
        <v>553</v>
      </c>
    </row>
    <row r="473" spans="1:14" x14ac:dyDescent="0.2">
      <c r="A473" t="s">
        <v>1099</v>
      </c>
      <c r="B473" t="s">
        <v>32</v>
      </c>
      <c r="C473">
        <v>15</v>
      </c>
      <c r="D473">
        <v>9</v>
      </c>
      <c r="E473">
        <v>6</v>
      </c>
      <c r="F473">
        <v>16</v>
      </c>
      <c r="G473">
        <v>9</v>
      </c>
      <c r="H473">
        <v>7</v>
      </c>
      <c r="I473">
        <v>0.161</v>
      </c>
      <c r="J473">
        <f t="shared" si="7"/>
        <v>0.2484472049689441</v>
      </c>
      <c r="K473">
        <v>4.0000000000000002E-4</v>
      </c>
      <c r="L473" t="s">
        <v>17</v>
      </c>
      <c r="M473">
        <v>296</v>
      </c>
      <c r="N473" t="s">
        <v>553</v>
      </c>
    </row>
    <row r="474" spans="1:14" x14ac:dyDescent="0.2">
      <c r="A474" t="s">
        <v>1099</v>
      </c>
      <c r="B474" t="s">
        <v>32</v>
      </c>
      <c r="C474">
        <v>16</v>
      </c>
      <c r="D474">
        <v>5</v>
      </c>
      <c r="E474">
        <v>12</v>
      </c>
      <c r="F474">
        <v>17</v>
      </c>
      <c r="G474">
        <v>5</v>
      </c>
      <c r="H474">
        <v>13</v>
      </c>
      <c r="I474">
        <v>0.16889999999999999</v>
      </c>
      <c r="J474">
        <f t="shared" si="7"/>
        <v>0.17761989342806392</v>
      </c>
      <c r="K474">
        <v>2.9999999999999997E-4</v>
      </c>
      <c r="L474" t="s">
        <v>17</v>
      </c>
      <c r="M474">
        <v>296</v>
      </c>
      <c r="N474" t="s">
        <v>553</v>
      </c>
    </row>
    <row r="475" spans="1:14" x14ac:dyDescent="0.2">
      <c r="A475" t="s">
        <v>1099</v>
      </c>
      <c r="B475" t="s">
        <v>32</v>
      </c>
      <c r="C475">
        <v>16</v>
      </c>
      <c r="D475">
        <v>4</v>
      </c>
      <c r="E475">
        <v>13</v>
      </c>
      <c r="F475">
        <v>17</v>
      </c>
      <c r="G475">
        <v>4</v>
      </c>
      <c r="H475">
        <v>14</v>
      </c>
      <c r="I475">
        <v>0.17130000000000001</v>
      </c>
      <c r="J475">
        <f t="shared" si="7"/>
        <v>0.23350846468184472</v>
      </c>
      <c r="K475">
        <v>4.0000000000000002E-4</v>
      </c>
      <c r="L475" t="s">
        <v>17</v>
      </c>
      <c r="M475">
        <v>296</v>
      </c>
      <c r="N475" t="s">
        <v>553</v>
      </c>
    </row>
    <row r="476" spans="1:14" x14ac:dyDescent="0.2">
      <c r="A476" t="s">
        <v>1099</v>
      </c>
      <c r="B476" t="s">
        <v>32</v>
      </c>
      <c r="C476">
        <v>14</v>
      </c>
      <c r="D476">
        <v>10</v>
      </c>
      <c r="E476">
        <v>5</v>
      </c>
      <c r="F476">
        <v>15</v>
      </c>
      <c r="G476">
        <v>10</v>
      </c>
      <c r="H476">
        <v>6</v>
      </c>
      <c r="I476">
        <v>0.16239999999999999</v>
      </c>
      <c r="J476">
        <f t="shared" si="7"/>
        <v>0.55418719211822665</v>
      </c>
      <c r="K476">
        <v>8.9999999999999998E-4</v>
      </c>
      <c r="L476" t="s">
        <v>17</v>
      </c>
      <c r="M476">
        <v>296</v>
      </c>
      <c r="N476" t="s">
        <v>553</v>
      </c>
    </row>
    <row r="477" spans="1:14" x14ac:dyDescent="0.2">
      <c r="A477" t="s">
        <v>1099</v>
      </c>
      <c r="B477" t="s">
        <v>32</v>
      </c>
      <c r="C477">
        <v>16</v>
      </c>
      <c r="D477">
        <v>3</v>
      </c>
      <c r="E477">
        <v>14</v>
      </c>
      <c r="F477">
        <v>17</v>
      </c>
      <c r="G477">
        <v>3</v>
      </c>
      <c r="H477">
        <v>15</v>
      </c>
      <c r="I477">
        <v>0.1744</v>
      </c>
      <c r="J477">
        <f t="shared" si="7"/>
        <v>0.17201834862385321</v>
      </c>
      <c r="K477">
        <v>2.9999999999999997E-4</v>
      </c>
      <c r="L477" t="s">
        <v>17</v>
      </c>
      <c r="M477">
        <v>296</v>
      </c>
      <c r="N477" t="s">
        <v>553</v>
      </c>
    </row>
    <row r="478" spans="1:14" x14ac:dyDescent="0.2">
      <c r="A478" t="s">
        <v>1099</v>
      </c>
      <c r="B478" t="s">
        <v>32</v>
      </c>
      <c r="C478">
        <v>15</v>
      </c>
      <c r="D478">
        <v>7</v>
      </c>
      <c r="E478">
        <v>8</v>
      </c>
      <c r="F478">
        <v>16</v>
      </c>
      <c r="G478">
        <v>7</v>
      </c>
      <c r="H478">
        <v>9</v>
      </c>
      <c r="I478">
        <v>0.16800000000000001</v>
      </c>
      <c r="J478">
        <f t="shared" si="7"/>
        <v>0.3571428571428571</v>
      </c>
      <c r="K478">
        <v>5.9999999999999995E-4</v>
      </c>
      <c r="L478" t="s">
        <v>17</v>
      </c>
      <c r="M478">
        <v>296</v>
      </c>
      <c r="N478" t="s">
        <v>553</v>
      </c>
    </row>
    <row r="479" spans="1:14" x14ac:dyDescent="0.2">
      <c r="A479" t="s">
        <v>1099</v>
      </c>
      <c r="B479" t="s">
        <v>32</v>
      </c>
      <c r="C479">
        <v>17</v>
      </c>
      <c r="D479">
        <v>0</v>
      </c>
      <c r="E479">
        <v>17</v>
      </c>
      <c r="F479">
        <v>18</v>
      </c>
      <c r="G479">
        <v>0</v>
      </c>
      <c r="H479">
        <v>18</v>
      </c>
      <c r="I479">
        <v>0.16139999999999999</v>
      </c>
      <c r="J479">
        <f t="shared" si="7"/>
        <v>0.12391573729863695</v>
      </c>
      <c r="K479">
        <v>2.0000000000000001E-4</v>
      </c>
      <c r="L479" t="s">
        <v>17</v>
      </c>
      <c r="M479">
        <v>296</v>
      </c>
      <c r="N479" t="s">
        <v>553</v>
      </c>
    </row>
    <row r="480" spans="1:14" x14ac:dyDescent="0.2">
      <c r="A480" t="s">
        <v>1099</v>
      </c>
      <c r="B480" t="s">
        <v>32</v>
      </c>
      <c r="C480">
        <v>14</v>
      </c>
      <c r="D480">
        <v>9</v>
      </c>
      <c r="E480">
        <v>6</v>
      </c>
      <c r="F480">
        <v>15</v>
      </c>
      <c r="G480">
        <v>9</v>
      </c>
      <c r="H480">
        <v>7</v>
      </c>
      <c r="I480">
        <v>0.16919999999999999</v>
      </c>
      <c r="J480">
        <f t="shared" si="7"/>
        <v>0.29550827423167852</v>
      </c>
      <c r="K480">
        <v>5.0000000000000001E-4</v>
      </c>
      <c r="L480" t="s">
        <v>17</v>
      </c>
      <c r="M480">
        <v>296</v>
      </c>
      <c r="N480" t="s">
        <v>553</v>
      </c>
    </row>
    <row r="481" spans="1:14" x14ac:dyDescent="0.2">
      <c r="A481" t="s">
        <v>1099</v>
      </c>
      <c r="B481" t="s">
        <v>32</v>
      </c>
      <c r="C481">
        <v>13</v>
      </c>
      <c r="D481">
        <v>11</v>
      </c>
      <c r="E481">
        <v>2</v>
      </c>
      <c r="F481">
        <v>14</v>
      </c>
      <c r="G481">
        <v>11</v>
      </c>
      <c r="H481">
        <v>3</v>
      </c>
      <c r="I481">
        <v>0.15890000000000001</v>
      </c>
      <c r="J481">
        <f t="shared" si="7"/>
        <v>0.94398993077407167</v>
      </c>
      <c r="K481">
        <v>1.5E-3</v>
      </c>
      <c r="L481" t="s">
        <v>17</v>
      </c>
      <c r="M481">
        <v>296</v>
      </c>
      <c r="N481" t="s">
        <v>553</v>
      </c>
    </row>
    <row r="482" spans="1:14" x14ac:dyDescent="0.2">
      <c r="A482" t="s">
        <v>1099</v>
      </c>
      <c r="B482" t="s">
        <v>32</v>
      </c>
      <c r="C482">
        <v>15</v>
      </c>
      <c r="D482">
        <v>5</v>
      </c>
      <c r="E482">
        <v>10</v>
      </c>
      <c r="F482">
        <v>16</v>
      </c>
      <c r="G482">
        <v>5</v>
      </c>
      <c r="H482">
        <v>11</v>
      </c>
      <c r="I482">
        <v>0.1676</v>
      </c>
      <c r="J482">
        <f t="shared" si="7"/>
        <v>0.23866348448687352</v>
      </c>
      <c r="K482">
        <v>4.0000000000000002E-4</v>
      </c>
      <c r="L482" t="s">
        <v>17</v>
      </c>
      <c r="M482">
        <v>296</v>
      </c>
      <c r="N482" t="s">
        <v>553</v>
      </c>
    </row>
    <row r="483" spans="1:14" x14ac:dyDescent="0.2">
      <c r="A483" t="s">
        <v>1099</v>
      </c>
      <c r="B483" t="s">
        <v>32</v>
      </c>
      <c r="C483">
        <v>15</v>
      </c>
      <c r="D483">
        <v>2</v>
      </c>
      <c r="E483">
        <v>13</v>
      </c>
      <c r="F483">
        <v>16</v>
      </c>
      <c r="G483">
        <v>2</v>
      </c>
      <c r="H483">
        <v>14</v>
      </c>
      <c r="I483">
        <v>0.1852</v>
      </c>
      <c r="J483">
        <f t="shared" si="7"/>
        <v>0.21598272138228944</v>
      </c>
      <c r="K483">
        <v>4.0000000000000002E-4</v>
      </c>
      <c r="L483" t="s">
        <v>17</v>
      </c>
      <c r="M483">
        <v>296</v>
      </c>
      <c r="N483" t="s">
        <v>553</v>
      </c>
    </row>
    <row r="484" spans="1:14" x14ac:dyDescent="0.2">
      <c r="A484" t="s">
        <v>1099</v>
      </c>
      <c r="B484" t="s">
        <v>32</v>
      </c>
      <c r="C484">
        <v>14</v>
      </c>
      <c r="D484">
        <v>8</v>
      </c>
      <c r="E484">
        <v>7</v>
      </c>
      <c r="F484">
        <v>15</v>
      </c>
      <c r="G484">
        <v>8</v>
      </c>
      <c r="H484">
        <v>8</v>
      </c>
      <c r="I484">
        <v>0.1653</v>
      </c>
      <c r="J484">
        <f t="shared" si="7"/>
        <v>0.30248033877797942</v>
      </c>
      <c r="K484">
        <v>5.0000000000000001E-4</v>
      </c>
      <c r="L484" t="s">
        <v>17</v>
      </c>
      <c r="M484">
        <v>296</v>
      </c>
      <c r="N484" t="s">
        <v>553</v>
      </c>
    </row>
    <row r="485" spans="1:14" x14ac:dyDescent="0.2">
      <c r="A485" t="s">
        <v>1099</v>
      </c>
      <c r="B485" t="s">
        <v>32</v>
      </c>
      <c r="C485">
        <v>15</v>
      </c>
      <c r="D485">
        <v>4</v>
      </c>
      <c r="E485">
        <v>11</v>
      </c>
      <c r="F485">
        <v>16</v>
      </c>
      <c r="G485">
        <v>4</v>
      </c>
      <c r="H485">
        <v>12</v>
      </c>
      <c r="I485">
        <v>0.1656</v>
      </c>
      <c r="J485">
        <f t="shared" si="7"/>
        <v>0.24154589371980678</v>
      </c>
      <c r="K485">
        <v>4.0000000000000002E-4</v>
      </c>
      <c r="L485" t="s">
        <v>17</v>
      </c>
      <c r="M485">
        <v>296</v>
      </c>
      <c r="N485" t="s">
        <v>553</v>
      </c>
    </row>
    <row r="486" spans="1:14" x14ac:dyDescent="0.2">
      <c r="A486" t="s">
        <v>1099</v>
      </c>
      <c r="B486" t="s">
        <v>32</v>
      </c>
      <c r="C486">
        <v>15</v>
      </c>
      <c r="D486">
        <v>3</v>
      </c>
      <c r="E486">
        <v>12</v>
      </c>
      <c r="F486">
        <v>16</v>
      </c>
      <c r="G486">
        <v>3</v>
      </c>
      <c r="H486">
        <v>13</v>
      </c>
      <c r="I486">
        <v>0.17380000000000001</v>
      </c>
      <c r="J486">
        <f t="shared" si="7"/>
        <v>0.28768699654775604</v>
      </c>
      <c r="K486">
        <v>5.0000000000000001E-4</v>
      </c>
      <c r="L486" t="s">
        <v>17</v>
      </c>
      <c r="M486">
        <v>296</v>
      </c>
      <c r="N486" t="s">
        <v>553</v>
      </c>
    </row>
    <row r="487" spans="1:14" x14ac:dyDescent="0.2">
      <c r="A487" t="s">
        <v>1099</v>
      </c>
      <c r="B487" t="s">
        <v>32</v>
      </c>
      <c r="C487">
        <v>13</v>
      </c>
      <c r="D487">
        <v>10</v>
      </c>
      <c r="E487">
        <v>3</v>
      </c>
      <c r="F487">
        <v>14</v>
      </c>
      <c r="G487">
        <v>10</v>
      </c>
      <c r="H487">
        <v>4</v>
      </c>
      <c r="I487">
        <v>0.16839999999999999</v>
      </c>
      <c r="J487">
        <f t="shared" si="7"/>
        <v>1.0095011876484559</v>
      </c>
      <c r="K487">
        <v>1.6999999999999999E-3</v>
      </c>
      <c r="L487" t="s">
        <v>17</v>
      </c>
      <c r="M487">
        <v>296</v>
      </c>
      <c r="N487" t="s">
        <v>553</v>
      </c>
    </row>
    <row r="488" spans="1:14" x14ac:dyDescent="0.2">
      <c r="A488" t="s">
        <v>1099</v>
      </c>
      <c r="B488" t="s">
        <v>32</v>
      </c>
      <c r="C488">
        <v>15</v>
      </c>
      <c r="D488">
        <v>1</v>
      </c>
      <c r="E488">
        <v>14</v>
      </c>
      <c r="F488">
        <v>16</v>
      </c>
      <c r="G488">
        <v>1</v>
      </c>
      <c r="H488">
        <v>15</v>
      </c>
      <c r="I488">
        <v>0.182</v>
      </c>
      <c r="J488">
        <f t="shared" si="7"/>
        <v>0.10989010989010989</v>
      </c>
      <c r="K488">
        <v>2.0000000000000001E-4</v>
      </c>
      <c r="L488" t="s">
        <v>17</v>
      </c>
      <c r="M488">
        <v>296</v>
      </c>
      <c r="N488" t="s">
        <v>553</v>
      </c>
    </row>
    <row r="489" spans="1:14" x14ac:dyDescent="0.2">
      <c r="A489" t="s">
        <v>1099</v>
      </c>
      <c r="B489" t="s">
        <v>32</v>
      </c>
      <c r="C489">
        <v>14</v>
      </c>
      <c r="D489">
        <v>7</v>
      </c>
      <c r="E489">
        <v>8</v>
      </c>
      <c r="F489">
        <v>15</v>
      </c>
      <c r="G489">
        <v>7</v>
      </c>
      <c r="H489">
        <v>9</v>
      </c>
      <c r="I489">
        <v>0.16830000000000001</v>
      </c>
      <c r="J489">
        <f t="shared" si="7"/>
        <v>0.35650623885918004</v>
      </c>
      <c r="K489">
        <v>5.9999999999999995E-4</v>
      </c>
      <c r="L489" t="s">
        <v>17</v>
      </c>
      <c r="M489">
        <v>296</v>
      </c>
      <c r="N489" t="s">
        <v>553</v>
      </c>
    </row>
    <row r="490" spans="1:14" x14ac:dyDescent="0.2">
      <c r="A490" t="s">
        <v>1099</v>
      </c>
      <c r="B490" t="s">
        <v>32</v>
      </c>
      <c r="C490">
        <v>16</v>
      </c>
      <c r="D490">
        <v>1</v>
      </c>
      <c r="E490">
        <v>16</v>
      </c>
      <c r="F490">
        <v>17</v>
      </c>
      <c r="G490">
        <v>1</v>
      </c>
      <c r="H490">
        <v>17</v>
      </c>
      <c r="I490">
        <v>0.1663</v>
      </c>
      <c r="J490">
        <f t="shared" si="7"/>
        <v>0.30066145520144316</v>
      </c>
      <c r="K490">
        <v>5.0000000000000001E-4</v>
      </c>
      <c r="L490" t="s">
        <v>17</v>
      </c>
      <c r="M490">
        <v>296</v>
      </c>
      <c r="N490" t="s">
        <v>553</v>
      </c>
    </row>
    <row r="491" spans="1:14" x14ac:dyDescent="0.2">
      <c r="A491" t="s">
        <v>1099</v>
      </c>
      <c r="B491" t="s">
        <v>32</v>
      </c>
      <c r="C491">
        <v>13</v>
      </c>
      <c r="D491">
        <v>9</v>
      </c>
      <c r="E491">
        <v>4</v>
      </c>
      <c r="F491">
        <v>14</v>
      </c>
      <c r="G491">
        <v>9</v>
      </c>
      <c r="H491">
        <v>5</v>
      </c>
      <c r="I491">
        <v>0.1686</v>
      </c>
      <c r="J491">
        <f t="shared" si="7"/>
        <v>0.23724792408066431</v>
      </c>
      <c r="K491">
        <v>4.0000000000000002E-4</v>
      </c>
      <c r="L491" t="s">
        <v>17</v>
      </c>
      <c r="M491">
        <v>296</v>
      </c>
      <c r="N491" t="s">
        <v>553</v>
      </c>
    </row>
    <row r="492" spans="1:14" x14ac:dyDescent="0.2">
      <c r="A492" t="s">
        <v>1099</v>
      </c>
      <c r="B492" t="s">
        <v>32</v>
      </c>
      <c r="C492">
        <v>12</v>
      </c>
      <c r="D492">
        <v>11</v>
      </c>
      <c r="E492">
        <v>2</v>
      </c>
      <c r="F492">
        <v>13</v>
      </c>
      <c r="G492">
        <v>11</v>
      </c>
      <c r="H492">
        <v>3</v>
      </c>
      <c r="I492">
        <v>0.16539999999999999</v>
      </c>
      <c r="J492">
        <f t="shared" si="7"/>
        <v>0.18137847642079807</v>
      </c>
      <c r="K492">
        <v>2.9999999999999997E-4</v>
      </c>
      <c r="L492" t="s">
        <v>17</v>
      </c>
      <c r="M492">
        <v>296</v>
      </c>
      <c r="N492" t="s">
        <v>553</v>
      </c>
    </row>
    <row r="493" spans="1:14" x14ac:dyDescent="0.2">
      <c r="A493" t="s">
        <v>1099</v>
      </c>
      <c r="B493" t="s">
        <v>32</v>
      </c>
      <c r="C493">
        <v>14</v>
      </c>
      <c r="D493">
        <v>6</v>
      </c>
      <c r="E493">
        <v>9</v>
      </c>
      <c r="F493">
        <v>15</v>
      </c>
      <c r="G493">
        <v>6</v>
      </c>
      <c r="H493">
        <v>10</v>
      </c>
      <c r="I493">
        <v>0.1731</v>
      </c>
      <c r="J493">
        <f t="shared" si="7"/>
        <v>0.11554015020219525</v>
      </c>
      <c r="K493">
        <v>2.0000000000000001E-4</v>
      </c>
      <c r="L493" t="s">
        <v>17</v>
      </c>
      <c r="M493">
        <v>296</v>
      </c>
      <c r="N493" t="s">
        <v>553</v>
      </c>
    </row>
    <row r="494" spans="1:14" x14ac:dyDescent="0.2">
      <c r="A494" t="s">
        <v>1099</v>
      </c>
      <c r="B494" t="s">
        <v>32</v>
      </c>
      <c r="C494">
        <v>14</v>
      </c>
      <c r="D494">
        <v>5</v>
      </c>
      <c r="E494">
        <v>10</v>
      </c>
      <c r="F494">
        <v>15</v>
      </c>
      <c r="G494">
        <v>5</v>
      </c>
      <c r="H494">
        <v>11</v>
      </c>
      <c r="I494">
        <v>0.16839999999999999</v>
      </c>
      <c r="J494">
        <f t="shared" si="7"/>
        <v>0.17814726840855105</v>
      </c>
      <c r="K494">
        <v>2.9999999999999997E-4</v>
      </c>
      <c r="L494" t="s">
        <v>17</v>
      </c>
      <c r="M494">
        <v>296</v>
      </c>
      <c r="N494" t="s">
        <v>553</v>
      </c>
    </row>
    <row r="495" spans="1:14" x14ac:dyDescent="0.2">
      <c r="A495" t="s">
        <v>1099</v>
      </c>
      <c r="B495" t="s">
        <v>32</v>
      </c>
      <c r="C495">
        <v>13</v>
      </c>
      <c r="D495">
        <v>8</v>
      </c>
      <c r="E495">
        <v>5</v>
      </c>
      <c r="F495">
        <v>14</v>
      </c>
      <c r="G495">
        <v>8</v>
      </c>
      <c r="H495">
        <v>6</v>
      </c>
      <c r="I495">
        <v>0.16819999999999999</v>
      </c>
      <c r="J495">
        <f t="shared" si="7"/>
        <v>0.23781212841854937</v>
      </c>
      <c r="K495">
        <v>4.0000000000000002E-4</v>
      </c>
      <c r="L495" t="s">
        <v>17</v>
      </c>
      <c r="M495">
        <v>296</v>
      </c>
      <c r="N495" t="s">
        <v>553</v>
      </c>
    </row>
    <row r="496" spans="1:14" x14ac:dyDescent="0.2">
      <c r="A496" t="s">
        <v>1099</v>
      </c>
      <c r="B496" t="s">
        <v>32</v>
      </c>
      <c r="C496">
        <v>14</v>
      </c>
      <c r="D496">
        <v>4</v>
      </c>
      <c r="E496">
        <v>11</v>
      </c>
      <c r="F496">
        <v>15</v>
      </c>
      <c r="G496">
        <v>4</v>
      </c>
      <c r="H496">
        <v>12</v>
      </c>
      <c r="I496">
        <v>0.17730000000000001</v>
      </c>
      <c r="J496">
        <f t="shared" si="7"/>
        <v>0.28200789622109418</v>
      </c>
      <c r="K496">
        <v>5.0000000000000001E-4</v>
      </c>
      <c r="L496" t="s">
        <v>17</v>
      </c>
      <c r="M496">
        <v>296</v>
      </c>
      <c r="N496" t="s">
        <v>553</v>
      </c>
    </row>
    <row r="497" spans="1:14" x14ac:dyDescent="0.2">
      <c r="A497" t="s">
        <v>1099</v>
      </c>
      <c r="B497" t="s">
        <v>32</v>
      </c>
      <c r="C497">
        <v>12</v>
      </c>
      <c r="D497">
        <v>10</v>
      </c>
      <c r="E497">
        <v>3</v>
      </c>
      <c r="F497">
        <v>13</v>
      </c>
      <c r="G497">
        <v>10</v>
      </c>
      <c r="H497">
        <v>4</v>
      </c>
      <c r="I497">
        <v>0.16300000000000001</v>
      </c>
      <c r="J497">
        <f t="shared" si="7"/>
        <v>0.49079754601226999</v>
      </c>
      <c r="K497">
        <v>8.0000000000000004E-4</v>
      </c>
      <c r="L497" t="s">
        <v>17</v>
      </c>
      <c r="M497">
        <v>296</v>
      </c>
      <c r="N497" t="s">
        <v>553</v>
      </c>
    </row>
    <row r="498" spans="1:14" x14ac:dyDescent="0.2">
      <c r="A498" t="s">
        <v>1099</v>
      </c>
      <c r="B498" t="s">
        <v>32</v>
      </c>
      <c r="C498">
        <v>15</v>
      </c>
      <c r="D498">
        <v>0</v>
      </c>
      <c r="E498">
        <v>15</v>
      </c>
      <c r="F498">
        <v>16</v>
      </c>
      <c r="G498">
        <v>0</v>
      </c>
      <c r="H498">
        <v>16</v>
      </c>
      <c r="I498">
        <v>0.17560000000000001</v>
      </c>
      <c r="J498">
        <f t="shared" si="7"/>
        <v>0.17084282460136671</v>
      </c>
      <c r="K498">
        <v>2.9999999999999997E-4</v>
      </c>
      <c r="L498" t="s">
        <v>17</v>
      </c>
      <c r="M498">
        <v>296</v>
      </c>
      <c r="N498" t="s">
        <v>553</v>
      </c>
    </row>
    <row r="499" spans="1:14" x14ac:dyDescent="0.2">
      <c r="A499" t="s">
        <v>1099</v>
      </c>
      <c r="B499" t="s">
        <v>32</v>
      </c>
      <c r="C499">
        <v>14</v>
      </c>
      <c r="D499">
        <v>3</v>
      </c>
      <c r="E499">
        <v>12</v>
      </c>
      <c r="F499">
        <v>15</v>
      </c>
      <c r="G499">
        <v>3</v>
      </c>
      <c r="H499">
        <v>13</v>
      </c>
      <c r="I499">
        <v>0.17560000000000001</v>
      </c>
      <c r="J499">
        <f t="shared" si="7"/>
        <v>0.17084282460136671</v>
      </c>
      <c r="K499">
        <v>2.9999999999999997E-4</v>
      </c>
      <c r="L499" t="s">
        <v>17</v>
      </c>
      <c r="M499">
        <v>296</v>
      </c>
      <c r="N499" t="s">
        <v>553</v>
      </c>
    </row>
    <row r="500" spans="1:14" x14ac:dyDescent="0.2">
      <c r="A500" t="s">
        <v>1099</v>
      </c>
      <c r="B500" t="s">
        <v>32</v>
      </c>
      <c r="C500">
        <v>13</v>
      </c>
      <c r="D500">
        <v>7</v>
      </c>
      <c r="E500">
        <v>6</v>
      </c>
      <c r="F500">
        <v>14</v>
      </c>
      <c r="G500">
        <v>7</v>
      </c>
      <c r="H500">
        <v>7</v>
      </c>
      <c r="I500">
        <v>0.16889999999999999</v>
      </c>
      <c r="J500">
        <f t="shared" si="7"/>
        <v>0.23682652457075196</v>
      </c>
      <c r="K500">
        <v>4.0000000000000002E-4</v>
      </c>
      <c r="L500" t="s">
        <v>17</v>
      </c>
      <c r="M500">
        <v>296</v>
      </c>
      <c r="N500" t="s">
        <v>553</v>
      </c>
    </row>
    <row r="501" spans="1:14" x14ac:dyDescent="0.2">
      <c r="A501" t="s">
        <v>1099</v>
      </c>
      <c r="B501" t="s">
        <v>32</v>
      </c>
      <c r="C501">
        <v>12</v>
      </c>
      <c r="D501">
        <v>9</v>
      </c>
      <c r="E501">
        <v>4</v>
      </c>
      <c r="F501">
        <v>13</v>
      </c>
      <c r="G501">
        <v>9</v>
      </c>
      <c r="H501">
        <v>5</v>
      </c>
      <c r="I501">
        <v>0.1668</v>
      </c>
      <c r="J501">
        <f t="shared" si="7"/>
        <v>0.17985611510791366</v>
      </c>
      <c r="K501">
        <v>2.9999999999999997E-4</v>
      </c>
      <c r="L501" t="s">
        <v>17</v>
      </c>
      <c r="M501">
        <v>296</v>
      </c>
      <c r="N501" t="s">
        <v>553</v>
      </c>
    </row>
    <row r="502" spans="1:14" x14ac:dyDescent="0.2">
      <c r="A502" t="s">
        <v>1099</v>
      </c>
      <c r="B502" t="s">
        <v>32</v>
      </c>
      <c r="C502">
        <v>14</v>
      </c>
      <c r="D502">
        <v>2</v>
      </c>
      <c r="E502">
        <v>13</v>
      </c>
      <c r="F502">
        <v>15</v>
      </c>
      <c r="G502">
        <v>2</v>
      </c>
      <c r="H502">
        <v>14</v>
      </c>
      <c r="I502">
        <v>0.17530000000000001</v>
      </c>
      <c r="J502">
        <f t="shared" si="7"/>
        <v>0.17113519680547629</v>
      </c>
      <c r="K502">
        <v>2.9999999999999997E-4</v>
      </c>
      <c r="L502" t="s">
        <v>17</v>
      </c>
      <c r="M502">
        <v>296</v>
      </c>
      <c r="N502" t="s">
        <v>553</v>
      </c>
    </row>
    <row r="503" spans="1:14" x14ac:dyDescent="0.2">
      <c r="A503" t="s">
        <v>1099</v>
      </c>
      <c r="B503" t="s">
        <v>32</v>
      </c>
      <c r="C503">
        <v>13</v>
      </c>
      <c r="D503">
        <v>6</v>
      </c>
      <c r="E503">
        <v>7</v>
      </c>
      <c r="F503">
        <v>14</v>
      </c>
      <c r="G503">
        <v>6</v>
      </c>
      <c r="H503">
        <v>8</v>
      </c>
      <c r="I503">
        <v>0.1694</v>
      </c>
      <c r="J503">
        <f t="shared" si="7"/>
        <v>0.11806375442739081</v>
      </c>
      <c r="K503">
        <v>2.0000000000000001E-4</v>
      </c>
      <c r="L503" t="s">
        <v>17</v>
      </c>
      <c r="M503">
        <v>296</v>
      </c>
      <c r="N503" t="s">
        <v>553</v>
      </c>
    </row>
    <row r="504" spans="1:14" x14ac:dyDescent="0.2">
      <c r="A504" t="s">
        <v>1099</v>
      </c>
      <c r="B504" t="s">
        <v>32</v>
      </c>
      <c r="C504">
        <v>13</v>
      </c>
      <c r="D504">
        <v>5</v>
      </c>
      <c r="E504">
        <v>8</v>
      </c>
      <c r="F504">
        <v>14</v>
      </c>
      <c r="G504">
        <v>5</v>
      </c>
      <c r="H504">
        <v>9</v>
      </c>
      <c r="I504">
        <v>0.16980000000000001</v>
      </c>
      <c r="J504">
        <f t="shared" si="7"/>
        <v>0.11778563015312131</v>
      </c>
      <c r="K504">
        <v>2.0000000000000001E-4</v>
      </c>
      <c r="L504" t="s">
        <v>17</v>
      </c>
      <c r="M504">
        <v>296</v>
      </c>
      <c r="N504" t="s">
        <v>553</v>
      </c>
    </row>
    <row r="505" spans="1:14" x14ac:dyDescent="0.2">
      <c r="A505" t="s">
        <v>1099</v>
      </c>
      <c r="B505" t="s">
        <v>32</v>
      </c>
      <c r="C505">
        <v>12</v>
      </c>
      <c r="D505">
        <v>8</v>
      </c>
      <c r="E505">
        <v>5</v>
      </c>
      <c r="F505">
        <v>13</v>
      </c>
      <c r="G505">
        <v>8</v>
      </c>
      <c r="H505">
        <v>6</v>
      </c>
      <c r="I505">
        <v>0.1774</v>
      </c>
      <c r="J505">
        <f t="shared" si="7"/>
        <v>0.22547914317925591</v>
      </c>
      <c r="K505">
        <v>4.0000000000000002E-4</v>
      </c>
      <c r="L505" t="s">
        <v>17</v>
      </c>
      <c r="M505">
        <v>296</v>
      </c>
      <c r="N505" t="s">
        <v>553</v>
      </c>
    </row>
    <row r="506" spans="1:14" x14ac:dyDescent="0.2">
      <c r="A506" t="s">
        <v>1099</v>
      </c>
      <c r="B506" t="s">
        <v>32</v>
      </c>
      <c r="C506">
        <v>13</v>
      </c>
      <c r="D506">
        <v>2</v>
      </c>
      <c r="E506">
        <v>11</v>
      </c>
      <c r="F506">
        <v>14</v>
      </c>
      <c r="G506">
        <v>2</v>
      </c>
      <c r="H506">
        <v>12</v>
      </c>
      <c r="I506">
        <v>0.1898</v>
      </c>
      <c r="J506">
        <f t="shared" si="7"/>
        <v>0.10537407797681772</v>
      </c>
      <c r="K506">
        <v>2.0000000000000001E-4</v>
      </c>
      <c r="L506" t="s">
        <v>17</v>
      </c>
      <c r="M506">
        <v>296</v>
      </c>
      <c r="N506" t="s">
        <v>553</v>
      </c>
    </row>
    <row r="507" spans="1:14" x14ac:dyDescent="0.2">
      <c r="A507" t="s">
        <v>1099</v>
      </c>
      <c r="B507" t="s">
        <v>32</v>
      </c>
      <c r="C507">
        <v>13</v>
      </c>
      <c r="D507">
        <v>4</v>
      </c>
      <c r="E507">
        <v>9</v>
      </c>
      <c r="F507">
        <v>14</v>
      </c>
      <c r="G507">
        <v>4</v>
      </c>
      <c r="H507">
        <v>10</v>
      </c>
      <c r="I507">
        <v>0.17649999999999999</v>
      </c>
      <c r="J507">
        <f t="shared" si="7"/>
        <v>0.16997167138810199</v>
      </c>
      <c r="K507">
        <v>2.9999999999999997E-4</v>
      </c>
      <c r="L507" t="s">
        <v>17</v>
      </c>
      <c r="M507">
        <v>296</v>
      </c>
      <c r="N507" t="s">
        <v>553</v>
      </c>
    </row>
    <row r="508" spans="1:14" x14ac:dyDescent="0.2">
      <c r="A508" t="s">
        <v>1099</v>
      </c>
      <c r="B508" t="s">
        <v>32</v>
      </c>
      <c r="C508">
        <v>13</v>
      </c>
      <c r="D508">
        <v>3</v>
      </c>
      <c r="E508">
        <v>10</v>
      </c>
      <c r="F508">
        <v>14</v>
      </c>
      <c r="G508">
        <v>3</v>
      </c>
      <c r="H508">
        <v>11</v>
      </c>
      <c r="I508">
        <v>0.18410000000000001</v>
      </c>
      <c r="J508">
        <f t="shared" si="7"/>
        <v>0.10863661053775121</v>
      </c>
      <c r="K508">
        <v>2.0000000000000001E-4</v>
      </c>
      <c r="L508" t="s">
        <v>17</v>
      </c>
      <c r="M508">
        <v>296</v>
      </c>
      <c r="N508" t="s">
        <v>553</v>
      </c>
    </row>
    <row r="509" spans="1:14" x14ac:dyDescent="0.2">
      <c r="A509" t="s">
        <v>1099</v>
      </c>
      <c r="B509" t="s">
        <v>32</v>
      </c>
      <c r="C509">
        <v>13</v>
      </c>
      <c r="D509">
        <v>1</v>
      </c>
      <c r="E509">
        <v>12</v>
      </c>
      <c r="F509">
        <v>14</v>
      </c>
      <c r="G509">
        <v>1</v>
      </c>
      <c r="H509">
        <v>13</v>
      </c>
      <c r="I509">
        <v>0.20349999999999999</v>
      </c>
      <c r="J509">
        <f t="shared" si="7"/>
        <v>0.34398034398034399</v>
      </c>
      <c r="K509">
        <v>6.9999999999999999E-4</v>
      </c>
      <c r="L509" t="s">
        <v>17</v>
      </c>
      <c r="M509">
        <v>296</v>
      </c>
      <c r="N509" t="s">
        <v>553</v>
      </c>
    </row>
    <row r="510" spans="1:14" x14ac:dyDescent="0.2">
      <c r="A510" t="s">
        <v>1099</v>
      </c>
      <c r="B510" t="s">
        <v>32</v>
      </c>
      <c r="C510">
        <v>14</v>
      </c>
      <c r="D510">
        <v>1</v>
      </c>
      <c r="E510">
        <v>14</v>
      </c>
      <c r="F510">
        <v>15</v>
      </c>
      <c r="G510">
        <v>1</v>
      </c>
      <c r="H510">
        <v>15</v>
      </c>
      <c r="I510">
        <v>0.1555</v>
      </c>
      <c r="J510">
        <f t="shared" si="7"/>
        <v>0.25723472668810288</v>
      </c>
      <c r="K510">
        <v>4.0000000000000002E-4</v>
      </c>
      <c r="L510" t="s">
        <v>17</v>
      </c>
      <c r="M510">
        <v>296</v>
      </c>
      <c r="N510" t="s">
        <v>553</v>
      </c>
    </row>
    <row r="511" spans="1:14" x14ac:dyDescent="0.2">
      <c r="A511" t="s">
        <v>1099</v>
      </c>
      <c r="B511" t="s">
        <v>32</v>
      </c>
      <c r="C511">
        <v>12</v>
      </c>
      <c r="D511">
        <v>7</v>
      </c>
      <c r="E511">
        <v>6</v>
      </c>
      <c r="F511">
        <v>13</v>
      </c>
      <c r="G511">
        <v>7</v>
      </c>
      <c r="H511">
        <v>7</v>
      </c>
      <c r="I511">
        <v>0.1701</v>
      </c>
      <c r="J511">
        <f t="shared" si="7"/>
        <v>0.17636684303350969</v>
      </c>
      <c r="K511">
        <v>2.9999999999999997E-4</v>
      </c>
      <c r="L511" t="s">
        <v>17</v>
      </c>
      <c r="M511">
        <v>296</v>
      </c>
      <c r="N511" t="s">
        <v>553</v>
      </c>
    </row>
    <row r="512" spans="1:14" x14ac:dyDescent="0.2">
      <c r="A512" t="s">
        <v>1099</v>
      </c>
      <c r="B512" t="s">
        <v>32</v>
      </c>
      <c r="C512">
        <v>27</v>
      </c>
      <c r="D512">
        <v>21</v>
      </c>
      <c r="E512">
        <v>6</v>
      </c>
      <c r="F512">
        <v>27</v>
      </c>
      <c r="G512">
        <v>21</v>
      </c>
      <c r="H512">
        <v>7</v>
      </c>
      <c r="I512">
        <v>0.12970000000000001</v>
      </c>
      <c r="J512">
        <f t="shared" si="7"/>
        <v>0.77101002313030065</v>
      </c>
      <c r="K512">
        <v>1E-3</v>
      </c>
      <c r="L512" t="s">
        <v>17</v>
      </c>
      <c r="M512">
        <v>296</v>
      </c>
      <c r="N512" t="s">
        <v>553</v>
      </c>
    </row>
    <row r="513" spans="1:14" x14ac:dyDescent="0.2">
      <c r="A513" t="s">
        <v>1099</v>
      </c>
      <c r="B513" t="s">
        <v>32</v>
      </c>
      <c r="C513">
        <v>11</v>
      </c>
      <c r="D513">
        <v>9</v>
      </c>
      <c r="E513">
        <v>2</v>
      </c>
      <c r="F513">
        <v>12</v>
      </c>
      <c r="G513">
        <v>9</v>
      </c>
      <c r="H513">
        <v>3</v>
      </c>
      <c r="I513">
        <v>0.16689999999999999</v>
      </c>
      <c r="J513">
        <f t="shared" si="7"/>
        <v>0.29958058717795089</v>
      </c>
      <c r="K513">
        <v>5.0000000000000001E-4</v>
      </c>
      <c r="L513" t="s">
        <v>17</v>
      </c>
      <c r="M513">
        <v>296</v>
      </c>
      <c r="N513" t="s">
        <v>553</v>
      </c>
    </row>
    <row r="514" spans="1:14" x14ac:dyDescent="0.2">
      <c r="A514" t="s">
        <v>1099</v>
      </c>
      <c r="B514" t="s">
        <v>32</v>
      </c>
      <c r="C514">
        <v>12</v>
      </c>
      <c r="D514">
        <v>6</v>
      </c>
      <c r="E514">
        <v>7</v>
      </c>
      <c r="F514">
        <v>13</v>
      </c>
      <c r="G514">
        <v>6</v>
      </c>
      <c r="H514">
        <v>8</v>
      </c>
      <c r="I514">
        <v>0.17069999999999999</v>
      </c>
      <c r="J514">
        <f t="shared" si="7"/>
        <v>0.11716461628588168</v>
      </c>
      <c r="K514">
        <v>2.0000000000000001E-4</v>
      </c>
      <c r="L514" t="s">
        <v>17</v>
      </c>
      <c r="M514">
        <v>296</v>
      </c>
      <c r="N514" t="s">
        <v>553</v>
      </c>
    </row>
    <row r="515" spans="1:14" x14ac:dyDescent="0.2">
      <c r="A515" t="s">
        <v>1099</v>
      </c>
      <c r="B515" t="s">
        <v>32</v>
      </c>
      <c r="C515">
        <v>12</v>
      </c>
      <c r="D515">
        <v>5</v>
      </c>
      <c r="E515">
        <v>8</v>
      </c>
      <c r="F515">
        <v>13</v>
      </c>
      <c r="G515">
        <v>5</v>
      </c>
      <c r="H515">
        <v>9</v>
      </c>
      <c r="I515">
        <v>0.16650000000000001</v>
      </c>
      <c r="J515">
        <f t="shared" ref="J515:J578" si="8">K515/I515*100</f>
        <v>0.12012012012012012</v>
      </c>
      <c r="K515">
        <v>2.0000000000000001E-4</v>
      </c>
      <c r="L515" t="s">
        <v>17</v>
      </c>
      <c r="M515">
        <v>296</v>
      </c>
      <c r="N515" t="s">
        <v>553</v>
      </c>
    </row>
    <row r="516" spans="1:14" x14ac:dyDescent="0.2">
      <c r="A516" t="s">
        <v>1099</v>
      </c>
      <c r="B516" t="s">
        <v>32</v>
      </c>
      <c r="C516">
        <v>11</v>
      </c>
      <c r="D516">
        <v>8</v>
      </c>
      <c r="E516">
        <v>3</v>
      </c>
      <c r="F516">
        <v>12</v>
      </c>
      <c r="G516">
        <v>8</v>
      </c>
      <c r="H516">
        <v>4</v>
      </c>
      <c r="I516">
        <v>0.17199999999999999</v>
      </c>
      <c r="J516">
        <f t="shared" si="8"/>
        <v>0.23255813953488377</v>
      </c>
      <c r="K516">
        <v>4.0000000000000002E-4</v>
      </c>
      <c r="L516" t="s">
        <v>17</v>
      </c>
      <c r="M516">
        <v>296</v>
      </c>
      <c r="N516" t="s">
        <v>553</v>
      </c>
    </row>
    <row r="517" spans="1:14" x14ac:dyDescent="0.2">
      <c r="A517" t="s">
        <v>1099</v>
      </c>
      <c r="B517" t="s">
        <v>32</v>
      </c>
      <c r="C517">
        <v>13</v>
      </c>
      <c r="D517">
        <v>0</v>
      </c>
      <c r="E517">
        <v>13</v>
      </c>
      <c r="F517">
        <v>14</v>
      </c>
      <c r="G517">
        <v>0</v>
      </c>
      <c r="H517">
        <v>14</v>
      </c>
      <c r="I517">
        <v>0.18679999999999999</v>
      </c>
      <c r="J517">
        <f t="shared" si="8"/>
        <v>0.10706638115631692</v>
      </c>
      <c r="K517">
        <v>2.0000000000000001E-4</v>
      </c>
      <c r="L517" t="s">
        <v>17</v>
      </c>
      <c r="M517">
        <v>296</v>
      </c>
      <c r="N517" t="s">
        <v>553</v>
      </c>
    </row>
    <row r="518" spans="1:14" x14ac:dyDescent="0.2">
      <c r="A518" t="s">
        <v>1099</v>
      </c>
      <c r="B518" t="s">
        <v>32</v>
      </c>
      <c r="C518">
        <v>12</v>
      </c>
      <c r="D518">
        <v>4</v>
      </c>
      <c r="E518">
        <v>9</v>
      </c>
      <c r="F518">
        <v>13</v>
      </c>
      <c r="G518">
        <v>4</v>
      </c>
      <c r="H518">
        <v>10</v>
      </c>
      <c r="I518">
        <v>0.1784</v>
      </c>
      <c r="J518">
        <f t="shared" si="8"/>
        <v>0.11210762331838565</v>
      </c>
      <c r="K518">
        <v>2.0000000000000001E-4</v>
      </c>
      <c r="L518" t="s">
        <v>17</v>
      </c>
      <c r="M518">
        <v>296</v>
      </c>
      <c r="N518" t="s">
        <v>553</v>
      </c>
    </row>
    <row r="519" spans="1:14" x14ac:dyDescent="0.2">
      <c r="A519" t="s">
        <v>1099</v>
      </c>
      <c r="B519" t="s">
        <v>32</v>
      </c>
      <c r="C519">
        <v>12</v>
      </c>
      <c r="D519">
        <v>3</v>
      </c>
      <c r="E519">
        <v>10</v>
      </c>
      <c r="F519">
        <v>13</v>
      </c>
      <c r="G519">
        <v>3</v>
      </c>
      <c r="H519">
        <v>11</v>
      </c>
      <c r="I519">
        <v>0.17710000000000001</v>
      </c>
      <c r="J519">
        <f t="shared" si="8"/>
        <v>5.6465273856578201E-2</v>
      </c>
      <c r="K519">
        <v>1E-4</v>
      </c>
      <c r="L519" t="s">
        <v>17</v>
      </c>
      <c r="M519">
        <v>296</v>
      </c>
      <c r="N519" t="s">
        <v>553</v>
      </c>
    </row>
    <row r="520" spans="1:14" x14ac:dyDescent="0.2">
      <c r="A520" t="s">
        <v>1099</v>
      </c>
      <c r="B520" t="s">
        <v>32</v>
      </c>
      <c r="C520">
        <v>11</v>
      </c>
      <c r="D520">
        <v>7</v>
      </c>
      <c r="E520">
        <v>4</v>
      </c>
      <c r="F520">
        <v>12</v>
      </c>
      <c r="G520">
        <v>7</v>
      </c>
      <c r="H520">
        <v>5</v>
      </c>
      <c r="I520">
        <v>0.16950000000000001</v>
      </c>
      <c r="J520">
        <f t="shared" si="8"/>
        <v>0.17699115044247785</v>
      </c>
      <c r="K520">
        <v>2.9999999999999997E-4</v>
      </c>
      <c r="L520" t="s">
        <v>17</v>
      </c>
      <c r="M520">
        <v>296</v>
      </c>
      <c r="N520" t="s">
        <v>553</v>
      </c>
    </row>
    <row r="521" spans="1:14" x14ac:dyDescent="0.2">
      <c r="A521" t="s">
        <v>1099</v>
      </c>
      <c r="B521" t="s">
        <v>32</v>
      </c>
      <c r="C521">
        <v>12</v>
      </c>
      <c r="D521">
        <v>2</v>
      </c>
      <c r="E521">
        <v>11</v>
      </c>
      <c r="F521">
        <v>13</v>
      </c>
      <c r="G521">
        <v>2</v>
      </c>
      <c r="H521">
        <v>12</v>
      </c>
      <c r="I521">
        <v>0.17730000000000001</v>
      </c>
      <c r="J521">
        <f t="shared" si="8"/>
        <v>0.16920473773265648</v>
      </c>
      <c r="K521">
        <v>2.9999999999999997E-4</v>
      </c>
      <c r="L521" t="s">
        <v>17</v>
      </c>
      <c r="M521">
        <v>296</v>
      </c>
      <c r="N521" t="s">
        <v>553</v>
      </c>
    </row>
    <row r="522" spans="1:14" x14ac:dyDescent="0.2">
      <c r="A522" t="s">
        <v>1099</v>
      </c>
      <c r="B522" t="s">
        <v>32</v>
      </c>
      <c r="C522">
        <v>11</v>
      </c>
      <c r="D522">
        <v>6</v>
      </c>
      <c r="E522">
        <v>5</v>
      </c>
      <c r="F522">
        <v>12</v>
      </c>
      <c r="G522">
        <v>6</v>
      </c>
      <c r="H522">
        <v>6</v>
      </c>
      <c r="I522">
        <v>0.17119999999999999</v>
      </c>
      <c r="J522">
        <f t="shared" si="8"/>
        <v>0.17523364485981308</v>
      </c>
      <c r="K522">
        <v>2.9999999999999997E-4</v>
      </c>
      <c r="L522" t="s">
        <v>17</v>
      </c>
      <c r="M522">
        <v>296</v>
      </c>
      <c r="N522" t="s">
        <v>553</v>
      </c>
    </row>
    <row r="523" spans="1:14" x14ac:dyDescent="0.2">
      <c r="A523" t="s">
        <v>1099</v>
      </c>
      <c r="B523" t="s">
        <v>32</v>
      </c>
      <c r="C523">
        <v>11</v>
      </c>
      <c r="D523">
        <v>5</v>
      </c>
      <c r="E523">
        <v>6</v>
      </c>
      <c r="F523">
        <v>12</v>
      </c>
      <c r="G523">
        <v>5</v>
      </c>
      <c r="H523">
        <v>7</v>
      </c>
      <c r="I523">
        <v>0.17100000000000001</v>
      </c>
      <c r="J523">
        <f t="shared" si="8"/>
        <v>0.11695906432748539</v>
      </c>
      <c r="K523">
        <v>2.0000000000000001E-4</v>
      </c>
      <c r="L523" t="s">
        <v>17</v>
      </c>
      <c r="M523">
        <v>296</v>
      </c>
      <c r="N523" t="s">
        <v>553</v>
      </c>
    </row>
    <row r="524" spans="1:14" x14ac:dyDescent="0.2">
      <c r="A524" t="s">
        <v>1099</v>
      </c>
      <c r="B524" t="s">
        <v>32</v>
      </c>
      <c r="C524">
        <v>10</v>
      </c>
      <c r="D524">
        <v>8</v>
      </c>
      <c r="E524">
        <v>3</v>
      </c>
      <c r="F524">
        <v>11</v>
      </c>
      <c r="G524">
        <v>8</v>
      </c>
      <c r="H524">
        <v>4</v>
      </c>
      <c r="I524">
        <v>0.16800000000000001</v>
      </c>
      <c r="J524">
        <f t="shared" si="8"/>
        <v>0.23809523809523808</v>
      </c>
      <c r="K524">
        <v>4.0000000000000002E-4</v>
      </c>
      <c r="L524" t="s">
        <v>17</v>
      </c>
      <c r="M524">
        <v>296</v>
      </c>
      <c r="N524" t="s">
        <v>553</v>
      </c>
    </row>
    <row r="525" spans="1:14" x14ac:dyDescent="0.2">
      <c r="A525" t="s">
        <v>1099</v>
      </c>
      <c r="B525" t="s">
        <v>32</v>
      </c>
      <c r="C525">
        <v>11</v>
      </c>
      <c r="D525">
        <v>2</v>
      </c>
      <c r="E525">
        <v>9</v>
      </c>
      <c r="F525">
        <v>12</v>
      </c>
      <c r="G525">
        <v>2</v>
      </c>
      <c r="H525">
        <v>10</v>
      </c>
      <c r="I525">
        <v>0.19600000000000001</v>
      </c>
      <c r="J525">
        <f t="shared" si="8"/>
        <v>0.30612244897959179</v>
      </c>
      <c r="K525">
        <v>5.9999999999999995E-4</v>
      </c>
      <c r="L525" t="s">
        <v>17</v>
      </c>
      <c r="M525">
        <v>296</v>
      </c>
      <c r="N525" t="s">
        <v>553</v>
      </c>
    </row>
    <row r="526" spans="1:14" x14ac:dyDescent="0.2">
      <c r="A526" t="s">
        <v>1099</v>
      </c>
      <c r="B526" t="s">
        <v>32</v>
      </c>
      <c r="C526">
        <v>11</v>
      </c>
      <c r="D526">
        <v>1</v>
      </c>
      <c r="E526">
        <v>10</v>
      </c>
      <c r="F526">
        <v>12</v>
      </c>
      <c r="G526">
        <v>1</v>
      </c>
      <c r="H526">
        <v>11</v>
      </c>
      <c r="I526">
        <v>0.19309999999999999</v>
      </c>
      <c r="J526">
        <f t="shared" si="8"/>
        <v>0.20714655618850339</v>
      </c>
      <c r="K526">
        <v>4.0000000000000002E-4</v>
      </c>
      <c r="L526" t="s">
        <v>17</v>
      </c>
      <c r="M526">
        <v>296</v>
      </c>
      <c r="N526" t="s">
        <v>553</v>
      </c>
    </row>
    <row r="527" spans="1:14" x14ac:dyDescent="0.2">
      <c r="A527" t="s">
        <v>1099</v>
      </c>
      <c r="B527" t="s">
        <v>32</v>
      </c>
      <c r="C527">
        <v>11</v>
      </c>
      <c r="D527">
        <v>3</v>
      </c>
      <c r="E527">
        <v>8</v>
      </c>
      <c r="F527">
        <v>12</v>
      </c>
      <c r="G527">
        <v>3</v>
      </c>
      <c r="H527">
        <v>9</v>
      </c>
      <c r="I527">
        <v>0.18049999999999999</v>
      </c>
      <c r="J527">
        <f t="shared" si="8"/>
        <v>0.221606648199446</v>
      </c>
      <c r="K527">
        <v>4.0000000000000002E-4</v>
      </c>
      <c r="L527" t="s">
        <v>17</v>
      </c>
      <c r="M527">
        <v>296</v>
      </c>
      <c r="N527" t="s">
        <v>553</v>
      </c>
    </row>
    <row r="528" spans="1:14" x14ac:dyDescent="0.2">
      <c r="A528" t="s">
        <v>1099</v>
      </c>
      <c r="B528" t="s">
        <v>32</v>
      </c>
      <c r="C528">
        <v>10</v>
      </c>
      <c r="D528">
        <v>7</v>
      </c>
      <c r="E528">
        <v>4</v>
      </c>
      <c r="F528">
        <v>11</v>
      </c>
      <c r="G528">
        <v>7</v>
      </c>
      <c r="H528">
        <v>5</v>
      </c>
      <c r="I528">
        <v>0.17119999999999999</v>
      </c>
      <c r="J528">
        <f t="shared" si="8"/>
        <v>0.17523364485981308</v>
      </c>
      <c r="K528">
        <v>2.9999999999999997E-4</v>
      </c>
      <c r="L528" t="s">
        <v>17</v>
      </c>
      <c r="M528">
        <v>296</v>
      </c>
      <c r="N528" t="s">
        <v>553</v>
      </c>
    </row>
    <row r="529" spans="1:14" x14ac:dyDescent="0.2">
      <c r="A529" t="s">
        <v>1099</v>
      </c>
      <c r="B529" t="s">
        <v>32</v>
      </c>
      <c r="C529">
        <v>21</v>
      </c>
      <c r="D529">
        <v>20</v>
      </c>
      <c r="E529">
        <v>1</v>
      </c>
      <c r="F529">
        <v>21</v>
      </c>
      <c r="G529">
        <v>20</v>
      </c>
      <c r="H529">
        <v>2</v>
      </c>
      <c r="I529">
        <v>0.1142</v>
      </c>
      <c r="J529">
        <f t="shared" si="8"/>
        <v>0.26269702276707529</v>
      </c>
      <c r="K529">
        <v>2.9999999999999997E-4</v>
      </c>
      <c r="L529" t="s">
        <v>17</v>
      </c>
      <c r="M529">
        <v>296</v>
      </c>
      <c r="N529" t="s">
        <v>553</v>
      </c>
    </row>
    <row r="530" spans="1:14" x14ac:dyDescent="0.2">
      <c r="A530" t="s">
        <v>1099</v>
      </c>
      <c r="B530" t="s">
        <v>32</v>
      </c>
      <c r="C530">
        <v>9</v>
      </c>
      <c r="D530">
        <v>9</v>
      </c>
      <c r="E530">
        <v>0</v>
      </c>
      <c r="F530">
        <v>10</v>
      </c>
      <c r="G530">
        <v>9</v>
      </c>
      <c r="H530">
        <v>1</v>
      </c>
      <c r="I530">
        <v>0.152</v>
      </c>
      <c r="J530">
        <f t="shared" si="8"/>
        <v>0.32894736842105265</v>
      </c>
      <c r="K530">
        <v>5.0000000000000001E-4</v>
      </c>
      <c r="L530" t="s">
        <v>17</v>
      </c>
      <c r="M530">
        <v>296</v>
      </c>
      <c r="N530" t="s">
        <v>553</v>
      </c>
    </row>
    <row r="531" spans="1:14" x14ac:dyDescent="0.2">
      <c r="A531" t="s">
        <v>1099</v>
      </c>
      <c r="B531" t="s">
        <v>32</v>
      </c>
      <c r="C531">
        <v>20</v>
      </c>
      <c r="D531">
        <v>20</v>
      </c>
      <c r="E531">
        <v>1</v>
      </c>
      <c r="F531">
        <v>20</v>
      </c>
      <c r="G531">
        <v>20</v>
      </c>
      <c r="H531">
        <v>0</v>
      </c>
      <c r="I531">
        <v>0.1032</v>
      </c>
      <c r="J531">
        <f t="shared" si="8"/>
        <v>0.29069767441860467</v>
      </c>
      <c r="K531">
        <v>2.9999999999999997E-4</v>
      </c>
      <c r="L531" t="s">
        <v>17</v>
      </c>
      <c r="M531">
        <v>296</v>
      </c>
      <c r="N531" t="s">
        <v>553</v>
      </c>
    </row>
    <row r="532" spans="1:14" x14ac:dyDescent="0.2">
      <c r="A532" t="s">
        <v>1099</v>
      </c>
      <c r="B532" t="s">
        <v>32</v>
      </c>
      <c r="C532">
        <v>10</v>
      </c>
      <c r="D532">
        <v>6</v>
      </c>
      <c r="E532">
        <v>5</v>
      </c>
      <c r="F532">
        <v>11</v>
      </c>
      <c r="G532">
        <v>6</v>
      </c>
      <c r="H532">
        <v>6</v>
      </c>
      <c r="I532">
        <v>0.17349999999999999</v>
      </c>
      <c r="J532">
        <f t="shared" si="8"/>
        <v>0.1729106628242075</v>
      </c>
      <c r="K532">
        <v>2.9999999999999997E-4</v>
      </c>
      <c r="L532" t="s">
        <v>17</v>
      </c>
      <c r="M532">
        <v>296</v>
      </c>
      <c r="N532" t="s">
        <v>553</v>
      </c>
    </row>
    <row r="533" spans="1:14" x14ac:dyDescent="0.2">
      <c r="A533" t="s">
        <v>1099</v>
      </c>
      <c r="B533" t="s">
        <v>32</v>
      </c>
      <c r="C533">
        <v>10</v>
      </c>
      <c r="D533">
        <v>5</v>
      </c>
      <c r="E533">
        <v>6</v>
      </c>
      <c r="F533">
        <v>11</v>
      </c>
      <c r="G533">
        <v>5</v>
      </c>
      <c r="H533">
        <v>7</v>
      </c>
      <c r="I533">
        <v>0.16930000000000001</v>
      </c>
      <c r="J533">
        <f t="shared" si="8"/>
        <v>0.23626698168930893</v>
      </c>
      <c r="K533">
        <v>4.0000000000000002E-4</v>
      </c>
      <c r="L533" t="s">
        <v>17</v>
      </c>
      <c r="M533">
        <v>296</v>
      </c>
      <c r="N533" t="s">
        <v>553</v>
      </c>
    </row>
    <row r="534" spans="1:14" x14ac:dyDescent="0.2">
      <c r="A534" t="s">
        <v>1099</v>
      </c>
      <c r="B534" t="s">
        <v>32</v>
      </c>
      <c r="C534">
        <v>11</v>
      </c>
      <c r="D534">
        <v>0</v>
      </c>
      <c r="E534">
        <v>11</v>
      </c>
      <c r="F534">
        <v>12</v>
      </c>
      <c r="G534">
        <v>0</v>
      </c>
      <c r="H534">
        <v>12</v>
      </c>
      <c r="I534">
        <v>0.18099999999999999</v>
      </c>
      <c r="J534">
        <f t="shared" si="8"/>
        <v>0.11049723756906078</v>
      </c>
      <c r="K534">
        <v>2.0000000000000001E-4</v>
      </c>
      <c r="L534" t="s">
        <v>17</v>
      </c>
      <c r="M534">
        <v>296</v>
      </c>
      <c r="N534" t="s">
        <v>553</v>
      </c>
    </row>
    <row r="535" spans="1:14" x14ac:dyDescent="0.2">
      <c r="A535" t="s">
        <v>1099</v>
      </c>
      <c r="B535" t="s">
        <v>32</v>
      </c>
      <c r="C535">
        <v>9</v>
      </c>
      <c r="D535">
        <v>8</v>
      </c>
      <c r="E535">
        <v>1</v>
      </c>
      <c r="F535">
        <v>10</v>
      </c>
      <c r="G535">
        <v>8</v>
      </c>
      <c r="H535">
        <v>2</v>
      </c>
      <c r="I535">
        <v>0.16930000000000001</v>
      </c>
      <c r="J535">
        <f t="shared" si="8"/>
        <v>0.17720023626698167</v>
      </c>
      <c r="K535">
        <v>2.9999999999999997E-4</v>
      </c>
      <c r="L535" t="s">
        <v>17</v>
      </c>
      <c r="M535">
        <v>296</v>
      </c>
      <c r="N535" t="s">
        <v>553</v>
      </c>
    </row>
    <row r="536" spans="1:14" x14ac:dyDescent="0.2">
      <c r="A536" t="s">
        <v>1099</v>
      </c>
      <c r="B536" t="s">
        <v>32</v>
      </c>
      <c r="C536">
        <v>23</v>
      </c>
      <c r="D536">
        <v>19</v>
      </c>
      <c r="E536">
        <v>4</v>
      </c>
      <c r="F536">
        <v>23</v>
      </c>
      <c r="G536">
        <v>19</v>
      </c>
      <c r="H536">
        <v>5</v>
      </c>
      <c r="I536">
        <v>0.13400000000000001</v>
      </c>
      <c r="J536">
        <f t="shared" si="8"/>
        <v>0.37313432835820892</v>
      </c>
      <c r="K536">
        <v>5.0000000000000001E-4</v>
      </c>
      <c r="L536" t="s">
        <v>17</v>
      </c>
      <c r="M536">
        <v>296</v>
      </c>
      <c r="N536" t="s">
        <v>553</v>
      </c>
    </row>
    <row r="537" spans="1:14" x14ac:dyDescent="0.2">
      <c r="A537" t="s">
        <v>1099</v>
      </c>
      <c r="B537" t="s">
        <v>32</v>
      </c>
      <c r="C537">
        <v>10</v>
      </c>
      <c r="D537">
        <v>4</v>
      </c>
      <c r="E537">
        <v>7</v>
      </c>
      <c r="F537">
        <v>11</v>
      </c>
      <c r="G537">
        <v>4</v>
      </c>
      <c r="H537">
        <v>8</v>
      </c>
      <c r="I537">
        <v>0.1744</v>
      </c>
      <c r="J537">
        <f t="shared" si="8"/>
        <v>0.17201834862385321</v>
      </c>
      <c r="K537">
        <v>2.9999999999999997E-4</v>
      </c>
      <c r="L537" t="s">
        <v>17</v>
      </c>
      <c r="M537">
        <v>296</v>
      </c>
      <c r="N537" t="s">
        <v>553</v>
      </c>
    </row>
    <row r="538" spans="1:14" x14ac:dyDescent="0.2">
      <c r="A538" t="s">
        <v>1099</v>
      </c>
      <c r="B538" t="s">
        <v>32</v>
      </c>
      <c r="C538">
        <v>10</v>
      </c>
      <c r="D538">
        <v>3</v>
      </c>
      <c r="E538">
        <v>8</v>
      </c>
      <c r="F538">
        <v>11</v>
      </c>
      <c r="G538">
        <v>3</v>
      </c>
      <c r="H538">
        <v>9</v>
      </c>
      <c r="I538">
        <v>0.1797</v>
      </c>
      <c r="J538">
        <f t="shared" si="8"/>
        <v>0.11129660545353368</v>
      </c>
      <c r="K538">
        <v>2.0000000000000001E-4</v>
      </c>
      <c r="L538" t="s">
        <v>17</v>
      </c>
      <c r="M538">
        <v>296</v>
      </c>
      <c r="N538" t="s">
        <v>553</v>
      </c>
    </row>
    <row r="539" spans="1:14" x14ac:dyDescent="0.2">
      <c r="A539" t="s">
        <v>1099</v>
      </c>
      <c r="B539" t="s">
        <v>32</v>
      </c>
      <c r="C539">
        <v>9</v>
      </c>
      <c r="D539">
        <v>7</v>
      </c>
      <c r="E539">
        <v>2</v>
      </c>
      <c r="F539">
        <v>10</v>
      </c>
      <c r="G539">
        <v>7</v>
      </c>
      <c r="H539">
        <v>3</v>
      </c>
      <c r="I539">
        <v>0.17660000000000001</v>
      </c>
      <c r="J539">
        <f t="shared" si="8"/>
        <v>0.22650056625141565</v>
      </c>
      <c r="K539">
        <v>4.0000000000000002E-4</v>
      </c>
      <c r="L539" t="s">
        <v>17</v>
      </c>
      <c r="M539">
        <v>296</v>
      </c>
      <c r="N539" t="s">
        <v>553</v>
      </c>
    </row>
    <row r="540" spans="1:14" x14ac:dyDescent="0.2">
      <c r="A540" t="s">
        <v>1099</v>
      </c>
      <c r="B540" t="s">
        <v>32</v>
      </c>
      <c r="C540">
        <v>30</v>
      </c>
      <c r="D540">
        <v>17</v>
      </c>
      <c r="E540">
        <v>14</v>
      </c>
      <c r="F540">
        <v>30</v>
      </c>
      <c r="G540">
        <v>17</v>
      </c>
      <c r="H540">
        <v>13</v>
      </c>
      <c r="I540">
        <v>0.1421</v>
      </c>
      <c r="J540">
        <f t="shared" si="8"/>
        <v>0.63335679099225894</v>
      </c>
      <c r="K540">
        <v>8.9999999999999998E-4</v>
      </c>
      <c r="L540" t="s">
        <v>17</v>
      </c>
      <c r="M540">
        <v>296</v>
      </c>
      <c r="N540" t="s">
        <v>553</v>
      </c>
    </row>
    <row r="541" spans="1:14" x14ac:dyDescent="0.2">
      <c r="A541" t="s">
        <v>1099</v>
      </c>
      <c r="B541" t="s">
        <v>32</v>
      </c>
      <c r="C541">
        <v>26</v>
      </c>
      <c r="D541">
        <v>18</v>
      </c>
      <c r="E541">
        <v>9</v>
      </c>
      <c r="F541">
        <v>26</v>
      </c>
      <c r="G541">
        <v>18</v>
      </c>
      <c r="H541">
        <v>8</v>
      </c>
      <c r="I541">
        <v>0.1459</v>
      </c>
      <c r="J541">
        <f t="shared" si="8"/>
        <v>0.47978067169294036</v>
      </c>
      <c r="K541">
        <v>6.9999999999999999E-4</v>
      </c>
      <c r="L541" t="s">
        <v>17</v>
      </c>
      <c r="M541">
        <v>296</v>
      </c>
      <c r="N541" t="s">
        <v>553</v>
      </c>
    </row>
    <row r="542" spans="1:14" x14ac:dyDescent="0.2">
      <c r="A542" t="s">
        <v>1099</v>
      </c>
      <c r="B542" t="s">
        <v>32</v>
      </c>
      <c r="C542">
        <v>21</v>
      </c>
      <c r="D542">
        <v>19</v>
      </c>
      <c r="E542">
        <v>2</v>
      </c>
      <c r="F542">
        <v>21</v>
      </c>
      <c r="G542">
        <v>19</v>
      </c>
      <c r="H542">
        <v>3</v>
      </c>
      <c r="I542">
        <v>0.1285</v>
      </c>
      <c r="J542">
        <f t="shared" si="8"/>
        <v>0.31128404669260701</v>
      </c>
      <c r="K542">
        <v>4.0000000000000002E-4</v>
      </c>
      <c r="L542" t="s">
        <v>17</v>
      </c>
      <c r="M542">
        <v>296</v>
      </c>
      <c r="N542" t="s">
        <v>553</v>
      </c>
    </row>
    <row r="543" spans="1:14" x14ac:dyDescent="0.2">
      <c r="A543" t="s">
        <v>1099</v>
      </c>
      <c r="B543" t="s">
        <v>32</v>
      </c>
      <c r="C543">
        <v>33</v>
      </c>
      <c r="D543">
        <v>16</v>
      </c>
      <c r="E543">
        <v>17</v>
      </c>
      <c r="F543">
        <v>33</v>
      </c>
      <c r="G543">
        <v>16</v>
      </c>
      <c r="H543">
        <v>18</v>
      </c>
      <c r="I543">
        <v>0.15010000000000001</v>
      </c>
      <c r="J543">
        <f t="shared" si="8"/>
        <v>0.66622251832111923</v>
      </c>
      <c r="K543">
        <v>1E-3</v>
      </c>
      <c r="L543" t="s">
        <v>17</v>
      </c>
      <c r="M543">
        <v>296</v>
      </c>
      <c r="N543" t="s">
        <v>553</v>
      </c>
    </row>
    <row r="544" spans="1:14" x14ac:dyDescent="0.2">
      <c r="A544" t="s">
        <v>1099</v>
      </c>
      <c r="B544" t="s">
        <v>32</v>
      </c>
      <c r="C544">
        <v>10</v>
      </c>
      <c r="D544">
        <v>2</v>
      </c>
      <c r="E544">
        <v>9</v>
      </c>
      <c r="F544">
        <v>11</v>
      </c>
      <c r="G544">
        <v>2</v>
      </c>
      <c r="H544">
        <v>10</v>
      </c>
      <c r="I544">
        <v>0.18240000000000001</v>
      </c>
      <c r="J544">
        <f t="shared" si="8"/>
        <v>0.10964912280701754</v>
      </c>
      <c r="K544">
        <v>2.0000000000000001E-4</v>
      </c>
      <c r="L544" t="s">
        <v>17</v>
      </c>
      <c r="M544">
        <v>296</v>
      </c>
      <c r="N544" t="s">
        <v>553</v>
      </c>
    </row>
    <row r="545" spans="1:14" x14ac:dyDescent="0.2">
      <c r="A545" t="s">
        <v>1099</v>
      </c>
      <c r="B545" t="s">
        <v>32</v>
      </c>
      <c r="C545">
        <v>20</v>
      </c>
      <c r="D545">
        <v>19</v>
      </c>
      <c r="E545">
        <v>2</v>
      </c>
      <c r="F545">
        <v>20</v>
      </c>
      <c r="G545">
        <v>19</v>
      </c>
      <c r="H545">
        <v>1</v>
      </c>
      <c r="I545">
        <v>0.11360000000000001</v>
      </c>
      <c r="J545">
        <f t="shared" si="8"/>
        <v>0.17605633802816903</v>
      </c>
      <c r="K545">
        <v>2.0000000000000001E-4</v>
      </c>
      <c r="L545" t="s">
        <v>17</v>
      </c>
      <c r="M545">
        <v>296</v>
      </c>
      <c r="N545" t="s">
        <v>553</v>
      </c>
    </row>
    <row r="546" spans="1:14" x14ac:dyDescent="0.2">
      <c r="A546" t="s">
        <v>1099</v>
      </c>
      <c r="B546" t="s">
        <v>32</v>
      </c>
      <c r="C546">
        <v>25</v>
      </c>
      <c r="D546">
        <v>18</v>
      </c>
      <c r="E546">
        <v>7</v>
      </c>
      <c r="F546">
        <v>25</v>
      </c>
      <c r="G546">
        <v>18</v>
      </c>
      <c r="H546">
        <v>8</v>
      </c>
      <c r="I546">
        <v>0.13320000000000001</v>
      </c>
      <c r="J546">
        <f t="shared" si="8"/>
        <v>0.37537537537537535</v>
      </c>
      <c r="K546">
        <v>5.0000000000000001E-4</v>
      </c>
      <c r="L546" t="s">
        <v>17</v>
      </c>
      <c r="M546">
        <v>296</v>
      </c>
      <c r="N546" t="s">
        <v>553</v>
      </c>
    </row>
    <row r="547" spans="1:14" x14ac:dyDescent="0.2">
      <c r="A547" t="s">
        <v>1099</v>
      </c>
      <c r="B547" t="s">
        <v>32</v>
      </c>
      <c r="C547">
        <v>29</v>
      </c>
      <c r="D547">
        <v>17</v>
      </c>
      <c r="E547">
        <v>12</v>
      </c>
      <c r="F547">
        <v>29</v>
      </c>
      <c r="G547">
        <v>17</v>
      </c>
      <c r="H547">
        <v>13</v>
      </c>
      <c r="I547">
        <v>0.1376</v>
      </c>
      <c r="J547">
        <f t="shared" si="8"/>
        <v>0.50872093023255816</v>
      </c>
      <c r="K547">
        <v>6.9999999999999999E-4</v>
      </c>
      <c r="L547" t="s">
        <v>17</v>
      </c>
      <c r="M547">
        <v>296</v>
      </c>
      <c r="N547" t="s">
        <v>553</v>
      </c>
    </row>
    <row r="548" spans="1:14" x14ac:dyDescent="0.2">
      <c r="A548" t="s">
        <v>1099</v>
      </c>
      <c r="B548" t="s">
        <v>32</v>
      </c>
      <c r="C548">
        <v>9</v>
      </c>
      <c r="D548">
        <v>6</v>
      </c>
      <c r="E548">
        <v>3</v>
      </c>
      <c r="F548">
        <v>10</v>
      </c>
      <c r="G548">
        <v>6</v>
      </c>
      <c r="H548">
        <v>4</v>
      </c>
      <c r="I548">
        <v>0.17030000000000001</v>
      </c>
      <c r="J548">
        <f t="shared" si="8"/>
        <v>0.11743981209630064</v>
      </c>
      <c r="K548">
        <v>2.0000000000000001E-4</v>
      </c>
      <c r="L548" t="s">
        <v>17</v>
      </c>
      <c r="M548">
        <v>296</v>
      </c>
      <c r="N548" t="s">
        <v>553</v>
      </c>
    </row>
    <row r="549" spans="1:14" x14ac:dyDescent="0.2">
      <c r="A549" t="s">
        <v>1099</v>
      </c>
      <c r="B549" t="s">
        <v>32</v>
      </c>
      <c r="C549">
        <v>19</v>
      </c>
      <c r="D549">
        <v>19</v>
      </c>
      <c r="E549">
        <v>0</v>
      </c>
      <c r="F549">
        <v>19</v>
      </c>
      <c r="G549">
        <v>19</v>
      </c>
      <c r="H549">
        <v>1</v>
      </c>
      <c r="I549">
        <v>0.1045</v>
      </c>
      <c r="J549">
        <f t="shared" si="8"/>
        <v>0.19138755980861247</v>
      </c>
      <c r="K549">
        <v>2.0000000000000001E-4</v>
      </c>
      <c r="L549" t="s">
        <v>17</v>
      </c>
      <c r="M549">
        <v>296</v>
      </c>
      <c r="N549" t="s">
        <v>553</v>
      </c>
    </row>
    <row r="550" spans="1:14" x14ac:dyDescent="0.2">
      <c r="A550" t="s">
        <v>1099</v>
      </c>
      <c r="B550" t="s">
        <v>32</v>
      </c>
      <c r="C550">
        <v>24</v>
      </c>
      <c r="D550">
        <v>18</v>
      </c>
      <c r="E550">
        <v>7</v>
      </c>
      <c r="F550">
        <v>24</v>
      </c>
      <c r="G550">
        <v>18</v>
      </c>
      <c r="H550">
        <v>6</v>
      </c>
      <c r="I550">
        <v>0.13619999999999999</v>
      </c>
      <c r="J550">
        <f t="shared" si="8"/>
        <v>0.51395007342143906</v>
      </c>
      <c r="K550">
        <v>6.9999999999999999E-4</v>
      </c>
      <c r="L550" t="s">
        <v>17</v>
      </c>
      <c r="M550">
        <v>296</v>
      </c>
      <c r="N550" t="s">
        <v>553</v>
      </c>
    </row>
    <row r="551" spans="1:14" x14ac:dyDescent="0.2">
      <c r="A551" t="s">
        <v>1099</v>
      </c>
      <c r="B551" t="s">
        <v>32</v>
      </c>
      <c r="C551">
        <v>28</v>
      </c>
      <c r="D551">
        <v>17</v>
      </c>
      <c r="E551">
        <v>12</v>
      </c>
      <c r="F551">
        <v>28</v>
      </c>
      <c r="G551">
        <v>17</v>
      </c>
      <c r="H551">
        <v>11</v>
      </c>
      <c r="I551">
        <v>0.1484</v>
      </c>
      <c r="J551">
        <f t="shared" si="8"/>
        <v>0.60646900269541781</v>
      </c>
      <c r="K551">
        <v>8.9999999999999998E-4</v>
      </c>
      <c r="L551" t="s">
        <v>17</v>
      </c>
      <c r="M551">
        <v>296</v>
      </c>
      <c r="N551" t="s">
        <v>553</v>
      </c>
    </row>
    <row r="552" spans="1:14" x14ac:dyDescent="0.2">
      <c r="A552" t="s">
        <v>1099</v>
      </c>
      <c r="B552" t="s">
        <v>32</v>
      </c>
      <c r="C552">
        <v>9</v>
      </c>
      <c r="D552">
        <v>5</v>
      </c>
      <c r="E552">
        <v>4</v>
      </c>
      <c r="F552">
        <v>10</v>
      </c>
      <c r="G552">
        <v>5</v>
      </c>
      <c r="H552">
        <v>5</v>
      </c>
      <c r="I552">
        <v>0.16980000000000001</v>
      </c>
      <c r="J552">
        <f t="shared" si="8"/>
        <v>0.23557126030624262</v>
      </c>
      <c r="K552">
        <v>4.0000000000000002E-4</v>
      </c>
      <c r="L552" t="s">
        <v>17</v>
      </c>
      <c r="M552">
        <v>296</v>
      </c>
      <c r="N552" t="s">
        <v>553</v>
      </c>
    </row>
    <row r="553" spans="1:14" x14ac:dyDescent="0.2">
      <c r="A553" t="s">
        <v>1099</v>
      </c>
      <c r="B553" t="s">
        <v>32</v>
      </c>
      <c r="C553">
        <v>8</v>
      </c>
      <c r="D553">
        <v>8</v>
      </c>
      <c r="E553">
        <v>1</v>
      </c>
      <c r="F553">
        <v>9</v>
      </c>
      <c r="G553">
        <v>8</v>
      </c>
      <c r="H553">
        <v>2</v>
      </c>
      <c r="I553">
        <v>0.15579999999999999</v>
      </c>
      <c r="J553">
        <f t="shared" si="8"/>
        <v>0.38510911424903721</v>
      </c>
      <c r="K553">
        <v>5.9999999999999995E-4</v>
      </c>
      <c r="L553" t="s">
        <v>17</v>
      </c>
      <c r="M553">
        <v>296</v>
      </c>
      <c r="N553" t="s">
        <v>553</v>
      </c>
    </row>
    <row r="554" spans="1:14" x14ac:dyDescent="0.2">
      <c r="A554" t="s">
        <v>1099</v>
      </c>
      <c r="B554" t="s">
        <v>32</v>
      </c>
      <c r="C554">
        <v>23</v>
      </c>
      <c r="D554">
        <v>18</v>
      </c>
      <c r="E554">
        <v>5</v>
      </c>
      <c r="F554">
        <v>23</v>
      </c>
      <c r="G554">
        <v>18</v>
      </c>
      <c r="H554">
        <v>6</v>
      </c>
      <c r="I554">
        <v>0.1426</v>
      </c>
      <c r="J554">
        <f t="shared" si="8"/>
        <v>0.35063113604488078</v>
      </c>
      <c r="K554">
        <v>5.0000000000000001E-4</v>
      </c>
      <c r="L554" t="s">
        <v>17</v>
      </c>
      <c r="M554">
        <v>296</v>
      </c>
      <c r="N554" t="s">
        <v>553</v>
      </c>
    </row>
    <row r="555" spans="1:14" x14ac:dyDescent="0.2">
      <c r="A555" t="s">
        <v>1099</v>
      </c>
      <c r="B555" t="s">
        <v>32</v>
      </c>
      <c r="C555">
        <v>10</v>
      </c>
      <c r="D555">
        <v>1</v>
      </c>
      <c r="E555">
        <v>10</v>
      </c>
      <c r="F555">
        <v>11</v>
      </c>
      <c r="G555">
        <v>1</v>
      </c>
      <c r="H555">
        <v>11</v>
      </c>
      <c r="I555">
        <v>0.18340000000000001</v>
      </c>
      <c r="J555">
        <f t="shared" si="8"/>
        <v>0.10905125408942204</v>
      </c>
      <c r="K555">
        <v>2.0000000000000001E-4</v>
      </c>
      <c r="L555" t="s">
        <v>17</v>
      </c>
      <c r="M555">
        <v>296</v>
      </c>
      <c r="N555" t="s">
        <v>553</v>
      </c>
    </row>
    <row r="556" spans="1:14" x14ac:dyDescent="0.2">
      <c r="A556" t="s">
        <v>1099</v>
      </c>
      <c r="B556" t="s">
        <v>32</v>
      </c>
      <c r="C556">
        <v>9</v>
      </c>
      <c r="D556">
        <v>4</v>
      </c>
      <c r="E556">
        <v>5</v>
      </c>
      <c r="F556">
        <v>10</v>
      </c>
      <c r="G556">
        <v>4</v>
      </c>
      <c r="H556">
        <v>6</v>
      </c>
      <c r="I556">
        <v>0.17119999999999999</v>
      </c>
      <c r="J556">
        <f t="shared" si="8"/>
        <v>0.17523364485981308</v>
      </c>
      <c r="K556">
        <v>2.9999999999999997E-4</v>
      </c>
      <c r="L556" t="s">
        <v>17</v>
      </c>
      <c r="M556">
        <v>296</v>
      </c>
      <c r="N556" t="s">
        <v>553</v>
      </c>
    </row>
    <row r="557" spans="1:14" x14ac:dyDescent="0.2">
      <c r="A557" t="s">
        <v>1099</v>
      </c>
      <c r="B557" t="s">
        <v>32</v>
      </c>
      <c r="C557">
        <v>22</v>
      </c>
      <c r="D557">
        <v>18</v>
      </c>
      <c r="E557">
        <v>5</v>
      </c>
      <c r="F557">
        <v>22</v>
      </c>
      <c r="G557">
        <v>18</v>
      </c>
      <c r="H557">
        <v>4</v>
      </c>
      <c r="I557">
        <v>0.13389999999999999</v>
      </c>
      <c r="J557">
        <f t="shared" si="8"/>
        <v>0.52277819268110537</v>
      </c>
      <c r="K557">
        <v>6.9999999999999999E-4</v>
      </c>
      <c r="L557" t="s">
        <v>17</v>
      </c>
      <c r="M557">
        <v>296</v>
      </c>
      <c r="N557" t="s">
        <v>553</v>
      </c>
    </row>
    <row r="558" spans="1:14" x14ac:dyDescent="0.2">
      <c r="A558" t="s">
        <v>1099</v>
      </c>
      <c r="B558" t="s">
        <v>32</v>
      </c>
      <c r="C558">
        <v>9</v>
      </c>
      <c r="D558">
        <v>1</v>
      </c>
      <c r="E558">
        <v>8</v>
      </c>
      <c r="F558">
        <v>10</v>
      </c>
      <c r="G558">
        <v>1</v>
      </c>
      <c r="H558">
        <v>9</v>
      </c>
      <c r="I558">
        <v>0.1855</v>
      </c>
      <c r="J558">
        <f t="shared" si="8"/>
        <v>0.16172506738544473</v>
      </c>
      <c r="K558">
        <v>2.9999999999999997E-4</v>
      </c>
      <c r="L558" t="s">
        <v>17</v>
      </c>
      <c r="M558">
        <v>296</v>
      </c>
      <c r="N558" t="s">
        <v>553</v>
      </c>
    </row>
    <row r="559" spans="1:14" x14ac:dyDescent="0.2">
      <c r="A559" t="s">
        <v>1099</v>
      </c>
      <c r="B559" t="s">
        <v>32</v>
      </c>
      <c r="C559">
        <v>9</v>
      </c>
      <c r="D559">
        <v>2</v>
      </c>
      <c r="E559">
        <v>7</v>
      </c>
      <c r="F559">
        <v>10</v>
      </c>
      <c r="G559">
        <v>2</v>
      </c>
      <c r="H559">
        <v>8</v>
      </c>
      <c r="I559">
        <v>0.18240000000000001</v>
      </c>
      <c r="J559">
        <f t="shared" si="8"/>
        <v>0.10964912280701754</v>
      </c>
      <c r="K559">
        <v>2.0000000000000001E-4</v>
      </c>
      <c r="L559" t="s">
        <v>17</v>
      </c>
      <c r="M559">
        <v>296</v>
      </c>
      <c r="N559" t="s">
        <v>553</v>
      </c>
    </row>
    <row r="560" spans="1:14" x14ac:dyDescent="0.2">
      <c r="A560" t="s">
        <v>1099</v>
      </c>
      <c r="B560" t="s">
        <v>32</v>
      </c>
      <c r="C560">
        <v>9</v>
      </c>
      <c r="D560">
        <v>3</v>
      </c>
      <c r="E560">
        <v>6</v>
      </c>
      <c r="F560">
        <v>10</v>
      </c>
      <c r="G560">
        <v>3</v>
      </c>
      <c r="H560">
        <v>7</v>
      </c>
      <c r="I560">
        <v>0.1767</v>
      </c>
      <c r="J560">
        <f t="shared" si="8"/>
        <v>0.1697792869269949</v>
      </c>
      <c r="K560">
        <v>2.9999999999999997E-4</v>
      </c>
      <c r="L560" t="s">
        <v>17</v>
      </c>
      <c r="M560">
        <v>296</v>
      </c>
      <c r="N560" t="s">
        <v>553</v>
      </c>
    </row>
    <row r="561" spans="1:14" x14ac:dyDescent="0.2">
      <c r="A561" t="s">
        <v>1099</v>
      </c>
      <c r="B561" t="s">
        <v>32</v>
      </c>
      <c r="C561">
        <v>8</v>
      </c>
      <c r="D561">
        <v>7</v>
      </c>
      <c r="E561">
        <v>2</v>
      </c>
      <c r="F561">
        <v>9</v>
      </c>
      <c r="G561">
        <v>7</v>
      </c>
      <c r="H561">
        <v>3</v>
      </c>
      <c r="I561">
        <v>0.18579999999999999</v>
      </c>
      <c r="J561">
        <f t="shared" si="8"/>
        <v>0.69967707212055974</v>
      </c>
      <c r="K561">
        <v>1.2999999999999999E-3</v>
      </c>
      <c r="L561" t="s">
        <v>17</v>
      </c>
      <c r="M561">
        <v>296</v>
      </c>
      <c r="N561" t="s">
        <v>553</v>
      </c>
    </row>
    <row r="562" spans="1:14" x14ac:dyDescent="0.2">
      <c r="A562" t="s">
        <v>1099</v>
      </c>
      <c r="B562" t="s">
        <v>32</v>
      </c>
      <c r="C562">
        <v>35</v>
      </c>
      <c r="D562">
        <v>14</v>
      </c>
      <c r="E562">
        <v>21</v>
      </c>
      <c r="F562">
        <v>35</v>
      </c>
      <c r="G562">
        <v>14</v>
      </c>
      <c r="H562">
        <v>22</v>
      </c>
      <c r="I562">
        <v>0.1487</v>
      </c>
      <c r="J562">
        <f t="shared" si="8"/>
        <v>0.47074646940147952</v>
      </c>
      <c r="K562">
        <v>6.9999999999999999E-4</v>
      </c>
      <c r="L562" t="s">
        <v>17</v>
      </c>
      <c r="M562">
        <v>296</v>
      </c>
      <c r="N562" t="s">
        <v>553</v>
      </c>
    </row>
    <row r="563" spans="1:14" x14ac:dyDescent="0.2">
      <c r="A563" t="s">
        <v>1099</v>
      </c>
      <c r="B563" t="s">
        <v>32</v>
      </c>
      <c r="C563">
        <v>29</v>
      </c>
      <c r="D563">
        <v>16</v>
      </c>
      <c r="E563">
        <v>13</v>
      </c>
      <c r="F563">
        <v>29</v>
      </c>
      <c r="G563">
        <v>16</v>
      </c>
      <c r="H563">
        <v>14</v>
      </c>
      <c r="I563">
        <v>0.14449999999999999</v>
      </c>
      <c r="J563">
        <f t="shared" si="8"/>
        <v>0.27681660899653981</v>
      </c>
      <c r="K563">
        <v>4.0000000000000002E-4</v>
      </c>
      <c r="L563" t="s">
        <v>17</v>
      </c>
      <c r="M563">
        <v>296</v>
      </c>
      <c r="N563" t="s">
        <v>553</v>
      </c>
    </row>
    <row r="564" spans="1:14" x14ac:dyDescent="0.2">
      <c r="A564" t="s">
        <v>1099</v>
      </c>
      <c r="B564" t="s">
        <v>32</v>
      </c>
      <c r="C564">
        <v>20</v>
      </c>
      <c r="D564">
        <v>18</v>
      </c>
      <c r="E564">
        <v>3</v>
      </c>
      <c r="F564">
        <v>20</v>
      </c>
      <c r="G564">
        <v>18</v>
      </c>
      <c r="H564">
        <v>2</v>
      </c>
      <c r="I564">
        <v>0.1303</v>
      </c>
      <c r="J564">
        <f t="shared" si="8"/>
        <v>0.23023791250959322</v>
      </c>
      <c r="K564">
        <v>2.9999999999999997E-4</v>
      </c>
      <c r="L564" t="s">
        <v>17</v>
      </c>
      <c r="M564">
        <v>296</v>
      </c>
      <c r="N564" t="s">
        <v>553</v>
      </c>
    </row>
    <row r="565" spans="1:14" x14ac:dyDescent="0.2">
      <c r="A565" t="s">
        <v>1099</v>
      </c>
      <c r="B565" t="s">
        <v>32</v>
      </c>
      <c r="C565">
        <v>37</v>
      </c>
      <c r="D565">
        <v>13</v>
      </c>
      <c r="E565">
        <v>24</v>
      </c>
      <c r="F565">
        <v>37</v>
      </c>
      <c r="G565">
        <v>13</v>
      </c>
      <c r="H565">
        <v>25</v>
      </c>
      <c r="I565">
        <v>0.15090000000000001</v>
      </c>
      <c r="J565">
        <f t="shared" si="8"/>
        <v>0.59642147117296218</v>
      </c>
      <c r="K565">
        <v>8.9999999999999998E-4</v>
      </c>
      <c r="L565" t="s">
        <v>17</v>
      </c>
      <c r="M565">
        <v>296</v>
      </c>
      <c r="N565" t="s">
        <v>553</v>
      </c>
    </row>
    <row r="566" spans="1:14" x14ac:dyDescent="0.2">
      <c r="A566" t="s">
        <v>1099</v>
      </c>
      <c r="B566" t="s">
        <v>32</v>
      </c>
      <c r="C566">
        <v>24</v>
      </c>
      <c r="D566">
        <v>17</v>
      </c>
      <c r="E566">
        <v>8</v>
      </c>
      <c r="F566">
        <v>24</v>
      </c>
      <c r="G566">
        <v>17</v>
      </c>
      <c r="H566">
        <v>7</v>
      </c>
      <c r="I566">
        <v>0.13500000000000001</v>
      </c>
      <c r="J566">
        <f t="shared" si="8"/>
        <v>0.44444444444444436</v>
      </c>
      <c r="K566">
        <v>5.9999999999999995E-4</v>
      </c>
      <c r="L566" t="s">
        <v>17</v>
      </c>
      <c r="M566">
        <v>296</v>
      </c>
      <c r="N566" t="s">
        <v>553</v>
      </c>
    </row>
    <row r="567" spans="1:14" x14ac:dyDescent="0.2">
      <c r="A567" t="s">
        <v>1099</v>
      </c>
      <c r="B567" t="s">
        <v>32</v>
      </c>
      <c r="C567">
        <v>18</v>
      </c>
      <c r="D567">
        <v>18</v>
      </c>
      <c r="E567">
        <v>1</v>
      </c>
      <c r="F567">
        <v>18</v>
      </c>
      <c r="G567">
        <v>18</v>
      </c>
      <c r="H567">
        <v>0</v>
      </c>
      <c r="I567">
        <v>0.1072</v>
      </c>
      <c r="J567">
        <f t="shared" si="8"/>
        <v>0.27985074626865669</v>
      </c>
      <c r="K567">
        <v>2.9999999999999997E-4</v>
      </c>
      <c r="L567" t="s">
        <v>17</v>
      </c>
      <c r="M567">
        <v>296</v>
      </c>
      <c r="N567" t="s">
        <v>553</v>
      </c>
    </row>
    <row r="568" spans="1:14" x14ac:dyDescent="0.2">
      <c r="A568" t="s">
        <v>1099</v>
      </c>
      <c r="B568" t="s">
        <v>32</v>
      </c>
      <c r="C568">
        <v>9</v>
      </c>
      <c r="D568">
        <v>0</v>
      </c>
      <c r="E568">
        <v>9</v>
      </c>
      <c r="F568">
        <v>10</v>
      </c>
      <c r="G568">
        <v>0</v>
      </c>
      <c r="H568">
        <v>10</v>
      </c>
      <c r="I568">
        <v>0.18529999999999999</v>
      </c>
      <c r="J568">
        <f t="shared" si="8"/>
        <v>0.10793308148947653</v>
      </c>
      <c r="K568">
        <v>2.0000000000000001E-4</v>
      </c>
      <c r="L568" t="s">
        <v>17</v>
      </c>
      <c r="M568">
        <v>296</v>
      </c>
      <c r="N568" t="s">
        <v>553</v>
      </c>
    </row>
    <row r="569" spans="1:14" x14ac:dyDescent="0.2">
      <c r="A569" t="s">
        <v>1099</v>
      </c>
      <c r="B569" t="s">
        <v>32</v>
      </c>
      <c r="C569">
        <v>38</v>
      </c>
      <c r="D569">
        <v>12</v>
      </c>
      <c r="E569">
        <v>27</v>
      </c>
      <c r="F569">
        <v>38</v>
      </c>
      <c r="G569">
        <v>12</v>
      </c>
      <c r="H569">
        <v>26</v>
      </c>
      <c r="I569">
        <v>0.14549999999999999</v>
      </c>
      <c r="J569">
        <f t="shared" si="8"/>
        <v>1.0996563573883162</v>
      </c>
      <c r="K569">
        <v>1.6000000000000001E-3</v>
      </c>
      <c r="L569" t="s">
        <v>17</v>
      </c>
      <c r="M569">
        <v>296</v>
      </c>
      <c r="N569" t="s">
        <v>553</v>
      </c>
    </row>
    <row r="570" spans="1:14" x14ac:dyDescent="0.2">
      <c r="A570" t="s">
        <v>1099</v>
      </c>
      <c r="B570" t="s">
        <v>32</v>
      </c>
      <c r="C570">
        <v>8</v>
      </c>
      <c r="D570">
        <v>5</v>
      </c>
      <c r="E570">
        <v>4</v>
      </c>
      <c r="F570">
        <v>9</v>
      </c>
      <c r="G570">
        <v>5</v>
      </c>
      <c r="H570">
        <v>5</v>
      </c>
      <c r="I570">
        <v>0.1779</v>
      </c>
      <c r="J570">
        <f t="shared" si="8"/>
        <v>0.16863406408094433</v>
      </c>
      <c r="K570">
        <v>2.9999999999999997E-4</v>
      </c>
      <c r="L570" t="s">
        <v>17</v>
      </c>
      <c r="M570">
        <v>296</v>
      </c>
      <c r="N570" t="s">
        <v>553</v>
      </c>
    </row>
    <row r="571" spans="1:14" x14ac:dyDescent="0.2">
      <c r="A571" t="s">
        <v>1099</v>
      </c>
      <c r="B571" t="s">
        <v>32</v>
      </c>
      <c r="C571">
        <v>22</v>
      </c>
      <c r="D571">
        <v>17</v>
      </c>
      <c r="E571">
        <v>6</v>
      </c>
      <c r="F571">
        <v>22</v>
      </c>
      <c r="G571">
        <v>17</v>
      </c>
      <c r="H571">
        <v>5</v>
      </c>
      <c r="I571">
        <v>0.1346</v>
      </c>
      <c r="J571">
        <f t="shared" si="8"/>
        <v>0.14858841010401191</v>
      </c>
      <c r="K571">
        <v>2.0000000000000001E-4</v>
      </c>
      <c r="L571" t="s">
        <v>17</v>
      </c>
      <c r="M571">
        <v>296</v>
      </c>
      <c r="N571" t="s">
        <v>553</v>
      </c>
    </row>
    <row r="572" spans="1:14" x14ac:dyDescent="0.2">
      <c r="A572" t="s">
        <v>1099</v>
      </c>
      <c r="B572" t="s">
        <v>32</v>
      </c>
      <c r="C572">
        <v>26</v>
      </c>
      <c r="D572">
        <v>16</v>
      </c>
      <c r="E572">
        <v>11</v>
      </c>
      <c r="F572">
        <v>26</v>
      </c>
      <c r="G572">
        <v>16</v>
      </c>
      <c r="H572">
        <v>10</v>
      </c>
      <c r="I572">
        <v>0.14799999999999999</v>
      </c>
      <c r="J572">
        <f t="shared" si="8"/>
        <v>0.27027027027027029</v>
      </c>
      <c r="K572">
        <v>4.0000000000000002E-4</v>
      </c>
      <c r="L572" t="s">
        <v>17</v>
      </c>
      <c r="M572">
        <v>296</v>
      </c>
      <c r="N572" t="s">
        <v>553</v>
      </c>
    </row>
    <row r="573" spans="1:14" x14ac:dyDescent="0.2">
      <c r="A573" t="s">
        <v>1099</v>
      </c>
      <c r="B573" t="s">
        <v>32</v>
      </c>
      <c r="C573">
        <v>8</v>
      </c>
      <c r="D573">
        <v>4</v>
      </c>
      <c r="E573">
        <v>5</v>
      </c>
      <c r="F573">
        <v>9</v>
      </c>
      <c r="G573">
        <v>4</v>
      </c>
      <c r="H573">
        <v>6</v>
      </c>
      <c r="I573">
        <v>0.17180000000000001</v>
      </c>
      <c r="J573">
        <f t="shared" si="8"/>
        <v>0.11641443538998836</v>
      </c>
      <c r="K573">
        <v>2.0000000000000001E-4</v>
      </c>
      <c r="L573" t="s">
        <v>17</v>
      </c>
      <c r="M573">
        <v>296</v>
      </c>
      <c r="N573" t="s">
        <v>553</v>
      </c>
    </row>
    <row r="574" spans="1:14" x14ac:dyDescent="0.2">
      <c r="A574" t="s">
        <v>1099</v>
      </c>
      <c r="B574" t="s">
        <v>32</v>
      </c>
      <c r="C574">
        <v>21</v>
      </c>
      <c r="D574">
        <v>17</v>
      </c>
      <c r="E574">
        <v>4</v>
      </c>
      <c r="F574">
        <v>21</v>
      </c>
      <c r="G574">
        <v>17</v>
      </c>
      <c r="H574">
        <v>5</v>
      </c>
      <c r="I574">
        <v>0.15590000000000001</v>
      </c>
      <c r="J574">
        <f t="shared" si="8"/>
        <v>0.51314945477870422</v>
      </c>
      <c r="K574">
        <v>8.0000000000000004E-4</v>
      </c>
      <c r="L574" t="s">
        <v>17</v>
      </c>
      <c r="M574">
        <v>296</v>
      </c>
      <c r="N574" t="s">
        <v>553</v>
      </c>
    </row>
    <row r="575" spans="1:14" x14ac:dyDescent="0.2">
      <c r="A575" t="s">
        <v>1099</v>
      </c>
      <c r="B575" t="s">
        <v>32</v>
      </c>
      <c r="C575">
        <v>29</v>
      </c>
      <c r="D575">
        <v>15</v>
      </c>
      <c r="E575">
        <v>14</v>
      </c>
      <c r="F575">
        <v>29</v>
      </c>
      <c r="G575">
        <v>15</v>
      </c>
      <c r="H575">
        <v>15</v>
      </c>
      <c r="I575">
        <v>0.13750000000000001</v>
      </c>
      <c r="J575">
        <f t="shared" si="8"/>
        <v>0.50909090909090904</v>
      </c>
      <c r="K575">
        <v>6.9999999999999999E-4</v>
      </c>
      <c r="L575" t="s">
        <v>17</v>
      </c>
      <c r="M575">
        <v>296</v>
      </c>
      <c r="N575" t="s">
        <v>553</v>
      </c>
    </row>
    <row r="576" spans="1:14" x14ac:dyDescent="0.2">
      <c r="A576" t="s">
        <v>1099</v>
      </c>
      <c r="B576" t="s">
        <v>32</v>
      </c>
      <c r="C576">
        <v>25</v>
      </c>
      <c r="D576">
        <v>16</v>
      </c>
      <c r="E576">
        <v>9</v>
      </c>
      <c r="F576">
        <v>25</v>
      </c>
      <c r="G576">
        <v>16</v>
      </c>
      <c r="H576">
        <v>10</v>
      </c>
      <c r="I576">
        <v>0.14130000000000001</v>
      </c>
      <c r="J576">
        <f t="shared" si="8"/>
        <v>0.28308563340410475</v>
      </c>
      <c r="K576">
        <v>4.0000000000000002E-4</v>
      </c>
      <c r="L576" t="s">
        <v>17</v>
      </c>
      <c r="M576">
        <v>296</v>
      </c>
      <c r="N576" t="s">
        <v>553</v>
      </c>
    </row>
    <row r="577" spans="1:14" x14ac:dyDescent="0.2">
      <c r="A577" t="s">
        <v>1099</v>
      </c>
      <c r="B577" t="s">
        <v>32</v>
      </c>
      <c r="C577">
        <v>8</v>
      </c>
      <c r="D577">
        <v>3</v>
      </c>
      <c r="E577">
        <v>6</v>
      </c>
      <c r="F577">
        <v>9</v>
      </c>
      <c r="G577">
        <v>3</v>
      </c>
      <c r="H577">
        <v>7</v>
      </c>
      <c r="I577">
        <v>0.1762</v>
      </c>
      <c r="J577">
        <f t="shared" si="8"/>
        <v>0.1135073779795687</v>
      </c>
      <c r="K577">
        <v>2.0000000000000001E-4</v>
      </c>
      <c r="L577" t="s">
        <v>17</v>
      </c>
      <c r="M577">
        <v>296</v>
      </c>
      <c r="N577" t="s">
        <v>553</v>
      </c>
    </row>
    <row r="578" spans="1:14" x14ac:dyDescent="0.2">
      <c r="A578" t="s">
        <v>1099</v>
      </c>
      <c r="B578" t="s">
        <v>32</v>
      </c>
      <c r="C578">
        <v>20</v>
      </c>
      <c r="D578">
        <v>17</v>
      </c>
      <c r="E578">
        <v>4</v>
      </c>
      <c r="F578">
        <v>20</v>
      </c>
      <c r="G578">
        <v>17</v>
      </c>
      <c r="H578">
        <v>3</v>
      </c>
      <c r="I578">
        <v>0.1381</v>
      </c>
      <c r="J578">
        <f t="shared" si="8"/>
        <v>0.21723388848660388</v>
      </c>
      <c r="K578">
        <v>2.9999999999999997E-4</v>
      </c>
      <c r="L578" t="s">
        <v>17</v>
      </c>
      <c r="M578">
        <v>296</v>
      </c>
      <c r="N578" t="s">
        <v>553</v>
      </c>
    </row>
    <row r="579" spans="1:14" x14ac:dyDescent="0.2">
      <c r="A579" t="s">
        <v>1099</v>
      </c>
      <c r="B579" t="s">
        <v>32</v>
      </c>
      <c r="C579">
        <v>28</v>
      </c>
      <c r="D579">
        <v>15</v>
      </c>
      <c r="E579">
        <v>14</v>
      </c>
      <c r="F579">
        <v>28</v>
      </c>
      <c r="G579">
        <v>15</v>
      </c>
      <c r="H579">
        <v>13</v>
      </c>
      <c r="I579">
        <v>0.1487</v>
      </c>
      <c r="J579">
        <f t="shared" ref="J579:J642" si="9">K579/I579*100</f>
        <v>0.33624747814391392</v>
      </c>
      <c r="K579">
        <v>5.0000000000000001E-4</v>
      </c>
      <c r="L579" t="s">
        <v>17</v>
      </c>
      <c r="M579">
        <v>296</v>
      </c>
      <c r="N579" t="s">
        <v>553</v>
      </c>
    </row>
    <row r="580" spans="1:14" x14ac:dyDescent="0.2">
      <c r="A580" t="s">
        <v>1099</v>
      </c>
      <c r="B580" t="s">
        <v>32</v>
      </c>
      <c r="C580">
        <v>8</v>
      </c>
      <c r="D580">
        <v>2</v>
      </c>
      <c r="E580">
        <v>7</v>
      </c>
      <c r="F580">
        <v>9</v>
      </c>
      <c r="G580">
        <v>2</v>
      </c>
      <c r="H580">
        <v>8</v>
      </c>
      <c r="I580">
        <v>0.19209999999999999</v>
      </c>
      <c r="J580">
        <f t="shared" si="9"/>
        <v>0.15616866215512754</v>
      </c>
      <c r="K580">
        <v>2.9999999999999997E-4</v>
      </c>
      <c r="L580" t="s">
        <v>17</v>
      </c>
      <c r="M580">
        <v>296</v>
      </c>
      <c r="N580" t="s">
        <v>553</v>
      </c>
    </row>
    <row r="581" spans="1:14" x14ac:dyDescent="0.2">
      <c r="A581" t="s">
        <v>1099</v>
      </c>
      <c r="B581" t="s">
        <v>32</v>
      </c>
      <c r="C581">
        <v>19</v>
      </c>
      <c r="D581">
        <v>17</v>
      </c>
      <c r="E581">
        <v>2</v>
      </c>
      <c r="F581">
        <v>19</v>
      </c>
      <c r="G581">
        <v>17</v>
      </c>
      <c r="H581">
        <v>3</v>
      </c>
      <c r="I581">
        <v>0.13009999999999999</v>
      </c>
      <c r="J581">
        <f t="shared" si="9"/>
        <v>0.30745580322828597</v>
      </c>
      <c r="K581">
        <v>4.0000000000000002E-4</v>
      </c>
      <c r="L581" t="s">
        <v>17</v>
      </c>
      <c r="M581">
        <v>296</v>
      </c>
      <c r="N581" t="s">
        <v>553</v>
      </c>
    </row>
    <row r="582" spans="1:14" x14ac:dyDescent="0.2">
      <c r="A582" t="s">
        <v>1099</v>
      </c>
      <c r="B582" t="s">
        <v>32</v>
      </c>
      <c r="C582">
        <v>7</v>
      </c>
      <c r="D582">
        <v>6</v>
      </c>
      <c r="E582">
        <v>1</v>
      </c>
      <c r="F582">
        <v>8</v>
      </c>
      <c r="G582">
        <v>6</v>
      </c>
      <c r="H582">
        <v>2</v>
      </c>
      <c r="I582">
        <v>0.16669999999999999</v>
      </c>
      <c r="J582">
        <f t="shared" si="9"/>
        <v>0.17996400719856029</v>
      </c>
      <c r="K582">
        <v>2.9999999999999997E-4</v>
      </c>
      <c r="L582" t="s">
        <v>17</v>
      </c>
      <c r="M582">
        <v>296</v>
      </c>
      <c r="N582" t="s">
        <v>553</v>
      </c>
    </row>
    <row r="583" spans="1:14" x14ac:dyDescent="0.2">
      <c r="A583" t="s">
        <v>1099</v>
      </c>
      <c r="B583" t="s">
        <v>32</v>
      </c>
      <c r="C583">
        <v>27</v>
      </c>
      <c r="D583">
        <v>15</v>
      </c>
      <c r="E583">
        <v>12</v>
      </c>
      <c r="F583">
        <v>27</v>
      </c>
      <c r="G583">
        <v>15</v>
      </c>
      <c r="H583">
        <v>13</v>
      </c>
      <c r="I583">
        <v>0.1419</v>
      </c>
      <c r="J583">
        <f t="shared" si="9"/>
        <v>0.49330514446793516</v>
      </c>
      <c r="K583">
        <v>6.9999999999999999E-4</v>
      </c>
      <c r="L583" t="s">
        <v>17</v>
      </c>
      <c r="M583">
        <v>296</v>
      </c>
      <c r="N583" t="s">
        <v>553</v>
      </c>
    </row>
    <row r="584" spans="1:14" x14ac:dyDescent="0.2">
      <c r="A584" t="s">
        <v>1099</v>
      </c>
      <c r="B584" t="s">
        <v>32</v>
      </c>
      <c r="C584">
        <v>18</v>
      </c>
      <c r="D584">
        <v>17</v>
      </c>
      <c r="E584">
        <v>2</v>
      </c>
      <c r="F584">
        <v>18</v>
      </c>
      <c r="G584">
        <v>17</v>
      </c>
      <c r="H584">
        <v>1</v>
      </c>
      <c r="I584">
        <v>0.1191</v>
      </c>
      <c r="J584">
        <f t="shared" si="9"/>
        <v>0.50377833753148615</v>
      </c>
      <c r="K584">
        <v>5.9999999999999995E-4</v>
      </c>
      <c r="L584" t="s">
        <v>17</v>
      </c>
      <c r="M584">
        <v>296</v>
      </c>
      <c r="N584" t="s">
        <v>553</v>
      </c>
    </row>
    <row r="585" spans="1:14" x14ac:dyDescent="0.2">
      <c r="A585" t="s">
        <v>1099</v>
      </c>
      <c r="B585" t="s">
        <v>32</v>
      </c>
      <c r="C585">
        <v>23</v>
      </c>
      <c r="D585">
        <v>16</v>
      </c>
      <c r="E585">
        <v>7</v>
      </c>
      <c r="F585">
        <v>23</v>
      </c>
      <c r="G585">
        <v>16</v>
      </c>
      <c r="H585">
        <v>8</v>
      </c>
      <c r="I585">
        <v>0.1363</v>
      </c>
      <c r="J585">
        <f t="shared" si="9"/>
        <v>0.29347028613352899</v>
      </c>
      <c r="K585">
        <v>4.0000000000000002E-4</v>
      </c>
      <c r="L585" t="s">
        <v>17</v>
      </c>
      <c r="M585">
        <v>296</v>
      </c>
      <c r="N585" t="s">
        <v>553</v>
      </c>
    </row>
    <row r="586" spans="1:14" x14ac:dyDescent="0.2">
      <c r="A586" t="s">
        <v>1099</v>
      </c>
      <c r="B586" t="s">
        <v>32</v>
      </c>
      <c r="C586">
        <v>30</v>
      </c>
      <c r="D586">
        <v>14</v>
      </c>
      <c r="E586">
        <v>17</v>
      </c>
      <c r="F586">
        <v>30</v>
      </c>
      <c r="G586">
        <v>14</v>
      </c>
      <c r="H586">
        <v>16</v>
      </c>
      <c r="I586">
        <v>0.1424</v>
      </c>
      <c r="J586">
        <f t="shared" si="9"/>
        <v>0.63202247191011229</v>
      </c>
      <c r="K586">
        <v>8.9999999999999998E-4</v>
      </c>
      <c r="L586" t="s">
        <v>17</v>
      </c>
      <c r="M586">
        <v>296</v>
      </c>
      <c r="N586" t="s">
        <v>553</v>
      </c>
    </row>
    <row r="587" spans="1:14" x14ac:dyDescent="0.2">
      <c r="A587" t="s">
        <v>1099</v>
      </c>
      <c r="B587" t="s">
        <v>32</v>
      </c>
      <c r="C587">
        <v>17</v>
      </c>
      <c r="D587">
        <v>17</v>
      </c>
      <c r="E587">
        <v>0</v>
      </c>
      <c r="F587">
        <v>17</v>
      </c>
      <c r="G587">
        <v>17</v>
      </c>
      <c r="H587">
        <v>1</v>
      </c>
      <c r="I587">
        <v>0.1067</v>
      </c>
      <c r="J587">
        <f t="shared" si="9"/>
        <v>0.2811621368322399</v>
      </c>
      <c r="K587">
        <v>2.9999999999999997E-4</v>
      </c>
      <c r="L587" t="s">
        <v>17</v>
      </c>
      <c r="M587">
        <v>296</v>
      </c>
      <c r="N587" t="s">
        <v>553</v>
      </c>
    </row>
    <row r="588" spans="1:14" x14ac:dyDescent="0.2">
      <c r="A588" t="s">
        <v>1099</v>
      </c>
      <c r="B588" t="s">
        <v>32</v>
      </c>
      <c r="C588">
        <v>22</v>
      </c>
      <c r="D588">
        <v>16</v>
      </c>
      <c r="E588">
        <v>7</v>
      </c>
      <c r="F588">
        <v>22</v>
      </c>
      <c r="G588">
        <v>16</v>
      </c>
      <c r="H588">
        <v>6</v>
      </c>
      <c r="I588">
        <v>0.1429</v>
      </c>
      <c r="J588">
        <f t="shared" si="9"/>
        <v>0.69979006298110569</v>
      </c>
      <c r="K588">
        <v>1E-3</v>
      </c>
      <c r="L588" t="s">
        <v>17</v>
      </c>
      <c r="M588">
        <v>296</v>
      </c>
      <c r="N588" t="s">
        <v>553</v>
      </c>
    </row>
    <row r="589" spans="1:14" x14ac:dyDescent="0.2">
      <c r="A589" t="s">
        <v>1099</v>
      </c>
      <c r="B589" t="s">
        <v>32</v>
      </c>
      <c r="C589">
        <v>26</v>
      </c>
      <c r="D589">
        <v>15</v>
      </c>
      <c r="E589">
        <v>12</v>
      </c>
      <c r="F589">
        <v>26</v>
      </c>
      <c r="G589">
        <v>15</v>
      </c>
      <c r="H589">
        <v>11</v>
      </c>
      <c r="I589">
        <v>0.14430000000000001</v>
      </c>
      <c r="J589">
        <f t="shared" si="9"/>
        <v>0.3465003465003465</v>
      </c>
      <c r="K589">
        <v>5.0000000000000001E-4</v>
      </c>
      <c r="L589" t="s">
        <v>17</v>
      </c>
      <c r="M589">
        <v>296</v>
      </c>
      <c r="N589" t="s">
        <v>553</v>
      </c>
    </row>
    <row r="590" spans="1:14" x14ac:dyDescent="0.2">
      <c r="A590" t="s">
        <v>1099</v>
      </c>
      <c r="B590" t="s">
        <v>32</v>
      </c>
      <c r="C590">
        <v>32</v>
      </c>
      <c r="D590">
        <v>13</v>
      </c>
      <c r="E590">
        <v>20</v>
      </c>
      <c r="F590">
        <v>32</v>
      </c>
      <c r="G590">
        <v>13</v>
      </c>
      <c r="H590">
        <v>19</v>
      </c>
      <c r="I590">
        <v>0.13869999999999999</v>
      </c>
      <c r="J590">
        <f t="shared" si="9"/>
        <v>0.57678442682047593</v>
      </c>
      <c r="K590">
        <v>8.0000000000000004E-4</v>
      </c>
      <c r="L590" t="s">
        <v>17</v>
      </c>
      <c r="M590">
        <v>296</v>
      </c>
      <c r="N590" t="s">
        <v>553</v>
      </c>
    </row>
    <row r="591" spans="1:14" x14ac:dyDescent="0.2">
      <c r="A591" t="s">
        <v>1099</v>
      </c>
      <c r="B591" t="s">
        <v>32</v>
      </c>
      <c r="C591">
        <v>21</v>
      </c>
      <c r="D591">
        <v>16</v>
      </c>
      <c r="E591">
        <v>5</v>
      </c>
      <c r="F591">
        <v>21</v>
      </c>
      <c r="G591">
        <v>16</v>
      </c>
      <c r="H591">
        <v>6</v>
      </c>
      <c r="I591">
        <v>0.13950000000000001</v>
      </c>
      <c r="J591">
        <f t="shared" si="9"/>
        <v>0.21505376344086016</v>
      </c>
      <c r="K591">
        <v>2.9999999999999997E-4</v>
      </c>
      <c r="L591" t="s">
        <v>17</v>
      </c>
      <c r="M591">
        <v>296</v>
      </c>
      <c r="N591" t="s">
        <v>553</v>
      </c>
    </row>
    <row r="592" spans="1:14" x14ac:dyDescent="0.2">
      <c r="A592" t="s">
        <v>1099</v>
      </c>
      <c r="B592" t="s">
        <v>32</v>
      </c>
      <c r="C592">
        <v>25</v>
      </c>
      <c r="D592">
        <v>15</v>
      </c>
      <c r="E592">
        <v>10</v>
      </c>
      <c r="F592">
        <v>25</v>
      </c>
      <c r="G592">
        <v>15</v>
      </c>
      <c r="H592">
        <v>11</v>
      </c>
      <c r="I592">
        <v>0.14380000000000001</v>
      </c>
      <c r="J592">
        <f t="shared" si="9"/>
        <v>0.34770514603616132</v>
      </c>
      <c r="K592">
        <v>5.0000000000000001E-4</v>
      </c>
      <c r="L592" t="s">
        <v>17</v>
      </c>
      <c r="M592">
        <v>296</v>
      </c>
      <c r="N592" t="s">
        <v>553</v>
      </c>
    </row>
    <row r="593" spans="1:14" x14ac:dyDescent="0.2">
      <c r="A593" t="s">
        <v>1099</v>
      </c>
      <c r="B593" t="s">
        <v>32</v>
      </c>
      <c r="C593">
        <v>7</v>
      </c>
      <c r="D593">
        <v>4</v>
      </c>
      <c r="E593">
        <v>3</v>
      </c>
      <c r="F593">
        <v>8</v>
      </c>
      <c r="G593">
        <v>4</v>
      </c>
      <c r="H593">
        <v>4</v>
      </c>
      <c r="I593">
        <v>0.17280000000000001</v>
      </c>
      <c r="J593">
        <f t="shared" si="9"/>
        <v>0.28935185185185186</v>
      </c>
      <c r="K593">
        <v>5.0000000000000001E-4</v>
      </c>
      <c r="L593" t="s">
        <v>17</v>
      </c>
      <c r="M593">
        <v>296</v>
      </c>
      <c r="N593" t="s">
        <v>553</v>
      </c>
    </row>
    <row r="594" spans="1:14" x14ac:dyDescent="0.2">
      <c r="A594" t="s">
        <v>1099</v>
      </c>
      <c r="B594" t="s">
        <v>32</v>
      </c>
      <c r="C594">
        <v>28</v>
      </c>
      <c r="D594">
        <v>14</v>
      </c>
      <c r="E594">
        <v>15</v>
      </c>
      <c r="F594">
        <v>28</v>
      </c>
      <c r="G594">
        <v>14</v>
      </c>
      <c r="H594">
        <v>14</v>
      </c>
      <c r="I594">
        <v>0.14710000000000001</v>
      </c>
      <c r="J594">
        <f t="shared" si="9"/>
        <v>0.54384772263766146</v>
      </c>
      <c r="K594">
        <v>8.0000000000000004E-4</v>
      </c>
      <c r="L594" t="s">
        <v>17</v>
      </c>
      <c r="M594">
        <v>296</v>
      </c>
      <c r="N594" t="s">
        <v>553</v>
      </c>
    </row>
    <row r="595" spans="1:14" x14ac:dyDescent="0.2">
      <c r="A595" t="s">
        <v>1099</v>
      </c>
      <c r="B595" t="s">
        <v>32</v>
      </c>
      <c r="C595">
        <v>20</v>
      </c>
      <c r="D595">
        <v>16</v>
      </c>
      <c r="E595">
        <v>5</v>
      </c>
      <c r="F595">
        <v>20</v>
      </c>
      <c r="G595">
        <v>16</v>
      </c>
      <c r="H595">
        <v>4</v>
      </c>
      <c r="I595">
        <v>0.13980000000000001</v>
      </c>
      <c r="J595">
        <f t="shared" si="9"/>
        <v>0.28612303290414876</v>
      </c>
      <c r="K595">
        <v>4.0000000000000002E-4</v>
      </c>
      <c r="L595" t="s">
        <v>17</v>
      </c>
      <c r="M595">
        <v>296</v>
      </c>
      <c r="N595" t="s">
        <v>553</v>
      </c>
    </row>
    <row r="596" spans="1:14" x14ac:dyDescent="0.2">
      <c r="A596" t="s">
        <v>1099</v>
      </c>
      <c r="B596" t="s">
        <v>32</v>
      </c>
      <c r="C596">
        <v>33</v>
      </c>
      <c r="D596">
        <v>12</v>
      </c>
      <c r="E596">
        <v>21</v>
      </c>
      <c r="F596">
        <v>33</v>
      </c>
      <c r="G596">
        <v>12</v>
      </c>
      <c r="H596">
        <v>22</v>
      </c>
      <c r="I596">
        <v>0.1489</v>
      </c>
      <c r="J596">
        <f t="shared" si="9"/>
        <v>0.87306917394224304</v>
      </c>
      <c r="K596">
        <v>1.2999999999999999E-3</v>
      </c>
      <c r="L596" t="s">
        <v>17</v>
      </c>
      <c r="M596">
        <v>296</v>
      </c>
      <c r="N596" t="s">
        <v>553</v>
      </c>
    </row>
    <row r="597" spans="1:14" x14ac:dyDescent="0.2">
      <c r="A597" t="s">
        <v>1099</v>
      </c>
      <c r="B597" t="s">
        <v>32</v>
      </c>
      <c r="C597">
        <v>7</v>
      </c>
      <c r="D597">
        <v>1</v>
      </c>
      <c r="E597">
        <v>6</v>
      </c>
      <c r="F597">
        <v>8</v>
      </c>
      <c r="G597">
        <v>1</v>
      </c>
      <c r="H597">
        <v>7</v>
      </c>
      <c r="I597">
        <v>0.19980000000000001</v>
      </c>
      <c r="J597">
        <f t="shared" si="9"/>
        <v>0.35035035035035034</v>
      </c>
      <c r="K597">
        <v>6.9999999999999999E-4</v>
      </c>
      <c r="L597" t="s">
        <v>17</v>
      </c>
      <c r="M597">
        <v>296</v>
      </c>
      <c r="N597" t="s">
        <v>553</v>
      </c>
    </row>
    <row r="598" spans="1:14" x14ac:dyDescent="0.2">
      <c r="A598" t="s">
        <v>1099</v>
      </c>
      <c r="B598" t="s">
        <v>32</v>
      </c>
      <c r="C598">
        <v>7</v>
      </c>
      <c r="D598">
        <v>3</v>
      </c>
      <c r="E598">
        <v>4</v>
      </c>
      <c r="F598">
        <v>8</v>
      </c>
      <c r="G598">
        <v>3</v>
      </c>
      <c r="H598">
        <v>5</v>
      </c>
      <c r="I598">
        <v>0.18190000000000001</v>
      </c>
      <c r="J598">
        <f t="shared" si="9"/>
        <v>0.16492578339747113</v>
      </c>
      <c r="K598">
        <v>2.9999999999999997E-4</v>
      </c>
      <c r="L598" t="s">
        <v>17</v>
      </c>
      <c r="M598">
        <v>296</v>
      </c>
      <c r="N598" t="s">
        <v>553</v>
      </c>
    </row>
    <row r="599" spans="1:14" x14ac:dyDescent="0.2">
      <c r="A599" t="s">
        <v>1099</v>
      </c>
      <c r="B599" t="s">
        <v>32</v>
      </c>
      <c r="C599">
        <v>23</v>
      </c>
      <c r="D599">
        <v>15</v>
      </c>
      <c r="E599">
        <v>8</v>
      </c>
      <c r="F599">
        <v>23</v>
      </c>
      <c r="G599">
        <v>15</v>
      </c>
      <c r="H599">
        <v>9</v>
      </c>
      <c r="I599">
        <v>0.1419</v>
      </c>
      <c r="J599">
        <f t="shared" si="9"/>
        <v>0.14094432699083861</v>
      </c>
      <c r="K599">
        <v>2.0000000000000001E-4</v>
      </c>
      <c r="L599" t="s">
        <v>17</v>
      </c>
      <c r="M599">
        <v>296</v>
      </c>
      <c r="N599" t="s">
        <v>553</v>
      </c>
    </row>
    <row r="600" spans="1:14" x14ac:dyDescent="0.2">
      <c r="A600" t="s">
        <v>1099</v>
      </c>
      <c r="B600" t="s">
        <v>32</v>
      </c>
      <c r="C600">
        <v>18</v>
      </c>
      <c r="D600">
        <v>16</v>
      </c>
      <c r="E600">
        <v>3</v>
      </c>
      <c r="F600">
        <v>18</v>
      </c>
      <c r="G600">
        <v>16</v>
      </c>
      <c r="H600">
        <v>2</v>
      </c>
      <c r="I600">
        <v>0.13220000000000001</v>
      </c>
      <c r="J600">
        <f t="shared" si="9"/>
        <v>0.15128593040847202</v>
      </c>
      <c r="K600">
        <v>2.0000000000000001E-4</v>
      </c>
      <c r="L600" t="s">
        <v>17</v>
      </c>
      <c r="M600">
        <v>296</v>
      </c>
      <c r="N600" t="s">
        <v>553</v>
      </c>
    </row>
    <row r="601" spans="1:14" x14ac:dyDescent="0.2">
      <c r="A601" t="s">
        <v>1099</v>
      </c>
      <c r="B601" t="s">
        <v>32</v>
      </c>
      <c r="C601">
        <v>34</v>
      </c>
      <c r="D601">
        <v>11</v>
      </c>
      <c r="E601">
        <v>24</v>
      </c>
      <c r="F601">
        <v>34</v>
      </c>
      <c r="G601">
        <v>11</v>
      </c>
      <c r="H601">
        <v>23</v>
      </c>
      <c r="I601">
        <v>0.16489999999999999</v>
      </c>
      <c r="J601">
        <f t="shared" si="9"/>
        <v>0.42449969678593091</v>
      </c>
      <c r="K601">
        <v>6.9999999999999999E-4</v>
      </c>
      <c r="L601" t="s">
        <v>17</v>
      </c>
      <c r="M601">
        <v>296</v>
      </c>
      <c r="N601" t="s">
        <v>553</v>
      </c>
    </row>
    <row r="602" spans="1:14" x14ac:dyDescent="0.2">
      <c r="A602" t="s">
        <v>1099</v>
      </c>
      <c r="B602" t="s">
        <v>32</v>
      </c>
      <c r="C602">
        <v>26</v>
      </c>
      <c r="D602">
        <v>14</v>
      </c>
      <c r="E602">
        <v>13</v>
      </c>
      <c r="F602">
        <v>26</v>
      </c>
      <c r="G602">
        <v>14</v>
      </c>
      <c r="H602">
        <v>12</v>
      </c>
      <c r="I602">
        <v>0.15049999999999999</v>
      </c>
      <c r="J602">
        <f t="shared" si="9"/>
        <v>0.19933554817275745</v>
      </c>
      <c r="K602">
        <v>2.9999999999999997E-4</v>
      </c>
      <c r="L602" t="s">
        <v>17</v>
      </c>
      <c r="M602">
        <v>296</v>
      </c>
      <c r="N602" t="s">
        <v>553</v>
      </c>
    </row>
    <row r="603" spans="1:14" x14ac:dyDescent="0.2">
      <c r="A603" t="s">
        <v>1099</v>
      </c>
      <c r="B603" t="s">
        <v>32</v>
      </c>
      <c r="C603">
        <v>29</v>
      </c>
      <c r="D603">
        <v>13</v>
      </c>
      <c r="E603">
        <v>16</v>
      </c>
      <c r="F603">
        <v>29</v>
      </c>
      <c r="G603">
        <v>13</v>
      </c>
      <c r="H603">
        <v>17</v>
      </c>
      <c r="I603">
        <v>0.15670000000000001</v>
      </c>
      <c r="J603">
        <f t="shared" si="9"/>
        <v>0.25526483726866628</v>
      </c>
      <c r="K603">
        <v>4.0000000000000002E-4</v>
      </c>
      <c r="L603" t="s">
        <v>17</v>
      </c>
      <c r="M603">
        <v>296</v>
      </c>
      <c r="N603" t="s">
        <v>553</v>
      </c>
    </row>
    <row r="604" spans="1:14" x14ac:dyDescent="0.2">
      <c r="A604" t="s">
        <v>1099</v>
      </c>
      <c r="B604" t="s">
        <v>32</v>
      </c>
      <c r="C604">
        <v>7</v>
      </c>
      <c r="D604">
        <v>0</v>
      </c>
      <c r="E604">
        <v>7</v>
      </c>
      <c r="F604">
        <v>8</v>
      </c>
      <c r="G604">
        <v>0</v>
      </c>
      <c r="H604">
        <v>8</v>
      </c>
      <c r="I604">
        <v>0.19719999999999999</v>
      </c>
      <c r="J604">
        <f t="shared" si="9"/>
        <v>0.10141987829614607</v>
      </c>
      <c r="K604">
        <v>2.0000000000000001E-4</v>
      </c>
      <c r="L604" t="s">
        <v>17</v>
      </c>
      <c r="M604">
        <v>296</v>
      </c>
      <c r="N604" t="s">
        <v>553</v>
      </c>
    </row>
    <row r="605" spans="1:14" x14ac:dyDescent="0.2">
      <c r="A605" t="s">
        <v>1099</v>
      </c>
      <c r="B605" t="s">
        <v>32</v>
      </c>
      <c r="C605">
        <v>16</v>
      </c>
      <c r="D605">
        <v>16</v>
      </c>
      <c r="E605">
        <v>1</v>
      </c>
      <c r="F605">
        <v>16</v>
      </c>
      <c r="G605">
        <v>16</v>
      </c>
      <c r="H605">
        <v>0</v>
      </c>
      <c r="I605">
        <v>0.1101</v>
      </c>
      <c r="J605">
        <f t="shared" si="9"/>
        <v>0.18165304268846502</v>
      </c>
      <c r="K605">
        <v>2.0000000000000001E-4</v>
      </c>
      <c r="L605" t="s">
        <v>17</v>
      </c>
      <c r="M605">
        <v>296</v>
      </c>
      <c r="N605" t="s">
        <v>553</v>
      </c>
    </row>
    <row r="606" spans="1:14" x14ac:dyDescent="0.2">
      <c r="A606" t="s">
        <v>1099</v>
      </c>
      <c r="B606" t="s">
        <v>32</v>
      </c>
      <c r="C606">
        <v>25</v>
      </c>
      <c r="D606">
        <v>14</v>
      </c>
      <c r="E606">
        <v>11</v>
      </c>
      <c r="F606">
        <v>25</v>
      </c>
      <c r="G606">
        <v>14</v>
      </c>
      <c r="H606">
        <v>12</v>
      </c>
      <c r="I606">
        <v>0.14749999999999999</v>
      </c>
      <c r="J606">
        <f t="shared" si="9"/>
        <v>0.20338983050847459</v>
      </c>
      <c r="K606">
        <v>2.9999999999999997E-4</v>
      </c>
      <c r="L606" t="s">
        <v>17</v>
      </c>
      <c r="M606">
        <v>296</v>
      </c>
      <c r="N606" t="s">
        <v>553</v>
      </c>
    </row>
    <row r="607" spans="1:14" x14ac:dyDescent="0.2">
      <c r="A607" t="s">
        <v>1099</v>
      </c>
      <c r="B607" t="s">
        <v>32</v>
      </c>
      <c r="C607">
        <v>21</v>
      </c>
      <c r="D607">
        <v>15</v>
      </c>
      <c r="E607">
        <v>6</v>
      </c>
      <c r="F607">
        <v>21</v>
      </c>
      <c r="G607">
        <v>15</v>
      </c>
      <c r="H607">
        <v>7</v>
      </c>
      <c r="I607">
        <v>0.1507</v>
      </c>
      <c r="J607">
        <f t="shared" si="9"/>
        <v>0.19907100199070998</v>
      </c>
      <c r="K607">
        <v>2.9999999999999997E-4</v>
      </c>
      <c r="L607" t="s">
        <v>17</v>
      </c>
      <c r="M607">
        <v>296</v>
      </c>
      <c r="N607" t="s">
        <v>553</v>
      </c>
    </row>
    <row r="608" spans="1:14" x14ac:dyDescent="0.2">
      <c r="A608" t="s">
        <v>1099</v>
      </c>
      <c r="B608" t="s">
        <v>32</v>
      </c>
      <c r="C608">
        <v>33</v>
      </c>
      <c r="D608">
        <v>11</v>
      </c>
      <c r="E608">
        <v>22</v>
      </c>
      <c r="F608">
        <v>33</v>
      </c>
      <c r="G608">
        <v>11</v>
      </c>
      <c r="H608">
        <v>23</v>
      </c>
      <c r="I608">
        <v>0.15989999999999999</v>
      </c>
      <c r="J608">
        <f t="shared" si="9"/>
        <v>0.50031269543464674</v>
      </c>
      <c r="K608">
        <v>8.0000000000000004E-4</v>
      </c>
      <c r="L608" t="s">
        <v>17</v>
      </c>
      <c r="M608">
        <v>296</v>
      </c>
      <c r="N608" t="s">
        <v>553</v>
      </c>
    </row>
    <row r="609" spans="1:14" x14ac:dyDescent="0.2">
      <c r="A609" t="s">
        <v>1099</v>
      </c>
      <c r="B609" t="s">
        <v>32</v>
      </c>
      <c r="C609">
        <v>28</v>
      </c>
      <c r="D609">
        <v>13</v>
      </c>
      <c r="E609">
        <v>16</v>
      </c>
      <c r="F609">
        <v>28</v>
      </c>
      <c r="G609">
        <v>13</v>
      </c>
      <c r="H609">
        <v>15</v>
      </c>
      <c r="I609">
        <v>0.15060000000000001</v>
      </c>
      <c r="J609">
        <f t="shared" si="9"/>
        <v>0.26560424966799467</v>
      </c>
      <c r="K609">
        <v>4.0000000000000002E-4</v>
      </c>
      <c r="L609" t="s">
        <v>17</v>
      </c>
      <c r="M609">
        <v>296</v>
      </c>
      <c r="N609" t="s">
        <v>553</v>
      </c>
    </row>
    <row r="610" spans="1:14" x14ac:dyDescent="0.2">
      <c r="A610" t="s">
        <v>1099</v>
      </c>
      <c r="B610" t="s">
        <v>32</v>
      </c>
      <c r="C610">
        <v>6</v>
      </c>
      <c r="D610">
        <v>5</v>
      </c>
      <c r="E610">
        <v>2</v>
      </c>
      <c r="F610">
        <v>7</v>
      </c>
      <c r="G610">
        <v>5</v>
      </c>
      <c r="H610">
        <v>3</v>
      </c>
      <c r="I610">
        <v>0.16950000000000001</v>
      </c>
      <c r="J610">
        <f t="shared" si="9"/>
        <v>0.11799410029498525</v>
      </c>
      <c r="K610">
        <v>2.0000000000000001E-4</v>
      </c>
      <c r="L610" t="s">
        <v>17</v>
      </c>
      <c r="M610">
        <v>296</v>
      </c>
      <c r="N610" t="s">
        <v>553</v>
      </c>
    </row>
    <row r="611" spans="1:14" x14ac:dyDescent="0.2">
      <c r="A611" t="s">
        <v>1099</v>
      </c>
      <c r="B611" t="s">
        <v>32</v>
      </c>
      <c r="C611">
        <v>20</v>
      </c>
      <c r="D611">
        <v>15</v>
      </c>
      <c r="E611">
        <v>6</v>
      </c>
      <c r="F611">
        <v>20</v>
      </c>
      <c r="G611">
        <v>15</v>
      </c>
      <c r="H611">
        <v>5</v>
      </c>
      <c r="I611">
        <v>0.14699999999999999</v>
      </c>
      <c r="J611">
        <f t="shared" si="9"/>
        <v>0.2040816326530612</v>
      </c>
      <c r="K611">
        <v>2.9999999999999997E-4</v>
      </c>
      <c r="L611" t="s">
        <v>17</v>
      </c>
      <c r="M611">
        <v>296</v>
      </c>
      <c r="N611" t="s">
        <v>553</v>
      </c>
    </row>
    <row r="612" spans="1:14" x14ac:dyDescent="0.2">
      <c r="A612" t="s">
        <v>1099</v>
      </c>
      <c r="B612" t="s">
        <v>32</v>
      </c>
      <c r="C612">
        <v>24</v>
      </c>
      <c r="D612">
        <v>14</v>
      </c>
      <c r="E612">
        <v>11</v>
      </c>
      <c r="F612">
        <v>24</v>
      </c>
      <c r="G612">
        <v>14</v>
      </c>
      <c r="H612">
        <v>10</v>
      </c>
      <c r="I612">
        <v>0.15640000000000001</v>
      </c>
      <c r="J612">
        <f t="shared" si="9"/>
        <v>0.19181585677749358</v>
      </c>
      <c r="K612">
        <v>2.9999999999999997E-4</v>
      </c>
      <c r="L612" t="s">
        <v>17</v>
      </c>
      <c r="M612">
        <v>296</v>
      </c>
      <c r="N612" t="s">
        <v>553</v>
      </c>
    </row>
    <row r="613" spans="1:14" x14ac:dyDescent="0.2">
      <c r="A613" t="s">
        <v>1099</v>
      </c>
      <c r="B613" t="s">
        <v>32</v>
      </c>
      <c r="C613">
        <v>27</v>
      </c>
      <c r="D613">
        <v>13</v>
      </c>
      <c r="E613">
        <v>14</v>
      </c>
      <c r="F613">
        <v>27</v>
      </c>
      <c r="G613">
        <v>13</v>
      </c>
      <c r="H613">
        <v>15</v>
      </c>
      <c r="I613">
        <v>0.15939999999999999</v>
      </c>
      <c r="J613">
        <f t="shared" si="9"/>
        <v>0.31367628607277293</v>
      </c>
      <c r="K613">
        <v>5.0000000000000001E-4</v>
      </c>
      <c r="L613" t="s">
        <v>17</v>
      </c>
      <c r="M613">
        <v>296</v>
      </c>
      <c r="N613" t="s">
        <v>553</v>
      </c>
    </row>
    <row r="614" spans="1:14" x14ac:dyDescent="0.2">
      <c r="A614" t="s">
        <v>1099</v>
      </c>
      <c r="B614" t="s">
        <v>32</v>
      </c>
      <c r="C614">
        <v>19</v>
      </c>
      <c r="D614">
        <v>15</v>
      </c>
      <c r="E614">
        <v>4</v>
      </c>
      <c r="F614">
        <v>19</v>
      </c>
      <c r="G614">
        <v>15</v>
      </c>
      <c r="H614">
        <v>5</v>
      </c>
      <c r="I614">
        <v>0.1502</v>
      </c>
      <c r="J614">
        <f t="shared" si="9"/>
        <v>0.26631158455392812</v>
      </c>
      <c r="K614">
        <v>4.0000000000000002E-4</v>
      </c>
      <c r="L614" t="s">
        <v>17</v>
      </c>
      <c r="M614">
        <v>296</v>
      </c>
      <c r="N614" t="s">
        <v>553</v>
      </c>
    </row>
    <row r="615" spans="1:14" x14ac:dyDescent="0.2">
      <c r="A615" t="s">
        <v>1099</v>
      </c>
      <c r="B615" t="s">
        <v>32</v>
      </c>
      <c r="C615">
        <v>6</v>
      </c>
      <c r="D615">
        <v>4</v>
      </c>
      <c r="E615">
        <v>3</v>
      </c>
      <c r="F615">
        <v>7</v>
      </c>
      <c r="G615">
        <v>4</v>
      </c>
      <c r="H615">
        <v>4</v>
      </c>
      <c r="I615">
        <v>0.17330000000000001</v>
      </c>
      <c r="J615">
        <f t="shared" si="9"/>
        <v>0.2308136180034622</v>
      </c>
      <c r="K615">
        <v>4.0000000000000002E-4</v>
      </c>
      <c r="L615" t="s">
        <v>17</v>
      </c>
      <c r="M615">
        <v>296</v>
      </c>
      <c r="N615" t="s">
        <v>553</v>
      </c>
    </row>
    <row r="616" spans="1:14" x14ac:dyDescent="0.2">
      <c r="A616" t="s">
        <v>1099</v>
      </c>
      <c r="B616" t="s">
        <v>32</v>
      </c>
      <c r="C616">
        <v>23</v>
      </c>
      <c r="D616">
        <v>14</v>
      </c>
      <c r="E616">
        <v>9</v>
      </c>
      <c r="F616">
        <v>23</v>
      </c>
      <c r="G616">
        <v>14</v>
      </c>
      <c r="H616">
        <v>10</v>
      </c>
      <c r="I616">
        <v>0.15329999999999999</v>
      </c>
      <c r="J616">
        <f t="shared" si="9"/>
        <v>0.39138943248532287</v>
      </c>
      <c r="K616">
        <v>5.9999999999999995E-4</v>
      </c>
      <c r="L616" t="s">
        <v>17</v>
      </c>
      <c r="M616">
        <v>296</v>
      </c>
      <c r="N616" t="s">
        <v>553</v>
      </c>
    </row>
    <row r="617" spans="1:14" x14ac:dyDescent="0.2">
      <c r="A617" t="s">
        <v>1099</v>
      </c>
      <c r="B617" t="s">
        <v>32</v>
      </c>
      <c r="C617">
        <v>29</v>
      </c>
      <c r="D617">
        <v>12</v>
      </c>
      <c r="E617">
        <v>17</v>
      </c>
      <c r="F617">
        <v>29</v>
      </c>
      <c r="G617">
        <v>12</v>
      </c>
      <c r="H617">
        <v>18</v>
      </c>
      <c r="I617">
        <v>0.1663</v>
      </c>
      <c r="J617">
        <f t="shared" si="9"/>
        <v>0.30066145520144316</v>
      </c>
      <c r="K617">
        <v>5.0000000000000001E-4</v>
      </c>
      <c r="L617" t="s">
        <v>17</v>
      </c>
      <c r="M617">
        <v>296</v>
      </c>
      <c r="N617" t="s">
        <v>553</v>
      </c>
    </row>
    <row r="618" spans="1:14" x14ac:dyDescent="0.2">
      <c r="A618" t="s">
        <v>1099</v>
      </c>
      <c r="B618" t="s">
        <v>32</v>
      </c>
      <c r="C618">
        <v>26</v>
      </c>
      <c r="D618">
        <v>13</v>
      </c>
      <c r="E618">
        <v>14</v>
      </c>
      <c r="F618">
        <v>26</v>
      </c>
      <c r="G618">
        <v>13</v>
      </c>
      <c r="H618">
        <v>13</v>
      </c>
      <c r="I618">
        <v>0.14080000000000001</v>
      </c>
      <c r="J618">
        <f t="shared" si="9"/>
        <v>0.49715909090909088</v>
      </c>
      <c r="K618">
        <v>6.9999999999999999E-4</v>
      </c>
      <c r="L618" t="s">
        <v>17</v>
      </c>
      <c r="M618">
        <v>296</v>
      </c>
      <c r="N618" t="s">
        <v>553</v>
      </c>
    </row>
    <row r="619" spans="1:14" x14ac:dyDescent="0.2">
      <c r="A619" t="s">
        <v>1099</v>
      </c>
      <c r="B619" t="s">
        <v>32</v>
      </c>
      <c r="C619">
        <v>18</v>
      </c>
      <c r="D619">
        <v>15</v>
      </c>
      <c r="E619">
        <v>4</v>
      </c>
      <c r="F619">
        <v>18</v>
      </c>
      <c r="G619">
        <v>15</v>
      </c>
      <c r="H619">
        <v>3</v>
      </c>
      <c r="I619">
        <v>0.1537</v>
      </c>
      <c r="J619">
        <f t="shared" si="9"/>
        <v>0.45543266102797658</v>
      </c>
      <c r="K619">
        <v>6.9999999999999999E-4</v>
      </c>
      <c r="L619" t="s">
        <v>17</v>
      </c>
      <c r="M619">
        <v>296</v>
      </c>
      <c r="N619" t="s">
        <v>553</v>
      </c>
    </row>
    <row r="620" spans="1:14" x14ac:dyDescent="0.2">
      <c r="A620" t="s">
        <v>1099</v>
      </c>
      <c r="B620" t="s">
        <v>32</v>
      </c>
      <c r="C620">
        <v>6</v>
      </c>
      <c r="D620">
        <v>3</v>
      </c>
      <c r="E620">
        <v>4</v>
      </c>
      <c r="F620">
        <v>7</v>
      </c>
      <c r="G620">
        <v>3</v>
      </c>
      <c r="H620">
        <v>5</v>
      </c>
      <c r="I620">
        <v>0.17760000000000001</v>
      </c>
      <c r="J620">
        <f t="shared" si="9"/>
        <v>0.11261261261261261</v>
      </c>
      <c r="K620">
        <v>2.0000000000000001E-4</v>
      </c>
      <c r="L620" t="s">
        <v>17</v>
      </c>
      <c r="M620">
        <v>296</v>
      </c>
      <c r="N620" t="s">
        <v>553</v>
      </c>
    </row>
    <row r="621" spans="1:14" x14ac:dyDescent="0.2">
      <c r="A621" t="s">
        <v>1099</v>
      </c>
      <c r="B621" t="s">
        <v>32</v>
      </c>
      <c r="C621">
        <v>31</v>
      </c>
      <c r="D621">
        <v>11</v>
      </c>
      <c r="E621">
        <v>20</v>
      </c>
      <c r="F621">
        <v>31</v>
      </c>
      <c r="G621">
        <v>11</v>
      </c>
      <c r="H621">
        <v>21</v>
      </c>
      <c r="I621">
        <v>0.15559999999999999</v>
      </c>
      <c r="J621">
        <f t="shared" si="9"/>
        <v>0.32133676092544988</v>
      </c>
      <c r="K621">
        <v>5.0000000000000001E-4</v>
      </c>
      <c r="L621" t="s">
        <v>17</v>
      </c>
      <c r="M621">
        <v>296</v>
      </c>
      <c r="N621" t="s">
        <v>553</v>
      </c>
    </row>
    <row r="622" spans="1:14" x14ac:dyDescent="0.2">
      <c r="A622" t="s">
        <v>1099</v>
      </c>
      <c r="B622" t="s">
        <v>32</v>
      </c>
      <c r="C622">
        <v>33</v>
      </c>
      <c r="D622">
        <v>10</v>
      </c>
      <c r="E622">
        <v>23</v>
      </c>
      <c r="F622">
        <v>33</v>
      </c>
      <c r="G622">
        <v>10</v>
      </c>
      <c r="H622">
        <v>24</v>
      </c>
      <c r="I622">
        <v>0.16400000000000001</v>
      </c>
      <c r="J622">
        <f t="shared" si="9"/>
        <v>0.54878048780487798</v>
      </c>
      <c r="K622">
        <v>8.9999999999999998E-4</v>
      </c>
      <c r="L622" t="s">
        <v>17</v>
      </c>
      <c r="M622">
        <v>296</v>
      </c>
      <c r="N622" t="s">
        <v>553</v>
      </c>
    </row>
    <row r="623" spans="1:14" x14ac:dyDescent="0.2">
      <c r="A623" t="s">
        <v>1099</v>
      </c>
      <c r="B623" t="s">
        <v>32</v>
      </c>
      <c r="C623">
        <v>22</v>
      </c>
      <c r="D623">
        <v>14</v>
      </c>
      <c r="E623">
        <v>9</v>
      </c>
      <c r="F623">
        <v>22</v>
      </c>
      <c r="G623">
        <v>14</v>
      </c>
      <c r="H623">
        <v>8</v>
      </c>
      <c r="I623">
        <v>0.15049999999999999</v>
      </c>
      <c r="J623">
        <f t="shared" si="9"/>
        <v>0.33222591362126247</v>
      </c>
      <c r="K623">
        <v>5.0000000000000001E-4</v>
      </c>
      <c r="L623" t="s">
        <v>17</v>
      </c>
      <c r="M623">
        <v>296</v>
      </c>
      <c r="N623" t="s">
        <v>553</v>
      </c>
    </row>
    <row r="624" spans="1:14" x14ac:dyDescent="0.2">
      <c r="A624" t="s">
        <v>1099</v>
      </c>
      <c r="B624" t="s">
        <v>32</v>
      </c>
      <c r="C624">
        <v>17</v>
      </c>
      <c r="D624">
        <v>15</v>
      </c>
      <c r="E624">
        <v>2</v>
      </c>
      <c r="F624">
        <v>17</v>
      </c>
      <c r="G624">
        <v>15</v>
      </c>
      <c r="H624">
        <v>3</v>
      </c>
      <c r="I624">
        <v>0.1396</v>
      </c>
      <c r="J624">
        <f t="shared" si="9"/>
        <v>7.1633237822349566E-2</v>
      </c>
      <c r="K624">
        <v>1E-4</v>
      </c>
      <c r="L624" t="s">
        <v>17</v>
      </c>
      <c r="M624">
        <v>296</v>
      </c>
      <c r="N624" t="s">
        <v>553</v>
      </c>
    </row>
    <row r="625" spans="1:14" x14ac:dyDescent="0.2">
      <c r="A625" t="s">
        <v>1099</v>
      </c>
      <c r="B625" t="s">
        <v>32</v>
      </c>
      <c r="C625">
        <v>6</v>
      </c>
      <c r="D625">
        <v>2</v>
      </c>
      <c r="E625">
        <v>5</v>
      </c>
      <c r="F625">
        <v>7</v>
      </c>
      <c r="G625">
        <v>2</v>
      </c>
      <c r="H625">
        <v>6</v>
      </c>
      <c r="I625">
        <v>0.1855</v>
      </c>
      <c r="J625">
        <f t="shared" si="9"/>
        <v>0.215633423180593</v>
      </c>
      <c r="K625">
        <v>4.0000000000000002E-4</v>
      </c>
      <c r="L625" t="s">
        <v>17</v>
      </c>
      <c r="M625">
        <v>296</v>
      </c>
      <c r="N625" t="s">
        <v>553</v>
      </c>
    </row>
    <row r="626" spans="1:14" x14ac:dyDescent="0.2">
      <c r="A626" t="s">
        <v>1099</v>
      </c>
      <c r="B626" t="s">
        <v>32</v>
      </c>
      <c r="C626">
        <v>21</v>
      </c>
      <c r="D626">
        <v>14</v>
      </c>
      <c r="E626">
        <v>7</v>
      </c>
      <c r="F626">
        <v>21</v>
      </c>
      <c r="G626">
        <v>14</v>
      </c>
      <c r="H626">
        <v>8</v>
      </c>
      <c r="I626">
        <v>0.15609999999999999</v>
      </c>
      <c r="J626">
        <f t="shared" si="9"/>
        <v>0.12812299807815505</v>
      </c>
      <c r="K626">
        <v>2.0000000000000001E-4</v>
      </c>
      <c r="L626" t="s">
        <v>17</v>
      </c>
      <c r="M626">
        <v>296</v>
      </c>
      <c r="N626" t="s">
        <v>553</v>
      </c>
    </row>
    <row r="627" spans="1:14" x14ac:dyDescent="0.2">
      <c r="A627" t="s">
        <v>1099</v>
      </c>
      <c r="B627" t="s">
        <v>32</v>
      </c>
      <c r="C627">
        <v>16</v>
      </c>
      <c r="D627">
        <v>15</v>
      </c>
      <c r="E627">
        <v>2</v>
      </c>
      <c r="F627">
        <v>16</v>
      </c>
      <c r="G627">
        <v>15</v>
      </c>
      <c r="H627">
        <v>1</v>
      </c>
      <c r="I627">
        <v>0.13389999999999999</v>
      </c>
      <c r="J627">
        <f t="shared" si="9"/>
        <v>0.14936519790888725</v>
      </c>
      <c r="K627">
        <v>2.0000000000000001E-4</v>
      </c>
      <c r="L627" t="s">
        <v>17</v>
      </c>
      <c r="M627">
        <v>296</v>
      </c>
      <c r="N627" t="s">
        <v>553</v>
      </c>
    </row>
    <row r="628" spans="1:14" x14ac:dyDescent="0.2">
      <c r="A628" t="s">
        <v>1099</v>
      </c>
      <c r="B628" t="s">
        <v>32</v>
      </c>
      <c r="C628">
        <v>15</v>
      </c>
      <c r="D628">
        <v>15</v>
      </c>
      <c r="E628">
        <v>0</v>
      </c>
      <c r="F628">
        <v>15</v>
      </c>
      <c r="G628">
        <v>15</v>
      </c>
      <c r="H628">
        <v>1</v>
      </c>
      <c r="I628">
        <v>0.1187</v>
      </c>
      <c r="J628">
        <f t="shared" si="9"/>
        <v>0.67396798652064027</v>
      </c>
      <c r="K628">
        <v>8.0000000000000004E-4</v>
      </c>
      <c r="L628" t="s">
        <v>17</v>
      </c>
      <c r="M628">
        <v>296</v>
      </c>
      <c r="N628" t="s">
        <v>553</v>
      </c>
    </row>
    <row r="629" spans="1:14" x14ac:dyDescent="0.2">
      <c r="A629" t="s">
        <v>1099</v>
      </c>
      <c r="B629" t="s">
        <v>32</v>
      </c>
      <c r="C629">
        <v>27</v>
      </c>
      <c r="D629">
        <v>12</v>
      </c>
      <c r="E629">
        <v>15</v>
      </c>
      <c r="F629">
        <v>27</v>
      </c>
      <c r="G629">
        <v>12</v>
      </c>
      <c r="H629">
        <v>16</v>
      </c>
      <c r="I629">
        <v>0.15129999999999999</v>
      </c>
      <c r="J629">
        <f t="shared" si="9"/>
        <v>0.52875082617316593</v>
      </c>
      <c r="K629">
        <v>8.0000000000000004E-4</v>
      </c>
      <c r="L629" t="s">
        <v>17</v>
      </c>
      <c r="M629">
        <v>296</v>
      </c>
      <c r="N629" t="s">
        <v>553</v>
      </c>
    </row>
    <row r="630" spans="1:14" x14ac:dyDescent="0.2">
      <c r="A630" t="s">
        <v>1099</v>
      </c>
      <c r="B630" t="s">
        <v>32</v>
      </c>
      <c r="C630">
        <v>20</v>
      </c>
      <c r="D630">
        <v>14</v>
      </c>
      <c r="E630">
        <v>7</v>
      </c>
      <c r="F630">
        <v>20</v>
      </c>
      <c r="G630">
        <v>14</v>
      </c>
      <c r="H630">
        <v>6</v>
      </c>
      <c r="I630">
        <v>0.1522</v>
      </c>
      <c r="J630">
        <f t="shared" si="9"/>
        <v>0.39421813403416556</v>
      </c>
      <c r="K630">
        <v>5.9999999999999995E-4</v>
      </c>
      <c r="L630" t="s">
        <v>17</v>
      </c>
      <c r="M630">
        <v>296</v>
      </c>
      <c r="N630" t="s">
        <v>553</v>
      </c>
    </row>
    <row r="631" spans="1:14" x14ac:dyDescent="0.2">
      <c r="A631" t="s">
        <v>1099</v>
      </c>
      <c r="B631" t="s">
        <v>32</v>
      </c>
      <c r="C631">
        <v>6</v>
      </c>
      <c r="D631">
        <v>1</v>
      </c>
      <c r="E631">
        <v>6</v>
      </c>
      <c r="F631">
        <v>7</v>
      </c>
      <c r="G631">
        <v>1</v>
      </c>
      <c r="H631">
        <v>7</v>
      </c>
      <c r="I631">
        <v>0.20180000000000001</v>
      </c>
      <c r="J631">
        <f t="shared" si="9"/>
        <v>0.14866204162537164</v>
      </c>
      <c r="K631">
        <v>2.9999999999999997E-4</v>
      </c>
      <c r="L631" t="s">
        <v>17</v>
      </c>
      <c r="M631">
        <v>296</v>
      </c>
      <c r="N631" t="s">
        <v>553</v>
      </c>
    </row>
    <row r="632" spans="1:14" x14ac:dyDescent="0.2">
      <c r="A632" t="s">
        <v>1099</v>
      </c>
      <c r="B632" t="s">
        <v>32</v>
      </c>
      <c r="C632">
        <v>19</v>
      </c>
      <c r="D632">
        <v>14</v>
      </c>
      <c r="E632">
        <v>5</v>
      </c>
      <c r="F632">
        <v>19</v>
      </c>
      <c r="G632">
        <v>14</v>
      </c>
      <c r="H632">
        <v>6</v>
      </c>
      <c r="I632">
        <v>0.1492</v>
      </c>
      <c r="J632">
        <f t="shared" si="9"/>
        <v>0.33512064343163539</v>
      </c>
      <c r="K632">
        <v>5.0000000000000001E-4</v>
      </c>
      <c r="L632" t="s">
        <v>17</v>
      </c>
      <c r="M632">
        <v>296</v>
      </c>
      <c r="N632" t="s">
        <v>553</v>
      </c>
    </row>
    <row r="633" spans="1:14" x14ac:dyDescent="0.2">
      <c r="A633" t="s">
        <v>1099</v>
      </c>
      <c r="B633" t="s">
        <v>32</v>
      </c>
      <c r="C633">
        <v>26</v>
      </c>
      <c r="D633">
        <v>12</v>
      </c>
      <c r="E633">
        <v>15</v>
      </c>
      <c r="F633">
        <v>26</v>
      </c>
      <c r="G633">
        <v>12</v>
      </c>
      <c r="H633">
        <v>14</v>
      </c>
      <c r="I633">
        <v>0.15620000000000001</v>
      </c>
      <c r="J633">
        <f t="shared" si="9"/>
        <v>0.38412291933418691</v>
      </c>
      <c r="K633">
        <v>5.9999999999999995E-4</v>
      </c>
      <c r="L633" t="s">
        <v>17</v>
      </c>
      <c r="M633">
        <v>296</v>
      </c>
      <c r="N633" t="s">
        <v>553</v>
      </c>
    </row>
    <row r="634" spans="1:14" x14ac:dyDescent="0.2">
      <c r="A634" t="s">
        <v>1099</v>
      </c>
      <c r="B634" t="s">
        <v>32</v>
      </c>
      <c r="C634">
        <v>5</v>
      </c>
      <c r="D634">
        <v>5</v>
      </c>
      <c r="E634">
        <v>0</v>
      </c>
      <c r="F634">
        <v>6</v>
      </c>
      <c r="G634">
        <v>5</v>
      </c>
      <c r="H634">
        <v>1</v>
      </c>
      <c r="I634">
        <v>0.18140000000000001</v>
      </c>
      <c r="J634">
        <f t="shared" si="9"/>
        <v>0.60639470782800442</v>
      </c>
      <c r="K634">
        <v>1.1000000000000001E-3</v>
      </c>
      <c r="L634" t="s">
        <v>17</v>
      </c>
      <c r="M634">
        <v>296</v>
      </c>
      <c r="N634" t="s">
        <v>553</v>
      </c>
    </row>
    <row r="635" spans="1:14" x14ac:dyDescent="0.2">
      <c r="A635" t="s">
        <v>1099</v>
      </c>
      <c r="B635" t="s">
        <v>32</v>
      </c>
      <c r="C635">
        <v>34</v>
      </c>
      <c r="D635">
        <v>8</v>
      </c>
      <c r="E635">
        <v>27</v>
      </c>
      <c r="F635">
        <v>34</v>
      </c>
      <c r="G635">
        <v>8</v>
      </c>
      <c r="H635">
        <v>26</v>
      </c>
      <c r="I635">
        <v>0.15909999999999999</v>
      </c>
      <c r="J635">
        <f t="shared" si="9"/>
        <v>0.62853551225644255</v>
      </c>
      <c r="K635">
        <v>1E-3</v>
      </c>
      <c r="L635" t="s">
        <v>17</v>
      </c>
      <c r="M635">
        <v>296</v>
      </c>
      <c r="N635" t="s">
        <v>553</v>
      </c>
    </row>
    <row r="636" spans="1:14" x14ac:dyDescent="0.2">
      <c r="A636" t="s">
        <v>1099</v>
      </c>
      <c r="B636" t="s">
        <v>32</v>
      </c>
      <c r="C636">
        <v>18</v>
      </c>
      <c r="D636">
        <v>14</v>
      </c>
      <c r="E636">
        <v>5</v>
      </c>
      <c r="F636">
        <v>18</v>
      </c>
      <c r="G636">
        <v>14</v>
      </c>
      <c r="H636">
        <v>4</v>
      </c>
      <c r="I636">
        <v>0.1462</v>
      </c>
      <c r="J636">
        <f t="shared" si="9"/>
        <v>0.13679890560875516</v>
      </c>
      <c r="K636">
        <v>2.0000000000000001E-4</v>
      </c>
      <c r="L636" t="s">
        <v>17</v>
      </c>
      <c r="M636">
        <v>296</v>
      </c>
      <c r="N636" t="s">
        <v>553</v>
      </c>
    </row>
    <row r="637" spans="1:14" x14ac:dyDescent="0.2">
      <c r="A637" t="s">
        <v>1099</v>
      </c>
      <c r="B637" t="s">
        <v>32</v>
      </c>
      <c r="C637">
        <v>32</v>
      </c>
      <c r="D637">
        <v>9</v>
      </c>
      <c r="E637">
        <v>24</v>
      </c>
      <c r="F637">
        <v>32</v>
      </c>
      <c r="G637">
        <v>9</v>
      </c>
      <c r="H637">
        <v>23</v>
      </c>
      <c r="I637">
        <v>0.19819999999999999</v>
      </c>
      <c r="J637">
        <f t="shared" si="9"/>
        <v>0.45408678102926336</v>
      </c>
      <c r="K637">
        <v>8.9999999999999998E-4</v>
      </c>
      <c r="L637" t="s">
        <v>17</v>
      </c>
      <c r="M637">
        <v>296</v>
      </c>
      <c r="N637" t="s">
        <v>553</v>
      </c>
    </row>
    <row r="638" spans="1:14" x14ac:dyDescent="0.2">
      <c r="A638" t="s">
        <v>1099</v>
      </c>
      <c r="B638" t="s">
        <v>32</v>
      </c>
      <c r="C638">
        <v>5</v>
      </c>
      <c r="D638">
        <v>4</v>
      </c>
      <c r="E638">
        <v>1</v>
      </c>
      <c r="F638">
        <v>6</v>
      </c>
      <c r="G638">
        <v>4</v>
      </c>
      <c r="H638">
        <v>2</v>
      </c>
      <c r="I638">
        <v>0.17399999999999999</v>
      </c>
      <c r="J638">
        <f t="shared" si="9"/>
        <v>0.22988505747126442</v>
      </c>
      <c r="K638">
        <v>4.0000000000000002E-4</v>
      </c>
      <c r="L638" t="s">
        <v>17</v>
      </c>
      <c r="M638">
        <v>296</v>
      </c>
      <c r="N638" t="s">
        <v>553</v>
      </c>
    </row>
    <row r="639" spans="1:14" x14ac:dyDescent="0.2">
      <c r="A639" t="s">
        <v>1099</v>
      </c>
      <c r="B639" t="s">
        <v>32</v>
      </c>
      <c r="C639">
        <v>17</v>
      </c>
      <c r="D639">
        <v>14</v>
      </c>
      <c r="E639">
        <v>3</v>
      </c>
      <c r="F639">
        <v>17</v>
      </c>
      <c r="G639">
        <v>14</v>
      </c>
      <c r="H639">
        <v>4</v>
      </c>
      <c r="I639">
        <v>0.1467</v>
      </c>
      <c r="J639">
        <f t="shared" si="9"/>
        <v>0.20449897750511245</v>
      </c>
      <c r="K639">
        <v>2.9999999999999997E-4</v>
      </c>
      <c r="L639" t="s">
        <v>17</v>
      </c>
      <c r="M639">
        <v>296</v>
      </c>
      <c r="N639" t="s">
        <v>553</v>
      </c>
    </row>
    <row r="640" spans="1:14" x14ac:dyDescent="0.2">
      <c r="A640" t="s">
        <v>1099</v>
      </c>
      <c r="B640" t="s">
        <v>32</v>
      </c>
      <c r="C640">
        <v>21</v>
      </c>
      <c r="D640">
        <v>13</v>
      </c>
      <c r="E640">
        <v>8</v>
      </c>
      <c r="F640">
        <v>21</v>
      </c>
      <c r="G640">
        <v>13</v>
      </c>
      <c r="H640">
        <v>9</v>
      </c>
      <c r="I640">
        <v>0.1527</v>
      </c>
      <c r="J640">
        <f t="shared" si="9"/>
        <v>0.32743942370661427</v>
      </c>
      <c r="K640">
        <v>5.0000000000000001E-4</v>
      </c>
      <c r="L640" t="s">
        <v>17</v>
      </c>
      <c r="M640">
        <v>296</v>
      </c>
      <c r="N640" t="s">
        <v>553</v>
      </c>
    </row>
    <row r="641" spans="1:14" x14ac:dyDescent="0.2">
      <c r="A641" t="s">
        <v>1099</v>
      </c>
      <c r="B641" t="s">
        <v>32</v>
      </c>
      <c r="C641">
        <v>27</v>
      </c>
      <c r="D641">
        <v>11</v>
      </c>
      <c r="E641">
        <v>16</v>
      </c>
      <c r="F641">
        <v>27</v>
      </c>
      <c r="G641">
        <v>11</v>
      </c>
      <c r="H641">
        <v>17</v>
      </c>
      <c r="I641">
        <v>0.15440000000000001</v>
      </c>
      <c r="J641">
        <f t="shared" si="9"/>
        <v>0.38860103626942999</v>
      </c>
      <c r="K641">
        <v>5.9999999999999995E-4</v>
      </c>
      <c r="L641" t="s">
        <v>17</v>
      </c>
      <c r="M641">
        <v>296</v>
      </c>
      <c r="N641" t="s">
        <v>553</v>
      </c>
    </row>
    <row r="642" spans="1:14" x14ac:dyDescent="0.2">
      <c r="A642" t="s">
        <v>1099</v>
      </c>
      <c r="B642" t="s">
        <v>32</v>
      </c>
      <c r="C642">
        <v>20</v>
      </c>
      <c r="D642">
        <v>13</v>
      </c>
      <c r="E642">
        <v>8</v>
      </c>
      <c r="F642">
        <v>20</v>
      </c>
      <c r="G642">
        <v>13</v>
      </c>
      <c r="H642">
        <v>7</v>
      </c>
      <c r="I642">
        <v>0.152</v>
      </c>
      <c r="J642">
        <f t="shared" si="9"/>
        <v>0.39473684210526316</v>
      </c>
      <c r="K642">
        <v>5.9999999999999995E-4</v>
      </c>
      <c r="L642" t="s">
        <v>17</v>
      </c>
      <c r="M642">
        <v>296</v>
      </c>
      <c r="N642" t="s">
        <v>553</v>
      </c>
    </row>
    <row r="643" spans="1:14" x14ac:dyDescent="0.2">
      <c r="A643" t="s">
        <v>1099</v>
      </c>
      <c r="B643" t="s">
        <v>32</v>
      </c>
      <c r="C643">
        <v>5</v>
      </c>
      <c r="D643">
        <v>2</v>
      </c>
      <c r="E643">
        <v>3</v>
      </c>
      <c r="F643">
        <v>6</v>
      </c>
      <c r="G643">
        <v>2</v>
      </c>
      <c r="H643">
        <v>4</v>
      </c>
      <c r="I643">
        <v>0.187</v>
      </c>
      <c r="J643">
        <f t="shared" ref="J643:J706" si="10">K643/I643*100</f>
        <v>0.26737967914438504</v>
      </c>
      <c r="K643">
        <v>5.0000000000000001E-4</v>
      </c>
      <c r="L643" t="s">
        <v>17</v>
      </c>
      <c r="M643">
        <v>296</v>
      </c>
      <c r="N643" t="s">
        <v>553</v>
      </c>
    </row>
    <row r="644" spans="1:14" x14ac:dyDescent="0.2">
      <c r="A644" t="s">
        <v>1099</v>
      </c>
      <c r="B644" t="s">
        <v>32</v>
      </c>
      <c r="C644">
        <v>15</v>
      </c>
      <c r="D644">
        <v>14</v>
      </c>
      <c r="E644">
        <v>1</v>
      </c>
      <c r="F644">
        <v>15</v>
      </c>
      <c r="G644">
        <v>14</v>
      </c>
      <c r="H644">
        <v>2</v>
      </c>
      <c r="I644">
        <v>0.1368</v>
      </c>
      <c r="J644">
        <f t="shared" si="10"/>
        <v>0.29239766081871343</v>
      </c>
      <c r="K644">
        <v>4.0000000000000002E-4</v>
      </c>
      <c r="L644" t="s">
        <v>17</v>
      </c>
      <c r="M644">
        <v>296</v>
      </c>
      <c r="N644" t="s">
        <v>553</v>
      </c>
    </row>
    <row r="645" spans="1:14" x14ac:dyDescent="0.2">
      <c r="A645" t="s">
        <v>1099</v>
      </c>
      <c r="B645" t="s">
        <v>32</v>
      </c>
      <c r="C645">
        <v>26</v>
      </c>
      <c r="D645">
        <v>11</v>
      </c>
      <c r="E645">
        <v>16</v>
      </c>
      <c r="F645">
        <v>26</v>
      </c>
      <c r="G645">
        <v>11</v>
      </c>
      <c r="H645">
        <v>15</v>
      </c>
      <c r="I645">
        <v>0.1643</v>
      </c>
      <c r="J645">
        <f t="shared" si="10"/>
        <v>0.30432136335970783</v>
      </c>
      <c r="K645">
        <v>5.0000000000000001E-4</v>
      </c>
      <c r="L645" t="s">
        <v>17</v>
      </c>
      <c r="M645">
        <v>296</v>
      </c>
      <c r="N645" t="s">
        <v>553</v>
      </c>
    </row>
    <row r="646" spans="1:14" x14ac:dyDescent="0.2">
      <c r="A646" t="s">
        <v>1099</v>
      </c>
      <c r="B646" t="s">
        <v>32</v>
      </c>
      <c r="C646">
        <v>23</v>
      </c>
      <c r="D646">
        <v>12</v>
      </c>
      <c r="E646">
        <v>11</v>
      </c>
      <c r="F646">
        <v>23</v>
      </c>
      <c r="G646">
        <v>12</v>
      </c>
      <c r="H646">
        <v>12</v>
      </c>
      <c r="I646">
        <v>0.1643</v>
      </c>
      <c r="J646">
        <f t="shared" si="10"/>
        <v>0.48691418137553255</v>
      </c>
      <c r="K646">
        <v>8.0000000000000004E-4</v>
      </c>
      <c r="L646" t="s">
        <v>17</v>
      </c>
      <c r="M646">
        <v>296</v>
      </c>
      <c r="N646" t="s">
        <v>553</v>
      </c>
    </row>
    <row r="647" spans="1:14" x14ac:dyDescent="0.2">
      <c r="A647" t="s">
        <v>1099</v>
      </c>
      <c r="B647" t="s">
        <v>32</v>
      </c>
      <c r="C647">
        <v>14</v>
      </c>
      <c r="D647">
        <v>14</v>
      </c>
      <c r="E647">
        <v>1</v>
      </c>
      <c r="F647">
        <v>14</v>
      </c>
      <c r="G647">
        <v>14</v>
      </c>
      <c r="H647">
        <v>0</v>
      </c>
      <c r="I647">
        <v>0.1231</v>
      </c>
      <c r="J647">
        <f t="shared" si="10"/>
        <v>0.24370430544272945</v>
      </c>
      <c r="K647">
        <v>2.9999999999999997E-4</v>
      </c>
      <c r="L647" t="s">
        <v>17</v>
      </c>
      <c r="M647">
        <v>296</v>
      </c>
      <c r="N647" t="s">
        <v>553</v>
      </c>
    </row>
    <row r="648" spans="1:14" x14ac:dyDescent="0.2">
      <c r="A648" t="s">
        <v>1099</v>
      </c>
      <c r="B648" t="s">
        <v>32</v>
      </c>
      <c r="C648">
        <v>19</v>
      </c>
      <c r="D648">
        <v>13</v>
      </c>
      <c r="E648">
        <v>6</v>
      </c>
      <c r="F648">
        <v>19</v>
      </c>
      <c r="G648">
        <v>13</v>
      </c>
      <c r="H648">
        <v>7</v>
      </c>
      <c r="I648">
        <v>0.15340000000000001</v>
      </c>
      <c r="J648">
        <f t="shared" si="10"/>
        <v>0.32594524119947843</v>
      </c>
      <c r="K648">
        <v>5.0000000000000001E-4</v>
      </c>
      <c r="L648" t="s">
        <v>17</v>
      </c>
      <c r="M648">
        <v>296</v>
      </c>
      <c r="N648" t="s">
        <v>553</v>
      </c>
    </row>
    <row r="649" spans="1:14" x14ac:dyDescent="0.2">
      <c r="A649" t="s">
        <v>1099</v>
      </c>
      <c r="B649" t="s">
        <v>32</v>
      </c>
      <c r="C649">
        <v>28</v>
      </c>
      <c r="D649">
        <v>10</v>
      </c>
      <c r="E649">
        <v>19</v>
      </c>
      <c r="F649">
        <v>28</v>
      </c>
      <c r="G649">
        <v>10</v>
      </c>
      <c r="H649">
        <v>18</v>
      </c>
      <c r="I649">
        <v>0.1608</v>
      </c>
      <c r="J649">
        <f t="shared" si="10"/>
        <v>0.49751243781094528</v>
      </c>
      <c r="K649">
        <v>8.0000000000000004E-4</v>
      </c>
      <c r="L649" t="s">
        <v>17</v>
      </c>
      <c r="M649">
        <v>296</v>
      </c>
      <c r="N649" t="s">
        <v>553</v>
      </c>
    </row>
    <row r="650" spans="1:14" x14ac:dyDescent="0.2">
      <c r="A650" t="s">
        <v>1099</v>
      </c>
      <c r="B650" t="s">
        <v>32</v>
      </c>
      <c r="C650">
        <v>30</v>
      </c>
      <c r="D650">
        <v>9</v>
      </c>
      <c r="E650">
        <v>22</v>
      </c>
      <c r="F650">
        <v>30</v>
      </c>
      <c r="G650">
        <v>9</v>
      </c>
      <c r="H650">
        <v>21</v>
      </c>
      <c r="I650">
        <v>0.16450000000000001</v>
      </c>
      <c r="J650">
        <f t="shared" si="10"/>
        <v>0.66869300911854102</v>
      </c>
      <c r="K650">
        <v>1.1000000000000001E-3</v>
      </c>
      <c r="L650" t="s">
        <v>17</v>
      </c>
      <c r="M650">
        <v>296</v>
      </c>
      <c r="N650" t="s">
        <v>553</v>
      </c>
    </row>
    <row r="651" spans="1:14" x14ac:dyDescent="0.2">
      <c r="A651" t="s">
        <v>1099</v>
      </c>
      <c r="B651" t="s">
        <v>32</v>
      </c>
      <c r="C651">
        <v>5</v>
      </c>
      <c r="D651">
        <v>0</v>
      </c>
      <c r="E651">
        <v>5</v>
      </c>
      <c r="F651">
        <v>6</v>
      </c>
      <c r="G651">
        <v>0</v>
      </c>
      <c r="H651">
        <v>6</v>
      </c>
      <c r="I651">
        <v>0.20069999999999999</v>
      </c>
      <c r="J651">
        <f t="shared" si="10"/>
        <v>0.19930244145490786</v>
      </c>
      <c r="K651">
        <v>4.0000000000000002E-4</v>
      </c>
      <c r="L651" t="s">
        <v>17</v>
      </c>
      <c r="M651">
        <v>296</v>
      </c>
      <c r="N651" t="s">
        <v>553</v>
      </c>
    </row>
    <row r="652" spans="1:14" x14ac:dyDescent="0.2">
      <c r="A652" t="s">
        <v>1099</v>
      </c>
      <c r="B652" t="s">
        <v>32</v>
      </c>
      <c r="C652">
        <v>22</v>
      </c>
      <c r="D652">
        <v>12</v>
      </c>
      <c r="E652">
        <v>11</v>
      </c>
      <c r="F652">
        <v>22</v>
      </c>
      <c r="G652">
        <v>12</v>
      </c>
      <c r="H652">
        <v>10</v>
      </c>
      <c r="I652">
        <v>0.15060000000000001</v>
      </c>
      <c r="J652">
        <f t="shared" si="10"/>
        <v>0.19920318725099598</v>
      </c>
      <c r="K652">
        <v>2.9999999999999997E-4</v>
      </c>
      <c r="L652" t="s">
        <v>17</v>
      </c>
      <c r="M652">
        <v>296</v>
      </c>
      <c r="N652" t="s">
        <v>553</v>
      </c>
    </row>
    <row r="653" spans="1:14" x14ac:dyDescent="0.2">
      <c r="A653" t="s">
        <v>1099</v>
      </c>
      <c r="B653" t="s">
        <v>32</v>
      </c>
      <c r="C653">
        <v>18</v>
      </c>
      <c r="D653">
        <v>13</v>
      </c>
      <c r="E653">
        <v>6</v>
      </c>
      <c r="F653">
        <v>18</v>
      </c>
      <c r="G653">
        <v>13</v>
      </c>
      <c r="H653">
        <v>5</v>
      </c>
      <c r="I653">
        <v>0.1552</v>
      </c>
      <c r="J653">
        <f t="shared" si="10"/>
        <v>0.25773195876288657</v>
      </c>
      <c r="K653">
        <v>4.0000000000000002E-4</v>
      </c>
      <c r="L653" t="s">
        <v>17</v>
      </c>
      <c r="M653">
        <v>296</v>
      </c>
      <c r="N653" t="s">
        <v>553</v>
      </c>
    </row>
    <row r="654" spans="1:14" x14ac:dyDescent="0.2">
      <c r="A654" t="s">
        <v>1099</v>
      </c>
      <c r="B654" t="s">
        <v>32</v>
      </c>
      <c r="C654">
        <v>31</v>
      </c>
      <c r="D654">
        <v>8</v>
      </c>
      <c r="E654">
        <v>23</v>
      </c>
      <c r="F654">
        <v>31</v>
      </c>
      <c r="G654">
        <v>8</v>
      </c>
      <c r="H654">
        <v>24</v>
      </c>
      <c r="I654">
        <v>0.1643</v>
      </c>
      <c r="J654">
        <f t="shared" si="10"/>
        <v>0.54777845404747405</v>
      </c>
      <c r="K654">
        <v>8.9999999999999998E-4</v>
      </c>
      <c r="L654" t="s">
        <v>17</v>
      </c>
      <c r="M654">
        <v>296</v>
      </c>
      <c r="N654" t="s">
        <v>553</v>
      </c>
    </row>
    <row r="655" spans="1:14" x14ac:dyDescent="0.2">
      <c r="A655" t="s">
        <v>1099</v>
      </c>
      <c r="B655" t="s">
        <v>32</v>
      </c>
      <c r="C655">
        <v>27</v>
      </c>
      <c r="D655">
        <v>10</v>
      </c>
      <c r="E655">
        <v>17</v>
      </c>
      <c r="F655">
        <v>27</v>
      </c>
      <c r="G655">
        <v>10</v>
      </c>
      <c r="H655">
        <v>18</v>
      </c>
      <c r="I655">
        <v>0.14960000000000001</v>
      </c>
      <c r="J655">
        <f t="shared" si="10"/>
        <v>0.26737967914438499</v>
      </c>
      <c r="K655">
        <v>4.0000000000000002E-4</v>
      </c>
      <c r="L655" t="s">
        <v>17</v>
      </c>
      <c r="M655">
        <v>296</v>
      </c>
      <c r="N655" t="s">
        <v>553</v>
      </c>
    </row>
    <row r="656" spans="1:14" x14ac:dyDescent="0.2">
      <c r="A656" t="s">
        <v>1099</v>
      </c>
      <c r="B656" t="s">
        <v>32</v>
      </c>
      <c r="C656">
        <v>17</v>
      </c>
      <c r="D656">
        <v>13</v>
      </c>
      <c r="E656">
        <v>4</v>
      </c>
      <c r="F656">
        <v>17</v>
      </c>
      <c r="G656">
        <v>13</v>
      </c>
      <c r="H656">
        <v>5</v>
      </c>
      <c r="I656">
        <v>0.15240000000000001</v>
      </c>
      <c r="J656">
        <f t="shared" si="10"/>
        <v>0.26246719160104987</v>
      </c>
      <c r="K656">
        <v>4.0000000000000002E-4</v>
      </c>
      <c r="L656" t="s">
        <v>17</v>
      </c>
      <c r="M656">
        <v>296</v>
      </c>
      <c r="N656" t="s">
        <v>553</v>
      </c>
    </row>
    <row r="657" spans="1:14" x14ac:dyDescent="0.2">
      <c r="A657" t="s">
        <v>1099</v>
      </c>
      <c r="B657" t="s">
        <v>32</v>
      </c>
      <c r="C657">
        <v>21</v>
      </c>
      <c r="D657">
        <v>12</v>
      </c>
      <c r="E657">
        <v>9</v>
      </c>
      <c r="F657">
        <v>21</v>
      </c>
      <c r="G657">
        <v>12</v>
      </c>
      <c r="H657">
        <v>10</v>
      </c>
      <c r="I657">
        <v>0.1588</v>
      </c>
      <c r="J657">
        <f t="shared" si="10"/>
        <v>0.12594458438287157</v>
      </c>
      <c r="K657">
        <v>2.0000000000000001E-4</v>
      </c>
      <c r="L657" t="s">
        <v>17</v>
      </c>
      <c r="M657">
        <v>296</v>
      </c>
      <c r="N657" t="s">
        <v>553</v>
      </c>
    </row>
    <row r="658" spans="1:14" x14ac:dyDescent="0.2">
      <c r="A658" t="s">
        <v>1099</v>
      </c>
      <c r="B658" t="s">
        <v>32</v>
      </c>
      <c r="C658">
        <v>24</v>
      </c>
      <c r="D658">
        <v>11</v>
      </c>
      <c r="E658">
        <v>14</v>
      </c>
      <c r="F658">
        <v>24</v>
      </c>
      <c r="G658">
        <v>11</v>
      </c>
      <c r="H658">
        <v>13</v>
      </c>
      <c r="I658">
        <v>0.16200000000000001</v>
      </c>
      <c r="J658">
        <f t="shared" si="10"/>
        <v>0.49382716049382713</v>
      </c>
      <c r="K658">
        <v>8.0000000000000004E-4</v>
      </c>
      <c r="L658" t="s">
        <v>17</v>
      </c>
      <c r="M658">
        <v>296</v>
      </c>
      <c r="N658" t="s">
        <v>553</v>
      </c>
    </row>
    <row r="659" spans="1:14" x14ac:dyDescent="0.2">
      <c r="A659" t="s">
        <v>1099</v>
      </c>
      <c r="B659" t="s">
        <v>32</v>
      </c>
      <c r="C659">
        <v>16</v>
      </c>
      <c r="D659">
        <v>13</v>
      </c>
      <c r="E659">
        <v>4</v>
      </c>
      <c r="F659">
        <v>16</v>
      </c>
      <c r="G659">
        <v>13</v>
      </c>
      <c r="H659">
        <v>3</v>
      </c>
      <c r="I659">
        <v>0.15049999999999999</v>
      </c>
      <c r="J659">
        <f t="shared" si="10"/>
        <v>0.19933554817275745</v>
      </c>
      <c r="K659">
        <v>2.9999999999999997E-4</v>
      </c>
      <c r="L659" t="s">
        <v>17</v>
      </c>
      <c r="M659">
        <v>296</v>
      </c>
      <c r="N659" t="s">
        <v>553</v>
      </c>
    </row>
    <row r="660" spans="1:14" x14ac:dyDescent="0.2">
      <c r="A660" t="s">
        <v>1099</v>
      </c>
      <c r="B660" t="s">
        <v>32</v>
      </c>
      <c r="C660">
        <v>28</v>
      </c>
      <c r="D660">
        <v>9</v>
      </c>
      <c r="E660">
        <v>20</v>
      </c>
      <c r="F660">
        <v>28</v>
      </c>
      <c r="G660">
        <v>9</v>
      </c>
      <c r="H660">
        <v>19</v>
      </c>
      <c r="I660">
        <v>0.16139999999999999</v>
      </c>
      <c r="J660">
        <f t="shared" si="10"/>
        <v>0.24783147459727389</v>
      </c>
      <c r="K660">
        <v>4.0000000000000002E-4</v>
      </c>
      <c r="L660" t="s">
        <v>17</v>
      </c>
      <c r="M660">
        <v>296</v>
      </c>
      <c r="N660" t="s">
        <v>553</v>
      </c>
    </row>
    <row r="661" spans="1:14" x14ac:dyDescent="0.2">
      <c r="A661" t="s">
        <v>1099</v>
      </c>
      <c r="B661" t="s">
        <v>32</v>
      </c>
      <c r="C661">
        <v>23</v>
      </c>
      <c r="D661">
        <v>11</v>
      </c>
      <c r="E661">
        <v>12</v>
      </c>
      <c r="F661">
        <v>23</v>
      </c>
      <c r="G661">
        <v>11</v>
      </c>
      <c r="H661">
        <v>13</v>
      </c>
      <c r="I661">
        <v>0.16400000000000001</v>
      </c>
      <c r="J661">
        <f t="shared" si="10"/>
        <v>0.18292682926829265</v>
      </c>
      <c r="K661">
        <v>2.9999999999999997E-4</v>
      </c>
      <c r="L661" t="s">
        <v>17</v>
      </c>
      <c r="M661">
        <v>296</v>
      </c>
      <c r="N661" t="s">
        <v>553</v>
      </c>
    </row>
    <row r="662" spans="1:14" x14ac:dyDescent="0.2">
      <c r="A662" t="s">
        <v>1099</v>
      </c>
      <c r="B662" t="s">
        <v>32</v>
      </c>
      <c r="C662">
        <v>15</v>
      </c>
      <c r="D662">
        <v>13</v>
      </c>
      <c r="E662">
        <v>2</v>
      </c>
      <c r="F662">
        <v>15</v>
      </c>
      <c r="G662">
        <v>13</v>
      </c>
      <c r="H662">
        <v>3</v>
      </c>
      <c r="I662">
        <v>0.15049999999999999</v>
      </c>
      <c r="J662">
        <f t="shared" si="10"/>
        <v>0.13289036544850499</v>
      </c>
      <c r="K662">
        <v>2.0000000000000001E-4</v>
      </c>
      <c r="L662" t="s">
        <v>17</v>
      </c>
      <c r="M662">
        <v>296</v>
      </c>
      <c r="N662" t="s">
        <v>553</v>
      </c>
    </row>
    <row r="663" spans="1:14" x14ac:dyDescent="0.2">
      <c r="A663" t="s">
        <v>1099</v>
      </c>
      <c r="B663" t="s">
        <v>32</v>
      </c>
      <c r="C663">
        <v>4</v>
      </c>
      <c r="D663">
        <v>4</v>
      </c>
      <c r="E663">
        <v>1</v>
      </c>
      <c r="F663">
        <v>5</v>
      </c>
      <c r="G663">
        <v>4</v>
      </c>
      <c r="H663">
        <v>2</v>
      </c>
      <c r="I663">
        <v>0.1578</v>
      </c>
      <c r="J663">
        <f t="shared" si="10"/>
        <v>0.31685678073510776</v>
      </c>
      <c r="K663">
        <v>5.0000000000000001E-4</v>
      </c>
      <c r="L663" t="s">
        <v>17</v>
      </c>
      <c r="M663">
        <v>296</v>
      </c>
      <c r="N663" t="s">
        <v>553</v>
      </c>
    </row>
    <row r="664" spans="1:14" x14ac:dyDescent="0.2">
      <c r="A664" t="s">
        <v>1099</v>
      </c>
      <c r="B664" t="s">
        <v>32</v>
      </c>
      <c r="C664">
        <v>19</v>
      </c>
      <c r="D664">
        <v>12</v>
      </c>
      <c r="E664">
        <v>7</v>
      </c>
      <c r="F664">
        <v>19</v>
      </c>
      <c r="G664">
        <v>12</v>
      </c>
      <c r="H664">
        <v>8</v>
      </c>
      <c r="I664">
        <v>0.15870000000000001</v>
      </c>
      <c r="J664">
        <f t="shared" si="10"/>
        <v>0.25204788909892878</v>
      </c>
      <c r="K664">
        <v>4.0000000000000002E-4</v>
      </c>
      <c r="L664" t="s">
        <v>17</v>
      </c>
      <c r="M664">
        <v>296</v>
      </c>
      <c r="N664" t="s">
        <v>553</v>
      </c>
    </row>
    <row r="665" spans="1:14" x14ac:dyDescent="0.2">
      <c r="A665" t="s">
        <v>1099</v>
      </c>
      <c r="B665" t="s">
        <v>32</v>
      </c>
      <c r="C665">
        <v>14</v>
      </c>
      <c r="D665">
        <v>13</v>
      </c>
      <c r="E665">
        <v>2</v>
      </c>
      <c r="F665">
        <v>14</v>
      </c>
      <c r="G665">
        <v>13</v>
      </c>
      <c r="H665">
        <v>1</v>
      </c>
      <c r="I665">
        <v>0.14199999999999999</v>
      </c>
      <c r="J665">
        <f t="shared" si="10"/>
        <v>0.21126760563380279</v>
      </c>
      <c r="K665">
        <v>2.9999999999999997E-4</v>
      </c>
      <c r="L665" t="s">
        <v>17</v>
      </c>
      <c r="M665">
        <v>296</v>
      </c>
      <c r="N665" t="s">
        <v>553</v>
      </c>
    </row>
    <row r="666" spans="1:14" x14ac:dyDescent="0.2">
      <c r="A666" t="s">
        <v>1099</v>
      </c>
      <c r="B666" t="s">
        <v>32</v>
      </c>
      <c r="C666">
        <v>25</v>
      </c>
      <c r="D666">
        <v>10</v>
      </c>
      <c r="E666">
        <v>15</v>
      </c>
      <c r="F666">
        <v>25</v>
      </c>
      <c r="G666">
        <v>10</v>
      </c>
      <c r="H666">
        <v>16</v>
      </c>
      <c r="I666">
        <v>0.15920000000000001</v>
      </c>
      <c r="J666">
        <f t="shared" si="10"/>
        <v>0.37688442211055273</v>
      </c>
      <c r="K666">
        <v>5.9999999999999995E-4</v>
      </c>
      <c r="L666" t="s">
        <v>17</v>
      </c>
      <c r="M666">
        <v>296</v>
      </c>
      <c r="N666" t="s">
        <v>553</v>
      </c>
    </row>
    <row r="667" spans="1:14" x14ac:dyDescent="0.2">
      <c r="A667" t="s">
        <v>1099</v>
      </c>
      <c r="B667" t="s">
        <v>32</v>
      </c>
      <c r="C667">
        <v>27</v>
      </c>
      <c r="D667">
        <v>9</v>
      </c>
      <c r="E667">
        <v>18</v>
      </c>
      <c r="F667">
        <v>27</v>
      </c>
      <c r="G667">
        <v>9</v>
      </c>
      <c r="H667">
        <v>19</v>
      </c>
      <c r="I667">
        <v>0.16089999999999999</v>
      </c>
      <c r="J667">
        <f t="shared" si="10"/>
        <v>0.31075201988812928</v>
      </c>
      <c r="K667">
        <v>5.0000000000000001E-4</v>
      </c>
      <c r="L667" t="s">
        <v>17</v>
      </c>
      <c r="M667">
        <v>296</v>
      </c>
      <c r="N667" t="s">
        <v>553</v>
      </c>
    </row>
    <row r="668" spans="1:14" x14ac:dyDescent="0.2">
      <c r="A668" t="s">
        <v>1099</v>
      </c>
      <c r="B668" t="s">
        <v>32</v>
      </c>
      <c r="C668">
        <v>4</v>
      </c>
      <c r="D668">
        <v>3</v>
      </c>
      <c r="E668">
        <v>2</v>
      </c>
      <c r="F668">
        <v>5</v>
      </c>
      <c r="G668">
        <v>3</v>
      </c>
      <c r="H668">
        <v>3</v>
      </c>
      <c r="I668">
        <v>0.1744</v>
      </c>
      <c r="J668">
        <f t="shared" si="10"/>
        <v>0.22935779816513763</v>
      </c>
      <c r="K668">
        <v>4.0000000000000002E-4</v>
      </c>
      <c r="L668" t="s">
        <v>17</v>
      </c>
      <c r="M668">
        <v>296</v>
      </c>
      <c r="N668" t="s">
        <v>553</v>
      </c>
    </row>
    <row r="669" spans="1:14" x14ac:dyDescent="0.2">
      <c r="A669" t="s">
        <v>1099</v>
      </c>
      <c r="B669" t="s">
        <v>32</v>
      </c>
      <c r="C669">
        <v>30</v>
      </c>
      <c r="D669">
        <v>7</v>
      </c>
      <c r="E669">
        <v>24</v>
      </c>
      <c r="F669">
        <v>30</v>
      </c>
      <c r="G669">
        <v>7</v>
      </c>
      <c r="H669">
        <v>23</v>
      </c>
      <c r="I669">
        <v>0.1552</v>
      </c>
      <c r="J669">
        <f t="shared" si="10"/>
        <v>0.77319587628865971</v>
      </c>
      <c r="K669">
        <v>1.1999999999999999E-3</v>
      </c>
      <c r="L669" t="s">
        <v>17</v>
      </c>
      <c r="M669">
        <v>296</v>
      </c>
      <c r="N669" t="s">
        <v>553</v>
      </c>
    </row>
    <row r="670" spans="1:14" x14ac:dyDescent="0.2">
      <c r="A670" t="s">
        <v>1099</v>
      </c>
      <c r="B670" t="s">
        <v>32</v>
      </c>
      <c r="C670">
        <v>24</v>
      </c>
      <c r="D670">
        <v>10</v>
      </c>
      <c r="E670">
        <v>15</v>
      </c>
      <c r="F670">
        <v>24</v>
      </c>
      <c r="G670">
        <v>10</v>
      </c>
      <c r="H670">
        <v>14</v>
      </c>
      <c r="I670">
        <v>0.1671</v>
      </c>
      <c r="J670">
        <f t="shared" si="10"/>
        <v>0.29922202274087373</v>
      </c>
      <c r="K670">
        <v>5.0000000000000001E-4</v>
      </c>
      <c r="L670" t="s">
        <v>17</v>
      </c>
      <c r="M670">
        <v>296</v>
      </c>
      <c r="N670" t="s">
        <v>553</v>
      </c>
    </row>
    <row r="671" spans="1:14" x14ac:dyDescent="0.2">
      <c r="A671" t="s">
        <v>1099</v>
      </c>
      <c r="B671" t="s">
        <v>32</v>
      </c>
      <c r="C671">
        <v>17</v>
      </c>
      <c r="D671">
        <v>12</v>
      </c>
      <c r="E671">
        <v>5</v>
      </c>
      <c r="F671">
        <v>17</v>
      </c>
      <c r="G671">
        <v>12</v>
      </c>
      <c r="H671">
        <v>6</v>
      </c>
      <c r="I671">
        <v>0.16289999999999999</v>
      </c>
      <c r="J671">
        <f t="shared" si="10"/>
        <v>0.30693677102516886</v>
      </c>
      <c r="K671">
        <v>5.0000000000000001E-4</v>
      </c>
      <c r="L671" t="s">
        <v>17</v>
      </c>
      <c r="M671">
        <v>296</v>
      </c>
      <c r="N671" t="s">
        <v>553</v>
      </c>
    </row>
    <row r="672" spans="1:14" x14ac:dyDescent="0.2">
      <c r="A672" t="s">
        <v>1099</v>
      </c>
      <c r="B672" t="s">
        <v>32</v>
      </c>
      <c r="C672">
        <v>26</v>
      </c>
      <c r="D672">
        <v>9</v>
      </c>
      <c r="E672">
        <v>18</v>
      </c>
      <c r="F672">
        <v>26</v>
      </c>
      <c r="G672">
        <v>9</v>
      </c>
      <c r="H672">
        <v>17</v>
      </c>
      <c r="I672">
        <v>0.16289999999999999</v>
      </c>
      <c r="J672">
        <f t="shared" si="10"/>
        <v>0.5524861878453039</v>
      </c>
      <c r="K672">
        <v>8.9999999999999998E-4</v>
      </c>
      <c r="L672" t="s">
        <v>17</v>
      </c>
      <c r="M672">
        <v>296</v>
      </c>
      <c r="N672" t="s">
        <v>553</v>
      </c>
    </row>
    <row r="673" spans="1:14" x14ac:dyDescent="0.2">
      <c r="A673" t="s">
        <v>1099</v>
      </c>
      <c r="B673" t="s">
        <v>32</v>
      </c>
      <c r="C673">
        <v>23</v>
      </c>
      <c r="D673">
        <v>10</v>
      </c>
      <c r="E673">
        <v>13</v>
      </c>
      <c r="F673">
        <v>23</v>
      </c>
      <c r="G673">
        <v>10</v>
      </c>
      <c r="H673">
        <v>14</v>
      </c>
      <c r="I673">
        <v>0.15529999999999999</v>
      </c>
      <c r="J673">
        <f t="shared" si="10"/>
        <v>0.38634900193174498</v>
      </c>
      <c r="K673">
        <v>5.9999999999999995E-4</v>
      </c>
      <c r="L673" t="s">
        <v>17</v>
      </c>
      <c r="M673">
        <v>296</v>
      </c>
      <c r="N673" t="s">
        <v>553</v>
      </c>
    </row>
    <row r="674" spans="1:14" x14ac:dyDescent="0.2">
      <c r="A674" t="s">
        <v>1099</v>
      </c>
      <c r="B674" t="s">
        <v>32</v>
      </c>
      <c r="C674">
        <v>4</v>
      </c>
      <c r="D674">
        <v>1</v>
      </c>
      <c r="E674">
        <v>4</v>
      </c>
      <c r="F674">
        <v>5</v>
      </c>
      <c r="G674">
        <v>1</v>
      </c>
      <c r="H674">
        <v>5</v>
      </c>
      <c r="I674">
        <v>0.215</v>
      </c>
      <c r="J674">
        <f t="shared" si="10"/>
        <v>0.41860465116279072</v>
      </c>
      <c r="K674">
        <v>8.9999999999999998E-4</v>
      </c>
      <c r="L674" t="s">
        <v>17</v>
      </c>
      <c r="M674">
        <v>296</v>
      </c>
      <c r="N674" t="s">
        <v>553</v>
      </c>
    </row>
    <row r="675" spans="1:14" x14ac:dyDescent="0.2">
      <c r="A675" t="s">
        <v>1099</v>
      </c>
      <c r="B675" t="s">
        <v>32</v>
      </c>
      <c r="C675">
        <v>15</v>
      </c>
      <c r="D675">
        <v>12</v>
      </c>
      <c r="E675">
        <v>3</v>
      </c>
      <c r="F675">
        <v>15</v>
      </c>
      <c r="G675">
        <v>12</v>
      </c>
      <c r="H675">
        <v>4</v>
      </c>
      <c r="I675">
        <v>0.15609999999999999</v>
      </c>
      <c r="J675">
        <f t="shared" si="10"/>
        <v>0.19218449711723254</v>
      </c>
      <c r="K675">
        <v>2.9999999999999997E-4</v>
      </c>
      <c r="L675" t="s">
        <v>17</v>
      </c>
      <c r="M675">
        <v>296</v>
      </c>
      <c r="N675" t="s">
        <v>553</v>
      </c>
    </row>
    <row r="676" spans="1:14" x14ac:dyDescent="0.2">
      <c r="A676" t="s">
        <v>1099</v>
      </c>
      <c r="B676" t="s">
        <v>32</v>
      </c>
      <c r="C676">
        <v>19</v>
      </c>
      <c r="D676">
        <v>11</v>
      </c>
      <c r="E676">
        <v>8</v>
      </c>
      <c r="F676">
        <v>19</v>
      </c>
      <c r="G676">
        <v>11</v>
      </c>
      <c r="H676">
        <v>9</v>
      </c>
      <c r="I676">
        <v>0.16039999999999999</v>
      </c>
      <c r="J676">
        <f t="shared" si="10"/>
        <v>0.18703241895261846</v>
      </c>
      <c r="K676">
        <v>2.9999999999999997E-4</v>
      </c>
      <c r="L676" t="s">
        <v>17</v>
      </c>
      <c r="M676">
        <v>296</v>
      </c>
      <c r="N676" t="s">
        <v>553</v>
      </c>
    </row>
    <row r="677" spans="1:14" x14ac:dyDescent="0.2">
      <c r="A677" t="s">
        <v>1099</v>
      </c>
      <c r="B677" t="s">
        <v>32</v>
      </c>
      <c r="C677">
        <v>22</v>
      </c>
      <c r="D677">
        <v>10</v>
      </c>
      <c r="E677">
        <v>13</v>
      </c>
      <c r="F677">
        <v>22</v>
      </c>
      <c r="G677">
        <v>10</v>
      </c>
      <c r="H677">
        <v>12</v>
      </c>
      <c r="I677">
        <v>0.158</v>
      </c>
      <c r="J677">
        <f t="shared" si="10"/>
        <v>0.25316455696202533</v>
      </c>
      <c r="K677">
        <v>4.0000000000000002E-4</v>
      </c>
      <c r="L677" t="s">
        <v>17</v>
      </c>
      <c r="M677">
        <v>296</v>
      </c>
      <c r="N677" t="s">
        <v>553</v>
      </c>
    </row>
    <row r="678" spans="1:14" x14ac:dyDescent="0.2">
      <c r="A678" t="s">
        <v>1099</v>
      </c>
      <c r="B678" t="s">
        <v>32</v>
      </c>
      <c r="C678">
        <v>14</v>
      </c>
      <c r="D678">
        <v>12</v>
      </c>
      <c r="E678">
        <v>3</v>
      </c>
      <c r="F678">
        <v>14</v>
      </c>
      <c r="G678">
        <v>12</v>
      </c>
      <c r="H678">
        <v>2</v>
      </c>
      <c r="I678">
        <v>0.1547</v>
      </c>
      <c r="J678">
        <f t="shared" si="10"/>
        <v>0.12928248222365868</v>
      </c>
      <c r="K678">
        <v>2.0000000000000001E-4</v>
      </c>
      <c r="L678" t="s">
        <v>17</v>
      </c>
      <c r="M678">
        <v>296</v>
      </c>
      <c r="N678" t="s">
        <v>553</v>
      </c>
    </row>
    <row r="679" spans="1:14" x14ac:dyDescent="0.2">
      <c r="A679" t="s">
        <v>1099</v>
      </c>
      <c r="B679" t="s">
        <v>32</v>
      </c>
      <c r="C679">
        <v>28</v>
      </c>
      <c r="D679">
        <v>7</v>
      </c>
      <c r="E679">
        <v>22</v>
      </c>
      <c r="F679">
        <v>28</v>
      </c>
      <c r="G679">
        <v>7</v>
      </c>
      <c r="H679">
        <v>21</v>
      </c>
      <c r="I679">
        <v>0.17560000000000001</v>
      </c>
      <c r="J679">
        <f t="shared" si="10"/>
        <v>0.398633257403189</v>
      </c>
      <c r="K679">
        <v>6.9999999999999999E-4</v>
      </c>
      <c r="L679" t="s">
        <v>17</v>
      </c>
      <c r="M679">
        <v>296</v>
      </c>
      <c r="N679" t="s">
        <v>553</v>
      </c>
    </row>
    <row r="680" spans="1:14" x14ac:dyDescent="0.2">
      <c r="A680" t="s">
        <v>1099</v>
      </c>
      <c r="B680" t="s">
        <v>32</v>
      </c>
      <c r="C680">
        <v>24</v>
      </c>
      <c r="D680">
        <v>9</v>
      </c>
      <c r="E680">
        <v>16</v>
      </c>
      <c r="F680">
        <v>24</v>
      </c>
      <c r="G680">
        <v>9</v>
      </c>
      <c r="H680">
        <v>15</v>
      </c>
      <c r="I680">
        <v>0.1643</v>
      </c>
      <c r="J680">
        <f t="shared" si="10"/>
        <v>0.9129640900791236</v>
      </c>
      <c r="K680">
        <v>1.5E-3</v>
      </c>
      <c r="L680" t="s">
        <v>17</v>
      </c>
      <c r="M680">
        <v>296</v>
      </c>
      <c r="N680" t="s">
        <v>553</v>
      </c>
    </row>
    <row r="681" spans="1:14" x14ac:dyDescent="0.2">
      <c r="A681" t="s">
        <v>1099</v>
      </c>
      <c r="B681" t="s">
        <v>32</v>
      </c>
      <c r="C681">
        <v>18</v>
      </c>
      <c r="D681">
        <v>11</v>
      </c>
      <c r="E681">
        <v>8</v>
      </c>
      <c r="F681">
        <v>18</v>
      </c>
      <c r="G681">
        <v>11</v>
      </c>
      <c r="H681">
        <v>7</v>
      </c>
      <c r="I681">
        <v>0.1615</v>
      </c>
      <c r="J681">
        <f t="shared" si="10"/>
        <v>0.43343653250773995</v>
      </c>
      <c r="K681">
        <v>6.9999999999999999E-4</v>
      </c>
      <c r="L681" t="s">
        <v>17</v>
      </c>
      <c r="M681">
        <v>296</v>
      </c>
      <c r="N681" t="s">
        <v>553</v>
      </c>
    </row>
    <row r="682" spans="1:14" x14ac:dyDescent="0.2">
      <c r="A682" t="s">
        <v>1099</v>
      </c>
      <c r="B682" t="s">
        <v>32</v>
      </c>
      <c r="C682">
        <v>26</v>
      </c>
      <c r="D682">
        <v>8</v>
      </c>
      <c r="E682">
        <v>19</v>
      </c>
      <c r="F682">
        <v>26</v>
      </c>
      <c r="G682">
        <v>8</v>
      </c>
      <c r="H682">
        <v>18</v>
      </c>
      <c r="I682">
        <v>0.1653</v>
      </c>
      <c r="J682">
        <f t="shared" si="10"/>
        <v>0.36297640653357527</v>
      </c>
      <c r="K682">
        <v>5.9999999999999995E-4</v>
      </c>
      <c r="L682" t="s">
        <v>17</v>
      </c>
      <c r="M682">
        <v>296</v>
      </c>
      <c r="N682" t="s">
        <v>553</v>
      </c>
    </row>
    <row r="683" spans="1:14" x14ac:dyDescent="0.2">
      <c r="A683" t="s">
        <v>1099</v>
      </c>
      <c r="B683" t="s">
        <v>32</v>
      </c>
      <c r="C683">
        <v>13</v>
      </c>
      <c r="D683">
        <v>12</v>
      </c>
      <c r="E683">
        <v>1</v>
      </c>
      <c r="F683">
        <v>13</v>
      </c>
      <c r="G683">
        <v>12</v>
      </c>
      <c r="H683">
        <v>2</v>
      </c>
      <c r="I683">
        <v>0.15029999999999999</v>
      </c>
      <c r="J683">
        <f t="shared" si="10"/>
        <v>0.26613439787092485</v>
      </c>
      <c r="K683">
        <v>4.0000000000000002E-4</v>
      </c>
      <c r="L683" t="s">
        <v>17</v>
      </c>
      <c r="M683">
        <v>296</v>
      </c>
      <c r="N683" t="s">
        <v>553</v>
      </c>
    </row>
    <row r="684" spans="1:14" x14ac:dyDescent="0.2">
      <c r="A684" t="s">
        <v>1099</v>
      </c>
      <c r="B684" t="s">
        <v>32</v>
      </c>
      <c r="C684">
        <v>21</v>
      </c>
      <c r="D684">
        <v>10</v>
      </c>
      <c r="E684">
        <v>11</v>
      </c>
      <c r="F684">
        <v>21</v>
      </c>
      <c r="G684">
        <v>10</v>
      </c>
      <c r="H684">
        <v>12</v>
      </c>
      <c r="I684">
        <v>0.1646</v>
      </c>
      <c r="J684">
        <f t="shared" si="10"/>
        <v>0.60753341433778862</v>
      </c>
      <c r="K684">
        <v>1E-3</v>
      </c>
      <c r="L684" t="s">
        <v>17</v>
      </c>
      <c r="M684">
        <v>296</v>
      </c>
      <c r="N684" t="s">
        <v>553</v>
      </c>
    </row>
    <row r="685" spans="1:14" x14ac:dyDescent="0.2">
      <c r="A685" t="s">
        <v>1099</v>
      </c>
      <c r="B685" t="s">
        <v>32</v>
      </c>
      <c r="C685">
        <v>17</v>
      </c>
      <c r="D685">
        <v>11</v>
      </c>
      <c r="E685">
        <v>6</v>
      </c>
      <c r="F685">
        <v>17</v>
      </c>
      <c r="G685">
        <v>11</v>
      </c>
      <c r="H685">
        <v>7</v>
      </c>
      <c r="I685">
        <v>0.159</v>
      </c>
      <c r="J685">
        <f t="shared" si="10"/>
        <v>0.31446540880503149</v>
      </c>
      <c r="K685">
        <v>5.0000000000000001E-4</v>
      </c>
      <c r="L685" t="s">
        <v>17</v>
      </c>
      <c r="M685">
        <v>296</v>
      </c>
      <c r="N685" t="s">
        <v>553</v>
      </c>
    </row>
    <row r="686" spans="1:14" x14ac:dyDescent="0.2">
      <c r="A686" t="s">
        <v>1099</v>
      </c>
      <c r="B686" t="s">
        <v>32</v>
      </c>
      <c r="C686">
        <v>12</v>
      </c>
      <c r="D686">
        <v>12</v>
      </c>
      <c r="E686">
        <v>1</v>
      </c>
      <c r="F686">
        <v>12</v>
      </c>
      <c r="G686">
        <v>12</v>
      </c>
      <c r="H686">
        <v>0</v>
      </c>
      <c r="I686">
        <v>0.1346</v>
      </c>
      <c r="J686">
        <f t="shared" si="10"/>
        <v>0.14858841010401191</v>
      </c>
      <c r="K686">
        <v>2.0000000000000001E-4</v>
      </c>
      <c r="L686" t="s">
        <v>17</v>
      </c>
      <c r="M686">
        <v>296</v>
      </c>
      <c r="N686" t="s">
        <v>553</v>
      </c>
    </row>
    <row r="687" spans="1:14" x14ac:dyDescent="0.2">
      <c r="A687" t="s">
        <v>1099</v>
      </c>
      <c r="B687" t="s">
        <v>32</v>
      </c>
      <c r="C687">
        <v>23</v>
      </c>
      <c r="D687">
        <v>9</v>
      </c>
      <c r="E687">
        <v>14</v>
      </c>
      <c r="F687">
        <v>23</v>
      </c>
      <c r="G687">
        <v>9</v>
      </c>
      <c r="H687">
        <v>15</v>
      </c>
      <c r="I687">
        <v>0.17710000000000001</v>
      </c>
      <c r="J687">
        <f t="shared" si="10"/>
        <v>0.33879164313946919</v>
      </c>
      <c r="K687">
        <v>5.9999999999999995E-4</v>
      </c>
      <c r="L687" t="s">
        <v>17</v>
      </c>
      <c r="M687">
        <v>296</v>
      </c>
      <c r="N687" t="s">
        <v>553</v>
      </c>
    </row>
    <row r="688" spans="1:14" x14ac:dyDescent="0.2">
      <c r="A688" t="s">
        <v>1099</v>
      </c>
      <c r="B688" t="s">
        <v>32</v>
      </c>
      <c r="C688">
        <v>16</v>
      </c>
      <c r="D688">
        <v>11</v>
      </c>
      <c r="E688">
        <v>6</v>
      </c>
      <c r="F688">
        <v>16</v>
      </c>
      <c r="G688">
        <v>11</v>
      </c>
      <c r="H688">
        <v>5</v>
      </c>
      <c r="I688">
        <v>0.16250000000000001</v>
      </c>
      <c r="J688">
        <f t="shared" si="10"/>
        <v>0.12307692307692308</v>
      </c>
      <c r="K688">
        <v>2.0000000000000001E-4</v>
      </c>
      <c r="L688" t="s">
        <v>17</v>
      </c>
      <c r="M688">
        <v>296</v>
      </c>
      <c r="N688" t="s">
        <v>553</v>
      </c>
    </row>
    <row r="689" spans="1:14" x14ac:dyDescent="0.2">
      <c r="A689" t="s">
        <v>1099</v>
      </c>
      <c r="B689" t="s">
        <v>32</v>
      </c>
      <c r="C689">
        <v>19</v>
      </c>
      <c r="D689">
        <v>10</v>
      </c>
      <c r="E689">
        <v>9</v>
      </c>
      <c r="F689">
        <v>19</v>
      </c>
      <c r="G689">
        <v>10</v>
      </c>
      <c r="H689">
        <v>10</v>
      </c>
      <c r="I689">
        <v>0.16239999999999999</v>
      </c>
      <c r="J689">
        <f t="shared" si="10"/>
        <v>0.30788177339901479</v>
      </c>
      <c r="K689">
        <v>5.0000000000000001E-4</v>
      </c>
      <c r="L689" t="s">
        <v>17</v>
      </c>
      <c r="M689">
        <v>296</v>
      </c>
      <c r="N689" t="s">
        <v>553</v>
      </c>
    </row>
    <row r="690" spans="1:14" x14ac:dyDescent="0.2">
      <c r="A690" t="s">
        <v>1099</v>
      </c>
      <c r="B690" t="s">
        <v>32</v>
      </c>
      <c r="C690">
        <v>15</v>
      </c>
      <c r="D690">
        <v>11</v>
      </c>
      <c r="E690">
        <v>4</v>
      </c>
      <c r="F690">
        <v>15</v>
      </c>
      <c r="G690">
        <v>11</v>
      </c>
      <c r="H690">
        <v>5</v>
      </c>
      <c r="I690">
        <v>0.16300000000000001</v>
      </c>
      <c r="J690">
        <f t="shared" si="10"/>
        <v>0.245398773006135</v>
      </c>
      <c r="K690">
        <v>4.0000000000000002E-4</v>
      </c>
      <c r="L690" t="s">
        <v>17</v>
      </c>
      <c r="M690">
        <v>296</v>
      </c>
      <c r="N690" t="s">
        <v>553</v>
      </c>
    </row>
    <row r="691" spans="1:14" x14ac:dyDescent="0.2">
      <c r="A691" t="s">
        <v>1099</v>
      </c>
      <c r="B691" t="s">
        <v>32</v>
      </c>
      <c r="C691">
        <v>3</v>
      </c>
      <c r="D691">
        <v>1</v>
      </c>
      <c r="E691">
        <v>2</v>
      </c>
      <c r="F691">
        <v>4</v>
      </c>
      <c r="G691">
        <v>1</v>
      </c>
      <c r="H691">
        <v>3</v>
      </c>
      <c r="I691">
        <v>0.20830000000000001</v>
      </c>
      <c r="J691">
        <f t="shared" si="10"/>
        <v>0.19203072491598655</v>
      </c>
      <c r="K691">
        <v>4.0000000000000002E-4</v>
      </c>
      <c r="L691" t="s">
        <v>17</v>
      </c>
      <c r="M691">
        <v>296</v>
      </c>
      <c r="N691" t="s">
        <v>553</v>
      </c>
    </row>
    <row r="692" spans="1:14" x14ac:dyDescent="0.2">
      <c r="A692" t="s">
        <v>1099</v>
      </c>
      <c r="B692" t="s">
        <v>32</v>
      </c>
      <c r="C692">
        <v>3</v>
      </c>
      <c r="D692">
        <v>2</v>
      </c>
      <c r="E692">
        <v>1</v>
      </c>
      <c r="F692">
        <v>4</v>
      </c>
      <c r="G692">
        <v>2</v>
      </c>
      <c r="H692">
        <v>2</v>
      </c>
      <c r="I692">
        <v>0.19450000000000001</v>
      </c>
      <c r="J692">
        <f t="shared" si="10"/>
        <v>0.25706940874035988</v>
      </c>
      <c r="K692">
        <v>5.0000000000000001E-4</v>
      </c>
      <c r="L692" t="s">
        <v>17</v>
      </c>
      <c r="M692">
        <v>296</v>
      </c>
      <c r="N692" t="s">
        <v>553</v>
      </c>
    </row>
    <row r="693" spans="1:14" x14ac:dyDescent="0.2">
      <c r="A693" t="s">
        <v>1099</v>
      </c>
      <c r="B693" t="s">
        <v>32</v>
      </c>
      <c r="C693">
        <v>14</v>
      </c>
      <c r="D693">
        <v>11</v>
      </c>
      <c r="E693">
        <v>4</v>
      </c>
      <c r="F693">
        <v>14</v>
      </c>
      <c r="G693">
        <v>11</v>
      </c>
      <c r="H693">
        <v>3</v>
      </c>
      <c r="I693">
        <v>0.1651</v>
      </c>
      <c r="J693">
        <f t="shared" si="10"/>
        <v>0.24227740763173838</v>
      </c>
      <c r="K693">
        <v>4.0000000000000002E-4</v>
      </c>
      <c r="L693" t="s">
        <v>17</v>
      </c>
      <c r="M693">
        <v>296</v>
      </c>
      <c r="N693" t="s">
        <v>553</v>
      </c>
    </row>
    <row r="694" spans="1:14" x14ac:dyDescent="0.2">
      <c r="A694" t="s">
        <v>1099</v>
      </c>
      <c r="B694" t="s">
        <v>32</v>
      </c>
      <c r="C694">
        <v>23</v>
      </c>
      <c r="D694">
        <v>8</v>
      </c>
      <c r="E694">
        <v>15</v>
      </c>
      <c r="F694">
        <v>23</v>
      </c>
      <c r="G694">
        <v>8</v>
      </c>
      <c r="H694">
        <v>16</v>
      </c>
      <c r="I694">
        <v>0.14979999999999999</v>
      </c>
      <c r="J694">
        <f t="shared" si="10"/>
        <v>1.2683578104138853</v>
      </c>
      <c r="K694">
        <v>1.9E-3</v>
      </c>
      <c r="L694" t="s">
        <v>17</v>
      </c>
      <c r="M694">
        <v>296</v>
      </c>
      <c r="N694" t="s">
        <v>553</v>
      </c>
    </row>
    <row r="695" spans="1:14" x14ac:dyDescent="0.2">
      <c r="A695" t="s">
        <v>1099</v>
      </c>
      <c r="B695" t="s">
        <v>32</v>
      </c>
      <c r="C695">
        <v>3</v>
      </c>
      <c r="D695">
        <v>0</v>
      </c>
      <c r="E695">
        <v>3</v>
      </c>
      <c r="F695">
        <v>4</v>
      </c>
      <c r="G695">
        <v>0</v>
      </c>
      <c r="H695">
        <v>4</v>
      </c>
      <c r="I695">
        <v>0.2102</v>
      </c>
      <c r="J695">
        <f t="shared" si="10"/>
        <v>0.57088487155090384</v>
      </c>
      <c r="K695">
        <v>1.1999999999999999E-3</v>
      </c>
      <c r="L695" t="s">
        <v>17</v>
      </c>
      <c r="M695">
        <v>296</v>
      </c>
      <c r="N695" t="s">
        <v>553</v>
      </c>
    </row>
    <row r="696" spans="1:14" x14ac:dyDescent="0.2">
      <c r="A696" t="s">
        <v>1099</v>
      </c>
      <c r="B696" t="s">
        <v>32</v>
      </c>
      <c r="C696">
        <v>13</v>
      </c>
      <c r="D696">
        <v>11</v>
      </c>
      <c r="E696">
        <v>2</v>
      </c>
      <c r="F696">
        <v>13</v>
      </c>
      <c r="G696">
        <v>11</v>
      </c>
      <c r="H696">
        <v>3</v>
      </c>
      <c r="I696">
        <v>0.1608</v>
      </c>
      <c r="J696">
        <f t="shared" si="10"/>
        <v>0.18656716417910446</v>
      </c>
      <c r="K696">
        <v>2.9999999999999997E-4</v>
      </c>
      <c r="L696" t="s">
        <v>17</v>
      </c>
      <c r="M696">
        <v>296</v>
      </c>
      <c r="N696" t="s">
        <v>553</v>
      </c>
    </row>
    <row r="697" spans="1:14" x14ac:dyDescent="0.2">
      <c r="A697" t="s">
        <v>1099</v>
      </c>
      <c r="B697" t="s">
        <v>32</v>
      </c>
      <c r="C697">
        <v>17</v>
      </c>
      <c r="D697">
        <v>10</v>
      </c>
      <c r="E697">
        <v>7</v>
      </c>
      <c r="F697">
        <v>17</v>
      </c>
      <c r="G697">
        <v>10</v>
      </c>
      <c r="H697">
        <v>8</v>
      </c>
      <c r="I697">
        <v>0.1694</v>
      </c>
      <c r="J697">
        <f t="shared" si="10"/>
        <v>0.17709563164108616</v>
      </c>
      <c r="K697">
        <v>2.9999999999999997E-4</v>
      </c>
      <c r="L697" t="s">
        <v>17</v>
      </c>
      <c r="M697">
        <v>296</v>
      </c>
      <c r="N697" t="s">
        <v>553</v>
      </c>
    </row>
    <row r="698" spans="1:14" x14ac:dyDescent="0.2">
      <c r="A698" t="s">
        <v>1099</v>
      </c>
      <c r="B698" t="s">
        <v>32</v>
      </c>
      <c r="C698">
        <v>20</v>
      </c>
      <c r="D698">
        <v>9</v>
      </c>
      <c r="E698">
        <v>12</v>
      </c>
      <c r="F698">
        <v>20</v>
      </c>
      <c r="G698">
        <v>9</v>
      </c>
      <c r="H698">
        <v>11</v>
      </c>
      <c r="I698">
        <v>0.16789999999999999</v>
      </c>
      <c r="J698">
        <f t="shared" si="10"/>
        <v>0.23823704586063135</v>
      </c>
      <c r="K698">
        <v>4.0000000000000002E-4</v>
      </c>
      <c r="L698" t="s">
        <v>17</v>
      </c>
      <c r="M698">
        <v>296</v>
      </c>
      <c r="N698" t="s">
        <v>553</v>
      </c>
    </row>
    <row r="699" spans="1:14" x14ac:dyDescent="0.2">
      <c r="A699" t="s">
        <v>1099</v>
      </c>
      <c r="B699" t="s">
        <v>32</v>
      </c>
      <c r="C699">
        <v>12</v>
      </c>
      <c r="D699">
        <v>11</v>
      </c>
      <c r="E699">
        <v>2</v>
      </c>
      <c r="F699">
        <v>12</v>
      </c>
      <c r="G699">
        <v>11</v>
      </c>
      <c r="H699">
        <v>1</v>
      </c>
      <c r="I699">
        <v>0.15260000000000001</v>
      </c>
      <c r="J699">
        <f t="shared" si="10"/>
        <v>0.13106159895150721</v>
      </c>
      <c r="K699">
        <v>2.0000000000000001E-4</v>
      </c>
      <c r="L699" t="s">
        <v>17</v>
      </c>
      <c r="M699">
        <v>296</v>
      </c>
      <c r="N699" t="s">
        <v>553</v>
      </c>
    </row>
    <row r="700" spans="1:14" x14ac:dyDescent="0.2">
      <c r="A700" t="s">
        <v>1099</v>
      </c>
      <c r="B700" t="s">
        <v>32</v>
      </c>
      <c r="C700">
        <v>22</v>
      </c>
      <c r="D700">
        <v>8</v>
      </c>
      <c r="E700">
        <v>15</v>
      </c>
      <c r="F700">
        <v>22</v>
      </c>
      <c r="G700">
        <v>8</v>
      </c>
      <c r="H700">
        <v>14</v>
      </c>
      <c r="I700">
        <v>0.1588</v>
      </c>
      <c r="J700">
        <f t="shared" si="10"/>
        <v>0.62972292191435775</v>
      </c>
      <c r="K700">
        <v>1E-3</v>
      </c>
      <c r="L700" t="s">
        <v>17</v>
      </c>
      <c r="M700">
        <v>296</v>
      </c>
      <c r="N700" t="s">
        <v>553</v>
      </c>
    </row>
    <row r="701" spans="1:14" x14ac:dyDescent="0.2">
      <c r="A701" t="s">
        <v>1099</v>
      </c>
      <c r="B701" t="s">
        <v>32</v>
      </c>
      <c r="C701">
        <v>16</v>
      </c>
      <c r="D701">
        <v>10</v>
      </c>
      <c r="E701">
        <v>7</v>
      </c>
      <c r="F701">
        <v>16</v>
      </c>
      <c r="G701">
        <v>10</v>
      </c>
      <c r="H701">
        <v>6</v>
      </c>
      <c r="I701">
        <v>0.16589999999999999</v>
      </c>
      <c r="J701">
        <f t="shared" si="10"/>
        <v>0.36166365280289331</v>
      </c>
      <c r="K701">
        <v>5.9999999999999995E-4</v>
      </c>
      <c r="L701" t="s">
        <v>17</v>
      </c>
      <c r="M701">
        <v>296</v>
      </c>
      <c r="N701" t="s">
        <v>553</v>
      </c>
    </row>
    <row r="702" spans="1:14" x14ac:dyDescent="0.2">
      <c r="A702" t="s">
        <v>1099</v>
      </c>
      <c r="B702" t="s">
        <v>32</v>
      </c>
      <c r="C702">
        <v>11</v>
      </c>
      <c r="D702">
        <v>11</v>
      </c>
      <c r="E702">
        <v>0</v>
      </c>
      <c r="F702">
        <v>11</v>
      </c>
      <c r="G702">
        <v>11</v>
      </c>
      <c r="H702">
        <v>1</v>
      </c>
      <c r="I702">
        <v>0.13750000000000001</v>
      </c>
      <c r="J702">
        <f t="shared" si="10"/>
        <v>0.14545454545454545</v>
      </c>
      <c r="K702">
        <v>2.0000000000000001E-4</v>
      </c>
      <c r="L702" t="s">
        <v>17</v>
      </c>
      <c r="M702">
        <v>296</v>
      </c>
      <c r="N702" t="s">
        <v>553</v>
      </c>
    </row>
    <row r="703" spans="1:14" x14ac:dyDescent="0.2">
      <c r="A703" t="s">
        <v>1099</v>
      </c>
      <c r="B703" t="s">
        <v>32</v>
      </c>
      <c r="C703">
        <v>19</v>
      </c>
      <c r="D703">
        <v>9</v>
      </c>
      <c r="E703">
        <v>10</v>
      </c>
      <c r="F703">
        <v>19</v>
      </c>
      <c r="G703">
        <v>9</v>
      </c>
      <c r="H703">
        <v>11</v>
      </c>
      <c r="I703">
        <v>0.1651</v>
      </c>
      <c r="J703">
        <f t="shared" si="10"/>
        <v>0.30284675953967294</v>
      </c>
      <c r="K703">
        <v>5.0000000000000001E-4</v>
      </c>
      <c r="L703" t="s">
        <v>17</v>
      </c>
      <c r="M703">
        <v>296</v>
      </c>
      <c r="N703" t="s">
        <v>553</v>
      </c>
    </row>
    <row r="704" spans="1:14" x14ac:dyDescent="0.2">
      <c r="A704" t="s">
        <v>1099</v>
      </c>
      <c r="B704" t="s">
        <v>32</v>
      </c>
      <c r="C704">
        <v>26</v>
      </c>
      <c r="D704">
        <v>5</v>
      </c>
      <c r="E704">
        <v>22</v>
      </c>
      <c r="F704">
        <v>26</v>
      </c>
      <c r="G704">
        <v>5</v>
      </c>
      <c r="H704">
        <v>21</v>
      </c>
      <c r="I704">
        <v>0.20330000000000001</v>
      </c>
      <c r="J704">
        <f t="shared" si="10"/>
        <v>0.59026069847515972</v>
      </c>
      <c r="K704">
        <v>1.1999999999999999E-3</v>
      </c>
      <c r="L704" t="s">
        <v>17</v>
      </c>
      <c r="M704">
        <v>296</v>
      </c>
      <c r="N704" t="s">
        <v>553</v>
      </c>
    </row>
    <row r="705" spans="1:14" x14ac:dyDescent="0.2">
      <c r="A705" t="s">
        <v>1099</v>
      </c>
      <c r="B705" t="s">
        <v>32</v>
      </c>
      <c r="C705">
        <v>15</v>
      </c>
      <c r="D705">
        <v>10</v>
      </c>
      <c r="E705">
        <v>5</v>
      </c>
      <c r="F705">
        <v>15</v>
      </c>
      <c r="G705">
        <v>10</v>
      </c>
      <c r="H705">
        <v>6</v>
      </c>
      <c r="I705">
        <v>0.188</v>
      </c>
      <c r="J705">
        <f t="shared" si="10"/>
        <v>0.31914893617021273</v>
      </c>
      <c r="K705">
        <v>5.9999999999999995E-4</v>
      </c>
      <c r="L705" t="s">
        <v>17</v>
      </c>
      <c r="M705">
        <v>296</v>
      </c>
      <c r="N705" t="s">
        <v>553</v>
      </c>
    </row>
    <row r="706" spans="1:14" x14ac:dyDescent="0.2">
      <c r="A706" t="s">
        <v>1099</v>
      </c>
      <c r="B706" t="s">
        <v>32</v>
      </c>
      <c r="C706">
        <v>27</v>
      </c>
      <c r="D706">
        <v>5</v>
      </c>
      <c r="E706">
        <v>22</v>
      </c>
      <c r="F706">
        <v>27</v>
      </c>
      <c r="G706">
        <v>5</v>
      </c>
      <c r="H706">
        <v>23</v>
      </c>
      <c r="I706">
        <v>0.18940000000000001</v>
      </c>
      <c r="J706">
        <f t="shared" si="10"/>
        <v>0.89757127771911294</v>
      </c>
      <c r="K706">
        <v>1.6999999999999999E-3</v>
      </c>
      <c r="L706" t="s">
        <v>17</v>
      </c>
      <c r="M706">
        <v>296</v>
      </c>
      <c r="N706" t="s">
        <v>553</v>
      </c>
    </row>
    <row r="707" spans="1:14" x14ac:dyDescent="0.2">
      <c r="A707" t="s">
        <v>1099</v>
      </c>
      <c r="B707" t="s">
        <v>32</v>
      </c>
      <c r="C707">
        <v>21</v>
      </c>
      <c r="D707">
        <v>8</v>
      </c>
      <c r="E707">
        <v>13</v>
      </c>
      <c r="F707">
        <v>21</v>
      </c>
      <c r="G707">
        <v>8</v>
      </c>
      <c r="H707">
        <v>14</v>
      </c>
      <c r="I707">
        <v>0.17419999999999999</v>
      </c>
      <c r="J707">
        <f t="shared" ref="J707:J770" si="11">K707/I707*100</f>
        <v>0.45924225028702642</v>
      </c>
      <c r="K707">
        <v>8.0000000000000004E-4</v>
      </c>
      <c r="L707" t="s">
        <v>17</v>
      </c>
      <c r="M707">
        <v>296</v>
      </c>
      <c r="N707" t="s">
        <v>553</v>
      </c>
    </row>
    <row r="708" spans="1:14" x14ac:dyDescent="0.2">
      <c r="A708" t="s">
        <v>1099</v>
      </c>
      <c r="B708" t="s">
        <v>32</v>
      </c>
      <c r="C708">
        <v>23</v>
      </c>
      <c r="D708">
        <v>7</v>
      </c>
      <c r="E708">
        <v>16</v>
      </c>
      <c r="F708">
        <v>23</v>
      </c>
      <c r="G708">
        <v>7</v>
      </c>
      <c r="H708">
        <v>17</v>
      </c>
      <c r="I708">
        <v>0.17169999999999999</v>
      </c>
      <c r="J708">
        <f t="shared" si="11"/>
        <v>0.69889341875363997</v>
      </c>
      <c r="K708">
        <v>1.1999999999999999E-3</v>
      </c>
      <c r="L708" t="s">
        <v>17</v>
      </c>
      <c r="M708">
        <v>296</v>
      </c>
      <c r="N708" t="s">
        <v>553</v>
      </c>
    </row>
    <row r="709" spans="1:14" x14ac:dyDescent="0.2">
      <c r="A709" t="s">
        <v>1099</v>
      </c>
      <c r="B709" t="s">
        <v>32</v>
      </c>
      <c r="C709">
        <v>18</v>
      </c>
      <c r="D709">
        <v>9</v>
      </c>
      <c r="E709">
        <v>10</v>
      </c>
      <c r="F709">
        <v>18</v>
      </c>
      <c r="G709">
        <v>9</v>
      </c>
      <c r="H709">
        <v>9</v>
      </c>
      <c r="I709">
        <v>0.1716</v>
      </c>
      <c r="J709">
        <f t="shared" si="11"/>
        <v>0.29137529137529139</v>
      </c>
      <c r="K709">
        <v>5.0000000000000001E-4</v>
      </c>
      <c r="L709" t="s">
        <v>17</v>
      </c>
      <c r="M709">
        <v>296</v>
      </c>
      <c r="N709" t="s">
        <v>553</v>
      </c>
    </row>
    <row r="710" spans="1:14" x14ac:dyDescent="0.2">
      <c r="A710" t="s">
        <v>1099</v>
      </c>
      <c r="B710" t="s">
        <v>32</v>
      </c>
      <c r="C710">
        <v>14</v>
      </c>
      <c r="D710">
        <v>10</v>
      </c>
      <c r="E710">
        <v>5</v>
      </c>
      <c r="F710">
        <v>14</v>
      </c>
      <c r="G710">
        <v>10</v>
      </c>
      <c r="H710">
        <v>4</v>
      </c>
      <c r="I710">
        <v>0.16500000000000001</v>
      </c>
      <c r="J710">
        <f t="shared" si="11"/>
        <v>0.1818181818181818</v>
      </c>
      <c r="K710">
        <v>2.9999999999999997E-4</v>
      </c>
      <c r="L710" t="s">
        <v>17</v>
      </c>
      <c r="M710">
        <v>296</v>
      </c>
      <c r="N710" t="s">
        <v>553</v>
      </c>
    </row>
    <row r="711" spans="1:14" x14ac:dyDescent="0.2">
      <c r="A711" t="s">
        <v>1099</v>
      </c>
      <c r="B711" t="s">
        <v>32</v>
      </c>
      <c r="C711">
        <v>20</v>
      </c>
      <c r="D711">
        <v>8</v>
      </c>
      <c r="E711">
        <v>13</v>
      </c>
      <c r="F711">
        <v>20</v>
      </c>
      <c r="G711">
        <v>8</v>
      </c>
      <c r="H711">
        <v>12</v>
      </c>
      <c r="I711">
        <v>0.1663</v>
      </c>
      <c r="J711">
        <f t="shared" si="11"/>
        <v>0.30066145520144316</v>
      </c>
      <c r="K711">
        <v>5.0000000000000001E-4</v>
      </c>
      <c r="L711" t="s">
        <v>17</v>
      </c>
      <c r="M711">
        <v>296</v>
      </c>
      <c r="N711" t="s">
        <v>553</v>
      </c>
    </row>
    <row r="712" spans="1:14" x14ac:dyDescent="0.2">
      <c r="A712" t="s">
        <v>1099</v>
      </c>
      <c r="B712" t="s">
        <v>32</v>
      </c>
      <c r="C712">
        <v>17</v>
      </c>
      <c r="D712">
        <v>9</v>
      </c>
      <c r="E712">
        <v>8</v>
      </c>
      <c r="F712">
        <v>17</v>
      </c>
      <c r="G712">
        <v>9</v>
      </c>
      <c r="H712">
        <v>9</v>
      </c>
      <c r="I712">
        <v>0.16639999999999999</v>
      </c>
      <c r="J712">
        <f t="shared" si="11"/>
        <v>0.30048076923076927</v>
      </c>
      <c r="K712">
        <v>5.0000000000000001E-4</v>
      </c>
      <c r="L712" t="s">
        <v>17</v>
      </c>
      <c r="M712">
        <v>296</v>
      </c>
      <c r="N712" t="s">
        <v>553</v>
      </c>
    </row>
    <row r="713" spans="1:14" x14ac:dyDescent="0.2">
      <c r="A713" t="s">
        <v>1099</v>
      </c>
      <c r="B713" t="s">
        <v>32</v>
      </c>
      <c r="C713">
        <v>13</v>
      </c>
      <c r="D713">
        <v>10</v>
      </c>
      <c r="E713">
        <v>3</v>
      </c>
      <c r="F713">
        <v>13</v>
      </c>
      <c r="G713">
        <v>10</v>
      </c>
      <c r="H713">
        <v>4</v>
      </c>
      <c r="I713">
        <v>0.16389999999999999</v>
      </c>
      <c r="J713">
        <f t="shared" si="11"/>
        <v>0.30506406345332521</v>
      </c>
      <c r="K713">
        <v>5.0000000000000001E-4</v>
      </c>
      <c r="L713" t="s">
        <v>17</v>
      </c>
      <c r="M713">
        <v>296</v>
      </c>
      <c r="N713" t="s">
        <v>553</v>
      </c>
    </row>
    <row r="714" spans="1:14" x14ac:dyDescent="0.2">
      <c r="A714" t="s">
        <v>1099</v>
      </c>
      <c r="B714" t="s">
        <v>32</v>
      </c>
      <c r="C714">
        <v>22</v>
      </c>
      <c r="D714">
        <v>7</v>
      </c>
      <c r="E714">
        <v>16</v>
      </c>
      <c r="F714">
        <v>22</v>
      </c>
      <c r="G714">
        <v>7</v>
      </c>
      <c r="H714">
        <v>15</v>
      </c>
      <c r="I714">
        <v>0.1686</v>
      </c>
      <c r="J714">
        <f t="shared" si="11"/>
        <v>0.23724792408066431</v>
      </c>
      <c r="K714">
        <v>4.0000000000000002E-4</v>
      </c>
      <c r="L714" t="s">
        <v>17</v>
      </c>
      <c r="M714">
        <v>296</v>
      </c>
      <c r="N714" t="s">
        <v>553</v>
      </c>
    </row>
    <row r="715" spans="1:14" x14ac:dyDescent="0.2">
      <c r="A715" t="s">
        <v>1099</v>
      </c>
      <c r="B715" t="s">
        <v>32</v>
      </c>
      <c r="C715">
        <v>12</v>
      </c>
      <c r="D715">
        <v>10</v>
      </c>
      <c r="E715">
        <v>3</v>
      </c>
      <c r="F715">
        <v>12</v>
      </c>
      <c r="G715">
        <v>10</v>
      </c>
      <c r="H715">
        <v>2</v>
      </c>
      <c r="I715">
        <v>0.1595</v>
      </c>
      <c r="J715">
        <f t="shared" si="11"/>
        <v>0.12539184952978058</v>
      </c>
      <c r="K715">
        <v>2.0000000000000001E-4</v>
      </c>
      <c r="L715" t="s">
        <v>17</v>
      </c>
      <c r="M715">
        <v>296</v>
      </c>
      <c r="N715" t="s">
        <v>553</v>
      </c>
    </row>
    <row r="716" spans="1:14" x14ac:dyDescent="0.2">
      <c r="A716" t="s">
        <v>1099</v>
      </c>
      <c r="B716" t="s">
        <v>32</v>
      </c>
      <c r="C716">
        <v>23</v>
      </c>
      <c r="D716">
        <v>6</v>
      </c>
      <c r="E716">
        <v>17</v>
      </c>
      <c r="F716">
        <v>23</v>
      </c>
      <c r="G716">
        <v>6</v>
      </c>
      <c r="H716">
        <v>18</v>
      </c>
      <c r="I716">
        <v>0.1792</v>
      </c>
      <c r="J716">
        <f t="shared" si="11"/>
        <v>0.22321428571428575</v>
      </c>
      <c r="K716">
        <v>4.0000000000000002E-4</v>
      </c>
      <c r="L716" t="s">
        <v>17</v>
      </c>
      <c r="M716">
        <v>296</v>
      </c>
      <c r="N716" t="s">
        <v>553</v>
      </c>
    </row>
    <row r="717" spans="1:14" x14ac:dyDescent="0.2">
      <c r="A717" t="s">
        <v>1099</v>
      </c>
      <c r="B717" t="s">
        <v>32</v>
      </c>
      <c r="C717">
        <v>21</v>
      </c>
      <c r="D717">
        <v>7</v>
      </c>
      <c r="E717">
        <v>14</v>
      </c>
      <c r="F717">
        <v>21</v>
      </c>
      <c r="G717">
        <v>7</v>
      </c>
      <c r="H717">
        <v>15</v>
      </c>
      <c r="I717">
        <v>0.18990000000000001</v>
      </c>
      <c r="J717">
        <f t="shared" si="11"/>
        <v>0.526592943654555</v>
      </c>
      <c r="K717">
        <v>1E-3</v>
      </c>
      <c r="L717" t="s">
        <v>17</v>
      </c>
      <c r="M717">
        <v>296</v>
      </c>
      <c r="N717" t="s">
        <v>553</v>
      </c>
    </row>
    <row r="718" spans="1:14" x14ac:dyDescent="0.2">
      <c r="A718" t="s">
        <v>1099</v>
      </c>
      <c r="B718" t="s">
        <v>32</v>
      </c>
      <c r="C718">
        <v>11</v>
      </c>
      <c r="D718">
        <v>10</v>
      </c>
      <c r="E718">
        <v>1</v>
      </c>
      <c r="F718">
        <v>11</v>
      </c>
      <c r="G718">
        <v>10</v>
      </c>
      <c r="H718">
        <v>2</v>
      </c>
      <c r="I718">
        <v>0.1618</v>
      </c>
      <c r="J718">
        <f t="shared" si="11"/>
        <v>0.12360939431396788</v>
      </c>
      <c r="K718">
        <v>2.0000000000000001E-4</v>
      </c>
      <c r="L718" t="s">
        <v>17</v>
      </c>
      <c r="M718">
        <v>296</v>
      </c>
      <c r="N718" t="s">
        <v>553</v>
      </c>
    </row>
    <row r="719" spans="1:14" x14ac:dyDescent="0.2">
      <c r="A719" t="s">
        <v>1099</v>
      </c>
      <c r="B719" t="s">
        <v>32</v>
      </c>
      <c r="C719">
        <v>15</v>
      </c>
      <c r="D719">
        <v>9</v>
      </c>
      <c r="E719">
        <v>6</v>
      </c>
      <c r="F719">
        <v>15</v>
      </c>
      <c r="G719">
        <v>9</v>
      </c>
      <c r="H719">
        <v>7</v>
      </c>
      <c r="I719">
        <v>0.1691</v>
      </c>
      <c r="J719">
        <f t="shared" si="11"/>
        <v>0.17740981667652275</v>
      </c>
      <c r="K719">
        <v>2.9999999999999997E-4</v>
      </c>
      <c r="L719" t="s">
        <v>17</v>
      </c>
      <c r="M719">
        <v>296</v>
      </c>
      <c r="N719" t="s">
        <v>553</v>
      </c>
    </row>
    <row r="720" spans="1:14" x14ac:dyDescent="0.2">
      <c r="A720" t="s">
        <v>1099</v>
      </c>
      <c r="B720" t="s">
        <v>32</v>
      </c>
      <c r="C720">
        <v>10</v>
      </c>
      <c r="D720">
        <v>10</v>
      </c>
      <c r="E720">
        <v>1</v>
      </c>
      <c r="F720">
        <v>10</v>
      </c>
      <c r="G720">
        <v>10</v>
      </c>
      <c r="H720">
        <v>0</v>
      </c>
      <c r="I720">
        <v>0.13880000000000001</v>
      </c>
      <c r="J720">
        <f t="shared" si="11"/>
        <v>0.21613832853025933</v>
      </c>
      <c r="K720">
        <v>2.9999999999999997E-4</v>
      </c>
      <c r="L720" t="s">
        <v>17</v>
      </c>
      <c r="M720">
        <v>296</v>
      </c>
      <c r="N720" t="s">
        <v>553</v>
      </c>
    </row>
    <row r="721" spans="1:14" x14ac:dyDescent="0.2">
      <c r="A721" t="s">
        <v>1099</v>
      </c>
      <c r="B721" t="s">
        <v>32</v>
      </c>
      <c r="C721">
        <v>2</v>
      </c>
      <c r="D721">
        <v>2</v>
      </c>
      <c r="E721">
        <v>1</v>
      </c>
      <c r="F721">
        <v>3</v>
      </c>
      <c r="G721">
        <v>2</v>
      </c>
      <c r="H721">
        <v>2</v>
      </c>
      <c r="I721">
        <v>0.17680000000000001</v>
      </c>
      <c r="J721">
        <f t="shared" si="11"/>
        <v>0.33936651583710403</v>
      </c>
      <c r="K721">
        <v>5.9999999999999995E-4</v>
      </c>
      <c r="L721" t="s">
        <v>17</v>
      </c>
      <c r="M721">
        <v>296</v>
      </c>
      <c r="N721" t="s">
        <v>553</v>
      </c>
    </row>
    <row r="722" spans="1:14" x14ac:dyDescent="0.2">
      <c r="A722" t="s">
        <v>1099</v>
      </c>
      <c r="B722" t="s">
        <v>32</v>
      </c>
      <c r="C722">
        <v>22</v>
      </c>
      <c r="D722">
        <v>6</v>
      </c>
      <c r="E722">
        <v>17</v>
      </c>
      <c r="F722">
        <v>22</v>
      </c>
      <c r="G722">
        <v>6</v>
      </c>
      <c r="H722">
        <v>16</v>
      </c>
      <c r="I722">
        <v>0.1676</v>
      </c>
      <c r="J722">
        <f t="shared" si="11"/>
        <v>0.23866348448687352</v>
      </c>
      <c r="K722">
        <v>4.0000000000000002E-4</v>
      </c>
      <c r="L722" t="s">
        <v>17</v>
      </c>
      <c r="M722">
        <v>296</v>
      </c>
      <c r="N722" t="s">
        <v>553</v>
      </c>
    </row>
    <row r="723" spans="1:14" x14ac:dyDescent="0.2">
      <c r="A723" t="s">
        <v>1099</v>
      </c>
      <c r="B723" t="s">
        <v>32</v>
      </c>
      <c r="C723">
        <v>20</v>
      </c>
      <c r="D723">
        <v>7</v>
      </c>
      <c r="E723">
        <v>14</v>
      </c>
      <c r="F723">
        <v>20</v>
      </c>
      <c r="G723">
        <v>7</v>
      </c>
      <c r="H723">
        <v>13</v>
      </c>
      <c r="I723">
        <v>0.1719</v>
      </c>
      <c r="J723">
        <f t="shared" si="11"/>
        <v>0.40721349621873182</v>
      </c>
      <c r="K723">
        <v>6.9999999999999999E-4</v>
      </c>
      <c r="L723" t="s">
        <v>17</v>
      </c>
      <c r="M723">
        <v>296</v>
      </c>
      <c r="N723" t="s">
        <v>553</v>
      </c>
    </row>
    <row r="724" spans="1:14" x14ac:dyDescent="0.2">
      <c r="A724" t="s">
        <v>1099</v>
      </c>
      <c r="B724" t="s">
        <v>32</v>
      </c>
      <c r="C724">
        <v>14</v>
      </c>
      <c r="D724">
        <v>9</v>
      </c>
      <c r="E724">
        <v>6</v>
      </c>
      <c r="F724">
        <v>14</v>
      </c>
      <c r="G724">
        <v>9</v>
      </c>
      <c r="H724">
        <v>5</v>
      </c>
      <c r="I724">
        <v>0.1678</v>
      </c>
      <c r="J724">
        <f t="shared" si="11"/>
        <v>0.11918951132300357</v>
      </c>
      <c r="K724">
        <v>2.0000000000000001E-4</v>
      </c>
      <c r="L724" t="s">
        <v>17</v>
      </c>
      <c r="M724">
        <v>296</v>
      </c>
      <c r="N724" t="s">
        <v>553</v>
      </c>
    </row>
    <row r="725" spans="1:14" x14ac:dyDescent="0.2">
      <c r="A725" t="s">
        <v>1099</v>
      </c>
      <c r="B725" t="s">
        <v>32</v>
      </c>
      <c r="C725">
        <v>17</v>
      </c>
      <c r="D725">
        <v>8</v>
      </c>
      <c r="E725">
        <v>9</v>
      </c>
      <c r="F725">
        <v>17</v>
      </c>
      <c r="G725">
        <v>8</v>
      </c>
      <c r="H725">
        <v>10</v>
      </c>
      <c r="I725">
        <v>0.17</v>
      </c>
      <c r="J725">
        <f t="shared" si="11"/>
        <v>0.17647058823529407</v>
      </c>
      <c r="K725">
        <v>2.9999999999999997E-4</v>
      </c>
      <c r="L725" t="s">
        <v>17</v>
      </c>
      <c r="M725">
        <v>296</v>
      </c>
      <c r="N725" t="s">
        <v>553</v>
      </c>
    </row>
    <row r="726" spans="1:14" x14ac:dyDescent="0.2">
      <c r="A726" t="s">
        <v>1099</v>
      </c>
      <c r="B726" t="s">
        <v>32</v>
      </c>
      <c r="C726">
        <v>13</v>
      </c>
      <c r="D726">
        <v>9</v>
      </c>
      <c r="E726">
        <v>4</v>
      </c>
      <c r="F726">
        <v>13</v>
      </c>
      <c r="G726">
        <v>9</v>
      </c>
      <c r="H726">
        <v>5</v>
      </c>
      <c r="I726">
        <v>0.16769999999999999</v>
      </c>
      <c r="J726">
        <f t="shared" si="11"/>
        <v>0.23852116875372692</v>
      </c>
      <c r="K726">
        <v>4.0000000000000002E-4</v>
      </c>
      <c r="L726" t="s">
        <v>17</v>
      </c>
      <c r="M726">
        <v>296</v>
      </c>
      <c r="N726" t="s">
        <v>553</v>
      </c>
    </row>
    <row r="727" spans="1:14" x14ac:dyDescent="0.2">
      <c r="A727" t="s">
        <v>1099</v>
      </c>
      <c r="B727" t="s">
        <v>32</v>
      </c>
      <c r="C727">
        <v>2</v>
      </c>
      <c r="D727">
        <v>1</v>
      </c>
      <c r="E727">
        <v>2</v>
      </c>
      <c r="F727">
        <v>3</v>
      </c>
      <c r="G727">
        <v>1</v>
      </c>
      <c r="H727">
        <v>3</v>
      </c>
      <c r="I727">
        <v>0.1966</v>
      </c>
      <c r="J727">
        <f t="shared" si="11"/>
        <v>0.45778229908443541</v>
      </c>
      <c r="K727">
        <v>8.9999999999999998E-4</v>
      </c>
      <c r="L727" t="s">
        <v>17</v>
      </c>
      <c r="M727">
        <v>296</v>
      </c>
      <c r="N727" t="s">
        <v>553</v>
      </c>
    </row>
    <row r="728" spans="1:14" x14ac:dyDescent="0.2">
      <c r="A728" t="s">
        <v>1099</v>
      </c>
      <c r="B728" t="s">
        <v>32</v>
      </c>
      <c r="C728">
        <v>16</v>
      </c>
      <c r="D728">
        <v>8</v>
      </c>
      <c r="E728">
        <v>9</v>
      </c>
      <c r="F728">
        <v>16</v>
      </c>
      <c r="G728">
        <v>8</v>
      </c>
      <c r="H728">
        <v>8</v>
      </c>
      <c r="I728">
        <v>0.1666</v>
      </c>
      <c r="J728">
        <f t="shared" si="11"/>
        <v>0.12004801920768308</v>
      </c>
      <c r="K728">
        <v>2.0000000000000001E-4</v>
      </c>
      <c r="L728" t="s">
        <v>17</v>
      </c>
      <c r="M728">
        <v>296</v>
      </c>
      <c r="N728" t="s">
        <v>553</v>
      </c>
    </row>
    <row r="729" spans="1:14" x14ac:dyDescent="0.2">
      <c r="A729" t="s">
        <v>1099</v>
      </c>
      <c r="B729" t="s">
        <v>32</v>
      </c>
      <c r="C729">
        <v>12</v>
      </c>
      <c r="D729">
        <v>9</v>
      </c>
      <c r="E729">
        <v>4</v>
      </c>
      <c r="F729">
        <v>12</v>
      </c>
      <c r="G729">
        <v>9</v>
      </c>
      <c r="H729">
        <v>3</v>
      </c>
      <c r="I729">
        <v>0.16930000000000001</v>
      </c>
      <c r="J729">
        <f t="shared" si="11"/>
        <v>0.11813349084465447</v>
      </c>
      <c r="K729">
        <v>2.0000000000000001E-4</v>
      </c>
      <c r="L729" t="s">
        <v>17</v>
      </c>
      <c r="M729">
        <v>296</v>
      </c>
      <c r="N729" t="s">
        <v>553</v>
      </c>
    </row>
    <row r="730" spans="1:14" x14ac:dyDescent="0.2">
      <c r="A730" t="s">
        <v>1099</v>
      </c>
      <c r="B730" t="s">
        <v>32</v>
      </c>
      <c r="C730">
        <v>18</v>
      </c>
      <c r="D730">
        <v>7</v>
      </c>
      <c r="E730">
        <v>12</v>
      </c>
      <c r="F730">
        <v>18</v>
      </c>
      <c r="G730">
        <v>7</v>
      </c>
      <c r="H730">
        <v>11</v>
      </c>
      <c r="I730">
        <v>0.17</v>
      </c>
      <c r="J730">
        <f t="shared" si="11"/>
        <v>0.41176470588235287</v>
      </c>
      <c r="K730">
        <v>6.9999999999999999E-4</v>
      </c>
      <c r="L730" t="s">
        <v>17</v>
      </c>
      <c r="M730">
        <v>296</v>
      </c>
      <c r="N730" t="s">
        <v>553</v>
      </c>
    </row>
    <row r="731" spans="1:14" x14ac:dyDescent="0.2">
      <c r="A731" t="s">
        <v>1099</v>
      </c>
      <c r="B731" t="s">
        <v>32</v>
      </c>
      <c r="C731">
        <v>11</v>
      </c>
      <c r="D731">
        <v>9</v>
      </c>
      <c r="E731">
        <v>2</v>
      </c>
      <c r="F731">
        <v>11</v>
      </c>
      <c r="G731">
        <v>9</v>
      </c>
      <c r="H731">
        <v>3</v>
      </c>
      <c r="I731">
        <v>0.16839999999999999</v>
      </c>
      <c r="J731">
        <f t="shared" si="11"/>
        <v>0.11876484560570072</v>
      </c>
      <c r="K731">
        <v>2.0000000000000001E-4</v>
      </c>
      <c r="L731" t="s">
        <v>17</v>
      </c>
      <c r="M731">
        <v>296</v>
      </c>
      <c r="N731" t="s">
        <v>553</v>
      </c>
    </row>
    <row r="732" spans="1:14" x14ac:dyDescent="0.2">
      <c r="A732" t="s">
        <v>1099</v>
      </c>
      <c r="B732" t="s">
        <v>32</v>
      </c>
      <c r="C732">
        <v>10</v>
      </c>
      <c r="D732">
        <v>9</v>
      </c>
      <c r="E732">
        <v>2</v>
      </c>
      <c r="F732">
        <v>10</v>
      </c>
      <c r="G732">
        <v>9</v>
      </c>
      <c r="H732">
        <v>1</v>
      </c>
      <c r="I732">
        <v>0.16170000000000001</v>
      </c>
      <c r="J732">
        <f t="shared" si="11"/>
        <v>0.12368583797155225</v>
      </c>
      <c r="K732">
        <v>2.0000000000000001E-4</v>
      </c>
      <c r="L732" t="s">
        <v>17</v>
      </c>
      <c r="M732">
        <v>296</v>
      </c>
      <c r="N732" t="s">
        <v>553</v>
      </c>
    </row>
    <row r="733" spans="1:14" x14ac:dyDescent="0.2">
      <c r="A733" t="s">
        <v>1099</v>
      </c>
      <c r="B733" t="s">
        <v>32</v>
      </c>
      <c r="C733">
        <v>19</v>
      </c>
      <c r="D733">
        <v>6</v>
      </c>
      <c r="E733">
        <v>13</v>
      </c>
      <c r="F733">
        <v>19</v>
      </c>
      <c r="G733">
        <v>6</v>
      </c>
      <c r="H733">
        <v>14</v>
      </c>
      <c r="I733">
        <v>0.1709</v>
      </c>
      <c r="J733">
        <f t="shared" si="11"/>
        <v>0.40959625511995323</v>
      </c>
      <c r="K733">
        <v>6.9999999999999999E-4</v>
      </c>
      <c r="L733" t="s">
        <v>17</v>
      </c>
      <c r="M733">
        <v>296</v>
      </c>
      <c r="N733" t="s">
        <v>553</v>
      </c>
    </row>
    <row r="734" spans="1:14" x14ac:dyDescent="0.2">
      <c r="A734" t="s">
        <v>1099</v>
      </c>
      <c r="B734" t="s">
        <v>32</v>
      </c>
      <c r="C734">
        <v>9</v>
      </c>
      <c r="D734">
        <v>9</v>
      </c>
      <c r="E734">
        <v>0</v>
      </c>
      <c r="F734">
        <v>9</v>
      </c>
      <c r="G734">
        <v>9</v>
      </c>
      <c r="H734">
        <v>1</v>
      </c>
      <c r="I734">
        <v>0.14729999999999999</v>
      </c>
      <c r="J734">
        <f t="shared" si="11"/>
        <v>0.13577732518669383</v>
      </c>
      <c r="K734">
        <v>2.0000000000000001E-4</v>
      </c>
      <c r="L734" t="s">
        <v>17</v>
      </c>
      <c r="M734">
        <v>296</v>
      </c>
      <c r="N734" t="s">
        <v>553</v>
      </c>
    </row>
    <row r="735" spans="1:14" x14ac:dyDescent="0.2">
      <c r="A735" t="s">
        <v>1099</v>
      </c>
      <c r="B735" t="s">
        <v>32</v>
      </c>
      <c r="C735">
        <v>13</v>
      </c>
      <c r="D735">
        <v>8</v>
      </c>
      <c r="E735">
        <v>5</v>
      </c>
      <c r="F735">
        <v>13</v>
      </c>
      <c r="G735">
        <v>8</v>
      </c>
      <c r="H735">
        <v>6</v>
      </c>
      <c r="I735">
        <v>0.17610000000000001</v>
      </c>
      <c r="J735">
        <f t="shared" si="11"/>
        <v>0.17035775127768313</v>
      </c>
      <c r="K735">
        <v>2.9999999999999997E-4</v>
      </c>
      <c r="L735" t="s">
        <v>17</v>
      </c>
      <c r="M735">
        <v>296</v>
      </c>
      <c r="N735" t="s">
        <v>553</v>
      </c>
    </row>
    <row r="736" spans="1:14" x14ac:dyDescent="0.2">
      <c r="A736" t="s">
        <v>1099</v>
      </c>
      <c r="B736" t="s">
        <v>32</v>
      </c>
      <c r="C736">
        <v>16</v>
      </c>
      <c r="D736">
        <v>7</v>
      </c>
      <c r="E736">
        <v>10</v>
      </c>
      <c r="F736">
        <v>16</v>
      </c>
      <c r="G736">
        <v>7</v>
      </c>
      <c r="H736">
        <v>9</v>
      </c>
      <c r="I736">
        <v>0.17810000000000001</v>
      </c>
      <c r="J736">
        <f t="shared" si="11"/>
        <v>0.39303761931499154</v>
      </c>
      <c r="K736">
        <v>6.9999999999999999E-4</v>
      </c>
      <c r="L736" t="s">
        <v>17</v>
      </c>
      <c r="M736">
        <v>296</v>
      </c>
      <c r="N736" t="s">
        <v>553</v>
      </c>
    </row>
    <row r="737" spans="1:14" x14ac:dyDescent="0.2">
      <c r="A737" t="s">
        <v>1099</v>
      </c>
      <c r="B737" t="s">
        <v>32</v>
      </c>
      <c r="C737">
        <v>20</v>
      </c>
      <c r="D737">
        <v>5</v>
      </c>
      <c r="E737">
        <v>16</v>
      </c>
      <c r="F737">
        <v>20</v>
      </c>
      <c r="G737">
        <v>5</v>
      </c>
      <c r="H737">
        <v>15</v>
      </c>
      <c r="I737">
        <v>0.1681</v>
      </c>
      <c r="J737">
        <f t="shared" si="11"/>
        <v>0.35693039857227837</v>
      </c>
      <c r="K737">
        <v>5.9999999999999995E-4</v>
      </c>
      <c r="L737" t="s">
        <v>17</v>
      </c>
      <c r="M737">
        <v>296</v>
      </c>
      <c r="N737" t="s">
        <v>553</v>
      </c>
    </row>
    <row r="738" spans="1:14" x14ac:dyDescent="0.2">
      <c r="A738" t="s">
        <v>1099</v>
      </c>
      <c r="B738" t="s">
        <v>32</v>
      </c>
      <c r="C738">
        <v>18</v>
      </c>
      <c r="D738">
        <v>6</v>
      </c>
      <c r="E738">
        <v>13</v>
      </c>
      <c r="F738">
        <v>18</v>
      </c>
      <c r="G738">
        <v>6</v>
      </c>
      <c r="H738">
        <v>12</v>
      </c>
      <c r="I738">
        <v>0.1711</v>
      </c>
      <c r="J738">
        <f t="shared" si="11"/>
        <v>0.46756282875511401</v>
      </c>
      <c r="K738">
        <v>8.0000000000000004E-4</v>
      </c>
      <c r="L738" t="s">
        <v>17</v>
      </c>
      <c r="M738">
        <v>296</v>
      </c>
      <c r="N738" t="s">
        <v>553</v>
      </c>
    </row>
    <row r="739" spans="1:14" x14ac:dyDescent="0.2">
      <c r="A739" t="s">
        <v>1099</v>
      </c>
      <c r="B739" t="s">
        <v>32</v>
      </c>
      <c r="C739">
        <v>12</v>
      </c>
      <c r="D739">
        <v>8</v>
      </c>
      <c r="E739">
        <v>5</v>
      </c>
      <c r="F739">
        <v>12</v>
      </c>
      <c r="G739">
        <v>8</v>
      </c>
      <c r="H739">
        <v>4</v>
      </c>
      <c r="I739">
        <v>0.17269999999999999</v>
      </c>
      <c r="J739">
        <f t="shared" si="11"/>
        <v>0.17371163867979156</v>
      </c>
      <c r="K739">
        <v>2.9999999999999997E-4</v>
      </c>
      <c r="L739" t="s">
        <v>17</v>
      </c>
      <c r="M739">
        <v>296</v>
      </c>
      <c r="N739" t="s">
        <v>553</v>
      </c>
    </row>
    <row r="740" spans="1:14" x14ac:dyDescent="0.2">
      <c r="A740" t="s">
        <v>1099</v>
      </c>
      <c r="B740" t="s">
        <v>32</v>
      </c>
      <c r="C740">
        <v>11</v>
      </c>
      <c r="D740">
        <v>8</v>
      </c>
      <c r="E740">
        <v>3</v>
      </c>
      <c r="F740">
        <v>11</v>
      </c>
      <c r="G740">
        <v>8</v>
      </c>
      <c r="H740">
        <v>4</v>
      </c>
      <c r="I740">
        <v>0.17299999999999999</v>
      </c>
      <c r="J740">
        <f t="shared" si="11"/>
        <v>0.17341040462427745</v>
      </c>
      <c r="K740">
        <v>2.9999999999999997E-4</v>
      </c>
      <c r="L740" t="s">
        <v>17</v>
      </c>
      <c r="M740">
        <v>296</v>
      </c>
      <c r="N740" t="s">
        <v>553</v>
      </c>
    </row>
    <row r="741" spans="1:14" x14ac:dyDescent="0.2">
      <c r="A741" t="s">
        <v>1099</v>
      </c>
      <c r="B741" t="s">
        <v>32</v>
      </c>
      <c r="C741">
        <v>17</v>
      </c>
      <c r="D741">
        <v>6</v>
      </c>
      <c r="E741">
        <v>11</v>
      </c>
      <c r="F741">
        <v>17</v>
      </c>
      <c r="G741">
        <v>6</v>
      </c>
      <c r="H741">
        <v>12</v>
      </c>
      <c r="I741">
        <v>0.1618</v>
      </c>
      <c r="J741">
        <f t="shared" si="11"/>
        <v>0.30902348578491967</v>
      </c>
      <c r="K741">
        <v>5.0000000000000001E-4</v>
      </c>
      <c r="L741" t="s">
        <v>17</v>
      </c>
      <c r="M741">
        <v>296</v>
      </c>
      <c r="N741" t="s">
        <v>553</v>
      </c>
    </row>
    <row r="742" spans="1:14" x14ac:dyDescent="0.2">
      <c r="A742" t="s">
        <v>1099</v>
      </c>
      <c r="B742" t="s">
        <v>32</v>
      </c>
      <c r="C742">
        <v>10</v>
      </c>
      <c r="D742">
        <v>8</v>
      </c>
      <c r="E742">
        <v>3</v>
      </c>
      <c r="F742">
        <v>10</v>
      </c>
      <c r="G742">
        <v>8</v>
      </c>
      <c r="H742">
        <v>2</v>
      </c>
      <c r="I742">
        <v>0.1769</v>
      </c>
      <c r="J742">
        <f t="shared" si="11"/>
        <v>0.16958733747880156</v>
      </c>
      <c r="K742">
        <v>2.9999999999999997E-4</v>
      </c>
      <c r="L742" t="s">
        <v>17</v>
      </c>
      <c r="M742">
        <v>296</v>
      </c>
      <c r="N742" t="s">
        <v>553</v>
      </c>
    </row>
    <row r="743" spans="1:14" x14ac:dyDescent="0.2">
      <c r="A743" t="s">
        <v>1099</v>
      </c>
      <c r="B743" t="s">
        <v>32</v>
      </c>
      <c r="C743">
        <v>9</v>
      </c>
      <c r="D743">
        <v>8</v>
      </c>
      <c r="E743">
        <v>1</v>
      </c>
      <c r="F743">
        <v>9</v>
      </c>
      <c r="G743">
        <v>8</v>
      </c>
      <c r="H743">
        <v>2</v>
      </c>
      <c r="I743">
        <v>0.15840000000000001</v>
      </c>
      <c r="J743">
        <f t="shared" si="11"/>
        <v>0.18939393939393936</v>
      </c>
      <c r="K743">
        <v>2.9999999999999997E-4</v>
      </c>
      <c r="L743" t="s">
        <v>17</v>
      </c>
      <c r="M743">
        <v>296</v>
      </c>
      <c r="N743" t="s">
        <v>553</v>
      </c>
    </row>
    <row r="744" spans="1:14" x14ac:dyDescent="0.2">
      <c r="A744" t="s">
        <v>1099</v>
      </c>
      <c r="B744" t="s">
        <v>32</v>
      </c>
      <c r="C744">
        <v>13</v>
      </c>
      <c r="D744">
        <v>7</v>
      </c>
      <c r="E744">
        <v>6</v>
      </c>
      <c r="F744">
        <v>13</v>
      </c>
      <c r="G744">
        <v>7</v>
      </c>
      <c r="H744">
        <v>7</v>
      </c>
      <c r="I744">
        <v>0.17319999999999999</v>
      </c>
      <c r="J744">
        <f t="shared" si="11"/>
        <v>0.3464203233256351</v>
      </c>
      <c r="K744">
        <v>5.9999999999999995E-4</v>
      </c>
      <c r="L744" t="s">
        <v>17</v>
      </c>
      <c r="M744">
        <v>296</v>
      </c>
      <c r="N744" t="s">
        <v>553</v>
      </c>
    </row>
    <row r="745" spans="1:14" x14ac:dyDescent="0.2">
      <c r="A745" t="s">
        <v>1099</v>
      </c>
      <c r="B745" t="s">
        <v>32</v>
      </c>
      <c r="C745">
        <v>8</v>
      </c>
      <c r="D745">
        <v>8</v>
      </c>
      <c r="E745">
        <v>1</v>
      </c>
      <c r="F745">
        <v>8</v>
      </c>
      <c r="G745">
        <v>8</v>
      </c>
      <c r="H745">
        <v>0</v>
      </c>
      <c r="I745">
        <v>0.15409999999999999</v>
      </c>
      <c r="J745">
        <f t="shared" si="11"/>
        <v>0.12978585334198572</v>
      </c>
      <c r="K745">
        <v>2.0000000000000001E-4</v>
      </c>
      <c r="L745" t="s">
        <v>17</v>
      </c>
      <c r="M745">
        <v>296</v>
      </c>
      <c r="N745" t="s">
        <v>553</v>
      </c>
    </row>
    <row r="746" spans="1:14" x14ac:dyDescent="0.2">
      <c r="A746" t="s">
        <v>1099</v>
      </c>
      <c r="B746" t="s">
        <v>32</v>
      </c>
      <c r="C746">
        <v>1</v>
      </c>
      <c r="D746">
        <v>0</v>
      </c>
      <c r="E746">
        <v>1</v>
      </c>
      <c r="F746">
        <v>2</v>
      </c>
      <c r="G746">
        <v>0</v>
      </c>
      <c r="H746">
        <v>2</v>
      </c>
      <c r="I746">
        <v>0.2109</v>
      </c>
      <c r="J746">
        <f t="shared" si="11"/>
        <v>0.75865339023233758</v>
      </c>
      <c r="K746">
        <v>1.6000000000000001E-3</v>
      </c>
      <c r="L746" t="s">
        <v>17</v>
      </c>
      <c r="M746">
        <v>296</v>
      </c>
      <c r="N746" t="s">
        <v>553</v>
      </c>
    </row>
    <row r="747" spans="1:14" x14ac:dyDescent="0.2">
      <c r="A747" t="s">
        <v>1099</v>
      </c>
      <c r="B747" t="s">
        <v>32</v>
      </c>
      <c r="C747">
        <v>16</v>
      </c>
      <c r="D747">
        <v>3</v>
      </c>
      <c r="E747">
        <v>14</v>
      </c>
      <c r="F747">
        <v>16</v>
      </c>
      <c r="G747">
        <v>3</v>
      </c>
      <c r="H747">
        <v>13</v>
      </c>
      <c r="I747">
        <v>0.1734</v>
      </c>
      <c r="J747">
        <f t="shared" si="11"/>
        <v>0.8073817762399077</v>
      </c>
      <c r="K747">
        <v>1.4E-3</v>
      </c>
      <c r="L747" t="s">
        <v>17</v>
      </c>
      <c r="M747">
        <v>296</v>
      </c>
      <c r="N747" t="s">
        <v>553</v>
      </c>
    </row>
    <row r="748" spans="1:14" x14ac:dyDescent="0.2">
      <c r="A748" t="s">
        <v>1099</v>
      </c>
      <c r="B748" t="s">
        <v>32</v>
      </c>
      <c r="C748">
        <v>11</v>
      </c>
      <c r="D748">
        <v>7</v>
      </c>
      <c r="E748">
        <v>4</v>
      </c>
      <c r="F748">
        <v>11</v>
      </c>
      <c r="G748">
        <v>7</v>
      </c>
      <c r="H748">
        <v>5</v>
      </c>
      <c r="I748">
        <v>0.18010000000000001</v>
      </c>
      <c r="J748">
        <f t="shared" si="11"/>
        <v>0.22209883398112162</v>
      </c>
      <c r="K748">
        <v>4.0000000000000002E-4</v>
      </c>
      <c r="L748" t="s">
        <v>17</v>
      </c>
      <c r="M748">
        <v>296</v>
      </c>
      <c r="N748" t="s">
        <v>553</v>
      </c>
    </row>
    <row r="749" spans="1:14" x14ac:dyDescent="0.2">
      <c r="A749" t="s">
        <v>1099</v>
      </c>
      <c r="B749" t="s">
        <v>32</v>
      </c>
      <c r="C749">
        <v>14</v>
      </c>
      <c r="D749">
        <v>6</v>
      </c>
      <c r="E749">
        <v>9</v>
      </c>
      <c r="F749">
        <v>14</v>
      </c>
      <c r="G749">
        <v>6</v>
      </c>
      <c r="H749">
        <v>8</v>
      </c>
      <c r="I749">
        <v>0.1678</v>
      </c>
      <c r="J749">
        <f t="shared" si="11"/>
        <v>0.29797377830750893</v>
      </c>
      <c r="K749">
        <v>5.0000000000000001E-4</v>
      </c>
      <c r="L749" t="s">
        <v>17</v>
      </c>
      <c r="M749">
        <v>296</v>
      </c>
      <c r="N749" t="s">
        <v>553</v>
      </c>
    </row>
    <row r="750" spans="1:14" x14ac:dyDescent="0.2">
      <c r="A750" t="s">
        <v>1099</v>
      </c>
      <c r="B750" t="s">
        <v>32</v>
      </c>
      <c r="C750">
        <v>16</v>
      </c>
      <c r="D750">
        <v>5</v>
      </c>
      <c r="E750">
        <v>12</v>
      </c>
      <c r="F750">
        <v>16</v>
      </c>
      <c r="G750">
        <v>5</v>
      </c>
      <c r="H750">
        <v>11</v>
      </c>
      <c r="I750">
        <v>0.18129999999999999</v>
      </c>
      <c r="J750">
        <f t="shared" si="11"/>
        <v>0.44125758411472699</v>
      </c>
      <c r="K750">
        <v>8.0000000000000004E-4</v>
      </c>
      <c r="L750" t="s">
        <v>17</v>
      </c>
      <c r="M750">
        <v>296</v>
      </c>
      <c r="N750" t="s">
        <v>553</v>
      </c>
    </row>
    <row r="751" spans="1:14" x14ac:dyDescent="0.2">
      <c r="A751" t="s">
        <v>1099</v>
      </c>
      <c r="B751" t="s">
        <v>32</v>
      </c>
      <c r="C751">
        <v>10</v>
      </c>
      <c r="D751">
        <v>7</v>
      </c>
      <c r="E751">
        <v>4</v>
      </c>
      <c r="F751">
        <v>10</v>
      </c>
      <c r="G751">
        <v>7</v>
      </c>
      <c r="H751">
        <v>3</v>
      </c>
      <c r="I751">
        <v>0.1736</v>
      </c>
      <c r="J751">
        <f t="shared" si="11"/>
        <v>0.1152073732718894</v>
      </c>
      <c r="K751">
        <v>2.0000000000000001E-4</v>
      </c>
      <c r="L751" t="s">
        <v>17</v>
      </c>
      <c r="M751">
        <v>296</v>
      </c>
      <c r="N751" t="s">
        <v>553</v>
      </c>
    </row>
    <row r="752" spans="1:14" x14ac:dyDescent="0.2">
      <c r="A752" t="s">
        <v>1099</v>
      </c>
      <c r="B752" t="s">
        <v>32</v>
      </c>
      <c r="C752">
        <v>13</v>
      </c>
      <c r="D752">
        <v>6</v>
      </c>
      <c r="E752">
        <v>7</v>
      </c>
      <c r="F752">
        <v>13</v>
      </c>
      <c r="G752">
        <v>6</v>
      </c>
      <c r="H752">
        <v>8</v>
      </c>
      <c r="I752">
        <v>0.17069999999999999</v>
      </c>
      <c r="J752">
        <f t="shared" si="11"/>
        <v>0.23432923257176336</v>
      </c>
      <c r="K752">
        <v>4.0000000000000002E-4</v>
      </c>
      <c r="L752" t="s">
        <v>17</v>
      </c>
      <c r="M752">
        <v>296</v>
      </c>
      <c r="N752" t="s">
        <v>553</v>
      </c>
    </row>
    <row r="753" spans="1:14" x14ac:dyDescent="0.2">
      <c r="A753" t="s">
        <v>1099</v>
      </c>
      <c r="B753" t="s">
        <v>32</v>
      </c>
      <c r="C753">
        <v>9</v>
      </c>
      <c r="D753">
        <v>7</v>
      </c>
      <c r="E753">
        <v>2</v>
      </c>
      <c r="F753">
        <v>9</v>
      </c>
      <c r="G753">
        <v>7</v>
      </c>
      <c r="H753">
        <v>3</v>
      </c>
      <c r="I753">
        <v>0.16930000000000001</v>
      </c>
      <c r="J753">
        <f t="shared" si="11"/>
        <v>0.11813349084465447</v>
      </c>
      <c r="K753">
        <v>2.0000000000000001E-4</v>
      </c>
      <c r="L753" t="s">
        <v>17</v>
      </c>
      <c r="M753">
        <v>296</v>
      </c>
      <c r="N753" t="s">
        <v>553</v>
      </c>
    </row>
    <row r="754" spans="1:14" x14ac:dyDescent="0.2">
      <c r="A754" t="s">
        <v>1099</v>
      </c>
      <c r="B754" t="s">
        <v>32</v>
      </c>
      <c r="C754">
        <v>15</v>
      </c>
      <c r="D754">
        <v>5</v>
      </c>
      <c r="E754">
        <v>10</v>
      </c>
      <c r="F754">
        <v>15</v>
      </c>
      <c r="G754">
        <v>5</v>
      </c>
      <c r="H754">
        <v>11</v>
      </c>
      <c r="I754">
        <v>0.1663</v>
      </c>
      <c r="J754">
        <f t="shared" si="11"/>
        <v>0.4810583283223091</v>
      </c>
      <c r="K754">
        <v>8.0000000000000004E-4</v>
      </c>
      <c r="L754" t="s">
        <v>17</v>
      </c>
      <c r="M754">
        <v>296</v>
      </c>
      <c r="N754" t="s">
        <v>553</v>
      </c>
    </row>
    <row r="755" spans="1:14" x14ac:dyDescent="0.2">
      <c r="A755" t="s">
        <v>1099</v>
      </c>
      <c r="B755" t="s">
        <v>32</v>
      </c>
      <c r="C755">
        <v>17</v>
      </c>
      <c r="D755">
        <v>4</v>
      </c>
      <c r="E755">
        <v>13</v>
      </c>
      <c r="F755">
        <v>17</v>
      </c>
      <c r="G755">
        <v>4</v>
      </c>
      <c r="H755">
        <v>14</v>
      </c>
      <c r="I755">
        <v>0.1696</v>
      </c>
      <c r="J755">
        <f t="shared" si="11"/>
        <v>0.294811320754717</v>
      </c>
      <c r="K755">
        <v>5.0000000000000001E-4</v>
      </c>
      <c r="L755" t="s">
        <v>17</v>
      </c>
      <c r="M755">
        <v>296</v>
      </c>
      <c r="N755" t="s">
        <v>553</v>
      </c>
    </row>
    <row r="756" spans="1:14" x14ac:dyDescent="0.2">
      <c r="A756" t="s">
        <v>1099</v>
      </c>
      <c r="B756" t="s">
        <v>32</v>
      </c>
      <c r="C756">
        <v>11</v>
      </c>
      <c r="D756">
        <v>6</v>
      </c>
      <c r="E756">
        <v>5</v>
      </c>
      <c r="F756">
        <v>11</v>
      </c>
      <c r="G756">
        <v>6</v>
      </c>
      <c r="H756">
        <v>6</v>
      </c>
      <c r="I756">
        <v>0.1764</v>
      </c>
      <c r="J756">
        <f t="shared" si="11"/>
        <v>0.22675736961451248</v>
      </c>
      <c r="K756">
        <v>4.0000000000000002E-4</v>
      </c>
      <c r="L756" t="s">
        <v>17</v>
      </c>
      <c r="M756">
        <v>296</v>
      </c>
      <c r="N756" t="s">
        <v>553</v>
      </c>
    </row>
    <row r="757" spans="1:14" x14ac:dyDescent="0.2">
      <c r="A757" t="s">
        <v>1099</v>
      </c>
      <c r="B757" t="s">
        <v>32</v>
      </c>
      <c r="C757">
        <v>13</v>
      </c>
      <c r="D757">
        <v>5</v>
      </c>
      <c r="E757">
        <v>8</v>
      </c>
      <c r="F757">
        <v>13</v>
      </c>
      <c r="G757">
        <v>5</v>
      </c>
      <c r="H757">
        <v>9</v>
      </c>
      <c r="I757">
        <v>0.1575</v>
      </c>
      <c r="J757">
        <f t="shared" si="11"/>
        <v>0.50793650793650791</v>
      </c>
      <c r="K757">
        <v>8.0000000000000004E-4</v>
      </c>
      <c r="L757" t="s">
        <v>17</v>
      </c>
      <c r="M757">
        <v>296</v>
      </c>
      <c r="N757" t="s">
        <v>553</v>
      </c>
    </row>
    <row r="758" spans="1:14" x14ac:dyDescent="0.2">
      <c r="A758" t="s">
        <v>1099</v>
      </c>
      <c r="B758" t="s">
        <v>32</v>
      </c>
      <c r="C758">
        <v>10</v>
      </c>
      <c r="D758">
        <v>6</v>
      </c>
      <c r="E758">
        <v>5</v>
      </c>
      <c r="F758">
        <v>10</v>
      </c>
      <c r="G758">
        <v>6</v>
      </c>
      <c r="H758">
        <v>4</v>
      </c>
      <c r="I758">
        <v>0.17249999999999999</v>
      </c>
      <c r="J758">
        <f t="shared" si="11"/>
        <v>0.63768115942028991</v>
      </c>
      <c r="K758">
        <v>1.1000000000000001E-3</v>
      </c>
      <c r="L758" t="s">
        <v>17</v>
      </c>
      <c r="M758">
        <v>296</v>
      </c>
      <c r="N758" t="s">
        <v>553</v>
      </c>
    </row>
    <row r="759" spans="1:14" x14ac:dyDescent="0.2">
      <c r="A759" t="s">
        <v>1099</v>
      </c>
      <c r="B759" t="s">
        <v>32</v>
      </c>
      <c r="C759">
        <v>9</v>
      </c>
      <c r="D759">
        <v>6</v>
      </c>
      <c r="E759">
        <v>3</v>
      </c>
      <c r="F759">
        <v>9</v>
      </c>
      <c r="G759">
        <v>6</v>
      </c>
      <c r="H759">
        <v>4</v>
      </c>
      <c r="I759">
        <v>0.17730000000000001</v>
      </c>
      <c r="J759">
        <f t="shared" si="11"/>
        <v>0.22560631697687533</v>
      </c>
      <c r="K759">
        <v>4.0000000000000002E-4</v>
      </c>
      <c r="L759" t="s">
        <v>17</v>
      </c>
      <c r="M759">
        <v>296</v>
      </c>
      <c r="N759" t="s">
        <v>553</v>
      </c>
    </row>
    <row r="760" spans="1:14" x14ac:dyDescent="0.2">
      <c r="A760" t="s">
        <v>1099</v>
      </c>
      <c r="B760" t="s">
        <v>32</v>
      </c>
      <c r="C760">
        <v>8</v>
      </c>
      <c r="D760">
        <v>6</v>
      </c>
      <c r="E760">
        <v>3</v>
      </c>
      <c r="F760">
        <v>8</v>
      </c>
      <c r="G760">
        <v>6</v>
      </c>
      <c r="H760">
        <v>2</v>
      </c>
      <c r="I760">
        <v>0.1729</v>
      </c>
      <c r="J760">
        <f t="shared" si="11"/>
        <v>0.23134759976865243</v>
      </c>
      <c r="K760">
        <v>4.0000000000000002E-4</v>
      </c>
      <c r="L760" t="s">
        <v>17</v>
      </c>
      <c r="M760">
        <v>296</v>
      </c>
      <c r="N760" t="s">
        <v>553</v>
      </c>
    </row>
    <row r="761" spans="1:14" x14ac:dyDescent="0.2">
      <c r="A761" t="s">
        <v>1099</v>
      </c>
      <c r="B761" t="s">
        <v>32</v>
      </c>
      <c r="C761">
        <v>11</v>
      </c>
      <c r="D761">
        <v>5</v>
      </c>
      <c r="E761">
        <v>6</v>
      </c>
      <c r="F761">
        <v>11</v>
      </c>
      <c r="G761">
        <v>5</v>
      </c>
      <c r="H761">
        <v>7</v>
      </c>
      <c r="I761">
        <v>0.17249999999999999</v>
      </c>
      <c r="J761">
        <f t="shared" si="11"/>
        <v>0.34782608695652173</v>
      </c>
      <c r="K761">
        <v>5.9999999999999995E-4</v>
      </c>
      <c r="L761" t="s">
        <v>17</v>
      </c>
      <c r="M761">
        <v>296</v>
      </c>
      <c r="N761" t="s">
        <v>553</v>
      </c>
    </row>
    <row r="762" spans="1:14" x14ac:dyDescent="0.2">
      <c r="A762" t="s">
        <v>1099</v>
      </c>
      <c r="B762" t="s">
        <v>32</v>
      </c>
      <c r="C762">
        <v>7</v>
      </c>
      <c r="D762">
        <v>6</v>
      </c>
      <c r="E762">
        <v>1</v>
      </c>
      <c r="F762">
        <v>7</v>
      </c>
      <c r="G762">
        <v>6</v>
      </c>
      <c r="H762">
        <v>2</v>
      </c>
      <c r="I762">
        <v>0.1678</v>
      </c>
      <c r="J762">
        <f t="shared" si="11"/>
        <v>0.23837902264600713</v>
      </c>
      <c r="K762">
        <v>4.0000000000000002E-4</v>
      </c>
      <c r="L762" t="s">
        <v>17</v>
      </c>
      <c r="M762">
        <v>296</v>
      </c>
      <c r="N762" t="s">
        <v>553</v>
      </c>
    </row>
    <row r="763" spans="1:14" x14ac:dyDescent="0.2">
      <c r="A763" t="s">
        <v>1099</v>
      </c>
      <c r="B763" t="s">
        <v>32</v>
      </c>
      <c r="C763">
        <v>13</v>
      </c>
      <c r="D763">
        <v>4</v>
      </c>
      <c r="E763">
        <v>9</v>
      </c>
      <c r="F763">
        <v>13</v>
      </c>
      <c r="G763">
        <v>4</v>
      </c>
      <c r="H763">
        <v>10</v>
      </c>
      <c r="I763">
        <v>0.1769</v>
      </c>
      <c r="J763">
        <f t="shared" si="11"/>
        <v>0.33917467495760312</v>
      </c>
      <c r="K763">
        <v>5.9999999999999995E-4</v>
      </c>
      <c r="L763" t="s">
        <v>17</v>
      </c>
      <c r="M763">
        <v>296</v>
      </c>
      <c r="N763" t="s">
        <v>553</v>
      </c>
    </row>
    <row r="764" spans="1:14" x14ac:dyDescent="0.2">
      <c r="A764" t="s">
        <v>1099</v>
      </c>
      <c r="B764" t="s">
        <v>32</v>
      </c>
      <c r="C764">
        <v>6</v>
      </c>
      <c r="D764">
        <v>6</v>
      </c>
      <c r="E764">
        <v>1</v>
      </c>
      <c r="F764">
        <v>6</v>
      </c>
      <c r="G764">
        <v>6</v>
      </c>
      <c r="H764">
        <v>0</v>
      </c>
      <c r="I764">
        <v>0.16980000000000001</v>
      </c>
      <c r="J764">
        <f t="shared" si="11"/>
        <v>0.23557126030624262</v>
      </c>
      <c r="K764">
        <v>4.0000000000000002E-4</v>
      </c>
      <c r="L764" t="s">
        <v>17</v>
      </c>
      <c r="M764">
        <v>296</v>
      </c>
      <c r="N764" t="s">
        <v>553</v>
      </c>
    </row>
    <row r="765" spans="1:14" x14ac:dyDescent="0.2">
      <c r="A765" t="s">
        <v>1099</v>
      </c>
      <c r="B765" t="s">
        <v>32</v>
      </c>
      <c r="C765">
        <v>10</v>
      </c>
      <c r="D765">
        <v>5</v>
      </c>
      <c r="E765">
        <v>6</v>
      </c>
      <c r="F765">
        <v>10</v>
      </c>
      <c r="G765">
        <v>5</v>
      </c>
      <c r="H765">
        <v>5</v>
      </c>
      <c r="I765">
        <v>0.16020000000000001</v>
      </c>
      <c r="J765">
        <f t="shared" si="11"/>
        <v>0.37453183520599248</v>
      </c>
      <c r="K765">
        <v>5.9999999999999995E-4</v>
      </c>
      <c r="L765" t="s">
        <v>17</v>
      </c>
      <c r="M765">
        <v>296</v>
      </c>
      <c r="N765" t="s">
        <v>553</v>
      </c>
    </row>
    <row r="766" spans="1:14" x14ac:dyDescent="0.2">
      <c r="A766" t="s">
        <v>1099</v>
      </c>
      <c r="B766" t="s">
        <v>32</v>
      </c>
      <c r="C766">
        <v>12</v>
      </c>
      <c r="D766">
        <v>4</v>
      </c>
      <c r="E766">
        <v>9</v>
      </c>
      <c r="F766">
        <v>12</v>
      </c>
      <c r="G766">
        <v>4</v>
      </c>
      <c r="H766">
        <v>8</v>
      </c>
      <c r="I766">
        <v>0.18190000000000001</v>
      </c>
      <c r="J766">
        <f t="shared" si="11"/>
        <v>0.54975261132490383</v>
      </c>
      <c r="K766">
        <v>1E-3</v>
      </c>
      <c r="L766" t="s">
        <v>17</v>
      </c>
      <c r="M766">
        <v>296</v>
      </c>
      <c r="N766" t="s">
        <v>553</v>
      </c>
    </row>
    <row r="767" spans="1:14" x14ac:dyDescent="0.2">
      <c r="A767" t="s">
        <v>1099</v>
      </c>
      <c r="B767" t="s">
        <v>32</v>
      </c>
      <c r="C767">
        <v>9</v>
      </c>
      <c r="D767">
        <v>5</v>
      </c>
      <c r="E767">
        <v>4</v>
      </c>
      <c r="F767">
        <v>9</v>
      </c>
      <c r="G767">
        <v>5</v>
      </c>
      <c r="H767">
        <v>5</v>
      </c>
      <c r="I767">
        <v>0.1696</v>
      </c>
      <c r="J767">
        <f t="shared" si="11"/>
        <v>0.23584905660377359</v>
      </c>
      <c r="K767">
        <v>4.0000000000000002E-4</v>
      </c>
      <c r="L767" t="s">
        <v>17</v>
      </c>
      <c r="M767">
        <v>296</v>
      </c>
      <c r="N767" t="s">
        <v>553</v>
      </c>
    </row>
    <row r="768" spans="1:14" x14ac:dyDescent="0.2">
      <c r="A768" t="s">
        <v>1099</v>
      </c>
      <c r="B768" t="s">
        <v>32</v>
      </c>
      <c r="C768">
        <v>12</v>
      </c>
      <c r="D768">
        <v>3</v>
      </c>
      <c r="E768">
        <v>10</v>
      </c>
      <c r="F768">
        <v>12</v>
      </c>
      <c r="G768">
        <v>3</v>
      </c>
      <c r="H768">
        <v>9</v>
      </c>
      <c r="I768">
        <v>0.17319999999999999</v>
      </c>
      <c r="J768">
        <f t="shared" si="11"/>
        <v>0.40415704387990764</v>
      </c>
      <c r="K768">
        <v>6.9999999999999999E-4</v>
      </c>
      <c r="L768" t="s">
        <v>17</v>
      </c>
      <c r="M768">
        <v>296</v>
      </c>
      <c r="N768" t="s">
        <v>553</v>
      </c>
    </row>
    <row r="769" spans="1:14" x14ac:dyDescent="0.2">
      <c r="A769" t="s">
        <v>1099</v>
      </c>
      <c r="B769" t="s">
        <v>32</v>
      </c>
      <c r="C769">
        <v>7</v>
      </c>
      <c r="D769">
        <v>5</v>
      </c>
      <c r="E769">
        <v>2</v>
      </c>
      <c r="F769">
        <v>7</v>
      </c>
      <c r="G769">
        <v>5</v>
      </c>
      <c r="H769">
        <v>3</v>
      </c>
      <c r="I769">
        <v>0.1822</v>
      </c>
      <c r="J769">
        <f t="shared" si="11"/>
        <v>0.38419319429198684</v>
      </c>
      <c r="K769">
        <v>6.9999999999999999E-4</v>
      </c>
      <c r="L769" t="s">
        <v>17</v>
      </c>
      <c r="M769">
        <v>296</v>
      </c>
      <c r="N769" t="s">
        <v>553</v>
      </c>
    </row>
    <row r="770" spans="1:14" x14ac:dyDescent="0.2">
      <c r="A770" t="s">
        <v>1099</v>
      </c>
      <c r="B770" t="s">
        <v>32</v>
      </c>
      <c r="C770">
        <v>6</v>
      </c>
      <c r="D770">
        <v>5</v>
      </c>
      <c r="E770">
        <v>2</v>
      </c>
      <c r="F770">
        <v>6</v>
      </c>
      <c r="G770">
        <v>5</v>
      </c>
      <c r="H770">
        <v>1</v>
      </c>
      <c r="I770">
        <v>0.1671</v>
      </c>
      <c r="J770">
        <f t="shared" si="11"/>
        <v>0.17953321364452421</v>
      </c>
      <c r="K770">
        <v>2.9999999999999997E-4</v>
      </c>
      <c r="L770" t="s">
        <v>17</v>
      </c>
      <c r="M770">
        <v>296</v>
      </c>
      <c r="N770" t="s">
        <v>553</v>
      </c>
    </row>
    <row r="771" spans="1:14" x14ac:dyDescent="0.2">
      <c r="A771" t="s">
        <v>1099</v>
      </c>
      <c r="B771" t="s">
        <v>32</v>
      </c>
      <c r="C771">
        <v>9</v>
      </c>
      <c r="D771">
        <v>4</v>
      </c>
      <c r="E771">
        <v>5</v>
      </c>
      <c r="F771">
        <v>9</v>
      </c>
      <c r="G771">
        <v>4</v>
      </c>
      <c r="H771">
        <v>6</v>
      </c>
      <c r="I771">
        <v>0.16930000000000001</v>
      </c>
      <c r="J771">
        <f t="shared" ref="J771:J834" si="12">K771/I771*100</f>
        <v>0.47253396337861786</v>
      </c>
      <c r="K771">
        <v>8.0000000000000004E-4</v>
      </c>
      <c r="L771" t="s">
        <v>17</v>
      </c>
      <c r="M771">
        <v>296</v>
      </c>
      <c r="N771" t="s">
        <v>553</v>
      </c>
    </row>
    <row r="772" spans="1:14" x14ac:dyDescent="0.2">
      <c r="A772" t="s">
        <v>1099</v>
      </c>
      <c r="B772" t="s">
        <v>32</v>
      </c>
      <c r="C772">
        <v>5</v>
      </c>
      <c r="D772">
        <v>5</v>
      </c>
      <c r="E772">
        <v>0</v>
      </c>
      <c r="F772">
        <v>5</v>
      </c>
      <c r="G772">
        <v>5</v>
      </c>
      <c r="H772">
        <v>1</v>
      </c>
      <c r="I772">
        <v>0.15559999999999999</v>
      </c>
      <c r="J772">
        <f t="shared" si="12"/>
        <v>0.25706940874035994</v>
      </c>
      <c r="K772">
        <v>4.0000000000000002E-4</v>
      </c>
      <c r="L772" t="s">
        <v>17</v>
      </c>
      <c r="M772">
        <v>296</v>
      </c>
      <c r="N772" t="s">
        <v>553</v>
      </c>
    </row>
    <row r="773" spans="1:14" x14ac:dyDescent="0.2">
      <c r="A773" t="s">
        <v>1099</v>
      </c>
      <c r="B773" t="s">
        <v>32</v>
      </c>
      <c r="C773">
        <v>8</v>
      </c>
      <c r="D773">
        <v>2</v>
      </c>
      <c r="E773">
        <v>7</v>
      </c>
      <c r="F773">
        <v>8</v>
      </c>
      <c r="G773">
        <v>2</v>
      </c>
      <c r="H773">
        <v>6</v>
      </c>
      <c r="I773">
        <v>0.1898</v>
      </c>
      <c r="J773">
        <f t="shared" si="12"/>
        <v>0.52687038988408852</v>
      </c>
      <c r="K773">
        <v>1E-3</v>
      </c>
      <c r="L773" t="s">
        <v>17</v>
      </c>
      <c r="M773">
        <v>296</v>
      </c>
      <c r="N773" t="s">
        <v>553</v>
      </c>
    </row>
    <row r="774" spans="1:14" x14ac:dyDescent="0.2">
      <c r="A774" t="s">
        <v>1099</v>
      </c>
      <c r="B774" t="s">
        <v>32</v>
      </c>
      <c r="C774">
        <v>10</v>
      </c>
      <c r="D774">
        <v>3</v>
      </c>
      <c r="E774">
        <v>8</v>
      </c>
      <c r="F774">
        <v>10</v>
      </c>
      <c r="G774">
        <v>3</v>
      </c>
      <c r="H774">
        <v>7</v>
      </c>
      <c r="I774">
        <v>0.19059999999999999</v>
      </c>
      <c r="J774">
        <f t="shared" si="12"/>
        <v>1.1542497376705143</v>
      </c>
      <c r="K774">
        <v>2.2000000000000001E-3</v>
      </c>
      <c r="L774" t="s">
        <v>17</v>
      </c>
      <c r="M774">
        <v>296</v>
      </c>
      <c r="N774" t="s">
        <v>553</v>
      </c>
    </row>
    <row r="775" spans="1:14" x14ac:dyDescent="0.2">
      <c r="A775" t="s">
        <v>1099</v>
      </c>
      <c r="B775" t="s">
        <v>32</v>
      </c>
      <c r="C775">
        <v>8</v>
      </c>
      <c r="D775">
        <v>4</v>
      </c>
      <c r="E775">
        <v>5</v>
      </c>
      <c r="F775">
        <v>8</v>
      </c>
      <c r="G775">
        <v>4</v>
      </c>
      <c r="H775">
        <v>4</v>
      </c>
      <c r="I775">
        <v>0.17069999999999999</v>
      </c>
      <c r="J775">
        <f t="shared" si="12"/>
        <v>0.58582308142940831</v>
      </c>
      <c r="K775">
        <v>1E-3</v>
      </c>
      <c r="L775" t="s">
        <v>17</v>
      </c>
      <c r="M775">
        <v>296</v>
      </c>
      <c r="N775" t="s">
        <v>553</v>
      </c>
    </row>
    <row r="776" spans="1:14" x14ac:dyDescent="0.2">
      <c r="A776" t="s">
        <v>1099</v>
      </c>
      <c r="B776" t="s">
        <v>32</v>
      </c>
      <c r="C776">
        <v>17</v>
      </c>
      <c r="D776">
        <v>3</v>
      </c>
      <c r="E776">
        <v>14</v>
      </c>
      <c r="F776">
        <v>17</v>
      </c>
      <c r="G776">
        <v>3</v>
      </c>
      <c r="H776">
        <v>15</v>
      </c>
      <c r="I776">
        <v>0.17469999999999999</v>
      </c>
      <c r="J776">
        <f t="shared" si="12"/>
        <v>0.68689181453921</v>
      </c>
      <c r="K776">
        <v>1.1999999999999999E-3</v>
      </c>
      <c r="L776" t="s">
        <v>17</v>
      </c>
      <c r="M776">
        <v>296</v>
      </c>
      <c r="N776" t="s">
        <v>553</v>
      </c>
    </row>
    <row r="777" spans="1:14" x14ac:dyDescent="0.2">
      <c r="A777" t="s">
        <v>1099</v>
      </c>
      <c r="B777" t="s">
        <v>32</v>
      </c>
      <c r="C777">
        <v>7</v>
      </c>
      <c r="D777">
        <v>4</v>
      </c>
      <c r="E777">
        <v>3</v>
      </c>
      <c r="F777">
        <v>7</v>
      </c>
      <c r="G777">
        <v>4</v>
      </c>
      <c r="H777">
        <v>4</v>
      </c>
      <c r="I777">
        <v>0.1668</v>
      </c>
      <c r="J777">
        <f t="shared" si="12"/>
        <v>0.23980815347721826</v>
      </c>
      <c r="K777">
        <v>4.0000000000000002E-4</v>
      </c>
      <c r="L777" t="s">
        <v>17</v>
      </c>
      <c r="M777">
        <v>296</v>
      </c>
      <c r="N777" t="s">
        <v>553</v>
      </c>
    </row>
    <row r="778" spans="1:14" x14ac:dyDescent="0.2">
      <c r="A778" t="s">
        <v>1099</v>
      </c>
      <c r="B778" t="s">
        <v>32</v>
      </c>
      <c r="C778">
        <v>6</v>
      </c>
      <c r="D778">
        <v>4</v>
      </c>
      <c r="E778">
        <v>3</v>
      </c>
      <c r="F778">
        <v>6</v>
      </c>
      <c r="G778">
        <v>4</v>
      </c>
      <c r="H778">
        <v>2</v>
      </c>
      <c r="I778">
        <v>0.18229999999999999</v>
      </c>
      <c r="J778">
        <f t="shared" si="12"/>
        <v>0.32912781130005486</v>
      </c>
      <c r="K778">
        <v>5.9999999999999995E-4</v>
      </c>
      <c r="L778" t="s">
        <v>17</v>
      </c>
      <c r="M778">
        <v>296</v>
      </c>
      <c r="N778" t="s">
        <v>553</v>
      </c>
    </row>
    <row r="779" spans="1:14" x14ac:dyDescent="0.2">
      <c r="A779" t="s">
        <v>1099</v>
      </c>
      <c r="B779" t="s">
        <v>32</v>
      </c>
      <c r="C779">
        <v>9</v>
      </c>
      <c r="D779">
        <v>3</v>
      </c>
      <c r="E779">
        <v>6</v>
      </c>
      <c r="F779">
        <v>9</v>
      </c>
      <c r="G779">
        <v>3</v>
      </c>
      <c r="H779">
        <v>7</v>
      </c>
      <c r="I779">
        <v>0.1583</v>
      </c>
      <c r="J779">
        <f t="shared" si="12"/>
        <v>0.75805432722678456</v>
      </c>
      <c r="K779">
        <v>1.1999999999999999E-3</v>
      </c>
      <c r="L779" t="s">
        <v>17</v>
      </c>
      <c r="M779">
        <v>296</v>
      </c>
      <c r="N779" t="s">
        <v>553</v>
      </c>
    </row>
    <row r="780" spans="1:14" x14ac:dyDescent="0.2">
      <c r="A780" t="s">
        <v>1099</v>
      </c>
      <c r="B780" t="s">
        <v>32</v>
      </c>
      <c r="C780">
        <v>5</v>
      </c>
      <c r="D780">
        <v>4</v>
      </c>
      <c r="E780">
        <v>1</v>
      </c>
      <c r="F780">
        <v>5</v>
      </c>
      <c r="G780">
        <v>4</v>
      </c>
      <c r="H780">
        <v>2</v>
      </c>
      <c r="I780">
        <v>0.18079999999999999</v>
      </c>
      <c r="J780">
        <f t="shared" si="12"/>
        <v>1.2721238938053099</v>
      </c>
      <c r="K780">
        <v>2.3E-3</v>
      </c>
      <c r="L780" t="s">
        <v>17</v>
      </c>
      <c r="M780">
        <v>296</v>
      </c>
      <c r="N780" t="s">
        <v>553</v>
      </c>
    </row>
    <row r="781" spans="1:14" x14ac:dyDescent="0.2">
      <c r="A781" t="s">
        <v>1099</v>
      </c>
      <c r="B781" t="s">
        <v>32</v>
      </c>
      <c r="C781">
        <v>4</v>
      </c>
      <c r="D781">
        <v>4</v>
      </c>
      <c r="E781">
        <v>1</v>
      </c>
      <c r="F781">
        <v>4</v>
      </c>
      <c r="G781">
        <v>4</v>
      </c>
      <c r="H781">
        <v>0</v>
      </c>
      <c r="I781">
        <v>0.16830000000000001</v>
      </c>
      <c r="J781">
        <f t="shared" si="12"/>
        <v>0.35650623885918004</v>
      </c>
      <c r="K781">
        <v>5.9999999999999995E-4</v>
      </c>
      <c r="L781" t="s">
        <v>17</v>
      </c>
      <c r="M781">
        <v>296</v>
      </c>
      <c r="N781" t="s">
        <v>553</v>
      </c>
    </row>
    <row r="782" spans="1:14" x14ac:dyDescent="0.2">
      <c r="A782" t="s">
        <v>1099</v>
      </c>
      <c r="B782" t="s">
        <v>32</v>
      </c>
      <c r="C782">
        <v>7</v>
      </c>
      <c r="D782">
        <v>3</v>
      </c>
      <c r="E782">
        <v>4</v>
      </c>
      <c r="F782">
        <v>7</v>
      </c>
      <c r="G782">
        <v>3</v>
      </c>
      <c r="H782">
        <v>5</v>
      </c>
      <c r="I782">
        <v>0.1915</v>
      </c>
      <c r="J782">
        <f t="shared" si="12"/>
        <v>0.52219321148825071</v>
      </c>
      <c r="K782">
        <v>1E-3</v>
      </c>
      <c r="L782" t="s">
        <v>17</v>
      </c>
      <c r="M782">
        <v>296</v>
      </c>
      <c r="N782" t="s">
        <v>553</v>
      </c>
    </row>
    <row r="783" spans="1:14" x14ac:dyDescent="0.2">
      <c r="A783" t="s">
        <v>1099</v>
      </c>
      <c r="B783" t="s">
        <v>32</v>
      </c>
      <c r="C783">
        <v>6</v>
      </c>
      <c r="D783">
        <v>3</v>
      </c>
      <c r="E783">
        <v>4</v>
      </c>
      <c r="F783">
        <v>6</v>
      </c>
      <c r="G783">
        <v>3</v>
      </c>
      <c r="H783">
        <v>3</v>
      </c>
      <c r="I783">
        <v>0.1903</v>
      </c>
      <c r="J783">
        <f t="shared" si="12"/>
        <v>0.42038885969521805</v>
      </c>
      <c r="K783">
        <v>8.0000000000000004E-4</v>
      </c>
      <c r="L783" t="s">
        <v>17</v>
      </c>
      <c r="M783">
        <v>296</v>
      </c>
      <c r="N783" t="s">
        <v>553</v>
      </c>
    </row>
    <row r="784" spans="1:14" x14ac:dyDescent="0.2">
      <c r="A784" t="s">
        <v>1099</v>
      </c>
      <c r="B784" t="s">
        <v>32</v>
      </c>
      <c r="C784">
        <v>5</v>
      </c>
      <c r="D784">
        <v>3</v>
      </c>
      <c r="E784">
        <v>2</v>
      </c>
      <c r="F784">
        <v>5</v>
      </c>
      <c r="G784">
        <v>3</v>
      </c>
      <c r="H784">
        <v>3</v>
      </c>
      <c r="I784">
        <v>0.17580000000000001</v>
      </c>
      <c r="J784">
        <f t="shared" si="12"/>
        <v>0.2844141069397042</v>
      </c>
      <c r="K784">
        <v>5.0000000000000001E-4</v>
      </c>
      <c r="L784" t="s">
        <v>17</v>
      </c>
      <c r="M784">
        <v>296</v>
      </c>
      <c r="N784" t="s">
        <v>553</v>
      </c>
    </row>
    <row r="785" spans="1:14" x14ac:dyDescent="0.2">
      <c r="A785" t="s">
        <v>1099</v>
      </c>
      <c r="B785" t="s">
        <v>32</v>
      </c>
      <c r="C785">
        <v>4</v>
      </c>
      <c r="D785">
        <v>3</v>
      </c>
      <c r="E785">
        <v>2</v>
      </c>
      <c r="F785">
        <v>4</v>
      </c>
      <c r="G785">
        <v>3</v>
      </c>
      <c r="H785">
        <v>1</v>
      </c>
      <c r="I785">
        <v>0.17180000000000001</v>
      </c>
      <c r="J785">
        <f t="shared" si="12"/>
        <v>0.17462165308498251</v>
      </c>
      <c r="K785">
        <v>2.9999999999999997E-4</v>
      </c>
      <c r="L785" t="s">
        <v>17</v>
      </c>
      <c r="M785">
        <v>296</v>
      </c>
      <c r="N785" t="s">
        <v>553</v>
      </c>
    </row>
    <row r="786" spans="1:14" x14ac:dyDescent="0.2">
      <c r="A786" t="s">
        <v>1099</v>
      </c>
      <c r="B786" t="s">
        <v>32</v>
      </c>
      <c r="C786">
        <v>19</v>
      </c>
      <c r="D786">
        <v>3</v>
      </c>
      <c r="E786">
        <v>16</v>
      </c>
      <c r="F786">
        <v>19</v>
      </c>
      <c r="G786">
        <v>3</v>
      </c>
      <c r="H786">
        <v>17</v>
      </c>
      <c r="I786">
        <v>0.1613</v>
      </c>
      <c r="J786">
        <f t="shared" si="12"/>
        <v>0.86794792312461255</v>
      </c>
      <c r="K786">
        <v>1.4E-3</v>
      </c>
      <c r="L786" t="s">
        <v>17</v>
      </c>
      <c r="M786">
        <v>296</v>
      </c>
      <c r="N786" t="s">
        <v>553</v>
      </c>
    </row>
    <row r="787" spans="1:14" x14ac:dyDescent="0.2">
      <c r="A787" t="s">
        <v>1099</v>
      </c>
      <c r="B787" t="s">
        <v>32</v>
      </c>
      <c r="C787">
        <v>3</v>
      </c>
      <c r="D787">
        <v>3</v>
      </c>
      <c r="E787">
        <v>0</v>
      </c>
      <c r="F787">
        <v>3</v>
      </c>
      <c r="G787">
        <v>3</v>
      </c>
      <c r="H787">
        <v>1</v>
      </c>
      <c r="I787">
        <v>0.1678</v>
      </c>
      <c r="J787">
        <f t="shared" si="12"/>
        <v>0.23837902264600713</v>
      </c>
      <c r="K787">
        <v>4.0000000000000002E-4</v>
      </c>
      <c r="L787" t="s">
        <v>17</v>
      </c>
      <c r="M787">
        <v>296</v>
      </c>
      <c r="N787" t="s">
        <v>553</v>
      </c>
    </row>
    <row r="788" spans="1:14" x14ac:dyDescent="0.2">
      <c r="A788" t="s">
        <v>1099</v>
      </c>
      <c r="B788" t="s">
        <v>32</v>
      </c>
      <c r="C788">
        <v>4</v>
      </c>
      <c r="D788">
        <v>2</v>
      </c>
      <c r="E788">
        <v>3</v>
      </c>
      <c r="F788">
        <v>4</v>
      </c>
      <c r="G788">
        <v>2</v>
      </c>
      <c r="H788">
        <v>2</v>
      </c>
      <c r="I788">
        <v>0.18579999999999999</v>
      </c>
      <c r="J788">
        <f t="shared" si="12"/>
        <v>0.26910656620021528</v>
      </c>
      <c r="K788">
        <v>5.0000000000000001E-4</v>
      </c>
      <c r="L788" t="s">
        <v>17</v>
      </c>
      <c r="M788">
        <v>296</v>
      </c>
      <c r="N788" t="s">
        <v>553</v>
      </c>
    </row>
    <row r="789" spans="1:14" x14ac:dyDescent="0.2">
      <c r="A789" t="s">
        <v>1099</v>
      </c>
      <c r="B789" t="s">
        <v>32</v>
      </c>
      <c r="C789">
        <v>5</v>
      </c>
      <c r="D789">
        <v>2</v>
      </c>
      <c r="E789">
        <v>3</v>
      </c>
      <c r="F789">
        <v>5</v>
      </c>
      <c r="G789">
        <v>2</v>
      </c>
      <c r="H789">
        <v>4</v>
      </c>
      <c r="I789">
        <v>0.19139999999999999</v>
      </c>
      <c r="J789">
        <f t="shared" si="12"/>
        <v>0.31347962382445138</v>
      </c>
      <c r="K789">
        <v>5.9999999999999995E-4</v>
      </c>
      <c r="L789" t="s">
        <v>17</v>
      </c>
      <c r="M789">
        <v>296</v>
      </c>
      <c r="N789" t="s">
        <v>553</v>
      </c>
    </row>
    <row r="790" spans="1:14" x14ac:dyDescent="0.2">
      <c r="A790" t="s">
        <v>1099</v>
      </c>
      <c r="B790" t="s">
        <v>32</v>
      </c>
      <c r="C790">
        <v>3</v>
      </c>
      <c r="D790">
        <v>2</v>
      </c>
      <c r="E790">
        <v>1</v>
      </c>
      <c r="F790">
        <v>3</v>
      </c>
      <c r="G790">
        <v>2</v>
      </c>
      <c r="H790">
        <v>2</v>
      </c>
      <c r="I790">
        <v>0.1817</v>
      </c>
      <c r="J790">
        <f t="shared" si="12"/>
        <v>0.33021463951568519</v>
      </c>
      <c r="K790">
        <v>5.9999999999999995E-4</v>
      </c>
      <c r="L790" t="s">
        <v>17</v>
      </c>
      <c r="M790">
        <v>296</v>
      </c>
      <c r="N790" t="s">
        <v>553</v>
      </c>
    </row>
    <row r="791" spans="1:14" x14ac:dyDescent="0.2">
      <c r="A791" t="s">
        <v>1099</v>
      </c>
      <c r="B791" t="s">
        <v>32</v>
      </c>
      <c r="C791">
        <v>2</v>
      </c>
      <c r="D791">
        <v>2</v>
      </c>
      <c r="E791">
        <v>1</v>
      </c>
      <c r="F791">
        <v>2</v>
      </c>
      <c r="G791">
        <v>2</v>
      </c>
      <c r="H791">
        <v>0</v>
      </c>
      <c r="I791">
        <v>0.1837</v>
      </c>
      <c r="J791">
        <f t="shared" si="12"/>
        <v>0.32661948829613496</v>
      </c>
      <c r="K791">
        <v>5.9999999999999995E-4</v>
      </c>
      <c r="L791" t="s">
        <v>17</v>
      </c>
      <c r="M791">
        <v>296</v>
      </c>
      <c r="N791" t="s">
        <v>553</v>
      </c>
    </row>
    <row r="792" spans="1:14" x14ac:dyDescent="0.2">
      <c r="A792" t="s">
        <v>1099</v>
      </c>
      <c r="B792" t="s">
        <v>32</v>
      </c>
      <c r="C792">
        <v>7</v>
      </c>
      <c r="D792">
        <v>2</v>
      </c>
      <c r="E792">
        <v>5</v>
      </c>
      <c r="F792">
        <v>7</v>
      </c>
      <c r="G792">
        <v>2</v>
      </c>
      <c r="H792">
        <v>6</v>
      </c>
      <c r="I792">
        <v>0.1716</v>
      </c>
      <c r="J792">
        <f t="shared" si="12"/>
        <v>0.64102564102564108</v>
      </c>
      <c r="K792">
        <v>1.1000000000000001E-3</v>
      </c>
      <c r="L792" t="s">
        <v>17</v>
      </c>
      <c r="M792">
        <v>296</v>
      </c>
      <c r="N792" t="s">
        <v>553</v>
      </c>
    </row>
    <row r="793" spans="1:14" x14ac:dyDescent="0.2">
      <c r="A793" t="s">
        <v>1099</v>
      </c>
      <c r="B793" t="s">
        <v>32</v>
      </c>
      <c r="C793">
        <v>9</v>
      </c>
      <c r="D793">
        <v>2</v>
      </c>
      <c r="E793">
        <v>7</v>
      </c>
      <c r="F793">
        <v>9</v>
      </c>
      <c r="G793">
        <v>2</v>
      </c>
      <c r="H793">
        <v>8</v>
      </c>
      <c r="I793">
        <v>0.20300000000000001</v>
      </c>
      <c r="J793">
        <f t="shared" si="12"/>
        <v>0.78817733990147776</v>
      </c>
      <c r="K793">
        <v>1.6000000000000001E-3</v>
      </c>
      <c r="L793" t="s">
        <v>17</v>
      </c>
      <c r="M793">
        <v>296</v>
      </c>
      <c r="N793" t="s">
        <v>553</v>
      </c>
    </row>
    <row r="794" spans="1:14" x14ac:dyDescent="0.2">
      <c r="A794" t="s">
        <v>1099</v>
      </c>
      <c r="B794" t="s">
        <v>32</v>
      </c>
      <c r="C794">
        <v>21</v>
      </c>
      <c r="D794">
        <v>3</v>
      </c>
      <c r="E794">
        <v>18</v>
      </c>
      <c r="F794">
        <v>21</v>
      </c>
      <c r="G794">
        <v>3</v>
      </c>
      <c r="H794">
        <v>19</v>
      </c>
      <c r="I794">
        <v>0.1678</v>
      </c>
      <c r="J794">
        <f t="shared" si="12"/>
        <v>0.29797377830750893</v>
      </c>
      <c r="K794">
        <v>5.0000000000000001E-4</v>
      </c>
      <c r="L794" t="s">
        <v>17</v>
      </c>
      <c r="M794">
        <v>296</v>
      </c>
      <c r="N794" t="s">
        <v>553</v>
      </c>
    </row>
    <row r="795" spans="1:14" x14ac:dyDescent="0.2">
      <c r="A795" t="s">
        <v>1099</v>
      </c>
      <c r="B795" t="s">
        <v>32</v>
      </c>
      <c r="C795">
        <v>3</v>
      </c>
      <c r="D795">
        <v>1</v>
      </c>
      <c r="E795">
        <v>2</v>
      </c>
      <c r="F795">
        <v>3</v>
      </c>
      <c r="G795">
        <v>1</v>
      </c>
      <c r="H795">
        <v>3</v>
      </c>
      <c r="I795">
        <v>0.19819999999999999</v>
      </c>
      <c r="J795">
        <f t="shared" si="12"/>
        <v>0.25227043390514631</v>
      </c>
      <c r="K795">
        <v>5.0000000000000001E-4</v>
      </c>
      <c r="L795" t="s">
        <v>17</v>
      </c>
      <c r="M795">
        <v>296</v>
      </c>
      <c r="N795" t="s">
        <v>553</v>
      </c>
    </row>
    <row r="796" spans="1:14" x14ac:dyDescent="0.2">
      <c r="A796" t="s">
        <v>1099</v>
      </c>
      <c r="B796" t="s">
        <v>32</v>
      </c>
      <c r="C796">
        <v>5</v>
      </c>
      <c r="D796">
        <v>1</v>
      </c>
      <c r="E796">
        <v>4</v>
      </c>
      <c r="F796">
        <v>5</v>
      </c>
      <c r="G796">
        <v>1</v>
      </c>
      <c r="H796">
        <v>5</v>
      </c>
      <c r="I796">
        <v>0.20549999999999999</v>
      </c>
      <c r="J796">
        <f t="shared" si="12"/>
        <v>0.53527980535279818</v>
      </c>
      <c r="K796">
        <v>1.1000000000000001E-3</v>
      </c>
      <c r="L796" t="s">
        <v>17</v>
      </c>
      <c r="M796">
        <v>296</v>
      </c>
      <c r="N796" t="s">
        <v>553</v>
      </c>
    </row>
    <row r="797" spans="1:14" x14ac:dyDescent="0.2">
      <c r="A797" t="s">
        <v>1099</v>
      </c>
      <c r="B797" t="s">
        <v>32</v>
      </c>
      <c r="C797">
        <v>13</v>
      </c>
      <c r="D797">
        <v>2</v>
      </c>
      <c r="E797">
        <v>11</v>
      </c>
      <c r="F797">
        <v>13</v>
      </c>
      <c r="G797">
        <v>2</v>
      </c>
      <c r="H797">
        <v>12</v>
      </c>
      <c r="I797">
        <v>0.1938</v>
      </c>
      <c r="J797">
        <f t="shared" si="12"/>
        <v>0.36119711042311659</v>
      </c>
      <c r="K797">
        <v>6.9999999999999999E-4</v>
      </c>
      <c r="L797" t="s">
        <v>17</v>
      </c>
      <c r="M797">
        <v>296</v>
      </c>
      <c r="N797" t="s">
        <v>553</v>
      </c>
    </row>
    <row r="798" spans="1:14" x14ac:dyDescent="0.2">
      <c r="A798" t="s">
        <v>1099</v>
      </c>
      <c r="B798" t="s">
        <v>32</v>
      </c>
      <c r="C798">
        <v>23</v>
      </c>
      <c r="D798">
        <v>3</v>
      </c>
      <c r="E798">
        <v>20</v>
      </c>
      <c r="F798">
        <v>23</v>
      </c>
      <c r="G798">
        <v>3</v>
      </c>
      <c r="H798">
        <v>21</v>
      </c>
      <c r="I798">
        <v>0.18459999999999999</v>
      </c>
      <c r="J798">
        <f t="shared" si="12"/>
        <v>0.37919826652221017</v>
      </c>
      <c r="K798">
        <v>6.9999999999999999E-4</v>
      </c>
      <c r="L798" t="s">
        <v>17</v>
      </c>
      <c r="M798">
        <v>296</v>
      </c>
      <c r="N798" t="s">
        <v>553</v>
      </c>
    </row>
    <row r="799" spans="1:14" x14ac:dyDescent="0.2">
      <c r="A799" t="s">
        <v>1099</v>
      </c>
      <c r="B799" t="s">
        <v>32</v>
      </c>
      <c r="C799">
        <v>7</v>
      </c>
      <c r="D799">
        <v>1</v>
      </c>
      <c r="E799">
        <v>6</v>
      </c>
      <c r="F799">
        <v>7</v>
      </c>
      <c r="G799">
        <v>1</v>
      </c>
      <c r="H799">
        <v>7</v>
      </c>
      <c r="I799">
        <v>0.1837</v>
      </c>
      <c r="J799">
        <f t="shared" si="12"/>
        <v>0.65323897659226993</v>
      </c>
      <c r="K799">
        <v>1.1999999999999999E-3</v>
      </c>
      <c r="L799" t="s">
        <v>17</v>
      </c>
      <c r="M799">
        <v>296</v>
      </c>
      <c r="N799" t="s">
        <v>553</v>
      </c>
    </row>
    <row r="800" spans="1:14" x14ac:dyDescent="0.2">
      <c r="A800" t="s">
        <v>1099</v>
      </c>
      <c r="B800" t="s">
        <v>32</v>
      </c>
      <c r="C800">
        <v>15</v>
      </c>
      <c r="D800">
        <v>2</v>
      </c>
      <c r="E800">
        <v>13</v>
      </c>
      <c r="F800">
        <v>15</v>
      </c>
      <c r="G800">
        <v>2</v>
      </c>
      <c r="H800">
        <v>14</v>
      </c>
      <c r="I800">
        <v>0.1822</v>
      </c>
      <c r="J800">
        <f t="shared" si="12"/>
        <v>0.43907793633369924</v>
      </c>
      <c r="K800">
        <v>8.0000000000000004E-4</v>
      </c>
      <c r="L800" t="s">
        <v>17</v>
      </c>
      <c r="M800">
        <v>296</v>
      </c>
      <c r="N800" t="s">
        <v>553</v>
      </c>
    </row>
    <row r="801" spans="1:14" x14ac:dyDescent="0.2">
      <c r="A801" t="s">
        <v>1099</v>
      </c>
      <c r="B801" t="s">
        <v>32</v>
      </c>
      <c r="C801">
        <v>25</v>
      </c>
      <c r="D801">
        <v>3</v>
      </c>
      <c r="E801">
        <v>22</v>
      </c>
      <c r="F801">
        <v>25</v>
      </c>
      <c r="G801">
        <v>3</v>
      </c>
      <c r="H801">
        <v>23</v>
      </c>
      <c r="I801">
        <v>0.1709</v>
      </c>
      <c r="J801">
        <f t="shared" si="12"/>
        <v>0.70216500877706256</v>
      </c>
      <c r="K801">
        <v>1.1999999999999999E-3</v>
      </c>
      <c r="L801" t="s">
        <v>17</v>
      </c>
      <c r="M801">
        <v>296</v>
      </c>
      <c r="N801" t="s">
        <v>553</v>
      </c>
    </row>
    <row r="802" spans="1:14" x14ac:dyDescent="0.2">
      <c r="A802" t="s">
        <v>1099</v>
      </c>
      <c r="B802" t="s">
        <v>32</v>
      </c>
      <c r="C802">
        <v>3</v>
      </c>
      <c r="D802">
        <v>2</v>
      </c>
      <c r="E802">
        <v>1</v>
      </c>
      <c r="F802">
        <v>2</v>
      </c>
      <c r="G802">
        <v>2</v>
      </c>
      <c r="H802">
        <v>0</v>
      </c>
      <c r="I802">
        <v>0.18590000000000001</v>
      </c>
      <c r="J802">
        <f t="shared" si="12"/>
        <v>0.10758472296933834</v>
      </c>
      <c r="K802">
        <v>2.0000000000000001E-4</v>
      </c>
      <c r="L802" t="s">
        <v>17</v>
      </c>
      <c r="M802">
        <v>296</v>
      </c>
      <c r="N802" t="s">
        <v>553</v>
      </c>
    </row>
    <row r="803" spans="1:14" x14ac:dyDescent="0.2">
      <c r="A803" t="s">
        <v>1099</v>
      </c>
      <c r="B803" t="s">
        <v>32</v>
      </c>
      <c r="C803">
        <v>3</v>
      </c>
      <c r="D803">
        <v>0</v>
      </c>
      <c r="E803">
        <v>3</v>
      </c>
      <c r="F803">
        <v>2</v>
      </c>
      <c r="G803">
        <v>0</v>
      </c>
      <c r="H803">
        <v>2</v>
      </c>
      <c r="I803">
        <v>0.19939999999999999</v>
      </c>
      <c r="J803">
        <f t="shared" si="12"/>
        <v>0.10030090270812438</v>
      </c>
      <c r="K803">
        <v>2.0000000000000001E-4</v>
      </c>
      <c r="L803" t="s">
        <v>17</v>
      </c>
      <c r="M803">
        <v>296</v>
      </c>
      <c r="N803" t="s">
        <v>553</v>
      </c>
    </row>
    <row r="804" spans="1:14" x14ac:dyDescent="0.2">
      <c r="A804" t="s">
        <v>1099</v>
      </c>
      <c r="B804" t="s">
        <v>32</v>
      </c>
      <c r="C804">
        <v>4</v>
      </c>
      <c r="D804">
        <v>3</v>
      </c>
      <c r="E804">
        <v>2</v>
      </c>
      <c r="F804">
        <v>3</v>
      </c>
      <c r="G804">
        <v>3</v>
      </c>
      <c r="H804">
        <v>1</v>
      </c>
      <c r="I804">
        <v>0.1729</v>
      </c>
      <c r="J804">
        <f t="shared" si="12"/>
        <v>0.11567379988432622</v>
      </c>
      <c r="K804">
        <v>2.0000000000000001E-4</v>
      </c>
      <c r="L804" t="s">
        <v>17</v>
      </c>
      <c r="M804">
        <v>296</v>
      </c>
      <c r="N804" t="s">
        <v>553</v>
      </c>
    </row>
    <row r="805" spans="1:14" x14ac:dyDescent="0.2">
      <c r="A805" t="s">
        <v>1099</v>
      </c>
      <c r="B805" t="s">
        <v>32</v>
      </c>
      <c r="C805">
        <v>4</v>
      </c>
      <c r="D805">
        <v>2</v>
      </c>
      <c r="E805">
        <v>3</v>
      </c>
      <c r="F805">
        <v>3</v>
      </c>
      <c r="G805">
        <v>2</v>
      </c>
      <c r="H805">
        <v>2</v>
      </c>
      <c r="I805">
        <v>0.18410000000000001</v>
      </c>
      <c r="J805">
        <f t="shared" si="12"/>
        <v>0.10863661053775121</v>
      </c>
      <c r="K805">
        <v>2.0000000000000001E-4</v>
      </c>
      <c r="L805" t="s">
        <v>17</v>
      </c>
      <c r="M805">
        <v>296</v>
      </c>
      <c r="N805" t="s">
        <v>553</v>
      </c>
    </row>
    <row r="806" spans="1:14" x14ac:dyDescent="0.2">
      <c r="A806" t="s">
        <v>1099</v>
      </c>
      <c r="B806" t="s">
        <v>32</v>
      </c>
      <c r="C806">
        <v>5</v>
      </c>
      <c r="D806">
        <v>3</v>
      </c>
      <c r="E806">
        <v>2</v>
      </c>
      <c r="F806">
        <v>4</v>
      </c>
      <c r="G806">
        <v>3</v>
      </c>
      <c r="H806">
        <v>1</v>
      </c>
      <c r="I806">
        <v>0.17649999999999999</v>
      </c>
      <c r="J806">
        <f t="shared" si="12"/>
        <v>0.16997167138810199</v>
      </c>
      <c r="K806">
        <v>2.9999999999999997E-4</v>
      </c>
      <c r="L806" t="s">
        <v>17</v>
      </c>
      <c r="M806">
        <v>296</v>
      </c>
      <c r="N806" t="s">
        <v>553</v>
      </c>
    </row>
    <row r="807" spans="1:14" x14ac:dyDescent="0.2">
      <c r="A807" t="s">
        <v>1099</v>
      </c>
      <c r="B807" t="s">
        <v>32</v>
      </c>
      <c r="C807">
        <v>5</v>
      </c>
      <c r="D807">
        <v>2</v>
      </c>
      <c r="E807">
        <v>3</v>
      </c>
      <c r="F807">
        <v>4</v>
      </c>
      <c r="G807">
        <v>2</v>
      </c>
      <c r="H807">
        <v>2</v>
      </c>
      <c r="I807">
        <v>0.18679999999999999</v>
      </c>
      <c r="J807">
        <f t="shared" si="12"/>
        <v>0.10706638115631692</v>
      </c>
      <c r="K807">
        <v>2.0000000000000001E-4</v>
      </c>
      <c r="L807" t="s">
        <v>17</v>
      </c>
      <c r="M807">
        <v>296</v>
      </c>
      <c r="N807" t="s">
        <v>553</v>
      </c>
    </row>
    <row r="808" spans="1:14" x14ac:dyDescent="0.2">
      <c r="A808" t="s">
        <v>1099</v>
      </c>
      <c r="B808" t="s">
        <v>32</v>
      </c>
      <c r="C808">
        <v>19</v>
      </c>
      <c r="D808">
        <v>2</v>
      </c>
      <c r="E808">
        <v>17</v>
      </c>
      <c r="F808">
        <v>19</v>
      </c>
      <c r="G808">
        <v>2</v>
      </c>
      <c r="H808">
        <v>18</v>
      </c>
      <c r="I808">
        <v>0.19980000000000001</v>
      </c>
      <c r="J808">
        <f t="shared" si="12"/>
        <v>0.85085085085085077</v>
      </c>
      <c r="K808">
        <v>1.6999999999999999E-3</v>
      </c>
      <c r="L808" t="s">
        <v>17</v>
      </c>
      <c r="M808">
        <v>296</v>
      </c>
      <c r="N808" t="s">
        <v>553</v>
      </c>
    </row>
    <row r="809" spans="1:14" x14ac:dyDescent="0.2">
      <c r="A809" t="s">
        <v>1099</v>
      </c>
      <c r="B809" t="s">
        <v>32</v>
      </c>
      <c r="C809">
        <v>5</v>
      </c>
      <c r="D809">
        <v>1</v>
      </c>
      <c r="E809">
        <v>4</v>
      </c>
      <c r="F809">
        <v>4</v>
      </c>
      <c r="G809">
        <v>1</v>
      </c>
      <c r="H809">
        <v>3</v>
      </c>
      <c r="I809">
        <v>0.19719999999999999</v>
      </c>
      <c r="J809">
        <f t="shared" si="12"/>
        <v>0.10141987829614607</v>
      </c>
      <c r="K809">
        <v>2.0000000000000001E-4</v>
      </c>
      <c r="L809" t="s">
        <v>17</v>
      </c>
      <c r="M809">
        <v>296</v>
      </c>
      <c r="N809" t="s">
        <v>553</v>
      </c>
    </row>
    <row r="810" spans="1:14" x14ac:dyDescent="0.2">
      <c r="A810" t="s">
        <v>1099</v>
      </c>
      <c r="B810" t="s">
        <v>32</v>
      </c>
      <c r="C810">
        <v>6</v>
      </c>
      <c r="D810">
        <v>5</v>
      </c>
      <c r="E810">
        <v>2</v>
      </c>
      <c r="F810">
        <v>5</v>
      </c>
      <c r="G810">
        <v>5</v>
      </c>
      <c r="H810">
        <v>1</v>
      </c>
      <c r="I810">
        <v>0.1671</v>
      </c>
      <c r="J810">
        <f t="shared" si="12"/>
        <v>0.17953321364452421</v>
      </c>
      <c r="K810">
        <v>2.9999999999999997E-4</v>
      </c>
      <c r="L810" t="s">
        <v>17</v>
      </c>
      <c r="M810">
        <v>296</v>
      </c>
      <c r="N810" t="s">
        <v>553</v>
      </c>
    </row>
    <row r="811" spans="1:14" x14ac:dyDescent="0.2">
      <c r="A811" t="s">
        <v>1099</v>
      </c>
      <c r="B811" t="s">
        <v>32</v>
      </c>
      <c r="C811">
        <v>6</v>
      </c>
      <c r="D811">
        <v>4</v>
      </c>
      <c r="E811">
        <v>3</v>
      </c>
      <c r="F811">
        <v>5</v>
      </c>
      <c r="G811">
        <v>4</v>
      </c>
      <c r="H811">
        <v>2</v>
      </c>
      <c r="I811">
        <v>0.17069999999999999</v>
      </c>
      <c r="J811">
        <f t="shared" si="12"/>
        <v>0.11716461628588168</v>
      </c>
      <c r="K811">
        <v>2.0000000000000001E-4</v>
      </c>
      <c r="L811" t="s">
        <v>17</v>
      </c>
      <c r="M811">
        <v>296</v>
      </c>
      <c r="N811" t="s">
        <v>553</v>
      </c>
    </row>
    <row r="812" spans="1:14" x14ac:dyDescent="0.2">
      <c r="A812" t="s">
        <v>1099</v>
      </c>
      <c r="B812" t="s">
        <v>32</v>
      </c>
      <c r="C812">
        <v>6</v>
      </c>
      <c r="D812">
        <v>1</v>
      </c>
      <c r="E812">
        <v>6</v>
      </c>
      <c r="F812">
        <v>5</v>
      </c>
      <c r="G812">
        <v>1</v>
      </c>
      <c r="H812">
        <v>5</v>
      </c>
      <c r="I812">
        <v>0.19289999999999999</v>
      </c>
      <c r="J812">
        <f t="shared" si="12"/>
        <v>5.1840331778123389E-2</v>
      </c>
      <c r="K812">
        <v>1E-4</v>
      </c>
      <c r="L812" t="s">
        <v>17</v>
      </c>
      <c r="M812">
        <v>296</v>
      </c>
      <c r="N812" t="s">
        <v>553</v>
      </c>
    </row>
    <row r="813" spans="1:14" x14ac:dyDescent="0.2">
      <c r="A813" t="s">
        <v>1099</v>
      </c>
      <c r="B813" t="s">
        <v>32</v>
      </c>
      <c r="C813">
        <v>6</v>
      </c>
      <c r="D813">
        <v>3</v>
      </c>
      <c r="E813">
        <v>4</v>
      </c>
      <c r="F813">
        <v>5</v>
      </c>
      <c r="G813">
        <v>3</v>
      </c>
      <c r="H813">
        <v>3</v>
      </c>
      <c r="I813">
        <v>0.1779</v>
      </c>
      <c r="J813">
        <f t="shared" si="12"/>
        <v>0.11242270938729623</v>
      </c>
      <c r="K813">
        <v>2.0000000000000001E-4</v>
      </c>
      <c r="L813" t="s">
        <v>17</v>
      </c>
      <c r="M813">
        <v>296</v>
      </c>
      <c r="N813" t="s">
        <v>553</v>
      </c>
    </row>
    <row r="814" spans="1:14" x14ac:dyDescent="0.2">
      <c r="A814" t="s">
        <v>1099</v>
      </c>
      <c r="B814" t="s">
        <v>32</v>
      </c>
      <c r="C814">
        <v>6</v>
      </c>
      <c r="D814">
        <v>2</v>
      </c>
      <c r="E814">
        <v>5</v>
      </c>
      <c r="F814">
        <v>5</v>
      </c>
      <c r="G814">
        <v>2</v>
      </c>
      <c r="H814">
        <v>4</v>
      </c>
      <c r="I814">
        <v>0.18079999999999999</v>
      </c>
      <c r="J814">
        <f t="shared" si="12"/>
        <v>0.11061946902654869</v>
      </c>
      <c r="K814">
        <v>2.0000000000000001E-4</v>
      </c>
      <c r="L814" t="s">
        <v>17</v>
      </c>
      <c r="M814">
        <v>296</v>
      </c>
      <c r="N814" t="s">
        <v>553</v>
      </c>
    </row>
    <row r="815" spans="1:14" x14ac:dyDescent="0.2">
      <c r="A815" t="s">
        <v>1099</v>
      </c>
      <c r="B815" t="s">
        <v>32</v>
      </c>
      <c r="C815">
        <v>7</v>
      </c>
      <c r="D815">
        <v>6</v>
      </c>
      <c r="E815">
        <v>1</v>
      </c>
      <c r="F815">
        <v>6</v>
      </c>
      <c r="G815">
        <v>6</v>
      </c>
      <c r="H815">
        <v>0</v>
      </c>
      <c r="I815">
        <v>0.16200000000000001</v>
      </c>
      <c r="J815">
        <f t="shared" si="12"/>
        <v>0.30864197530864196</v>
      </c>
      <c r="K815">
        <v>5.0000000000000001E-4</v>
      </c>
      <c r="L815" t="s">
        <v>17</v>
      </c>
      <c r="M815">
        <v>296</v>
      </c>
      <c r="N815" t="s">
        <v>553</v>
      </c>
    </row>
    <row r="816" spans="1:14" x14ac:dyDescent="0.2">
      <c r="A816" t="s">
        <v>1099</v>
      </c>
      <c r="B816" t="s">
        <v>32</v>
      </c>
      <c r="C816">
        <v>7</v>
      </c>
      <c r="D816">
        <v>4</v>
      </c>
      <c r="E816">
        <v>3</v>
      </c>
      <c r="F816">
        <v>6</v>
      </c>
      <c r="G816">
        <v>4</v>
      </c>
      <c r="H816">
        <v>2</v>
      </c>
      <c r="I816">
        <v>0.1744</v>
      </c>
      <c r="J816">
        <f t="shared" si="12"/>
        <v>0.22935779816513763</v>
      </c>
      <c r="K816">
        <v>4.0000000000000002E-4</v>
      </c>
      <c r="L816" t="s">
        <v>17</v>
      </c>
      <c r="M816">
        <v>296</v>
      </c>
      <c r="N816" t="s">
        <v>553</v>
      </c>
    </row>
    <row r="817" spans="1:14" x14ac:dyDescent="0.2">
      <c r="A817" t="s">
        <v>1099</v>
      </c>
      <c r="B817" t="s">
        <v>32</v>
      </c>
      <c r="C817">
        <v>8</v>
      </c>
      <c r="D817">
        <v>7</v>
      </c>
      <c r="E817">
        <v>2</v>
      </c>
      <c r="F817">
        <v>7</v>
      </c>
      <c r="G817">
        <v>7</v>
      </c>
      <c r="H817">
        <v>1</v>
      </c>
      <c r="I817">
        <v>0.16689999999999999</v>
      </c>
      <c r="J817">
        <f t="shared" si="12"/>
        <v>0.53924505692031166</v>
      </c>
      <c r="K817">
        <v>8.9999999999999998E-4</v>
      </c>
      <c r="L817" t="s">
        <v>17</v>
      </c>
      <c r="M817">
        <v>296</v>
      </c>
      <c r="N817" t="s">
        <v>553</v>
      </c>
    </row>
    <row r="818" spans="1:14" x14ac:dyDescent="0.2">
      <c r="A818" t="s">
        <v>1099</v>
      </c>
      <c r="B818" t="s">
        <v>32</v>
      </c>
      <c r="C818">
        <v>7</v>
      </c>
      <c r="D818">
        <v>3</v>
      </c>
      <c r="E818">
        <v>4</v>
      </c>
      <c r="F818">
        <v>6</v>
      </c>
      <c r="G818">
        <v>3</v>
      </c>
      <c r="H818">
        <v>3</v>
      </c>
      <c r="I818">
        <v>0.1772</v>
      </c>
      <c r="J818">
        <f t="shared" si="12"/>
        <v>0.16930022573363432</v>
      </c>
      <c r="K818">
        <v>2.9999999999999997E-4</v>
      </c>
      <c r="L818" t="s">
        <v>17</v>
      </c>
      <c r="M818">
        <v>296</v>
      </c>
      <c r="N818" t="s">
        <v>553</v>
      </c>
    </row>
    <row r="819" spans="1:14" x14ac:dyDescent="0.2">
      <c r="A819" t="s">
        <v>1099</v>
      </c>
      <c r="B819" t="s">
        <v>32</v>
      </c>
      <c r="C819">
        <v>7</v>
      </c>
      <c r="D819">
        <v>0</v>
      </c>
      <c r="E819">
        <v>7</v>
      </c>
      <c r="F819">
        <v>6</v>
      </c>
      <c r="G819">
        <v>0</v>
      </c>
      <c r="H819">
        <v>6</v>
      </c>
      <c r="I819">
        <v>0.2006</v>
      </c>
      <c r="J819">
        <f t="shared" si="12"/>
        <v>9.9700897308075784E-2</v>
      </c>
      <c r="K819">
        <v>2.0000000000000001E-4</v>
      </c>
      <c r="L819" t="s">
        <v>17</v>
      </c>
      <c r="M819">
        <v>296</v>
      </c>
      <c r="N819" t="s">
        <v>553</v>
      </c>
    </row>
    <row r="820" spans="1:14" x14ac:dyDescent="0.2">
      <c r="A820" t="s">
        <v>1099</v>
      </c>
      <c r="B820" t="s">
        <v>32</v>
      </c>
      <c r="C820">
        <v>9</v>
      </c>
      <c r="D820">
        <v>8</v>
      </c>
      <c r="E820">
        <v>1</v>
      </c>
      <c r="F820">
        <v>8</v>
      </c>
      <c r="G820">
        <v>8</v>
      </c>
      <c r="H820">
        <v>0</v>
      </c>
      <c r="I820">
        <v>0.1668</v>
      </c>
      <c r="J820">
        <f t="shared" si="12"/>
        <v>0.23980815347721826</v>
      </c>
      <c r="K820">
        <v>4.0000000000000002E-4</v>
      </c>
      <c r="L820" t="s">
        <v>17</v>
      </c>
      <c r="M820">
        <v>296</v>
      </c>
      <c r="N820" t="s">
        <v>553</v>
      </c>
    </row>
    <row r="821" spans="1:14" x14ac:dyDescent="0.2">
      <c r="A821" t="s">
        <v>1099</v>
      </c>
      <c r="B821" t="s">
        <v>32</v>
      </c>
      <c r="C821">
        <v>7</v>
      </c>
      <c r="D821">
        <v>1</v>
      </c>
      <c r="E821">
        <v>6</v>
      </c>
      <c r="F821">
        <v>6</v>
      </c>
      <c r="G821">
        <v>1</v>
      </c>
      <c r="H821">
        <v>5</v>
      </c>
      <c r="I821">
        <v>0.19620000000000001</v>
      </c>
      <c r="J821">
        <f t="shared" si="12"/>
        <v>0.10193679918450561</v>
      </c>
      <c r="K821">
        <v>2.0000000000000001E-4</v>
      </c>
      <c r="L821" t="s">
        <v>17</v>
      </c>
      <c r="M821">
        <v>296</v>
      </c>
      <c r="N821" t="s">
        <v>553</v>
      </c>
    </row>
    <row r="822" spans="1:14" x14ac:dyDescent="0.2">
      <c r="A822" t="s">
        <v>1099</v>
      </c>
      <c r="B822" t="s">
        <v>32</v>
      </c>
      <c r="C822">
        <v>8</v>
      </c>
      <c r="D822">
        <v>5</v>
      </c>
      <c r="E822">
        <v>4</v>
      </c>
      <c r="F822">
        <v>7</v>
      </c>
      <c r="G822">
        <v>5</v>
      </c>
      <c r="H822">
        <v>3</v>
      </c>
      <c r="I822">
        <v>0.17349999999999999</v>
      </c>
      <c r="J822">
        <f t="shared" si="12"/>
        <v>0.1729106628242075</v>
      </c>
      <c r="K822">
        <v>2.9999999999999997E-4</v>
      </c>
      <c r="L822" t="s">
        <v>17</v>
      </c>
      <c r="M822">
        <v>296</v>
      </c>
      <c r="N822" t="s">
        <v>553</v>
      </c>
    </row>
    <row r="823" spans="1:14" x14ac:dyDescent="0.2">
      <c r="A823" t="s">
        <v>1099</v>
      </c>
      <c r="B823" t="s">
        <v>32</v>
      </c>
      <c r="C823">
        <v>8</v>
      </c>
      <c r="D823">
        <v>4</v>
      </c>
      <c r="E823">
        <v>5</v>
      </c>
      <c r="F823">
        <v>7</v>
      </c>
      <c r="G823">
        <v>4</v>
      </c>
      <c r="H823">
        <v>4</v>
      </c>
      <c r="I823">
        <v>0.17269999999999999</v>
      </c>
      <c r="J823">
        <f t="shared" si="12"/>
        <v>0.11580775911986105</v>
      </c>
      <c r="K823">
        <v>2.0000000000000001E-4</v>
      </c>
      <c r="L823" t="s">
        <v>17</v>
      </c>
      <c r="M823">
        <v>296</v>
      </c>
      <c r="N823" t="s">
        <v>553</v>
      </c>
    </row>
    <row r="824" spans="1:14" x14ac:dyDescent="0.2">
      <c r="A824" t="s">
        <v>1099</v>
      </c>
      <c r="B824" t="s">
        <v>32</v>
      </c>
      <c r="C824">
        <v>8</v>
      </c>
      <c r="D824">
        <v>3</v>
      </c>
      <c r="E824">
        <v>6</v>
      </c>
      <c r="F824">
        <v>7</v>
      </c>
      <c r="G824">
        <v>3</v>
      </c>
      <c r="H824">
        <v>5</v>
      </c>
      <c r="I824">
        <v>0.17949999999999999</v>
      </c>
      <c r="J824">
        <f t="shared" si="12"/>
        <v>5.5710306406685242E-2</v>
      </c>
      <c r="K824">
        <v>1E-4</v>
      </c>
      <c r="L824" t="s">
        <v>17</v>
      </c>
      <c r="M824">
        <v>296</v>
      </c>
      <c r="N824" t="s">
        <v>553</v>
      </c>
    </row>
    <row r="825" spans="1:14" x14ac:dyDescent="0.2">
      <c r="A825" t="s">
        <v>1099</v>
      </c>
      <c r="B825" t="s">
        <v>32</v>
      </c>
      <c r="C825">
        <v>8</v>
      </c>
      <c r="D825">
        <v>2</v>
      </c>
      <c r="E825">
        <v>7</v>
      </c>
      <c r="F825">
        <v>7</v>
      </c>
      <c r="G825">
        <v>2</v>
      </c>
      <c r="H825">
        <v>6</v>
      </c>
      <c r="I825">
        <v>0.1852</v>
      </c>
      <c r="J825">
        <f t="shared" si="12"/>
        <v>5.399568034557236E-2</v>
      </c>
      <c r="K825">
        <v>1E-4</v>
      </c>
      <c r="L825" t="s">
        <v>17</v>
      </c>
      <c r="M825">
        <v>296</v>
      </c>
      <c r="N825" t="s">
        <v>553</v>
      </c>
    </row>
    <row r="826" spans="1:14" x14ac:dyDescent="0.2">
      <c r="A826" t="s">
        <v>1099</v>
      </c>
      <c r="B826" t="s">
        <v>32</v>
      </c>
      <c r="C826">
        <v>9</v>
      </c>
      <c r="D826">
        <v>6</v>
      </c>
      <c r="E826">
        <v>3</v>
      </c>
      <c r="F826">
        <v>8</v>
      </c>
      <c r="G826">
        <v>6</v>
      </c>
      <c r="H826">
        <v>2</v>
      </c>
      <c r="I826">
        <v>0.17</v>
      </c>
      <c r="J826">
        <f t="shared" si="12"/>
        <v>0.23529411764705879</v>
      </c>
      <c r="K826">
        <v>4.0000000000000002E-4</v>
      </c>
      <c r="L826" t="s">
        <v>17</v>
      </c>
      <c r="M826">
        <v>296</v>
      </c>
      <c r="N826" t="s">
        <v>553</v>
      </c>
    </row>
    <row r="827" spans="1:14" x14ac:dyDescent="0.2">
      <c r="A827" t="s">
        <v>1099</v>
      </c>
      <c r="B827" t="s">
        <v>32</v>
      </c>
      <c r="C827">
        <v>11</v>
      </c>
      <c r="D827">
        <v>10</v>
      </c>
      <c r="E827">
        <v>1</v>
      </c>
      <c r="F827">
        <v>10</v>
      </c>
      <c r="G827">
        <v>10</v>
      </c>
      <c r="H827">
        <v>0</v>
      </c>
      <c r="I827">
        <v>0.15340000000000001</v>
      </c>
      <c r="J827">
        <f t="shared" si="12"/>
        <v>0.2607561929595828</v>
      </c>
      <c r="K827">
        <v>4.0000000000000002E-4</v>
      </c>
      <c r="L827" t="s">
        <v>17</v>
      </c>
      <c r="M827">
        <v>296</v>
      </c>
      <c r="N827" t="s">
        <v>553</v>
      </c>
    </row>
    <row r="828" spans="1:14" x14ac:dyDescent="0.2">
      <c r="A828" t="s">
        <v>1099</v>
      </c>
      <c r="B828" t="s">
        <v>32</v>
      </c>
      <c r="C828">
        <v>10</v>
      </c>
      <c r="D828">
        <v>8</v>
      </c>
      <c r="E828">
        <v>3</v>
      </c>
      <c r="F828">
        <v>9</v>
      </c>
      <c r="G828">
        <v>8</v>
      </c>
      <c r="H828">
        <v>2</v>
      </c>
      <c r="I828">
        <v>0.1653</v>
      </c>
      <c r="J828">
        <f t="shared" si="12"/>
        <v>0.18148820326678763</v>
      </c>
      <c r="K828">
        <v>2.9999999999999997E-4</v>
      </c>
      <c r="L828" t="s">
        <v>17</v>
      </c>
      <c r="M828">
        <v>296</v>
      </c>
      <c r="N828" t="s">
        <v>553</v>
      </c>
    </row>
    <row r="829" spans="1:14" x14ac:dyDescent="0.2">
      <c r="A829" t="s">
        <v>1099</v>
      </c>
      <c r="B829" t="s">
        <v>32</v>
      </c>
      <c r="C829">
        <v>9</v>
      </c>
      <c r="D829">
        <v>5</v>
      </c>
      <c r="E829">
        <v>4</v>
      </c>
      <c r="F829">
        <v>8</v>
      </c>
      <c r="G829">
        <v>5</v>
      </c>
      <c r="H829">
        <v>3</v>
      </c>
      <c r="I829">
        <v>0.1719</v>
      </c>
      <c r="J829">
        <f t="shared" si="12"/>
        <v>0.11634671320535196</v>
      </c>
      <c r="K829">
        <v>2.0000000000000001E-4</v>
      </c>
      <c r="L829" t="s">
        <v>17</v>
      </c>
      <c r="M829">
        <v>296</v>
      </c>
      <c r="N829" t="s">
        <v>553</v>
      </c>
    </row>
    <row r="830" spans="1:14" x14ac:dyDescent="0.2">
      <c r="A830" t="s">
        <v>1099</v>
      </c>
      <c r="B830" t="s">
        <v>32</v>
      </c>
      <c r="C830">
        <v>9</v>
      </c>
      <c r="D830">
        <v>4</v>
      </c>
      <c r="E830">
        <v>5</v>
      </c>
      <c r="F830">
        <v>8</v>
      </c>
      <c r="G830">
        <v>4</v>
      </c>
      <c r="H830">
        <v>4</v>
      </c>
      <c r="I830">
        <v>0.16880000000000001</v>
      </c>
      <c r="J830">
        <f t="shared" si="12"/>
        <v>0.11848341232227488</v>
      </c>
      <c r="K830">
        <v>2.0000000000000001E-4</v>
      </c>
      <c r="L830" t="s">
        <v>17</v>
      </c>
      <c r="M830">
        <v>296</v>
      </c>
      <c r="N830" t="s">
        <v>553</v>
      </c>
    </row>
    <row r="831" spans="1:14" x14ac:dyDescent="0.2">
      <c r="A831" t="s">
        <v>1099</v>
      </c>
      <c r="B831" t="s">
        <v>32</v>
      </c>
      <c r="C831">
        <v>10</v>
      </c>
      <c r="D831">
        <v>7</v>
      </c>
      <c r="E831">
        <v>4</v>
      </c>
      <c r="F831">
        <v>9</v>
      </c>
      <c r="G831">
        <v>7</v>
      </c>
      <c r="H831">
        <v>3</v>
      </c>
      <c r="I831">
        <v>0.16719999999999999</v>
      </c>
      <c r="J831">
        <f t="shared" si="12"/>
        <v>0.23923444976076558</v>
      </c>
      <c r="K831">
        <v>4.0000000000000002E-4</v>
      </c>
      <c r="L831" t="s">
        <v>17</v>
      </c>
      <c r="M831">
        <v>296</v>
      </c>
      <c r="N831" t="s">
        <v>553</v>
      </c>
    </row>
    <row r="832" spans="1:14" x14ac:dyDescent="0.2">
      <c r="A832" t="s">
        <v>1099</v>
      </c>
      <c r="B832" t="s">
        <v>32</v>
      </c>
      <c r="C832">
        <v>11</v>
      </c>
      <c r="D832">
        <v>9</v>
      </c>
      <c r="E832">
        <v>2</v>
      </c>
      <c r="F832">
        <v>10</v>
      </c>
      <c r="G832">
        <v>9</v>
      </c>
      <c r="H832">
        <v>1</v>
      </c>
      <c r="I832">
        <v>0.15709999999999999</v>
      </c>
      <c r="J832">
        <f t="shared" si="12"/>
        <v>0.44557606619987272</v>
      </c>
      <c r="K832">
        <v>6.9999999999999999E-4</v>
      </c>
      <c r="L832" t="s">
        <v>17</v>
      </c>
      <c r="M832">
        <v>296</v>
      </c>
      <c r="N832" t="s">
        <v>553</v>
      </c>
    </row>
    <row r="833" spans="1:14" x14ac:dyDescent="0.2">
      <c r="A833" t="s">
        <v>1099</v>
      </c>
      <c r="B833" t="s">
        <v>32</v>
      </c>
      <c r="C833">
        <v>9</v>
      </c>
      <c r="D833">
        <v>3</v>
      </c>
      <c r="E833">
        <v>6</v>
      </c>
      <c r="F833">
        <v>8</v>
      </c>
      <c r="G833">
        <v>3</v>
      </c>
      <c r="H833">
        <v>5</v>
      </c>
      <c r="I833">
        <v>0.16980000000000001</v>
      </c>
      <c r="J833">
        <f t="shared" si="12"/>
        <v>0.23557126030624262</v>
      </c>
      <c r="K833">
        <v>4.0000000000000002E-4</v>
      </c>
      <c r="L833" t="s">
        <v>17</v>
      </c>
      <c r="M833">
        <v>296</v>
      </c>
      <c r="N833" t="s">
        <v>553</v>
      </c>
    </row>
    <row r="834" spans="1:14" x14ac:dyDescent="0.2">
      <c r="A834" t="s">
        <v>1099</v>
      </c>
      <c r="B834" t="s">
        <v>32</v>
      </c>
      <c r="C834">
        <v>9</v>
      </c>
      <c r="D834">
        <v>0</v>
      </c>
      <c r="E834">
        <v>9</v>
      </c>
      <c r="F834">
        <v>8</v>
      </c>
      <c r="G834">
        <v>0</v>
      </c>
      <c r="H834">
        <v>8</v>
      </c>
      <c r="I834">
        <v>0.2001</v>
      </c>
      <c r="J834">
        <f t="shared" si="12"/>
        <v>0.14992503748125938</v>
      </c>
      <c r="K834">
        <v>2.9999999999999997E-4</v>
      </c>
      <c r="L834" t="s">
        <v>17</v>
      </c>
      <c r="M834">
        <v>296</v>
      </c>
      <c r="N834" t="s">
        <v>553</v>
      </c>
    </row>
    <row r="835" spans="1:14" x14ac:dyDescent="0.2">
      <c r="A835" t="s">
        <v>1099</v>
      </c>
      <c r="B835" t="s">
        <v>32</v>
      </c>
      <c r="C835">
        <v>10</v>
      </c>
      <c r="D835">
        <v>6</v>
      </c>
      <c r="E835">
        <v>5</v>
      </c>
      <c r="F835">
        <v>9</v>
      </c>
      <c r="G835">
        <v>6</v>
      </c>
      <c r="H835">
        <v>4</v>
      </c>
      <c r="I835">
        <v>0.1724</v>
      </c>
      <c r="J835">
        <f t="shared" ref="J835:J898" si="13">K835/I835*100</f>
        <v>0.11600928074245942</v>
      </c>
      <c r="K835">
        <v>2.0000000000000001E-4</v>
      </c>
      <c r="L835" t="s">
        <v>17</v>
      </c>
      <c r="M835">
        <v>296</v>
      </c>
      <c r="N835" t="s">
        <v>553</v>
      </c>
    </row>
    <row r="836" spans="1:14" x14ac:dyDescent="0.2">
      <c r="A836" t="s">
        <v>1099</v>
      </c>
      <c r="B836" t="s">
        <v>32</v>
      </c>
      <c r="C836">
        <v>14</v>
      </c>
      <c r="D836">
        <v>13</v>
      </c>
      <c r="E836">
        <v>2</v>
      </c>
      <c r="F836">
        <v>13</v>
      </c>
      <c r="G836">
        <v>13</v>
      </c>
      <c r="H836">
        <v>1</v>
      </c>
      <c r="I836">
        <v>0.1489</v>
      </c>
      <c r="J836">
        <f t="shared" si="13"/>
        <v>0.26863666890530558</v>
      </c>
      <c r="K836">
        <v>4.0000000000000002E-4</v>
      </c>
      <c r="L836" t="s">
        <v>17</v>
      </c>
      <c r="M836">
        <v>296</v>
      </c>
      <c r="N836" t="s">
        <v>553</v>
      </c>
    </row>
    <row r="837" spans="1:14" x14ac:dyDescent="0.2">
      <c r="A837" t="s">
        <v>1099</v>
      </c>
      <c r="B837" t="s">
        <v>32</v>
      </c>
      <c r="C837">
        <v>11</v>
      </c>
      <c r="D837">
        <v>8</v>
      </c>
      <c r="E837">
        <v>3</v>
      </c>
      <c r="F837">
        <v>10</v>
      </c>
      <c r="G837">
        <v>8</v>
      </c>
      <c r="H837">
        <v>2</v>
      </c>
      <c r="I837">
        <v>0.16819999999999999</v>
      </c>
      <c r="J837">
        <f t="shared" si="13"/>
        <v>0.11890606420927469</v>
      </c>
      <c r="K837">
        <v>2.0000000000000001E-4</v>
      </c>
      <c r="L837" t="s">
        <v>17</v>
      </c>
      <c r="M837">
        <v>296</v>
      </c>
      <c r="N837" t="s">
        <v>553</v>
      </c>
    </row>
    <row r="838" spans="1:14" x14ac:dyDescent="0.2">
      <c r="A838" t="s">
        <v>1099</v>
      </c>
      <c r="B838" t="s">
        <v>32</v>
      </c>
      <c r="C838">
        <v>15</v>
      </c>
      <c r="D838">
        <v>14</v>
      </c>
      <c r="E838">
        <v>1</v>
      </c>
      <c r="F838">
        <v>14</v>
      </c>
      <c r="G838">
        <v>14</v>
      </c>
      <c r="H838">
        <v>0</v>
      </c>
      <c r="I838">
        <v>0.12989999999999999</v>
      </c>
      <c r="J838">
        <f t="shared" si="13"/>
        <v>0.53887605850654352</v>
      </c>
      <c r="K838">
        <v>6.9999999999999999E-4</v>
      </c>
      <c r="L838" t="s">
        <v>17</v>
      </c>
      <c r="M838">
        <v>296</v>
      </c>
      <c r="N838" t="s">
        <v>553</v>
      </c>
    </row>
    <row r="839" spans="1:14" x14ac:dyDescent="0.2">
      <c r="A839" t="s">
        <v>1099</v>
      </c>
      <c r="B839" t="s">
        <v>32</v>
      </c>
      <c r="C839">
        <v>16</v>
      </c>
      <c r="D839">
        <v>15</v>
      </c>
      <c r="E839">
        <v>2</v>
      </c>
      <c r="F839">
        <v>15</v>
      </c>
      <c r="G839">
        <v>15</v>
      </c>
      <c r="H839">
        <v>1</v>
      </c>
      <c r="I839">
        <v>0.13519999999999999</v>
      </c>
      <c r="J839">
        <f t="shared" si="13"/>
        <v>0.81360946745562146</v>
      </c>
      <c r="K839">
        <v>1.1000000000000001E-3</v>
      </c>
      <c r="L839" t="s">
        <v>17</v>
      </c>
      <c r="M839">
        <v>296</v>
      </c>
      <c r="N839" t="s">
        <v>553</v>
      </c>
    </row>
    <row r="840" spans="1:14" x14ac:dyDescent="0.2">
      <c r="A840" t="s">
        <v>1099</v>
      </c>
      <c r="B840" t="s">
        <v>32</v>
      </c>
      <c r="C840">
        <v>13</v>
      </c>
      <c r="D840">
        <v>11</v>
      </c>
      <c r="E840">
        <v>2</v>
      </c>
      <c r="F840">
        <v>12</v>
      </c>
      <c r="G840">
        <v>11</v>
      </c>
      <c r="H840">
        <v>1</v>
      </c>
      <c r="I840">
        <v>0.15720000000000001</v>
      </c>
      <c r="J840">
        <f t="shared" si="13"/>
        <v>0.2544529262086514</v>
      </c>
      <c r="K840">
        <v>4.0000000000000002E-4</v>
      </c>
      <c r="L840" t="s">
        <v>17</v>
      </c>
      <c r="M840">
        <v>296</v>
      </c>
      <c r="N840" t="s">
        <v>553</v>
      </c>
    </row>
    <row r="841" spans="1:14" x14ac:dyDescent="0.2">
      <c r="A841" t="s">
        <v>1099</v>
      </c>
      <c r="B841" t="s">
        <v>32</v>
      </c>
      <c r="C841">
        <v>10</v>
      </c>
      <c r="D841">
        <v>1</v>
      </c>
      <c r="E841">
        <v>10</v>
      </c>
      <c r="F841">
        <v>9</v>
      </c>
      <c r="G841">
        <v>1</v>
      </c>
      <c r="H841">
        <v>9</v>
      </c>
      <c r="I841">
        <v>0.1852</v>
      </c>
      <c r="J841">
        <f t="shared" si="13"/>
        <v>5.399568034557236E-2</v>
      </c>
      <c r="K841">
        <v>1E-4</v>
      </c>
      <c r="L841" t="s">
        <v>17</v>
      </c>
      <c r="M841">
        <v>296</v>
      </c>
      <c r="N841" t="s">
        <v>553</v>
      </c>
    </row>
    <row r="842" spans="1:14" x14ac:dyDescent="0.2">
      <c r="A842" t="s">
        <v>1099</v>
      </c>
      <c r="B842" t="s">
        <v>32</v>
      </c>
      <c r="C842">
        <v>10</v>
      </c>
      <c r="D842">
        <v>4</v>
      </c>
      <c r="E842">
        <v>7</v>
      </c>
      <c r="F842">
        <v>9</v>
      </c>
      <c r="G842">
        <v>4</v>
      </c>
      <c r="H842">
        <v>6</v>
      </c>
      <c r="I842">
        <v>0.16789999999999999</v>
      </c>
      <c r="J842">
        <f t="shared" si="13"/>
        <v>0.23823704586063135</v>
      </c>
      <c r="K842">
        <v>4.0000000000000002E-4</v>
      </c>
      <c r="L842" t="s">
        <v>17</v>
      </c>
      <c r="M842">
        <v>296</v>
      </c>
      <c r="N842" t="s">
        <v>553</v>
      </c>
    </row>
    <row r="843" spans="1:14" x14ac:dyDescent="0.2">
      <c r="A843" t="s">
        <v>1099</v>
      </c>
      <c r="B843" t="s">
        <v>32</v>
      </c>
      <c r="C843">
        <v>12</v>
      </c>
      <c r="D843">
        <v>9</v>
      </c>
      <c r="E843">
        <v>4</v>
      </c>
      <c r="F843">
        <v>11</v>
      </c>
      <c r="G843">
        <v>9</v>
      </c>
      <c r="H843">
        <v>3</v>
      </c>
      <c r="I843">
        <v>0.16500000000000001</v>
      </c>
      <c r="J843">
        <f t="shared" si="13"/>
        <v>0.1818181818181818</v>
      </c>
      <c r="K843">
        <v>2.9999999999999997E-4</v>
      </c>
      <c r="L843" t="s">
        <v>17</v>
      </c>
      <c r="M843">
        <v>296</v>
      </c>
      <c r="N843" t="s">
        <v>553</v>
      </c>
    </row>
    <row r="844" spans="1:14" x14ac:dyDescent="0.2">
      <c r="A844" t="s">
        <v>1099</v>
      </c>
      <c r="B844" t="s">
        <v>32</v>
      </c>
      <c r="C844">
        <v>14</v>
      </c>
      <c r="D844">
        <v>12</v>
      </c>
      <c r="E844">
        <v>3</v>
      </c>
      <c r="F844">
        <v>13</v>
      </c>
      <c r="G844">
        <v>12</v>
      </c>
      <c r="H844">
        <v>2</v>
      </c>
      <c r="I844">
        <v>0.1764</v>
      </c>
      <c r="J844">
        <f t="shared" si="13"/>
        <v>1.1337868480725624</v>
      </c>
      <c r="K844">
        <v>2E-3</v>
      </c>
      <c r="L844" t="s">
        <v>17</v>
      </c>
      <c r="M844">
        <v>296</v>
      </c>
      <c r="N844" t="s">
        <v>553</v>
      </c>
    </row>
    <row r="845" spans="1:14" x14ac:dyDescent="0.2">
      <c r="A845" t="s">
        <v>1099</v>
      </c>
      <c r="B845" t="s">
        <v>32</v>
      </c>
      <c r="C845">
        <v>10</v>
      </c>
      <c r="D845">
        <v>3</v>
      </c>
      <c r="E845">
        <v>8</v>
      </c>
      <c r="F845">
        <v>9</v>
      </c>
      <c r="G845">
        <v>3</v>
      </c>
      <c r="H845">
        <v>7</v>
      </c>
      <c r="I845">
        <v>0.1789</v>
      </c>
      <c r="J845">
        <f t="shared" si="13"/>
        <v>0.11179429849077697</v>
      </c>
      <c r="K845">
        <v>2.0000000000000001E-4</v>
      </c>
      <c r="L845" t="s">
        <v>17</v>
      </c>
      <c r="M845">
        <v>296</v>
      </c>
      <c r="N845" t="s">
        <v>553</v>
      </c>
    </row>
    <row r="846" spans="1:14" x14ac:dyDescent="0.2">
      <c r="A846" t="s">
        <v>1099</v>
      </c>
      <c r="B846" t="s">
        <v>32</v>
      </c>
      <c r="C846">
        <v>10</v>
      </c>
      <c r="D846">
        <v>2</v>
      </c>
      <c r="E846">
        <v>9</v>
      </c>
      <c r="F846">
        <v>9</v>
      </c>
      <c r="G846">
        <v>2</v>
      </c>
      <c r="H846">
        <v>8</v>
      </c>
      <c r="I846">
        <v>0.17910000000000001</v>
      </c>
      <c r="J846">
        <f t="shared" si="13"/>
        <v>0.11166945840312675</v>
      </c>
      <c r="K846">
        <v>2.0000000000000001E-4</v>
      </c>
      <c r="L846" t="s">
        <v>17</v>
      </c>
      <c r="M846">
        <v>296</v>
      </c>
      <c r="N846" t="s">
        <v>553</v>
      </c>
    </row>
    <row r="847" spans="1:14" x14ac:dyDescent="0.2">
      <c r="A847" t="s">
        <v>1099</v>
      </c>
      <c r="B847" t="s">
        <v>32</v>
      </c>
      <c r="C847">
        <v>11</v>
      </c>
      <c r="D847">
        <v>6</v>
      </c>
      <c r="E847">
        <v>5</v>
      </c>
      <c r="F847">
        <v>10</v>
      </c>
      <c r="G847">
        <v>6</v>
      </c>
      <c r="H847">
        <v>4</v>
      </c>
      <c r="I847">
        <v>0.17369999999999999</v>
      </c>
      <c r="J847">
        <f t="shared" si="13"/>
        <v>0.34542314335060448</v>
      </c>
      <c r="K847">
        <v>5.9999999999999995E-4</v>
      </c>
      <c r="L847" t="s">
        <v>17</v>
      </c>
      <c r="M847">
        <v>296</v>
      </c>
      <c r="N847" t="s">
        <v>553</v>
      </c>
    </row>
    <row r="848" spans="1:14" x14ac:dyDescent="0.2">
      <c r="A848" t="s">
        <v>1099</v>
      </c>
      <c r="B848" t="s">
        <v>32</v>
      </c>
      <c r="C848">
        <v>13</v>
      </c>
      <c r="D848">
        <v>10</v>
      </c>
      <c r="E848">
        <v>3</v>
      </c>
      <c r="F848">
        <v>12</v>
      </c>
      <c r="G848">
        <v>10</v>
      </c>
      <c r="H848">
        <v>2</v>
      </c>
      <c r="I848">
        <v>0.1673</v>
      </c>
      <c r="J848">
        <f t="shared" si="13"/>
        <v>0.2988643156007173</v>
      </c>
      <c r="K848">
        <v>5.0000000000000001E-4</v>
      </c>
      <c r="L848" t="s">
        <v>17</v>
      </c>
      <c r="M848">
        <v>296</v>
      </c>
      <c r="N848" t="s">
        <v>553</v>
      </c>
    </row>
    <row r="849" spans="1:14" x14ac:dyDescent="0.2">
      <c r="A849" t="s">
        <v>1099</v>
      </c>
      <c r="B849" t="s">
        <v>32</v>
      </c>
      <c r="C849">
        <v>12</v>
      </c>
      <c r="D849">
        <v>8</v>
      </c>
      <c r="E849">
        <v>5</v>
      </c>
      <c r="F849">
        <v>11</v>
      </c>
      <c r="G849">
        <v>8</v>
      </c>
      <c r="H849">
        <v>4</v>
      </c>
      <c r="I849">
        <v>0.16830000000000001</v>
      </c>
      <c r="J849">
        <f t="shared" si="13"/>
        <v>0.17825311942959002</v>
      </c>
      <c r="K849">
        <v>2.9999999999999997E-4</v>
      </c>
      <c r="L849" t="s">
        <v>17</v>
      </c>
      <c r="M849">
        <v>296</v>
      </c>
      <c r="N849" t="s">
        <v>553</v>
      </c>
    </row>
    <row r="850" spans="1:14" x14ac:dyDescent="0.2">
      <c r="A850" t="s">
        <v>1099</v>
      </c>
      <c r="B850" t="s">
        <v>32</v>
      </c>
      <c r="C850">
        <v>14</v>
      </c>
      <c r="D850">
        <v>11</v>
      </c>
      <c r="E850">
        <v>4</v>
      </c>
      <c r="F850">
        <v>13</v>
      </c>
      <c r="G850">
        <v>11</v>
      </c>
      <c r="H850">
        <v>3</v>
      </c>
      <c r="I850">
        <v>0.15659999999999999</v>
      </c>
      <c r="J850">
        <f t="shared" si="13"/>
        <v>0.1277139208173691</v>
      </c>
      <c r="K850">
        <v>2.0000000000000001E-4</v>
      </c>
      <c r="L850" t="s">
        <v>17</v>
      </c>
      <c r="M850">
        <v>296</v>
      </c>
      <c r="N850" t="s">
        <v>553</v>
      </c>
    </row>
    <row r="851" spans="1:14" x14ac:dyDescent="0.2">
      <c r="A851" t="s">
        <v>1099</v>
      </c>
      <c r="B851" t="s">
        <v>32</v>
      </c>
      <c r="C851">
        <v>13</v>
      </c>
      <c r="D851">
        <v>9</v>
      </c>
      <c r="E851">
        <v>4</v>
      </c>
      <c r="F851">
        <v>12</v>
      </c>
      <c r="G851">
        <v>9</v>
      </c>
      <c r="H851">
        <v>3</v>
      </c>
      <c r="I851">
        <v>0.16420000000000001</v>
      </c>
      <c r="J851">
        <f t="shared" si="13"/>
        <v>0.12180267965895249</v>
      </c>
      <c r="K851">
        <v>2.0000000000000001E-4</v>
      </c>
      <c r="L851" t="s">
        <v>17</v>
      </c>
      <c r="M851">
        <v>296</v>
      </c>
      <c r="N851" t="s">
        <v>553</v>
      </c>
    </row>
    <row r="852" spans="1:14" x14ac:dyDescent="0.2">
      <c r="A852" t="s">
        <v>1099</v>
      </c>
      <c r="B852" t="s">
        <v>32</v>
      </c>
      <c r="C852">
        <v>11</v>
      </c>
      <c r="D852">
        <v>0</v>
      </c>
      <c r="E852">
        <v>11</v>
      </c>
      <c r="F852">
        <v>10</v>
      </c>
      <c r="G852">
        <v>0</v>
      </c>
      <c r="H852">
        <v>10</v>
      </c>
      <c r="I852">
        <v>0.18740000000000001</v>
      </c>
      <c r="J852">
        <f t="shared" si="13"/>
        <v>0.10672358591248667</v>
      </c>
      <c r="K852">
        <v>2.0000000000000001E-4</v>
      </c>
      <c r="L852" t="s">
        <v>17</v>
      </c>
      <c r="M852">
        <v>296</v>
      </c>
      <c r="N852" t="s">
        <v>553</v>
      </c>
    </row>
    <row r="853" spans="1:14" x14ac:dyDescent="0.2">
      <c r="A853" t="s">
        <v>1099</v>
      </c>
      <c r="B853" t="s">
        <v>32</v>
      </c>
      <c r="C853">
        <v>15</v>
      </c>
      <c r="D853">
        <v>12</v>
      </c>
      <c r="E853">
        <v>3</v>
      </c>
      <c r="F853">
        <v>14</v>
      </c>
      <c r="G853">
        <v>12</v>
      </c>
      <c r="H853">
        <v>2</v>
      </c>
      <c r="I853">
        <v>0.15049999999999999</v>
      </c>
      <c r="J853">
        <f t="shared" si="13"/>
        <v>0.19933554817275745</v>
      </c>
      <c r="K853">
        <v>2.9999999999999997E-4</v>
      </c>
      <c r="L853" t="s">
        <v>17</v>
      </c>
      <c r="M853">
        <v>296</v>
      </c>
      <c r="N853" t="s">
        <v>553</v>
      </c>
    </row>
    <row r="854" spans="1:14" x14ac:dyDescent="0.2">
      <c r="A854" t="s">
        <v>1099</v>
      </c>
      <c r="B854" t="s">
        <v>32</v>
      </c>
      <c r="C854">
        <v>11</v>
      </c>
      <c r="D854">
        <v>3</v>
      </c>
      <c r="E854">
        <v>8</v>
      </c>
      <c r="F854">
        <v>10</v>
      </c>
      <c r="G854">
        <v>3</v>
      </c>
      <c r="H854">
        <v>7</v>
      </c>
      <c r="I854">
        <v>0.1769</v>
      </c>
      <c r="J854">
        <f t="shared" si="13"/>
        <v>5.6529112492933867E-2</v>
      </c>
      <c r="K854">
        <v>1E-4</v>
      </c>
      <c r="L854" t="s">
        <v>17</v>
      </c>
      <c r="M854">
        <v>296</v>
      </c>
      <c r="N854" t="s">
        <v>553</v>
      </c>
    </row>
    <row r="855" spans="1:14" x14ac:dyDescent="0.2">
      <c r="A855" t="s">
        <v>1099</v>
      </c>
      <c r="B855" t="s">
        <v>32</v>
      </c>
      <c r="C855">
        <v>16</v>
      </c>
      <c r="D855">
        <v>13</v>
      </c>
      <c r="E855">
        <v>4</v>
      </c>
      <c r="F855">
        <v>15</v>
      </c>
      <c r="G855">
        <v>13</v>
      </c>
      <c r="H855">
        <v>3</v>
      </c>
      <c r="I855">
        <v>0.14849999999999999</v>
      </c>
      <c r="J855">
        <f t="shared" si="13"/>
        <v>0.53872053872053871</v>
      </c>
      <c r="K855">
        <v>8.0000000000000004E-4</v>
      </c>
      <c r="L855" t="s">
        <v>17</v>
      </c>
      <c r="M855">
        <v>296</v>
      </c>
      <c r="N855" t="s">
        <v>553</v>
      </c>
    </row>
    <row r="856" spans="1:14" x14ac:dyDescent="0.2">
      <c r="A856" t="s">
        <v>1099</v>
      </c>
      <c r="B856" t="s">
        <v>32</v>
      </c>
      <c r="C856">
        <v>12</v>
      </c>
      <c r="D856">
        <v>6</v>
      </c>
      <c r="E856">
        <v>7</v>
      </c>
      <c r="F856">
        <v>11</v>
      </c>
      <c r="G856">
        <v>6</v>
      </c>
      <c r="H856">
        <v>6</v>
      </c>
      <c r="I856">
        <v>0.1704</v>
      </c>
      <c r="J856">
        <f t="shared" si="13"/>
        <v>0.11737089201877934</v>
      </c>
      <c r="K856">
        <v>2.0000000000000001E-4</v>
      </c>
      <c r="L856" t="s">
        <v>17</v>
      </c>
      <c r="M856">
        <v>296</v>
      </c>
      <c r="N856" t="s">
        <v>553</v>
      </c>
    </row>
    <row r="857" spans="1:14" x14ac:dyDescent="0.2">
      <c r="A857" t="s">
        <v>1099</v>
      </c>
      <c r="B857" t="s">
        <v>32</v>
      </c>
      <c r="C857">
        <v>14</v>
      </c>
      <c r="D857">
        <v>10</v>
      </c>
      <c r="E857">
        <v>5</v>
      </c>
      <c r="F857">
        <v>13</v>
      </c>
      <c r="G857">
        <v>10</v>
      </c>
      <c r="H857">
        <v>4</v>
      </c>
      <c r="I857">
        <v>0.15809999999999999</v>
      </c>
      <c r="J857">
        <f t="shared" si="13"/>
        <v>0.25300442757748265</v>
      </c>
      <c r="K857">
        <v>4.0000000000000002E-4</v>
      </c>
      <c r="L857" t="s">
        <v>17</v>
      </c>
      <c r="M857">
        <v>296</v>
      </c>
      <c r="N857" t="s">
        <v>553</v>
      </c>
    </row>
    <row r="858" spans="1:14" x14ac:dyDescent="0.2">
      <c r="A858" t="s">
        <v>1099</v>
      </c>
      <c r="B858" t="s">
        <v>32</v>
      </c>
      <c r="C858">
        <v>13</v>
      </c>
      <c r="D858">
        <v>8</v>
      </c>
      <c r="E858">
        <v>5</v>
      </c>
      <c r="F858">
        <v>12</v>
      </c>
      <c r="G858">
        <v>8</v>
      </c>
      <c r="H858">
        <v>4</v>
      </c>
      <c r="I858">
        <v>0.16750000000000001</v>
      </c>
      <c r="J858">
        <f t="shared" si="13"/>
        <v>0.29850746268656719</v>
      </c>
      <c r="K858">
        <v>5.0000000000000001E-4</v>
      </c>
      <c r="L858" t="s">
        <v>17</v>
      </c>
      <c r="M858">
        <v>296</v>
      </c>
      <c r="N858" t="s">
        <v>553</v>
      </c>
    </row>
    <row r="859" spans="1:14" x14ac:dyDescent="0.2">
      <c r="A859" t="s">
        <v>1099</v>
      </c>
      <c r="B859" t="s">
        <v>32</v>
      </c>
      <c r="C859">
        <v>19</v>
      </c>
      <c r="D859">
        <v>16</v>
      </c>
      <c r="E859">
        <v>3</v>
      </c>
      <c r="F859">
        <v>18</v>
      </c>
      <c r="G859">
        <v>16</v>
      </c>
      <c r="H859">
        <v>2</v>
      </c>
      <c r="I859">
        <v>0.1346</v>
      </c>
      <c r="J859">
        <f t="shared" si="13"/>
        <v>0.81723625557206547</v>
      </c>
      <c r="K859">
        <v>1.1000000000000001E-3</v>
      </c>
      <c r="L859" t="s">
        <v>17</v>
      </c>
      <c r="M859">
        <v>296</v>
      </c>
      <c r="N859" t="s">
        <v>553</v>
      </c>
    </row>
    <row r="860" spans="1:14" x14ac:dyDescent="0.2">
      <c r="A860" t="s">
        <v>1099</v>
      </c>
      <c r="B860" t="s">
        <v>32</v>
      </c>
      <c r="C860">
        <v>11</v>
      </c>
      <c r="D860">
        <v>2</v>
      </c>
      <c r="E860">
        <v>9</v>
      </c>
      <c r="F860">
        <v>10</v>
      </c>
      <c r="G860">
        <v>2</v>
      </c>
      <c r="H860">
        <v>8</v>
      </c>
      <c r="I860">
        <v>0.1895</v>
      </c>
      <c r="J860">
        <f t="shared" si="13"/>
        <v>0.15831134564643798</v>
      </c>
      <c r="K860">
        <v>2.9999999999999997E-4</v>
      </c>
      <c r="L860" t="s">
        <v>17</v>
      </c>
      <c r="M860">
        <v>296</v>
      </c>
      <c r="N860" t="s">
        <v>553</v>
      </c>
    </row>
    <row r="861" spans="1:14" x14ac:dyDescent="0.2">
      <c r="A861" t="s">
        <v>1099</v>
      </c>
      <c r="B861" t="s">
        <v>32</v>
      </c>
      <c r="C861">
        <v>12</v>
      </c>
      <c r="D861">
        <v>5</v>
      </c>
      <c r="E861">
        <v>8</v>
      </c>
      <c r="F861">
        <v>11</v>
      </c>
      <c r="G861">
        <v>5</v>
      </c>
      <c r="H861">
        <v>7</v>
      </c>
      <c r="I861">
        <v>0.17519999999999999</v>
      </c>
      <c r="J861">
        <f t="shared" si="13"/>
        <v>0.11415525114155253</v>
      </c>
      <c r="K861">
        <v>2.0000000000000001E-4</v>
      </c>
      <c r="L861" t="s">
        <v>17</v>
      </c>
      <c r="M861">
        <v>296</v>
      </c>
      <c r="N861" t="s">
        <v>553</v>
      </c>
    </row>
    <row r="862" spans="1:14" x14ac:dyDescent="0.2">
      <c r="A862" t="s">
        <v>1099</v>
      </c>
      <c r="B862" t="s">
        <v>32</v>
      </c>
      <c r="C862">
        <v>11</v>
      </c>
      <c r="D862">
        <v>1</v>
      </c>
      <c r="E862">
        <v>10</v>
      </c>
      <c r="F862">
        <v>10</v>
      </c>
      <c r="G862">
        <v>1</v>
      </c>
      <c r="H862">
        <v>9</v>
      </c>
      <c r="I862">
        <v>0.1953</v>
      </c>
      <c r="J862">
        <f t="shared" si="13"/>
        <v>0.10240655401945725</v>
      </c>
      <c r="K862">
        <v>2.0000000000000001E-4</v>
      </c>
      <c r="L862" t="s">
        <v>17</v>
      </c>
      <c r="M862">
        <v>296</v>
      </c>
      <c r="N862" t="s">
        <v>553</v>
      </c>
    </row>
    <row r="863" spans="1:14" x14ac:dyDescent="0.2">
      <c r="A863" t="s">
        <v>1099</v>
      </c>
      <c r="B863" t="s">
        <v>32</v>
      </c>
      <c r="C863">
        <v>12</v>
      </c>
      <c r="D863">
        <v>1</v>
      </c>
      <c r="E863">
        <v>12</v>
      </c>
      <c r="F863">
        <v>11</v>
      </c>
      <c r="G863">
        <v>1</v>
      </c>
      <c r="H863">
        <v>11</v>
      </c>
      <c r="I863">
        <v>0.18160000000000001</v>
      </c>
      <c r="J863">
        <f t="shared" si="13"/>
        <v>0.16519823788546253</v>
      </c>
      <c r="K863">
        <v>2.9999999999999997E-4</v>
      </c>
      <c r="L863" t="s">
        <v>17</v>
      </c>
      <c r="M863">
        <v>296</v>
      </c>
      <c r="N863" t="s">
        <v>553</v>
      </c>
    </row>
    <row r="864" spans="1:14" x14ac:dyDescent="0.2">
      <c r="A864" t="s">
        <v>1099</v>
      </c>
      <c r="B864" t="s">
        <v>32</v>
      </c>
      <c r="C864">
        <v>15</v>
      </c>
      <c r="D864">
        <v>11</v>
      </c>
      <c r="E864">
        <v>4</v>
      </c>
      <c r="F864">
        <v>14</v>
      </c>
      <c r="G864">
        <v>11</v>
      </c>
      <c r="H864">
        <v>3</v>
      </c>
      <c r="I864">
        <v>0.15870000000000001</v>
      </c>
      <c r="J864">
        <f t="shared" si="13"/>
        <v>0.56710775047258977</v>
      </c>
      <c r="K864">
        <v>8.9999999999999998E-4</v>
      </c>
      <c r="L864" t="s">
        <v>17</v>
      </c>
      <c r="M864">
        <v>296</v>
      </c>
      <c r="N864" t="s">
        <v>553</v>
      </c>
    </row>
    <row r="865" spans="1:14" x14ac:dyDescent="0.2">
      <c r="A865" t="s">
        <v>1099</v>
      </c>
      <c r="B865" t="s">
        <v>32</v>
      </c>
      <c r="C865">
        <v>13</v>
      </c>
      <c r="D865">
        <v>7</v>
      </c>
      <c r="E865">
        <v>6</v>
      </c>
      <c r="F865">
        <v>12</v>
      </c>
      <c r="G865">
        <v>7</v>
      </c>
      <c r="H865">
        <v>5</v>
      </c>
      <c r="I865">
        <v>0.1686</v>
      </c>
      <c r="J865">
        <f t="shared" si="13"/>
        <v>0.29655990510083036</v>
      </c>
      <c r="K865">
        <v>5.0000000000000001E-4</v>
      </c>
      <c r="L865" t="s">
        <v>17</v>
      </c>
      <c r="M865">
        <v>296</v>
      </c>
      <c r="N865" t="s">
        <v>553</v>
      </c>
    </row>
    <row r="866" spans="1:14" x14ac:dyDescent="0.2">
      <c r="A866" t="s">
        <v>1099</v>
      </c>
      <c r="B866" t="s">
        <v>32</v>
      </c>
      <c r="C866">
        <v>12</v>
      </c>
      <c r="D866">
        <v>4</v>
      </c>
      <c r="E866">
        <v>9</v>
      </c>
      <c r="F866">
        <v>11</v>
      </c>
      <c r="G866">
        <v>4</v>
      </c>
      <c r="H866">
        <v>8</v>
      </c>
      <c r="I866">
        <v>0.17319999999999999</v>
      </c>
      <c r="J866">
        <f t="shared" si="13"/>
        <v>0.23094688221709012</v>
      </c>
      <c r="K866">
        <v>4.0000000000000002E-4</v>
      </c>
      <c r="L866" t="s">
        <v>17</v>
      </c>
      <c r="M866">
        <v>296</v>
      </c>
      <c r="N866" t="s">
        <v>553</v>
      </c>
    </row>
    <row r="867" spans="1:14" x14ac:dyDescent="0.2">
      <c r="A867" t="s">
        <v>1099</v>
      </c>
      <c r="B867" t="s">
        <v>32</v>
      </c>
      <c r="C867">
        <v>14</v>
      </c>
      <c r="D867">
        <v>9</v>
      </c>
      <c r="E867">
        <v>6</v>
      </c>
      <c r="F867">
        <v>13</v>
      </c>
      <c r="G867">
        <v>9</v>
      </c>
      <c r="H867">
        <v>5</v>
      </c>
      <c r="I867">
        <v>0.16370000000000001</v>
      </c>
      <c r="J867">
        <f t="shared" si="13"/>
        <v>0.18326206475259618</v>
      </c>
      <c r="K867">
        <v>2.9999999999999997E-4</v>
      </c>
      <c r="L867" t="s">
        <v>17</v>
      </c>
      <c r="M867">
        <v>296</v>
      </c>
      <c r="N867" t="s">
        <v>553</v>
      </c>
    </row>
    <row r="868" spans="1:14" x14ac:dyDescent="0.2">
      <c r="A868" t="s">
        <v>1099</v>
      </c>
      <c r="B868" t="s">
        <v>32</v>
      </c>
      <c r="C868">
        <v>12</v>
      </c>
      <c r="D868">
        <v>3</v>
      </c>
      <c r="E868">
        <v>10</v>
      </c>
      <c r="F868">
        <v>11</v>
      </c>
      <c r="G868">
        <v>3</v>
      </c>
      <c r="H868">
        <v>9</v>
      </c>
      <c r="I868">
        <v>0.1666</v>
      </c>
      <c r="J868">
        <f t="shared" si="13"/>
        <v>0.24009603841536617</v>
      </c>
      <c r="K868">
        <v>4.0000000000000002E-4</v>
      </c>
      <c r="L868" t="s">
        <v>17</v>
      </c>
      <c r="M868">
        <v>296</v>
      </c>
      <c r="N868" t="s">
        <v>553</v>
      </c>
    </row>
    <row r="869" spans="1:14" x14ac:dyDescent="0.2">
      <c r="A869" t="s">
        <v>1099</v>
      </c>
      <c r="B869" t="s">
        <v>32</v>
      </c>
      <c r="C869">
        <v>12</v>
      </c>
      <c r="D869">
        <v>2</v>
      </c>
      <c r="E869">
        <v>11</v>
      </c>
      <c r="F869">
        <v>11</v>
      </c>
      <c r="G869">
        <v>2</v>
      </c>
      <c r="H869">
        <v>10</v>
      </c>
      <c r="I869">
        <v>0.1656</v>
      </c>
      <c r="J869">
        <f t="shared" si="13"/>
        <v>0.18115942028985504</v>
      </c>
      <c r="K869">
        <v>2.9999999999999997E-4</v>
      </c>
      <c r="L869" t="s">
        <v>17</v>
      </c>
      <c r="M869">
        <v>296</v>
      </c>
      <c r="N869" t="s">
        <v>553</v>
      </c>
    </row>
    <row r="870" spans="1:14" x14ac:dyDescent="0.2">
      <c r="A870" t="s">
        <v>1099</v>
      </c>
      <c r="B870" t="s">
        <v>32</v>
      </c>
      <c r="C870">
        <v>13</v>
      </c>
      <c r="D870">
        <v>6</v>
      </c>
      <c r="E870">
        <v>7</v>
      </c>
      <c r="F870">
        <v>12</v>
      </c>
      <c r="G870">
        <v>6</v>
      </c>
      <c r="H870">
        <v>6</v>
      </c>
      <c r="I870">
        <v>0.17019999999999999</v>
      </c>
      <c r="J870">
        <f t="shared" si="13"/>
        <v>0.17626321974148063</v>
      </c>
      <c r="K870">
        <v>2.9999999999999997E-4</v>
      </c>
      <c r="L870" t="s">
        <v>17</v>
      </c>
      <c r="M870">
        <v>296</v>
      </c>
      <c r="N870" t="s">
        <v>553</v>
      </c>
    </row>
    <row r="871" spans="1:14" x14ac:dyDescent="0.2">
      <c r="A871" t="s">
        <v>1099</v>
      </c>
      <c r="B871" t="s">
        <v>32</v>
      </c>
      <c r="C871">
        <v>15</v>
      </c>
      <c r="D871">
        <v>10</v>
      </c>
      <c r="E871">
        <v>5</v>
      </c>
      <c r="F871">
        <v>14</v>
      </c>
      <c r="G871">
        <v>10</v>
      </c>
      <c r="H871">
        <v>4</v>
      </c>
      <c r="I871">
        <v>0.16750000000000001</v>
      </c>
      <c r="J871">
        <f t="shared" si="13"/>
        <v>0.17910447761194029</v>
      </c>
      <c r="K871">
        <v>2.9999999999999997E-4</v>
      </c>
      <c r="L871" t="s">
        <v>17</v>
      </c>
      <c r="M871">
        <v>296</v>
      </c>
      <c r="N871" t="s">
        <v>553</v>
      </c>
    </row>
    <row r="872" spans="1:14" x14ac:dyDescent="0.2">
      <c r="A872" t="s">
        <v>1099</v>
      </c>
      <c r="B872" t="s">
        <v>32</v>
      </c>
      <c r="C872">
        <v>14</v>
      </c>
      <c r="D872">
        <v>8</v>
      </c>
      <c r="E872">
        <v>7</v>
      </c>
      <c r="F872">
        <v>13</v>
      </c>
      <c r="G872">
        <v>8</v>
      </c>
      <c r="H872">
        <v>6</v>
      </c>
      <c r="I872">
        <v>0.1615</v>
      </c>
      <c r="J872">
        <f t="shared" si="13"/>
        <v>0.12383900928792571</v>
      </c>
      <c r="K872">
        <v>2.0000000000000001E-4</v>
      </c>
      <c r="L872" t="s">
        <v>17</v>
      </c>
      <c r="M872">
        <v>296</v>
      </c>
      <c r="N872" t="s">
        <v>553</v>
      </c>
    </row>
    <row r="873" spans="1:14" x14ac:dyDescent="0.2">
      <c r="A873" t="s">
        <v>1099</v>
      </c>
      <c r="B873" t="s">
        <v>32</v>
      </c>
      <c r="C873">
        <v>20</v>
      </c>
      <c r="D873">
        <v>16</v>
      </c>
      <c r="E873">
        <v>5</v>
      </c>
      <c r="F873">
        <v>19</v>
      </c>
      <c r="G873">
        <v>16</v>
      </c>
      <c r="H873">
        <v>4</v>
      </c>
      <c r="I873">
        <v>0.125</v>
      </c>
      <c r="J873">
        <f t="shared" si="13"/>
        <v>0.48</v>
      </c>
      <c r="K873">
        <v>5.9999999999999995E-4</v>
      </c>
      <c r="L873" t="s">
        <v>17</v>
      </c>
      <c r="M873">
        <v>296</v>
      </c>
      <c r="N873" t="s">
        <v>553</v>
      </c>
    </row>
    <row r="874" spans="1:14" x14ac:dyDescent="0.2">
      <c r="A874" t="s">
        <v>1099</v>
      </c>
      <c r="B874" t="s">
        <v>32</v>
      </c>
      <c r="C874">
        <v>13</v>
      </c>
      <c r="D874">
        <v>5</v>
      </c>
      <c r="E874">
        <v>8</v>
      </c>
      <c r="F874">
        <v>12</v>
      </c>
      <c r="G874">
        <v>5</v>
      </c>
      <c r="H874">
        <v>7</v>
      </c>
      <c r="I874">
        <v>0.1691</v>
      </c>
      <c r="J874">
        <f t="shared" si="13"/>
        <v>5.9136605558840927E-2</v>
      </c>
      <c r="K874">
        <v>1E-4</v>
      </c>
      <c r="L874" t="s">
        <v>17</v>
      </c>
      <c r="M874">
        <v>296</v>
      </c>
      <c r="N874" t="s">
        <v>553</v>
      </c>
    </row>
    <row r="875" spans="1:14" x14ac:dyDescent="0.2">
      <c r="A875" t="s">
        <v>1099</v>
      </c>
      <c r="B875" t="s">
        <v>32</v>
      </c>
      <c r="C875">
        <v>16</v>
      </c>
      <c r="D875">
        <v>11</v>
      </c>
      <c r="E875">
        <v>6</v>
      </c>
      <c r="F875">
        <v>15</v>
      </c>
      <c r="G875">
        <v>11</v>
      </c>
      <c r="H875">
        <v>5</v>
      </c>
      <c r="I875">
        <v>0.1663</v>
      </c>
      <c r="J875">
        <f t="shared" si="13"/>
        <v>0.18039687312086589</v>
      </c>
      <c r="K875">
        <v>2.9999999999999997E-4</v>
      </c>
      <c r="L875" t="s">
        <v>17</v>
      </c>
      <c r="M875">
        <v>296</v>
      </c>
      <c r="N875" t="s">
        <v>553</v>
      </c>
    </row>
    <row r="876" spans="1:14" x14ac:dyDescent="0.2">
      <c r="A876" t="s">
        <v>1099</v>
      </c>
      <c r="B876" t="s">
        <v>32</v>
      </c>
      <c r="C876">
        <v>25</v>
      </c>
      <c r="D876">
        <v>20</v>
      </c>
      <c r="E876">
        <v>5</v>
      </c>
      <c r="F876">
        <v>24</v>
      </c>
      <c r="G876">
        <v>20</v>
      </c>
      <c r="H876">
        <v>4</v>
      </c>
      <c r="I876">
        <v>0.13919999999999999</v>
      </c>
      <c r="J876">
        <f t="shared" si="13"/>
        <v>1.0775862068965518</v>
      </c>
      <c r="K876">
        <v>1.5E-3</v>
      </c>
      <c r="L876" t="s">
        <v>17</v>
      </c>
      <c r="M876">
        <v>296</v>
      </c>
      <c r="N876" t="s">
        <v>553</v>
      </c>
    </row>
    <row r="877" spans="1:14" x14ac:dyDescent="0.2">
      <c r="A877" t="s">
        <v>1099</v>
      </c>
      <c r="B877" t="s">
        <v>32</v>
      </c>
      <c r="C877">
        <v>13</v>
      </c>
      <c r="D877">
        <v>0</v>
      </c>
      <c r="E877">
        <v>13</v>
      </c>
      <c r="F877">
        <v>12</v>
      </c>
      <c r="G877">
        <v>0</v>
      </c>
      <c r="H877">
        <v>12</v>
      </c>
      <c r="I877">
        <v>0.18149999999999999</v>
      </c>
      <c r="J877">
        <f t="shared" si="13"/>
        <v>5.5096418732782378E-2</v>
      </c>
      <c r="K877">
        <v>1E-4</v>
      </c>
      <c r="L877" t="s">
        <v>17</v>
      </c>
      <c r="M877">
        <v>296</v>
      </c>
      <c r="N877" t="s">
        <v>553</v>
      </c>
    </row>
    <row r="878" spans="1:14" x14ac:dyDescent="0.2">
      <c r="A878" t="s">
        <v>1099</v>
      </c>
      <c r="B878" t="s">
        <v>32</v>
      </c>
      <c r="C878">
        <v>14</v>
      </c>
      <c r="D878">
        <v>7</v>
      </c>
      <c r="E878">
        <v>8</v>
      </c>
      <c r="F878">
        <v>13</v>
      </c>
      <c r="G878">
        <v>7</v>
      </c>
      <c r="H878">
        <v>7</v>
      </c>
      <c r="I878">
        <v>0.16889999999999999</v>
      </c>
      <c r="J878">
        <f t="shared" si="13"/>
        <v>0.11841326228537598</v>
      </c>
      <c r="K878">
        <v>2.0000000000000001E-4</v>
      </c>
      <c r="L878" t="s">
        <v>17</v>
      </c>
      <c r="M878">
        <v>296</v>
      </c>
      <c r="N878" t="s">
        <v>553</v>
      </c>
    </row>
    <row r="879" spans="1:14" x14ac:dyDescent="0.2">
      <c r="A879" t="s">
        <v>1099</v>
      </c>
      <c r="B879" t="s">
        <v>32</v>
      </c>
      <c r="C879">
        <v>15</v>
      </c>
      <c r="D879">
        <v>9</v>
      </c>
      <c r="E879">
        <v>6</v>
      </c>
      <c r="F879">
        <v>14</v>
      </c>
      <c r="G879">
        <v>9</v>
      </c>
      <c r="H879">
        <v>5</v>
      </c>
      <c r="I879">
        <v>0.16500000000000001</v>
      </c>
      <c r="J879">
        <f t="shared" si="13"/>
        <v>0.30303030303030304</v>
      </c>
      <c r="K879">
        <v>5.0000000000000001E-4</v>
      </c>
      <c r="L879" t="s">
        <v>17</v>
      </c>
      <c r="M879">
        <v>296</v>
      </c>
      <c r="N879" t="s">
        <v>553</v>
      </c>
    </row>
    <row r="880" spans="1:14" x14ac:dyDescent="0.2">
      <c r="A880" t="s">
        <v>1099</v>
      </c>
      <c r="B880" t="s">
        <v>32</v>
      </c>
      <c r="C880">
        <v>13</v>
      </c>
      <c r="D880">
        <v>4</v>
      </c>
      <c r="E880">
        <v>9</v>
      </c>
      <c r="F880">
        <v>12</v>
      </c>
      <c r="G880">
        <v>4</v>
      </c>
      <c r="H880">
        <v>8</v>
      </c>
      <c r="I880">
        <v>0.17130000000000001</v>
      </c>
      <c r="J880">
        <f t="shared" si="13"/>
        <v>0.17513134851138351</v>
      </c>
      <c r="K880">
        <v>2.9999999999999997E-4</v>
      </c>
      <c r="L880" t="s">
        <v>17</v>
      </c>
      <c r="M880">
        <v>296</v>
      </c>
      <c r="N880" t="s">
        <v>553</v>
      </c>
    </row>
    <row r="881" spans="1:14" x14ac:dyDescent="0.2">
      <c r="A881" t="s">
        <v>1099</v>
      </c>
      <c r="B881" t="s">
        <v>32</v>
      </c>
      <c r="C881">
        <v>17</v>
      </c>
      <c r="D881">
        <v>12</v>
      </c>
      <c r="E881">
        <v>5</v>
      </c>
      <c r="F881">
        <v>16</v>
      </c>
      <c r="G881">
        <v>12</v>
      </c>
      <c r="H881">
        <v>4</v>
      </c>
      <c r="I881">
        <v>0.16</v>
      </c>
      <c r="J881">
        <f t="shared" si="13"/>
        <v>0.3125</v>
      </c>
      <c r="K881">
        <v>5.0000000000000001E-4</v>
      </c>
      <c r="L881" t="s">
        <v>17</v>
      </c>
      <c r="M881">
        <v>296</v>
      </c>
      <c r="N881" t="s">
        <v>553</v>
      </c>
    </row>
    <row r="882" spans="1:14" x14ac:dyDescent="0.2">
      <c r="A882" t="s">
        <v>1099</v>
      </c>
      <c r="B882" t="s">
        <v>32</v>
      </c>
      <c r="C882">
        <v>18</v>
      </c>
      <c r="D882">
        <v>13</v>
      </c>
      <c r="E882">
        <v>6</v>
      </c>
      <c r="F882">
        <v>17</v>
      </c>
      <c r="G882">
        <v>13</v>
      </c>
      <c r="H882">
        <v>5</v>
      </c>
      <c r="I882">
        <v>0.1515</v>
      </c>
      <c r="J882">
        <f t="shared" si="13"/>
        <v>0.132013201320132</v>
      </c>
      <c r="K882">
        <v>2.0000000000000001E-4</v>
      </c>
      <c r="L882" t="s">
        <v>17</v>
      </c>
      <c r="M882">
        <v>296</v>
      </c>
      <c r="N882" t="s">
        <v>553</v>
      </c>
    </row>
    <row r="883" spans="1:14" x14ac:dyDescent="0.2">
      <c r="A883" t="s">
        <v>1099</v>
      </c>
      <c r="B883" t="s">
        <v>32</v>
      </c>
      <c r="C883">
        <v>13</v>
      </c>
      <c r="D883">
        <v>3</v>
      </c>
      <c r="E883">
        <v>10</v>
      </c>
      <c r="F883">
        <v>12</v>
      </c>
      <c r="G883">
        <v>3</v>
      </c>
      <c r="H883">
        <v>9</v>
      </c>
      <c r="I883">
        <v>0.1787</v>
      </c>
      <c r="J883">
        <f t="shared" si="13"/>
        <v>0.11191941801902631</v>
      </c>
      <c r="K883">
        <v>2.0000000000000001E-4</v>
      </c>
      <c r="L883" t="s">
        <v>17</v>
      </c>
      <c r="M883">
        <v>296</v>
      </c>
      <c r="N883" t="s">
        <v>553</v>
      </c>
    </row>
    <row r="884" spans="1:14" x14ac:dyDescent="0.2">
      <c r="A884" t="s">
        <v>1099</v>
      </c>
      <c r="B884" t="s">
        <v>32</v>
      </c>
      <c r="C884">
        <v>14</v>
      </c>
      <c r="D884">
        <v>6</v>
      </c>
      <c r="E884">
        <v>9</v>
      </c>
      <c r="F884">
        <v>13</v>
      </c>
      <c r="G884">
        <v>6</v>
      </c>
      <c r="H884">
        <v>8</v>
      </c>
      <c r="I884">
        <v>0.16980000000000001</v>
      </c>
      <c r="J884">
        <f t="shared" si="13"/>
        <v>0.11778563015312131</v>
      </c>
      <c r="K884">
        <v>2.0000000000000001E-4</v>
      </c>
      <c r="L884" t="s">
        <v>17</v>
      </c>
      <c r="M884">
        <v>296</v>
      </c>
      <c r="N884" t="s">
        <v>553</v>
      </c>
    </row>
    <row r="885" spans="1:14" x14ac:dyDescent="0.2">
      <c r="A885" t="s">
        <v>1099</v>
      </c>
      <c r="B885" t="s">
        <v>32</v>
      </c>
      <c r="C885">
        <v>19</v>
      </c>
      <c r="D885">
        <v>14</v>
      </c>
      <c r="E885">
        <v>5</v>
      </c>
      <c r="F885">
        <v>18</v>
      </c>
      <c r="G885">
        <v>14</v>
      </c>
      <c r="H885">
        <v>4</v>
      </c>
      <c r="I885">
        <v>0.13819999999999999</v>
      </c>
      <c r="J885">
        <f t="shared" si="13"/>
        <v>0.57887120115774249</v>
      </c>
      <c r="K885">
        <v>8.0000000000000004E-4</v>
      </c>
      <c r="L885" t="s">
        <v>17</v>
      </c>
      <c r="M885">
        <v>296</v>
      </c>
      <c r="N885" t="s">
        <v>553</v>
      </c>
    </row>
    <row r="886" spans="1:14" x14ac:dyDescent="0.2">
      <c r="A886" t="s">
        <v>1099</v>
      </c>
      <c r="B886" t="s">
        <v>32</v>
      </c>
      <c r="C886">
        <v>15</v>
      </c>
      <c r="D886">
        <v>8</v>
      </c>
      <c r="E886">
        <v>7</v>
      </c>
      <c r="F886">
        <v>14</v>
      </c>
      <c r="G886">
        <v>8</v>
      </c>
      <c r="H886">
        <v>6</v>
      </c>
      <c r="I886">
        <v>0.17219999999999999</v>
      </c>
      <c r="J886">
        <f t="shared" si="13"/>
        <v>0.11614401858304299</v>
      </c>
      <c r="K886">
        <v>2.0000000000000001E-4</v>
      </c>
      <c r="L886" t="s">
        <v>17</v>
      </c>
      <c r="M886">
        <v>296</v>
      </c>
      <c r="N886" t="s">
        <v>553</v>
      </c>
    </row>
    <row r="887" spans="1:14" x14ac:dyDescent="0.2">
      <c r="A887" t="s">
        <v>1099</v>
      </c>
      <c r="B887" t="s">
        <v>32</v>
      </c>
      <c r="C887">
        <v>14</v>
      </c>
      <c r="D887">
        <v>1</v>
      </c>
      <c r="E887">
        <v>14</v>
      </c>
      <c r="F887">
        <v>13</v>
      </c>
      <c r="G887">
        <v>1</v>
      </c>
      <c r="H887">
        <v>13</v>
      </c>
      <c r="I887">
        <v>0.1744</v>
      </c>
      <c r="J887">
        <f t="shared" si="13"/>
        <v>5.7339449541284407E-2</v>
      </c>
      <c r="K887">
        <v>1E-4</v>
      </c>
      <c r="L887" t="s">
        <v>17</v>
      </c>
      <c r="M887">
        <v>296</v>
      </c>
      <c r="N887" t="s">
        <v>553</v>
      </c>
    </row>
    <row r="888" spans="1:14" x14ac:dyDescent="0.2">
      <c r="A888" t="s">
        <v>1099</v>
      </c>
      <c r="B888" t="s">
        <v>32</v>
      </c>
      <c r="C888">
        <v>14</v>
      </c>
      <c r="D888">
        <v>5</v>
      </c>
      <c r="E888">
        <v>10</v>
      </c>
      <c r="F888">
        <v>13</v>
      </c>
      <c r="G888">
        <v>5</v>
      </c>
      <c r="H888">
        <v>9</v>
      </c>
      <c r="I888">
        <v>0.16639999999999999</v>
      </c>
      <c r="J888">
        <f t="shared" si="13"/>
        <v>0.24038461538461539</v>
      </c>
      <c r="K888">
        <v>4.0000000000000002E-4</v>
      </c>
      <c r="L888" t="s">
        <v>17</v>
      </c>
      <c r="M888">
        <v>296</v>
      </c>
      <c r="N888" t="s">
        <v>553</v>
      </c>
    </row>
    <row r="889" spans="1:14" x14ac:dyDescent="0.2">
      <c r="A889" t="s">
        <v>1099</v>
      </c>
      <c r="B889" t="s">
        <v>32</v>
      </c>
      <c r="C889">
        <v>17</v>
      </c>
      <c r="D889">
        <v>11</v>
      </c>
      <c r="E889">
        <v>6</v>
      </c>
      <c r="F889">
        <v>16</v>
      </c>
      <c r="G889">
        <v>11</v>
      </c>
      <c r="H889">
        <v>5</v>
      </c>
      <c r="I889">
        <v>0.16189999999999999</v>
      </c>
      <c r="J889">
        <f t="shared" si="13"/>
        <v>1.0500308832612724</v>
      </c>
      <c r="K889">
        <v>1.6999999999999999E-3</v>
      </c>
      <c r="L889" t="s">
        <v>17</v>
      </c>
      <c r="M889">
        <v>296</v>
      </c>
      <c r="N889" t="s">
        <v>553</v>
      </c>
    </row>
    <row r="890" spans="1:14" x14ac:dyDescent="0.2">
      <c r="A890" t="s">
        <v>1099</v>
      </c>
      <c r="B890" t="s">
        <v>32</v>
      </c>
      <c r="C890">
        <v>13</v>
      </c>
      <c r="D890">
        <v>1</v>
      </c>
      <c r="E890">
        <v>12</v>
      </c>
      <c r="F890">
        <v>12</v>
      </c>
      <c r="G890">
        <v>1</v>
      </c>
      <c r="H890">
        <v>11</v>
      </c>
      <c r="I890">
        <v>0.15989999999999999</v>
      </c>
      <c r="J890">
        <f t="shared" si="13"/>
        <v>0.75046904315196994</v>
      </c>
      <c r="K890">
        <v>1.1999999999999999E-3</v>
      </c>
      <c r="L890" t="s">
        <v>17</v>
      </c>
      <c r="M890">
        <v>296</v>
      </c>
      <c r="N890" t="s">
        <v>553</v>
      </c>
    </row>
    <row r="891" spans="1:14" x14ac:dyDescent="0.2">
      <c r="A891" t="s">
        <v>1099</v>
      </c>
      <c r="B891" t="s">
        <v>32</v>
      </c>
      <c r="C891">
        <v>13</v>
      </c>
      <c r="D891">
        <v>2</v>
      </c>
      <c r="E891">
        <v>11</v>
      </c>
      <c r="F891">
        <v>12</v>
      </c>
      <c r="G891">
        <v>2</v>
      </c>
      <c r="H891">
        <v>10</v>
      </c>
      <c r="I891">
        <v>0.15379999999999999</v>
      </c>
      <c r="J891">
        <f t="shared" si="13"/>
        <v>0.78023407022106628</v>
      </c>
      <c r="K891">
        <v>1.1999999999999999E-3</v>
      </c>
      <c r="L891" t="s">
        <v>17</v>
      </c>
      <c r="M891">
        <v>296</v>
      </c>
      <c r="N891" t="s">
        <v>553</v>
      </c>
    </row>
    <row r="892" spans="1:14" x14ac:dyDescent="0.2">
      <c r="A892" t="s">
        <v>1099</v>
      </c>
      <c r="B892" t="s">
        <v>32</v>
      </c>
      <c r="C892">
        <v>14</v>
      </c>
      <c r="D892">
        <v>4</v>
      </c>
      <c r="E892">
        <v>11</v>
      </c>
      <c r="F892">
        <v>13</v>
      </c>
      <c r="G892">
        <v>4</v>
      </c>
      <c r="H892">
        <v>10</v>
      </c>
      <c r="I892">
        <v>0.17369999999999999</v>
      </c>
      <c r="J892">
        <f t="shared" si="13"/>
        <v>0.17271157167530224</v>
      </c>
      <c r="K892">
        <v>2.9999999999999997E-4</v>
      </c>
      <c r="L892" t="s">
        <v>17</v>
      </c>
      <c r="M892">
        <v>296</v>
      </c>
      <c r="N892" t="s">
        <v>553</v>
      </c>
    </row>
    <row r="893" spans="1:14" x14ac:dyDescent="0.2">
      <c r="A893" t="s">
        <v>1099</v>
      </c>
      <c r="B893" t="s">
        <v>32</v>
      </c>
      <c r="C893">
        <v>14</v>
      </c>
      <c r="D893">
        <v>2</v>
      </c>
      <c r="E893">
        <v>13</v>
      </c>
      <c r="F893">
        <v>13</v>
      </c>
      <c r="G893">
        <v>2</v>
      </c>
      <c r="H893">
        <v>12</v>
      </c>
      <c r="I893">
        <v>0.17380000000000001</v>
      </c>
      <c r="J893">
        <f t="shared" si="13"/>
        <v>0.17261219792865359</v>
      </c>
      <c r="K893">
        <v>2.9999999999999997E-4</v>
      </c>
      <c r="L893" t="s">
        <v>17</v>
      </c>
      <c r="M893">
        <v>296</v>
      </c>
      <c r="N893" t="s">
        <v>553</v>
      </c>
    </row>
    <row r="894" spans="1:14" x14ac:dyDescent="0.2">
      <c r="A894" t="s">
        <v>1099</v>
      </c>
      <c r="B894" t="s">
        <v>32</v>
      </c>
      <c r="C894">
        <v>14</v>
      </c>
      <c r="D894">
        <v>3</v>
      </c>
      <c r="E894">
        <v>12</v>
      </c>
      <c r="F894">
        <v>13</v>
      </c>
      <c r="G894">
        <v>3</v>
      </c>
      <c r="H894">
        <v>11</v>
      </c>
      <c r="I894">
        <v>0.17369999999999999</v>
      </c>
      <c r="J894">
        <f t="shared" si="13"/>
        <v>0.23028209556706969</v>
      </c>
      <c r="K894">
        <v>4.0000000000000002E-4</v>
      </c>
      <c r="L894" t="s">
        <v>17</v>
      </c>
      <c r="M894">
        <v>296</v>
      </c>
      <c r="N894" t="s">
        <v>553</v>
      </c>
    </row>
    <row r="895" spans="1:14" x14ac:dyDescent="0.2">
      <c r="A895" t="s">
        <v>1099</v>
      </c>
      <c r="B895" t="s">
        <v>32</v>
      </c>
      <c r="C895">
        <v>23</v>
      </c>
      <c r="D895">
        <v>17</v>
      </c>
      <c r="E895">
        <v>6</v>
      </c>
      <c r="F895">
        <v>22</v>
      </c>
      <c r="G895">
        <v>17</v>
      </c>
      <c r="H895">
        <v>5</v>
      </c>
      <c r="I895">
        <v>0.13600000000000001</v>
      </c>
      <c r="J895">
        <f t="shared" si="13"/>
        <v>0.51470588235294112</v>
      </c>
      <c r="K895">
        <v>6.9999999999999999E-4</v>
      </c>
      <c r="L895" t="s">
        <v>17</v>
      </c>
      <c r="M895">
        <v>296</v>
      </c>
      <c r="N895" t="s">
        <v>553</v>
      </c>
    </row>
    <row r="896" spans="1:14" x14ac:dyDescent="0.2">
      <c r="A896" t="s">
        <v>1099</v>
      </c>
      <c r="B896" t="s">
        <v>32</v>
      </c>
      <c r="C896">
        <v>20</v>
      </c>
      <c r="D896">
        <v>14</v>
      </c>
      <c r="E896">
        <v>7</v>
      </c>
      <c r="F896">
        <v>19</v>
      </c>
      <c r="G896">
        <v>14</v>
      </c>
      <c r="H896">
        <v>6</v>
      </c>
      <c r="I896">
        <v>0.14829999999999999</v>
      </c>
      <c r="J896">
        <f t="shared" si="13"/>
        <v>0.26972353337828731</v>
      </c>
      <c r="K896">
        <v>4.0000000000000002E-4</v>
      </c>
      <c r="L896" t="s">
        <v>17</v>
      </c>
      <c r="M896">
        <v>296</v>
      </c>
      <c r="N896" t="s">
        <v>553</v>
      </c>
    </row>
    <row r="897" spans="1:14" x14ac:dyDescent="0.2">
      <c r="A897" t="s">
        <v>1099</v>
      </c>
      <c r="B897" t="s">
        <v>32</v>
      </c>
      <c r="C897">
        <v>21</v>
      </c>
      <c r="D897">
        <v>15</v>
      </c>
      <c r="E897">
        <v>6</v>
      </c>
      <c r="F897">
        <v>20</v>
      </c>
      <c r="G897">
        <v>15</v>
      </c>
      <c r="H897">
        <v>5</v>
      </c>
      <c r="I897">
        <v>0.1404</v>
      </c>
      <c r="J897">
        <f t="shared" si="13"/>
        <v>0.85470085470085466</v>
      </c>
      <c r="K897">
        <v>1.1999999999999999E-3</v>
      </c>
      <c r="L897" t="s">
        <v>17</v>
      </c>
      <c r="M897">
        <v>296</v>
      </c>
      <c r="N897" t="s">
        <v>553</v>
      </c>
    </row>
    <row r="898" spans="1:14" x14ac:dyDescent="0.2">
      <c r="A898" t="s">
        <v>1099</v>
      </c>
      <c r="B898" t="s">
        <v>32</v>
      </c>
      <c r="C898">
        <v>16</v>
      </c>
      <c r="D898">
        <v>8</v>
      </c>
      <c r="E898">
        <v>9</v>
      </c>
      <c r="F898">
        <v>15</v>
      </c>
      <c r="G898">
        <v>8</v>
      </c>
      <c r="H898">
        <v>8</v>
      </c>
      <c r="I898">
        <v>0.17019999999999999</v>
      </c>
      <c r="J898">
        <f t="shared" si="13"/>
        <v>0.11750881316098709</v>
      </c>
      <c r="K898">
        <v>2.0000000000000001E-4</v>
      </c>
      <c r="L898" t="s">
        <v>17</v>
      </c>
      <c r="M898">
        <v>296</v>
      </c>
      <c r="N898" t="s">
        <v>553</v>
      </c>
    </row>
    <row r="899" spans="1:14" x14ac:dyDescent="0.2">
      <c r="A899" t="s">
        <v>1099</v>
      </c>
      <c r="B899" t="s">
        <v>32</v>
      </c>
      <c r="C899">
        <v>15</v>
      </c>
      <c r="D899">
        <v>0</v>
      </c>
      <c r="E899">
        <v>15</v>
      </c>
      <c r="F899">
        <v>14</v>
      </c>
      <c r="G899">
        <v>0</v>
      </c>
      <c r="H899">
        <v>14</v>
      </c>
      <c r="I899">
        <v>0.17269999999999999</v>
      </c>
      <c r="J899">
        <f t="shared" ref="J899:J962" si="14">K899/I899*100</f>
        <v>0.2316155182397221</v>
      </c>
      <c r="K899">
        <v>4.0000000000000002E-4</v>
      </c>
      <c r="L899" t="s">
        <v>17</v>
      </c>
      <c r="M899">
        <v>296</v>
      </c>
      <c r="N899" t="s">
        <v>553</v>
      </c>
    </row>
    <row r="900" spans="1:14" x14ac:dyDescent="0.2">
      <c r="A900" t="s">
        <v>1099</v>
      </c>
      <c r="B900" t="s">
        <v>32</v>
      </c>
      <c r="C900">
        <v>18</v>
      </c>
      <c r="D900">
        <v>11</v>
      </c>
      <c r="E900">
        <v>8</v>
      </c>
      <c r="F900">
        <v>17</v>
      </c>
      <c r="G900">
        <v>11</v>
      </c>
      <c r="H900">
        <v>7</v>
      </c>
      <c r="I900">
        <v>0.1552</v>
      </c>
      <c r="J900">
        <f t="shared" si="14"/>
        <v>0.25773195876288657</v>
      </c>
      <c r="K900">
        <v>4.0000000000000002E-4</v>
      </c>
      <c r="L900" t="s">
        <v>17</v>
      </c>
      <c r="M900">
        <v>296</v>
      </c>
      <c r="N900" t="s">
        <v>553</v>
      </c>
    </row>
    <row r="901" spans="1:14" x14ac:dyDescent="0.2">
      <c r="A901" t="s">
        <v>1099</v>
      </c>
      <c r="B901" t="s">
        <v>32</v>
      </c>
      <c r="C901">
        <v>15</v>
      </c>
      <c r="D901">
        <v>5</v>
      </c>
      <c r="E901">
        <v>10</v>
      </c>
      <c r="F901">
        <v>14</v>
      </c>
      <c r="G901">
        <v>5</v>
      </c>
      <c r="H901">
        <v>9</v>
      </c>
      <c r="I901">
        <v>0.16819999999999999</v>
      </c>
      <c r="J901">
        <f t="shared" si="14"/>
        <v>0.11890606420927469</v>
      </c>
      <c r="K901">
        <v>2.0000000000000001E-4</v>
      </c>
      <c r="L901" t="s">
        <v>17</v>
      </c>
      <c r="M901">
        <v>296</v>
      </c>
      <c r="N901" t="s">
        <v>553</v>
      </c>
    </row>
    <row r="902" spans="1:14" x14ac:dyDescent="0.2">
      <c r="A902" t="s">
        <v>1099</v>
      </c>
      <c r="B902" t="s">
        <v>32</v>
      </c>
      <c r="C902">
        <v>19</v>
      </c>
      <c r="D902">
        <v>12</v>
      </c>
      <c r="E902">
        <v>7</v>
      </c>
      <c r="F902">
        <v>18</v>
      </c>
      <c r="G902">
        <v>12</v>
      </c>
      <c r="H902">
        <v>6</v>
      </c>
      <c r="I902">
        <v>0.1719</v>
      </c>
      <c r="J902">
        <f t="shared" si="14"/>
        <v>0.23269342641070392</v>
      </c>
      <c r="K902">
        <v>4.0000000000000002E-4</v>
      </c>
      <c r="L902" t="s">
        <v>17</v>
      </c>
      <c r="M902">
        <v>296</v>
      </c>
      <c r="N902" t="s">
        <v>553</v>
      </c>
    </row>
    <row r="903" spans="1:14" x14ac:dyDescent="0.2">
      <c r="A903" t="s">
        <v>1099</v>
      </c>
      <c r="B903" t="s">
        <v>32</v>
      </c>
      <c r="C903">
        <v>15</v>
      </c>
      <c r="D903">
        <v>4</v>
      </c>
      <c r="E903">
        <v>11</v>
      </c>
      <c r="F903">
        <v>14</v>
      </c>
      <c r="G903">
        <v>4</v>
      </c>
      <c r="H903">
        <v>10</v>
      </c>
      <c r="I903">
        <v>0.1721</v>
      </c>
      <c r="J903">
        <f t="shared" si="14"/>
        <v>0.11621150493898895</v>
      </c>
      <c r="K903">
        <v>2.0000000000000001E-4</v>
      </c>
      <c r="L903" t="s">
        <v>17</v>
      </c>
      <c r="M903">
        <v>296</v>
      </c>
      <c r="N903" t="s">
        <v>553</v>
      </c>
    </row>
    <row r="904" spans="1:14" x14ac:dyDescent="0.2">
      <c r="A904" t="s">
        <v>1099</v>
      </c>
      <c r="B904" t="s">
        <v>32</v>
      </c>
      <c r="C904">
        <v>25</v>
      </c>
      <c r="D904">
        <v>18</v>
      </c>
      <c r="E904">
        <v>7</v>
      </c>
      <c r="F904">
        <v>24</v>
      </c>
      <c r="G904">
        <v>18</v>
      </c>
      <c r="H904">
        <v>6</v>
      </c>
      <c r="I904">
        <v>0.13669999999999999</v>
      </c>
      <c r="J904">
        <f t="shared" si="14"/>
        <v>0.51207022677395753</v>
      </c>
      <c r="K904">
        <v>6.9999999999999999E-4</v>
      </c>
      <c r="L904" t="s">
        <v>17</v>
      </c>
      <c r="M904">
        <v>296</v>
      </c>
      <c r="N904" t="s">
        <v>553</v>
      </c>
    </row>
    <row r="905" spans="1:14" x14ac:dyDescent="0.2">
      <c r="A905" t="s">
        <v>1099</v>
      </c>
      <c r="B905" t="s">
        <v>32</v>
      </c>
      <c r="C905">
        <v>20</v>
      </c>
      <c r="D905">
        <v>13</v>
      </c>
      <c r="E905">
        <v>8</v>
      </c>
      <c r="F905">
        <v>19</v>
      </c>
      <c r="G905">
        <v>13</v>
      </c>
      <c r="H905">
        <v>7</v>
      </c>
      <c r="I905">
        <v>0.1547</v>
      </c>
      <c r="J905">
        <f t="shared" si="14"/>
        <v>0.25856496444731736</v>
      </c>
      <c r="K905">
        <v>4.0000000000000002E-4</v>
      </c>
      <c r="L905" t="s">
        <v>17</v>
      </c>
      <c r="M905">
        <v>296</v>
      </c>
      <c r="N905" t="s">
        <v>553</v>
      </c>
    </row>
    <row r="906" spans="1:14" x14ac:dyDescent="0.2">
      <c r="A906" t="s">
        <v>1099</v>
      </c>
      <c r="B906" t="s">
        <v>32</v>
      </c>
      <c r="C906">
        <v>24</v>
      </c>
      <c r="D906">
        <v>17</v>
      </c>
      <c r="E906">
        <v>8</v>
      </c>
      <c r="F906">
        <v>23</v>
      </c>
      <c r="G906">
        <v>17</v>
      </c>
      <c r="H906">
        <v>7</v>
      </c>
      <c r="I906">
        <v>0.1328</v>
      </c>
      <c r="J906">
        <f t="shared" si="14"/>
        <v>0.30120481927710846</v>
      </c>
      <c r="K906">
        <v>4.0000000000000002E-4</v>
      </c>
      <c r="L906" t="s">
        <v>17</v>
      </c>
      <c r="M906">
        <v>296</v>
      </c>
      <c r="N906" t="s">
        <v>553</v>
      </c>
    </row>
    <row r="907" spans="1:14" x14ac:dyDescent="0.2">
      <c r="A907" t="s">
        <v>1099</v>
      </c>
      <c r="B907" t="s">
        <v>32</v>
      </c>
      <c r="C907">
        <v>21</v>
      </c>
      <c r="D907">
        <v>14</v>
      </c>
      <c r="E907">
        <v>7</v>
      </c>
      <c r="F907">
        <v>20</v>
      </c>
      <c r="G907">
        <v>14</v>
      </c>
      <c r="H907">
        <v>6</v>
      </c>
      <c r="I907">
        <v>0.1497</v>
      </c>
      <c r="J907">
        <f t="shared" si="14"/>
        <v>0.26720106880427524</v>
      </c>
      <c r="K907">
        <v>4.0000000000000002E-4</v>
      </c>
      <c r="L907" t="s">
        <v>17</v>
      </c>
      <c r="M907">
        <v>296</v>
      </c>
      <c r="N907" t="s">
        <v>553</v>
      </c>
    </row>
    <row r="908" spans="1:14" x14ac:dyDescent="0.2">
      <c r="A908" t="s">
        <v>1099</v>
      </c>
      <c r="B908" t="s">
        <v>32</v>
      </c>
      <c r="C908">
        <v>18</v>
      </c>
      <c r="D908">
        <v>10</v>
      </c>
      <c r="E908">
        <v>9</v>
      </c>
      <c r="F908">
        <v>17</v>
      </c>
      <c r="G908">
        <v>10</v>
      </c>
      <c r="H908">
        <v>8</v>
      </c>
      <c r="I908">
        <v>0.1671</v>
      </c>
      <c r="J908">
        <f t="shared" si="14"/>
        <v>0.41891083183722316</v>
      </c>
      <c r="K908">
        <v>6.9999999999999999E-4</v>
      </c>
      <c r="L908" t="s">
        <v>17</v>
      </c>
      <c r="M908">
        <v>296</v>
      </c>
      <c r="N908" t="s">
        <v>553</v>
      </c>
    </row>
    <row r="909" spans="1:14" x14ac:dyDescent="0.2">
      <c r="A909" t="s">
        <v>1099</v>
      </c>
      <c r="B909" t="s">
        <v>32</v>
      </c>
      <c r="C909">
        <v>16</v>
      </c>
      <c r="D909">
        <v>6</v>
      </c>
      <c r="E909">
        <v>11</v>
      </c>
      <c r="F909">
        <v>15</v>
      </c>
      <c r="G909">
        <v>6</v>
      </c>
      <c r="H909">
        <v>10</v>
      </c>
      <c r="I909">
        <v>0.16930000000000001</v>
      </c>
      <c r="J909">
        <f t="shared" si="14"/>
        <v>0.29533372711163614</v>
      </c>
      <c r="K909">
        <v>5.0000000000000001E-4</v>
      </c>
      <c r="L909" t="s">
        <v>17</v>
      </c>
      <c r="M909">
        <v>296</v>
      </c>
      <c r="N909" t="s">
        <v>553</v>
      </c>
    </row>
    <row r="910" spans="1:14" x14ac:dyDescent="0.2">
      <c r="A910" t="s">
        <v>1099</v>
      </c>
      <c r="B910" t="s">
        <v>32</v>
      </c>
      <c r="C910">
        <v>15</v>
      </c>
      <c r="D910">
        <v>3</v>
      </c>
      <c r="E910">
        <v>12</v>
      </c>
      <c r="F910">
        <v>14</v>
      </c>
      <c r="G910">
        <v>3</v>
      </c>
      <c r="H910">
        <v>11</v>
      </c>
      <c r="I910">
        <v>0.1792</v>
      </c>
      <c r="J910">
        <f t="shared" si="14"/>
        <v>5.5803571428571438E-2</v>
      </c>
      <c r="K910">
        <v>1E-4</v>
      </c>
      <c r="L910" t="s">
        <v>17</v>
      </c>
      <c r="M910">
        <v>296</v>
      </c>
      <c r="N910" t="s">
        <v>553</v>
      </c>
    </row>
    <row r="911" spans="1:14" x14ac:dyDescent="0.2">
      <c r="A911" t="s">
        <v>1099</v>
      </c>
      <c r="B911" t="s">
        <v>32</v>
      </c>
      <c r="C911">
        <v>17</v>
      </c>
      <c r="D911">
        <v>8</v>
      </c>
      <c r="E911">
        <v>9</v>
      </c>
      <c r="F911">
        <v>16</v>
      </c>
      <c r="G911">
        <v>8</v>
      </c>
      <c r="H911">
        <v>8</v>
      </c>
      <c r="I911">
        <v>0.1681</v>
      </c>
      <c r="J911">
        <f t="shared" si="14"/>
        <v>0.11897679952409281</v>
      </c>
      <c r="K911">
        <v>2.0000000000000001E-4</v>
      </c>
      <c r="L911" t="s">
        <v>17</v>
      </c>
      <c r="M911">
        <v>296</v>
      </c>
      <c r="N911" t="s">
        <v>553</v>
      </c>
    </row>
    <row r="912" spans="1:14" x14ac:dyDescent="0.2">
      <c r="A912" t="s">
        <v>1099</v>
      </c>
      <c r="B912" t="s">
        <v>32</v>
      </c>
      <c r="C912">
        <v>19</v>
      </c>
      <c r="D912">
        <v>11</v>
      </c>
      <c r="E912">
        <v>8</v>
      </c>
      <c r="F912">
        <v>18</v>
      </c>
      <c r="G912">
        <v>11</v>
      </c>
      <c r="H912">
        <v>7</v>
      </c>
      <c r="I912">
        <v>0.1595</v>
      </c>
      <c r="J912">
        <f t="shared" si="14"/>
        <v>0.62695924764890276</v>
      </c>
      <c r="K912">
        <v>1E-3</v>
      </c>
      <c r="L912" t="s">
        <v>17</v>
      </c>
      <c r="M912">
        <v>296</v>
      </c>
      <c r="N912" t="s">
        <v>553</v>
      </c>
    </row>
    <row r="913" spans="1:14" x14ac:dyDescent="0.2">
      <c r="A913" t="s">
        <v>1099</v>
      </c>
      <c r="B913" t="s">
        <v>32</v>
      </c>
      <c r="C913">
        <v>16</v>
      </c>
      <c r="D913">
        <v>5</v>
      </c>
      <c r="E913">
        <v>12</v>
      </c>
      <c r="F913">
        <v>15</v>
      </c>
      <c r="G913">
        <v>5</v>
      </c>
      <c r="H913">
        <v>11</v>
      </c>
      <c r="I913">
        <v>0.1714</v>
      </c>
      <c r="J913">
        <f t="shared" si="14"/>
        <v>0.11668611435239208</v>
      </c>
      <c r="K913">
        <v>2.0000000000000001E-4</v>
      </c>
      <c r="L913" t="s">
        <v>17</v>
      </c>
      <c r="M913">
        <v>296</v>
      </c>
      <c r="N913" t="s">
        <v>553</v>
      </c>
    </row>
    <row r="914" spans="1:14" x14ac:dyDescent="0.2">
      <c r="A914" t="s">
        <v>1099</v>
      </c>
      <c r="B914" t="s">
        <v>32</v>
      </c>
      <c r="C914">
        <v>15</v>
      </c>
      <c r="D914">
        <v>2</v>
      </c>
      <c r="E914">
        <v>13</v>
      </c>
      <c r="F914">
        <v>14</v>
      </c>
      <c r="G914">
        <v>2</v>
      </c>
      <c r="H914">
        <v>12</v>
      </c>
      <c r="I914">
        <v>0.18859999999999999</v>
      </c>
      <c r="J914">
        <f t="shared" si="14"/>
        <v>5.3022269353128322E-2</v>
      </c>
      <c r="K914">
        <v>1E-4</v>
      </c>
      <c r="L914" t="s">
        <v>17</v>
      </c>
      <c r="M914">
        <v>296</v>
      </c>
      <c r="N914" t="s">
        <v>553</v>
      </c>
    </row>
    <row r="915" spans="1:14" x14ac:dyDescent="0.2">
      <c r="A915" t="s">
        <v>1099</v>
      </c>
      <c r="B915" t="s">
        <v>32</v>
      </c>
      <c r="C915">
        <v>18</v>
      </c>
      <c r="D915">
        <v>9</v>
      </c>
      <c r="E915">
        <v>10</v>
      </c>
      <c r="F915">
        <v>17</v>
      </c>
      <c r="G915">
        <v>9</v>
      </c>
      <c r="H915">
        <v>9</v>
      </c>
      <c r="I915">
        <v>0.16869999999999999</v>
      </c>
      <c r="J915">
        <f t="shared" si="14"/>
        <v>0.35566093657379966</v>
      </c>
      <c r="K915">
        <v>5.9999999999999995E-4</v>
      </c>
      <c r="L915" t="s">
        <v>17</v>
      </c>
      <c r="M915">
        <v>296</v>
      </c>
      <c r="N915" t="s">
        <v>553</v>
      </c>
    </row>
    <row r="916" spans="1:14" x14ac:dyDescent="0.2">
      <c r="A916" t="s">
        <v>1099</v>
      </c>
      <c r="B916" t="s">
        <v>32</v>
      </c>
      <c r="C916">
        <v>17</v>
      </c>
      <c r="D916">
        <v>7</v>
      </c>
      <c r="E916">
        <v>10</v>
      </c>
      <c r="F916">
        <v>16</v>
      </c>
      <c r="G916">
        <v>7</v>
      </c>
      <c r="H916">
        <v>9</v>
      </c>
      <c r="I916">
        <v>0.1691</v>
      </c>
      <c r="J916">
        <f t="shared" si="14"/>
        <v>0.23654642223536371</v>
      </c>
      <c r="K916">
        <v>4.0000000000000002E-4</v>
      </c>
      <c r="L916" t="s">
        <v>17</v>
      </c>
      <c r="M916">
        <v>296</v>
      </c>
      <c r="N916" t="s">
        <v>553</v>
      </c>
    </row>
    <row r="917" spans="1:14" x14ac:dyDescent="0.2">
      <c r="A917" t="s">
        <v>1099</v>
      </c>
      <c r="B917" t="s">
        <v>32</v>
      </c>
      <c r="C917">
        <v>26</v>
      </c>
      <c r="D917">
        <v>18</v>
      </c>
      <c r="E917">
        <v>9</v>
      </c>
      <c r="F917">
        <v>25</v>
      </c>
      <c r="G917">
        <v>18</v>
      </c>
      <c r="H917">
        <v>8</v>
      </c>
      <c r="I917">
        <v>0.1263</v>
      </c>
      <c r="J917">
        <f t="shared" si="14"/>
        <v>0.63341250989707054</v>
      </c>
      <c r="K917">
        <v>8.0000000000000004E-4</v>
      </c>
      <c r="L917" t="s">
        <v>17</v>
      </c>
      <c r="M917">
        <v>296</v>
      </c>
      <c r="N917" t="s">
        <v>553</v>
      </c>
    </row>
    <row r="918" spans="1:14" x14ac:dyDescent="0.2">
      <c r="A918" t="s">
        <v>1099</v>
      </c>
      <c r="B918" t="s">
        <v>32</v>
      </c>
      <c r="C918">
        <v>16</v>
      </c>
      <c r="D918">
        <v>4</v>
      </c>
      <c r="E918">
        <v>13</v>
      </c>
      <c r="F918">
        <v>15</v>
      </c>
      <c r="G918">
        <v>4</v>
      </c>
      <c r="H918">
        <v>12</v>
      </c>
      <c r="I918">
        <v>0.17249999999999999</v>
      </c>
      <c r="J918">
        <f t="shared" si="14"/>
        <v>0.11594202898550726</v>
      </c>
      <c r="K918">
        <v>2.0000000000000001E-4</v>
      </c>
      <c r="L918" t="s">
        <v>17</v>
      </c>
      <c r="M918">
        <v>296</v>
      </c>
      <c r="N918" t="s">
        <v>553</v>
      </c>
    </row>
    <row r="919" spans="1:14" x14ac:dyDescent="0.2">
      <c r="A919" t="s">
        <v>1099</v>
      </c>
      <c r="B919" t="s">
        <v>32</v>
      </c>
      <c r="C919">
        <v>21</v>
      </c>
      <c r="D919">
        <v>13</v>
      </c>
      <c r="E919">
        <v>8</v>
      </c>
      <c r="F919">
        <v>20</v>
      </c>
      <c r="G919">
        <v>13</v>
      </c>
      <c r="H919">
        <v>7</v>
      </c>
      <c r="I919">
        <v>0.158</v>
      </c>
      <c r="J919">
        <f t="shared" si="14"/>
        <v>0.37974683544303789</v>
      </c>
      <c r="K919">
        <v>5.9999999999999995E-4</v>
      </c>
      <c r="L919" t="s">
        <v>17</v>
      </c>
      <c r="M919">
        <v>296</v>
      </c>
      <c r="N919" t="s">
        <v>553</v>
      </c>
    </row>
    <row r="920" spans="1:14" x14ac:dyDescent="0.2">
      <c r="A920" t="s">
        <v>1099</v>
      </c>
      <c r="B920" t="s">
        <v>32</v>
      </c>
      <c r="C920">
        <v>25</v>
      </c>
      <c r="D920">
        <v>17</v>
      </c>
      <c r="E920">
        <v>8</v>
      </c>
      <c r="F920">
        <v>24</v>
      </c>
      <c r="G920">
        <v>17</v>
      </c>
      <c r="H920">
        <v>7</v>
      </c>
      <c r="I920">
        <v>0.13700000000000001</v>
      </c>
      <c r="J920">
        <f t="shared" si="14"/>
        <v>0.43795620437956201</v>
      </c>
      <c r="K920">
        <v>5.9999999999999995E-4</v>
      </c>
      <c r="L920" t="s">
        <v>17</v>
      </c>
      <c r="M920">
        <v>296</v>
      </c>
      <c r="N920" t="s">
        <v>553</v>
      </c>
    </row>
    <row r="921" spans="1:14" x14ac:dyDescent="0.2">
      <c r="A921" t="s">
        <v>1099</v>
      </c>
      <c r="B921" t="s">
        <v>32</v>
      </c>
      <c r="C921">
        <v>16</v>
      </c>
      <c r="D921">
        <v>3</v>
      </c>
      <c r="E921">
        <v>14</v>
      </c>
      <c r="F921">
        <v>15</v>
      </c>
      <c r="G921">
        <v>3</v>
      </c>
      <c r="H921">
        <v>13</v>
      </c>
      <c r="I921">
        <v>0.16950000000000001</v>
      </c>
      <c r="J921">
        <f t="shared" si="14"/>
        <v>0.11799410029498525</v>
      </c>
      <c r="K921">
        <v>2.0000000000000001E-4</v>
      </c>
      <c r="L921" t="s">
        <v>17</v>
      </c>
      <c r="M921">
        <v>296</v>
      </c>
      <c r="N921" t="s">
        <v>553</v>
      </c>
    </row>
    <row r="922" spans="1:14" x14ac:dyDescent="0.2">
      <c r="A922" t="s">
        <v>1099</v>
      </c>
      <c r="B922" t="s">
        <v>32</v>
      </c>
      <c r="C922">
        <v>24</v>
      </c>
      <c r="D922">
        <v>16</v>
      </c>
      <c r="E922">
        <v>9</v>
      </c>
      <c r="F922">
        <v>23</v>
      </c>
      <c r="G922">
        <v>16</v>
      </c>
      <c r="H922">
        <v>8</v>
      </c>
      <c r="I922">
        <v>0.14649999999999999</v>
      </c>
      <c r="J922">
        <f t="shared" si="14"/>
        <v>0.54607508532423221</v>
      </c>
      <c r="K922">
        <v>8.0000000000000004E-4</v>
      </c>
      <c r="L922" t="s">
        <v>17</v>
      </c>
      <c r="M922">
        <v>296</v>
      </c>
      <c r="N922" t="s">
        <v>553</v>
      </c>
    </row>
    <row r="923" spans="1:14" x14ac:dyDescent="0.2">
      <c r="A923" t="s">
        <v>1099</v>
      </c>
      <c r="B923" t="s">
        <v>32</v>
      </c>
      <c r="C923">
        <v>23</v>
      </c>
      <c r="D923">
        <v>15</v>
      </c>
      <c r="E923">
        <v>8</v>
      </c>
      <c r="F923">
        <v>22</v>
      </c>
      <c r="G923">
        <v>15</v>
      </c>
      <c r="H923">
        <v>7</v>
      </c>
      <c r="I923">
        <v>0.1431</v>
      </c>
      <c r="J923">
        <f t="shared" si="14"/>
        <v>0.76869322152341013</v>
      </c>
      <c r="K923">
        <v>1.1000000000000001E-3</v>
      </c>
      <c r="L923" t="s">
        <v>17</v>
      </c>
      <c r="M923">
        <v>296</v>
      </c>
      <c r="N923" t="s">
        <v>553</v>
      </c>
    </row>
    <row r="924" spans="1:14" x14ac:dyDescent="0.2">
      <c r="A924" t="s">
        <v>1099</v>
      </c>
      <c r="B924" t="s">
        <v>32</v>
      </c>
      <c r="C924">
        <v>19</v>
      </c>
      <c r="D924">
        <v>10</v>
      </c>
      <c r="E924">
        <v>9</v>
      </c>
      <c r="F924">
        <v>18</v>
      </c>
      <c r="G924">
        <v>10</v>
      </c>
      <c r="H924">
        <v>8</v>
      </c>
      <c r="I924">
        <v>0.16569999999999999</v>
      </c>
      <c r="J924">
        <f t="shared" si="14"/>
        <v>0.18105009052504525</v>
      </c>
      <c r="K924">
        <v>2.9999999999999997E-4</v>
      </c>
      <c r="L924" t="s">
        <v>17</v>
      </c>
      <c r="M924">
        <v>296</v>
      </c>
      <c r="N924" t="s">
        <v>553</v>
      </c>
    </row>
    <row r="925" spans="1:14" x14ac:dyDescent="0.2">
      <c r="A925" t="s">
        <v>1099</v>
      </c>
      <c r="B925" t="s">
        <v>32</v>
      </c>
      <c r="C925">
        <v>17</v>
      </c>
      <c r="D925">
        <v>6</v>
      </c>
      <c r="E925">
        <v>11</v>
      </c>
      <c r="F925">
        <v>16</v>
      </c>
      <c r="G925">
        <v>6</v>
      </c>
      <c r="H925">
        <v>10</v>
      </c>
      <c r="I925">
        <v>0.1694</v>
      </c>
      <c r="J925">
        <f t="shared" si="14"/>
        <v>0.11806375442739081</v>
      </c>
      <c r="K925">
        <v>2.0000000000000001E-4</v>
      </c>
      <c r="L925" t="s">
        <v>17</v>
      </c>
      <c r="M925">
        <v>296</v>
      </c>
      <c r="N925" t="s">
        <v>553</v>
      </c>
    </row>
    <row r="926" spans="1:14" x14ac:dyDescent="0.2">
      <c r="A926" t="s">
        <v>1099</v>
      </c>
      <c r="B926" t="s">
        <v>32</v>
      </c>
      <c r="C926">
        <v>20</v>
      </c>
      <c r="D926">
        <v>11</v>
      </c>
      <c r="E926">
        <v>10</v>
      </c>
      <c r="F926">
        <v>19</v>
      </c>
      <c r="G926">
        <v>11</v>
      </c>
      <c r="H926">
        <v>9</v>
      </c>
      <c r="I926">
        <v>0.16450000000000001</v>
      </c>
      <c r="J926">
        <f t="shared" si="14"/>
        <v>0.18237082066869298</v>
      </c>
      <c r="K926">
        <v>2.9999999999999997E-4</v>
      </c>
      <c r="L926" t="s">
        <v>17</v>
      </c>
      <c r="M926">
        <v>296</v>
      </c>
      <c r="N926" t="s">
        <v>553</v>
      </c>
    </row>
    <row r="927" spans="1:14" x14ac:dyDescent="0.2">
      <c r="A927" t="s">
        <v>1099</v>
      </c>
      <c r="B927" t="s">
        <v>32</v>
      </c>
      <c r="C927">
        <v>28</v>
      </c>
      <c r="D927">
        <v>19</v>
      </c>
      <c r="E927">
        <v>10</v>
      </c>
      <c r="F927">
        <v>27</v>
      </c>
      <c r="G927">
        <v>19</v>
      </c>
      <c r="H927">
        <v>9</v>
      </c>
      <c r="I927">
        <v>0.14269999999999999</v>
      </c>
      <c r="J927">
        <f t="shared" si="14"/>
        <v>0.63069376313945347</v>
      </c>
      <c r="K927">
        <v>8.9999999999999998E-4</v>
      </c>
      <c r="L927" t="s">
        <v>17</v>
      </c>
      <c r="M927">
        <v>296</v>
      </c>
      <c r="N927" t="s">
        <v>553</v>
      </c>
    </row>
    <row r="928" spans="1:14" x14ac:dyDescent="0.2">
      <c r="A928" t="s">
        <v>1099</v>
      </c>
      <c r="B928" t="s">
        <v>32</v>
      </c>
      <c r="C928">
        <v>17</v>
      </c>
      <c r="D928">
        <v>5</v>
      </c>
      <c r="E928">
        <v>12</v>
      </c>
      <c r="F928">
        <v>16</v>
      </c>
      <c r="G928">
        <v>5</v>
      </c>
      <c r="H928">
        <v>11</v>
      </c>
      <c r="I928">
        <v>0.17119999999999999</v>
      </c>
      <c r="J928">
        <f t="shared" si="14"/>
        <v>5.8411214953271035E-2</v>
      </c>
      <c r="K928">
        <v>1E-4</v>
      </c>
      <c r="L928" t="s">
        <v>17</v>
      </c>
      <c r="M928">
        <v>296</v>
      </c>
      <c r="N928" t="s">
        <v>553</v>
      </c>
    </row>
    <row r="929" spans="1:14" x14ac:dyDescent="0.2">
      <c r="A929" t="s">
        <v>1099</v>
      </c>
      <c r="B929" t="s">
        <v>32</v>
      </c>
      <c r="C929">
        <v>18</v>
      </c>
      <c r="D929">
        <v>7</v>
      </c>
      <c r="E929">
        <v>12</v>
      </c>
      <c r="F929">
        <v>17</v>
      </c>
      <c r="G929">
        <v>7</v>
      </c>
      <c r="H929">
        <v>11</v>
      </c>
      <c r="I929">
        <v>0.16869999999999999</v>
      </c>
      <c r="J929">
        <f t="shared" si="14"/>
        <v>0.11855364552459989</v>
      </c>
      <c r="K929">
        <v>2.0000000000000001E-4</v>
      </c>
      <c r="L929" t="s">
        <v>17</v>
      </c>
      <c r="M929">
        <v>296</v>
      </c>
      <c r="N929" t="s">
        <v>553</v>
      </c>
    </row>
    <row r="930" spans="1:14" x14ac:dyDescent="0.2">
      <c r="A930" t="s">
        <v>1099</v>
      </c>
      <c r="B930" t="s">
        <v>32</v>
      </c>
      <c r="C930">
        <v>24</v>
      </c>
      <c r="D930">
        <v>15</v>
      </c>
      <c r="E930">
        <v>10</v>
      </c>
      <c r="F930">
        <v>23</v>
      </c>
      <c r="G930">
        <v>15</v>
      </c>
      <c r="H930">
        <v>9</v>
      </c>
      <c r="I930">
        <v>0.14949999999999999</v>
      </c>
      <c r="J930">
        <f t="shared" si="14"/>
        <v>0.26755852842809369</v>
      </c>
      <c r="K930">
        <v>4.0000000000000002E-4</v>
      </c>
      <c r="L930" t="s">
        <v>17</v>
      </c>
      <c r="M930">
        <v>296</v>
      </c>
      <c r="N930" t="s">
        <v>553</v>
      </c>
    </row>
    <row r="931" spans="1:14" x14ac:dyDescent="0.2">
      <c r="A931" t="s">
        <v>1099</v>
      </c>
      <c r="B931" t="s">
        <v>32</v>
      </c>
      <c r="C931">
        <v>18</v>
      </c>
      <c r="D931">
        <v>1</v>
      </c>
      <c r="E931">
        <v>18</v>
      </c>
      <c r="F931">
        <v>17</v>
      </c>
      <c r="G931">
        <v>1</v>
      </c>
      <c r="H931">
        <v>17</v>
      </c>
      <c r="I931">
        <v>0.16470000000000001</v>
      </c>
      <c r="J931">
        <f t="shared" si="14"/>
        <v>0.1214329083181542</v>
      </c>
      <c r="K931">
        <v>2.0000000000000001E-4</v>
      </c>
      <c r="L931" t="s">
        <v>17</v>
      </c>
      <c r="M931">
        <v>296</v>
      </c>
      <c r="N931" t="s">
        <v>553</v>
      </c>
    </row>
    <row r="932" spans="1:14" x14ac:dyDescent="0.2">
      <c r="A932" t="s">
        <v>1099</v>
      </c>
      <c r="B932" t="s">
        <v>32</v>
      </c>
      <c r="C932">
        <v>20</v>
      </c>
      <c r="D932">
        <v>10</v>
      </c>
      <c r="E932">
        <v>11</v>
      </c>
      <c r="F932">
        <v>19</v>
      </c>
      <c r="G932">
        <v>10</v>
      </c>
      <c r="H932">
        <v>10</v>
      </c>
      <c r="I932">
        <v>0.1618</v>
      </c>
      <c r="J932">
        <f t="shared" si="14"/>
        <v>0.24721878862793575</v>
      </c>
      <c r="K932">
        <v>4.0000000000000002E-4</v>
      </c>
      <c r="L932" t="s">
        <v>17</v>
      </c>
      <c r="M932">
        <v>296</v>
      </c>
      <c r="N932" t="s">
        <v>553</v>
      </c>
    </row>
    <row r="933" spans="1:14" x14ac:dyDescent="0.2">
      <c r="A933" t="s">
        <v>1099</v>
      </c>
      <c r="B933" t="s">
        <v>32</v>
      </c>
      <c r="C933">
        <v>18</v>
      </c>
      <c r="D933">
        <v>6</v>
      </c>
      <c r="E933">
        <v>13</v>
      </c>
      <c r="F933">
        <v>17</v>
      </c>
      <c r="G933">
        <v>6</v>
      </c>
      <c r="H933">
        <v>12</v>
      </c>
      <c r="I933">
        <v>0.16889999999999999</v>
      </c>
      <c r="J933">
        <f t="shared" si="14"/>
        <v>0.11841326228537598</v>
      </c>
      <c r="K933">
        <v>2.0000000000000001E-4</v>
      </c>
      <c r="L933" t="s">
        <v>17</v>
      </c>
      <c r="M933">
        <v>296</v>
      </c>
      <c r="N933" t="s">
        <v>553</v>
      </c>
    </row>
    <row r="934" spans="1:14" x14ac:dyDescent="0.2">
      <c r="A934" t="s">
        <v>1099</v>
      </c>
      <c r="B934" t="s">
        <v>32</v>
      </c>
      <c r="C934">
        <v>19</v>
      </c>
      <c r="D934">
        <v>8</v>
      </c>
      <c r="E934">
        <v>11</v>
      </c>
      <c r="F934">
        <v>18</v>
      </c>
      <c r="G934">
        <v>8</v>
      </c>
      <c r="H934">
        <v>10</v>
      </c>
      <c r="I934">
        <v>0.16400000000000001</v>
      </c>
      <c r="J934">
        <f t="shared" si="14"/>
        <v>0.12195121951219512</v>
      </c>
      <c r="K934">
        <v>2.0000000000000001E-4</v>
      </c>
      <c r="L934" t="s">
        <v>17</v>
      </c>
      <c r="M934">
        <v>296</v>
      </c>
      <c r="N934" t="s">
        <v>553</v>
      </c>
    </row>
    <row r="935" spans="1:14" x14ac:dyDescent="0.2">
      <c r="A935" t="s">
        <v>1099</v>
      </c>
      <c r="B935" t="s">
        <v>32</v>
      </c>
      <c r="C935">
        <v>17</v>
      </c>
      <c r="D935">
        <v>3</v>
      </c>
      <c r="E935">
        <v>14</v>
      </c>
      <c r="F935">
        <v>16</v>
      </c>
      <c r="G935">
        <v>3</v>
      </c>
      <c r="H935">
        <v>13</v>
      </c>
      <c r="I935">
        <v>0.1777</v>
      </c>
      <c r="J935">
        <f t="shared" si="14"/>
        <v>5.6274620146314014E-2</v>
      </c>
      <c r="K935">
        <v>1E-4</v>
      </c>
      <c r="L935" t="s">
        <v>17</v>
      </c>
      <c r="M935">
        <v>296</v>
      </c>
      <c r="N935" t="s">
        <v>553</v>
      </c>
    </row>
    <row r="936" spans="1:14" x14ac:dyDescent="0.2">
      <c r="A936" t="s">
        <v>1099</v>
      </c>
      <c r="B936" t="s">
        <v>32</v>
      </c>
      <c r="C936">
        <v>29</v>
      </c>
      <c r="D936">
        <v>19</v>
      </c>
      <c r="E936">
        <v>10</v>
      </c>
      <c r="F936">
        <v>28</v>
      </c>
      <c r="G936">
        <v>19</v>
      </c>
      <c r="H936">
        <v>9</v>
      </c>
      <c r="I936">
        <v>0.1166</v>
      </c>
      <c r="J936">
        <f t="shared" si="14"/>
        <v>1.1149228130360207</v>
      </c>
      <c r="K936">
        <v>1.2999999999999999E-3</v>
      </c>
      <c r="L936" t="s">
        <v>17</v>
      </c>
      <c r="M936">
        <v>296</v>
      </c>
      <c r="N936" t="s">
        <v>553</v>
      </c>
    </row>
    <row r="937" spans="1:14" x14ac:dyDescent="0.2">
      <c r="A937" t="s">
        <v>1099</v>
      </c>
      <c r="B937" t="s">
        <v>32</v>
      </c>
      <c r="C937">
        <v>17</v>
      </c>
      <c r="D937">
        <v>1</v>
      </c>
      <c r="E937">
        <v>16</v>
      </c>
      <c r="F937">
        <v>16</v>
      </c>
      <c r="G937">
        <v>1</v>
      </c>
      <c r="H937">
        <v>15</v>
      </c>
      <c r="I937">
        <v>0.18140000000000001</v>
      </c>
      <c r="J937">
        <f t="shared" si="14"/>
        <v>0.11025358324145534</v>
      </c>
      <c r="K937">
        <v>2.0000000000000001E-4</v>
      </c>
      <c r="L937" t="s">
        <v>17</v>
      </c>
      <c r="M937">
        <v>296</v>
      </c>
      <c r="N937" t="s">
        <v>553</v>
      </c>
    </row>
    <row r="938" spans="1:14" x14ac:dyDescent="0.2">
      <c r="A938" t="s">
        <v>1099</v>
      </c>
      <c r="B938" t="s">
        <v>32</v>
      </c>
      <c r="C938">
        <v>21</v>
      </c>
      <c r="D938">
        <v>11</v>
      </c>
      <c r="E938">
        <v>10</v>
      </c>
      <c r="F938">
        <v>20</v>
      </c>
      <c r="G938">
        <v>11</v>
      </c>
      <c r="H938">
        <v>9</v>
      </c>
      <c r="I938">
        <v>0.15160000000000001</v>
      </c>
      <c r="J938">
        <f t="shared" si="14"/>
        <v>0.19788918205804745</v>
      </c>
      <c r="K938">
        <v>2.9999999999999997E-4</v>
      </c>
      <c r="L938" t="s">
        <v>17</v>
      </c>
      <c r="M938">
        <v>296</v>
      </c>
      <c r="N938" t="s">
        <v>553</v>
      </c>
    </row>
    <row r="939" spans="1:14" x14ac:dyDescent="0.2">
      <c r="A939" t="s">
        <v>1099</v>
      </c>
      <c r="B939" t="s">
        <v>32</v>
      </c>
      <c r="C939">
        <v>18</v>
      </c>
      <c r="D939">
        <v>5</v>
      </c>
      <c r="E939">
        <v>14</v>
      </c>
      <c r="F939">
        <v>17</v>
      </c>
      <c r="G939">
        <v>5</v>
      </c>
      <c r="H939">
        <v>13</v>
      </c>
      <c r="I939">
        <v>0.17150000000000001</v>
      </c>
      <c r="J939">
        <f t="shared" si="14"/>
        <v>0.11661807580174927</v>
      </c>
      <c r="K939">
        <v>2.0000000000000001E-4</v>
      </c>
      <c r="L939" t="s">
        <v>17</v>
      </c>
      <c r="M939">
        <v>296</v>
      </c>
      <c r="N939" t="s">
        <v>553</v>
      </c>
    </row>
    <row r="940" spans="1:14" x14ac:dyDescent="0.2">
      <c r="A940" t="s">
        <v>1099</v>
      </c>
      <c r="B940" t="s">
        <v>32</v>
      </c>
      <c r="C940">
        <v>28</v>
      </c>
      <c r="D940">
        <v>18</v>
      </c>
      <c r="E940">
        <v>11</v>
      </c>
      <c r="F940">
        <v>27</v>
      </c>
      <c r="G940">
        <v>18</v>
      </c>
      <c r="H940">
        <v>10</v>
      </c>
      <c r="I940">
        <v>0.14749999999999999</v>
      </c>
      <c r="J940">
        <f t="shared" si="14"/>
        <v>0.61016949152542377</v>
      </c>
      <c r="K940">
        <v>8.9999999999999998E-4</v>
      </c>
      <c r="L940" t="s">
        <v>17</v>
      </c>
      <c r="M940">
        <v>296</v>
      </c>
      <c r="N940" t="s">
        <v>553</v>
      </c>
    </row>
    <row r="941" spans="1:14" x14ac:dyDescent="0.2">
      <c r="A941" t="s">
        <v>1099</v>
      </c>
      <c r="B941" t="s">
        <v>32</v>
      </c>
      <c r="C941">
        <v>22</v>
      </c>
      <c r="D941">
        <v>12</v>
      </c>
      <c r="E941">
        <v>11</v>
      </c>
      <c r="F941">
        <v>21</v>
      </c>
      <c r="G941">
        <v>12</v>
      </c>
      <c r="H941">
        <v>10</v>
      </c>
      <c r="I941">
        <v>0.1636</v>
      </c>
      <c r="J941">
        <f t="shared" si="14"/>
        <v>0.24449877750611246</v>
      </c>
      <c r="K941">
        <v>4.0000000000000002E-4</v>
      </c>
      <c r="L941" t="s">
        <v>17</v>
      </c>
      <c r="M941">
        <v>296</v>
      </c>
      <c r="N941" t="s">
        <v>553</v>
      </c>
    </row>
    <row r="942" spans="1:14" x14ac:dyDescent="0.2">
      <c r="A942" t="s">
        <v>1099</v>
      </c>
      <c r="B942" t="s">
        <v>32</v>
      </c>
      <c r="C942">
        <v>20</v>
      </c>
      <c r="D942">
        <v>9</v>
      </c>
      <c r="E942">
        <v>12</v>
      </c>
      <c r="F942">
        <v>19</v>
      </c>
      <c r="G942">
        <v>9</v>
      </c>
      <c r="H942">
        <v>11</v>
      </c>
      <c r="I942">
        <v>0.1658</v>
      </c>
      <c r="J942">
        <f t="shared" si="14"/>
        <v>0.12062726176115804</v>
      </c>
      <c r="K942">
        <v>2.0000000000000001E-4</v>
      </c>
      <c r="L942" t="s">
        <v>17</v>
      </c>
      <c r="M942">
        <v>296</v>
      </c>
      <c r="N942" t="s">
        <v>553</v>
      </c>
    </row>
    <row r="943" spans="1:14" x14ac:dyDescent="0.2">
      <c r="A943" t="s">
        <v>1099</v>
      </c>
      <c r="B943" t="s">
        <v>32</v>
      </c>
      <c r="C943">
        <v>19</v>
      </c>
      <c r="D943">
        <v>7</v>
      </c>
      <c r="E943">
        <v>12</v>
      </c>
      <c r="F943">
        <v>18</v>
      </c>
      <c r="G943">
        <v>7</v>
      </c>
      <c r="H943">
        <v>11</v>
      </c>
      <c r="I943">
        <v>0.16789999999999999</v>
      </c>
      <c r="J943">
        <f t="shared" si="14"/>
        <v>0.11911852293031568</v>
      </c>
      <c r="K943">
        <v>2.0000000000000001E-4</v>
      </c>
      <c r="L943" t="s">
        <v>17</v>
      </c>
      <c r="M943">
        <v>296</v>
      </c>
      <c r="N943" t="s">
        <v>553</v>
      </c>
    </row>
    <row r="944" spans="1:14" x14ac:dyDescent="0.2">
      <c r="A944" t="s">
        <v>1099</v>
      </c>
      <c r="B944" t="s">
        <v>32</v>
      </c>
      <c r="C944">
        <v>18</v>
      </c>
      <c r="D944">
        <v>4</v>
      </c>
      <c r="E944">
        <v>15</v>
      </c>
      <c r="F944">
        <v>17</v>
      </c>
      <c r="G944">
        <v>4</v>
      </c>
      <c r="H944">
        <v>14</v>
      </c>
      <c r="I944">
        <v>0.1731</v>
      </c>
      <c r="J944">
        <f t="shared" si="14"/>
        <v>0.11554015020219525</v>
      </c>
      <c r="K944">
        <v>2.0000000000000001E-4</v>
      </c>
      <c r="L944" t="s">
        <v>17</v>
      </c>
      <c r="M944">
        <v>296</v>
      </c>
      <c r="N944" t="s">
        <v>553</v>
      </c>
    </row>
    <row r="945" spans="1:14" x14ac:dyDescent="0.2">
      <c r="A945" t="s">
        <v>1099</v>
      </c>
      <c r="B945" t="s">
        <v>32</v>
      </c>
      <c r="C945">
        <v>25</v>
      </c>
      <c r="D945">
        <v>15</v>
      </c>
      <c r="E945">
        <v>10</v>
      </c>
      <c r="F945">
        <v>24</v>
      </c>
      <c r="G945">
        <v>15</v>
      </c>
      <c r="H945">
        <v>9</v>
      </c>
      <c r="I945">
        <v>0.14630000000000001</v>
      </c>
      <c r="J945">
        <f t="shared" si="14"/>
        <v>0.20505809979494186</v>
      </c>
      <c r="K945">
        <v>2.9999999999999997E-4</v>
      </c>
      <c r="L945" t="s">
        <v>17</v>
      </c>
      <c r="M945">
        <v>296</v>
      </c>
      <c r="N945" t="s">
        <v>553</v>
      </c>
    </row>
    <row r="946" spans="1:14" x14ac:dyDescent="0.2">
      <c r="A946" t="s">
        <v>1099</v>
      </c>
      <c r="B946" t="s">
        <v>32</v>
      </c>
      <c r="C946">
        <v>18</v>
      </c>
      <c r="D946">
        <v>3</v>
      </c>
      <c r="E946">
        <v>16</v>
      </c>
      <c r="F946">
        <v>17</v>
      </c>
      <c r="G946">
        <v>3</v>
      </c>
      <c r="H946">
        <v>15</v>
      </c>
      <c r="I946">
        <v>0.17929999999999999</v>
      </c>
      <c r="J946">
        <f t="shared" si="14"/>
        <v>5.5772448410485224E-2</v>
      </c>
      <c r="K946">
        <v>1E-4</v>
      </c>
      <c r="L946" t="s">
        <v>17</v>
      </c>
      <c r="M946">
        <v>296</v>
      </c>
      <c r="N946" t="s">
        <v>553</v>
      </c>
    </row>
    <row r="947" spans="1:14" x14ac:dyDescent="0.2">
      <c r="A947" t="s">
        <v>1099</v>
      </c>
      <c r="B947" t="s">
        <v>32</v>
      </c>
      <c r="C947">
        <v>19</v>
      </c>
      <c r="D947">
        <v>0</v>
      </c>
      <c r="E947">
        <v>19</v>
      </c>
      <c r="F947">
        <v>18</v>
      </c>
      <c r="G947">
        <v>0</v>
      </c>
      <c r="H947">
        <v>18</v>
      </c>
      <c r="I947">
        <v>0.16420000000000001</v>
      </c>
      <c r="J947">
        <f t="shared" si="14"/>
        <v>0.12180267965895249</v>
      </c>
      <c r="K947">
        <v>2.0000000000000001E-4</v>
      </c>
      <c r="L947" t="s">
        <v>17</v>
      </c>
      <c r="M947">
        <v>296</v>
      </c>
      <c r="N947" t="s">
        <v>553</v>
      </c>
    </row>
    <row r="948" spans="1:14" x14ac:dyDescent="0.2">
      <c r="A948" t="s">
        <v>1099</v>
      </c>
      <c r="B948" t="s">
        <v>32</v>
      </c>
      <c r="C948">
        <v>21</v>
      </c>
      <c r="D948">
        <v>10</v>
      </c>
      <c r="E948">
        <v>11</v>
      </c>
      <c r="F948">
        <v>20</v>
      </c>
      <c r="G948">
        <v>10</v>
      </c>
      <c r="H948">
        <v>10</v>
      </c>
      <c r="I948">
        <v>0.1578</v>
      </c>
      <c r="J948">
        <f t="shared" si="14"/>
        <v>0.19011406844106463</v>
      </c>
      <c r="K948">
        <v>2.9999999999999997E-4</v>
      </c>
      <c r="L948" t="s">
        <v>17</v>
      </c>
      <c r="M948">
        <v>296</v>
      </c>
      <c r="N948" t="s">
        <v>553</v>
      </c>
    </row>
    <row r="949" spans="1:14" x14ac:dyDescent="0.2">
      <c r="A949" t="s">
        <v>1099</v>
      </c>
      <c r="B949" t="s">
        <v>32</v>
      </c>
      <c r="C949">
        <v>20</v>
      </c>
      <c r="D949">
        <v>8</v>
      </c>
      <c r="E949">
        <v>13</v>
      </c>
      <c r="F949">
        <v>19</v>
      </c>
      <c r="G949">
        <v>8</v>
      </c>
      <c r="H949">
        <v>12</v>
      </c>
      <c r="I949">
        <v>0.1623</v>
      </c>
      <c r="J949">
        <f t="shared" si="14"/>
        <v>0.18484288354898334</v>
      </c>
      <c r="K949">
        <v>2.9999999999999997E-4</v>
      </c>
      <c r="L949" t="s">
        <v>17</v>
      </c>
      <c r="M949">
        <v>296</v>
      </c>
      <c r="N949" t="s">
        <v>553</v>
      </c>
    </row>
    <row r="950" spans="1:14" x14ac:dyDescent="0.2">
      <c r="A950" t="s">
        <v>1099</v>
      </c>
      <c r="B950" t="s">
        <v>32</v>
      </c>
      <c r="C950">
        <v>22</v>
      </c>
      <c r="D950">
        <v>11</v>
      </c>
      <c r="E950">
        <v>12</v>
      </c>
      <c r="F950">
        <v>21</v>
      </c>
      <c r="G950">
        <v>11</v>
      </c>
      <c r="H950">
        <v>11</v>
      </c>
      <c r="I950">
        <v>0.1578</v>
      </c>
      <c r="J950">
        <f t="shared" si="14"/>
        <v>0.1267427122940431</v>
      </c>
      <c r="K950">
        <v>2.0000000000000001E-4</v>
      </c>
      <c r="L950" t="s">
        <v>17</v>
      </c>
      <c r="M950">
        <v>296</v>
      </c>
      <c r="N950" t="s">
        <v>553</v>
      </c>
    </row>
    <row r="951" spans="1:14" x14ac:dyDescent="0.2">
      <c r="A951" t="s">
        <v>1099</v>
      </c>
      <c r="B951" t="s">
        <v>32</v>
      </c>
      <c r="C951">
        <v>29</v>
      </c>
      <c r="D951">
        <v>18</v>
      </c>
      <c r="E951">
        <v>11</v>
      </c>
      <c r="F951">
        <v>28</v>
      </c>
      <c r="G951">
        <v>18</v>
      </c>
      <c r="H951">
        <v>10</v>
      </c>
      <c r="I951">
        <v>0.13239999999999999</v>
      </c>
      <c r="J951">
        <f t="shared" si="14"/>
        <v>0.37764350453172207</v>
      </c>
      <c r="K951">
        <v>5.0000000000000001E-4</v>
      </c>
      <c r="L951" t="s">
        <v>17</v>
      </c>
      <c r="M951">
        <v>296</v>
      </c>
      <c r="N951" t="s">
        <v>553</v>
      </c>
    </row>
    <row r="952" spans="1:14" x14ac:dyDescent="0.2">
      <c r="A952" t="s">
        <v>1099</v>
      </c>
      <c r="B952" t="s">
        <v>32</v>
      </c>
      <c r="C952">
        <v>19</v>
      </c>
      <c r="D952">
        <v>5</v>
      </c>
      <c r="E952">
        <v>14</v>
      </c>
      <c r="F952">
        <v>18</v>
      </c>
      <c r="G952">
        <v>5</v>
      </c>
      <c r="H952">
        <v>13</v>
      </c>
      <c r="I952">
        <v>0.1706</v>
      </c>
      <c r="J952">
        <f t="shared" si="14"/>
        <v>5.8616647127784298E-2</v>
      </c>
      <c r="K952">
        <v>1E-4</v>
      </c>
      <c r="L952" t="s">
        <v>17</v>
      </c>
      <c r="M952">
        <v>296</v>
      </c>
      <c r="N952" t="s">
        <v>553</v>
      </c>
    </row>
    <row r="953" spans="1:14" x14ac:dyDescent="0.2">
      <c r="A953" t="s">
        <v>1099</v>
      </c>
      <c r="B953" t="s">
        <v>32</v>
      </c>
      <c r="C953">
        <v>23</v>
      </c>
      <c r="D953">
        <v>12</v>
      </c>
      <c r="E953">
        <v>11</v>
      </c>
      <c r="F953">
        <v>22</v>
      </c>
      <c r="G953">
        <v>12</v>
      </c>
      <c r="H953">
        <v>10</v>
      </c>
      <c r="I953">
        <v>0.1595</v>
      </c>
      <c r="J953">
        <f t="shared" si="14"/>
        <v>0.12539184952978058</v>
      </c>
      <c r="K953">
        <v>2.0000000000000001E-4</v>
      </c>
      <c r="L953" t="s">
        <v>17</v>
      </c>
      <c r="M953">
        <v>296</v>
      </c>
      <c r="N953" t="s">
        <v>553</v>
      </c>
    </row>
    <row r="954" spans="1:14" x14ac:dyDescent="0.2">
      <c r="A954" t="s">
        <v>1099</v>
      </c>
      <c r="B954" t="s">
        <v>32</v>
      </c>
      <c r="C954">
        <v>21</v>
      </c>
      <c r="D954">
        <v>9</v>
      </c>
      <c r="E954">
        <v>12</v>
      </c>
      <c r="F954">
        <v>20</v>
      </c>
      <c r="G954">
        <v>9</v>
      </c>
      <c r="H954">
        <v>11</v>
      </c>
      <c r="I954">
        <v>0.16689999999999999</v>
      </c>
      <c r="J954">
        <f t="shared" si="14"/>
        <v>0.17974835230677053</v>
      </c>
      <c r="K954">
        <v>2.9999999999999997E-4</v>
      </c>
      <c r="L954" t="s">
        <v>17</v>
      </c>
      <c r="M954">
        <v>296</v>
      </c>
      <c r="N954" t="s">
        <v>553</v>
      </c>
    </row>
    <row r="955" spans="1:14" x14ac:dyDescent="0.2">
      <c r="A955" t="s">
        <v>1099</v>
      </c>
      <c r="B955" t="s">
        <v>32</v>
      </c>
      <c r="C955">
        <v>28</v>
      </c>
      <c r="D955">
        <v>17</v>
      </c>
      <c r="E955">
        <v>12</v>
      </c>
      <c r="F955">
        <v>27</v>
      </c>
      <c r="G955">
        <v>17</v>
      </c>
      <c r="H955">
        <v>11</v>
      </c>
      <c r="I955">
        <v>0.1384</v>
      </c>
      <c r="J955">
        <f t="shared" si="14"/>
        <v>0.5057803468208093</v>
      </c>
      <c r="K955">
        <v>6.9999999999999999E-4</v>
      </c>
      <c r="L955" t="s">
        <v>17</v>
      </c>
      <c r="M955">
        <v>296</v>
      </c>
      <c r="N955" t="s">
        <v>553</v>
      </c>
    </row>
    <row r="956" spans="1:14" x14ac:dyDescent="0.2">
      <c r="A956" t="s">
        <v>1099</v>
      </c>
      <c r="B956" t="s">
        <v>32</v>
      </c>
      <c r="C956">
        <v>20</v>
      </c>
      <c r="D956">
        <v>7</v>
      </c>
      <c r="E956">
        <v>14</v>
      </c>
      <c r="F956">
        <v>19</v>
      </c>
      <c r="G956">
        <v>7</v>
      </c>
      <c r="H956">
        <v>13</v>
      </c>
      <c r="I956">
        <v>0.16900000000000001</v>
      </c>
      <c r="J956">
        <f t="shared" si="14"/>
        <v>0.1183431952662722</v>
      </c>
      <c r="K956">
        <v>2.0000000000000001E-4</v>
      </c>
      <c r="L956" t="s">
        <v>17</v>
      </c>
      <c r="M956">
        <v>296</v>
      </c>
      <c r="N956" t="s">
        <v>553</v>
      </c>
    </row>
    <row r="957" spans="1:14" x14ac:dyDescent="0.2">
      <c r="A957" t="s">
        <v>1099</v>
      </c>
      <c r="B957" t="s">
        <v>32</v>
      </c>
      <c r="C957">
        <v>27</v>
      </c>
      <c r="D957">
        <v>16</v>
      </c>
      <c r="E957">
        <v>11</v>
      </c>
      <c r="F957">
        <v>26</v>
      </c>
      <c r="G957">
        <v>16</v>
      </c>
      <c r="H957">
        <v>10</v>
      </c>
      <c r="I957">
        <v>0.14499999999999999</v>
      </c>
      <c r="J957">
        <f t="shared" si="14"/>
        <v>0.20689655172413793</v>
      </c>
      <c r="K957">
        <v>2.9999999999999997E-4</v>
      </c>
      <c r="L957" t="s">
        <v>17</v>
      </c>
      <c r="M957">
        <v>296</v>
      </c>
      <c r="N957" t="s">
        <v>553</v>
      </c>
    </row>
    <row r="958" spans="1:14" x14ac:dyDescent="0.2">
      <c r="A958" t="s">
        <v>1099</v>
      </c>
      <c r="B958" t="s">
        <v>32</v>
      </c>
      <c r="C958">
        <v>26</v>
      </c>
      <c r="D958">
        <v>15</v>
      </c>
      <c r="E958">
        <v>12</v>
      </c>
      <c r="F958">
        <v>25</v>
      </c>
      <c r="G958">
        <v>15</v>
      </c>
      <c r="H958">
        <v>11</v>
      </c>
      <c r="I958">
        <v>0.14399999999999999</v>
      </c>
      <c r="J958">
        <f t="shared" si="14"/>
        <v>0.20833333333333334</v>
      </c>
      <c r="K958">
        <v>2.9999999999999997E-4</v>
      </c>
      <c r="L958" t="s">
        <v>17</v>
      </c>
      <c r="M958">
        <v>296</v>
      </c>
      <c r="N958" t="s">
        <v>553</v>
      </c>
    </row>
    <row r="959" spans="1:14" x14ac:dyDescent="0.2">
      <c r="A959" t="s">
        <v>1099</v>
      </c>
      <c r="B959" t="s">
        <v>32</v>
      </c>
      <c r="C959">
        <v>20</v>
      </c>
      <c r="D959">
        <v>1</v>
      </c>
      <c r="E959">
        <v>20</v>
      </c>
      <c r="F959">
        <v>19</v>
      </c>
      <c r="G959">
        <v>1</v>
      </c>
      <c r="H959">
        <v>19</v>
      </c>
      <c r="I959">
        <v>0.1615</v>
      </c>
      <c r="J959">
        <f t="shared" si="14"/>
        <v>6.1919504643962855E-2</v>
      </c>
      <c r="K959">
        <v>1E-4</v>
      </c>
      <c r="L959" t="s">
        <v>17</v>
      </c>
      <c r="M959">
        <v>296</v>
      </c>
      <c r="N959" t="s">
        <v>553</v>
      </c>
    </row>
    <row r="960" spans="1:14" x14ac:dyDescent="0.2">
      <c r="A960" t="s">
        <v>1099</v>
      </c>
      <c r="B960" t="s">
        <v>32</v>
      </c>
      <c r="C960">
        <v>19</v>
      </c>
      <c r="D960">
        <v>4</v>
      </c>
      <c r="E960">
        <v>15</v>
      </c>
      <c r="F960">
        <v>18</v>
      </c>
      <c r="G960">
        <v>4</v>
      </c>
      <c r="H960">
        <v>14</v>
      </c>
      <c r="I960">
        <v>0.17419999999999999</v>
      </c>
      <c r="J960">
        <f t="shared" si="14"/>
        <v>5.7405281285878303E-2</v>
      </c>
      <c r="K960">
        <v>1E-4</v>
      </c>
      <c r="L960" t="s">
        <v>17</v>
      </c>
      <c r="M960">
        <v>296</v>
      </c>
      <c r="N960" t="s">
        <v>553</v>
      </c>
    </row>
    <row r="961" spans="1:14" x14ac:dyDescent="0.2">
      <c r="A961" t="s">
        <v>1099</v>
      </c>
      <c r="B961" t="s">
        <v>32</v>
      </c>
      <c r="C961">
        <v>22</v>
      </c>
      <c r="D961">
        <v>10</v>
      </c>
      <c r="E961">
        <v>13</v>
      </c>
      <c r="F961">
        <v>21</v>
      </c>
      <c r="G961">
        <v>10</v>
      </c>
      <c r="H961">
        <v>12</v>
      </c>
      <c r="I961">
        <v>0.16350000000000001</v>
      </c>
      <c r="J961">
        <f t="shared" si="14"/>
        <v>0.12232415902140673</v>
      </c>
      <c r="K961">
        <v>2.0000000000000001E-4</v>
      </c>
      <c r="L961" t="s">
        <v>17</v>
      </c>
      <c r="M961">
        <v>296</v>
      </c>
      <c r="N961" t="s">
        <v>553</v>
      </c>
    </row>
    <row r="962" spans="1:14" x14ac:dyDescent="0.2">
      <c r="A962" t="s">
        <v>1099</v>
      </c>
      <c r="B962" t="s">
        <v>32</v>
      </c>
      <c r="C962">
        <v>31</v>
      </c>
      <c r="D962">
        <v>19</v>
      </c>
      <c r="E962">
        <v>12</v>
      </c>
      <c r="F962">
        <v>30</v>
      </c>
      <c r="G962">
        <v>19</v>
      </c>
      <c r="H962">
        <v>11</v>
      </c>
      <c r="I962">
        <v>0.13519999999999999</v>
      </c>
      <c r="J962">
        <f t="shared" si="14"/>
        <v>1.0355029585798818</v>
      </c>
      <c r="K962">
        <v>1.4E-3</v>
      </c>
      <c r="L962" t="s">
        <v>17</v>
      </c>
      <c r="M962">
        <v>296</v>
      </c>
      <c r="N962" t="s">
        <v>553</v>
      </c>
    </row>
    <row r="963" spans="1:14" x14ac:dyDescent="0.2">
      <c r="A963" t="s">
        <v>1099</v>
      </c>
      <c r="B963" t="s">
        <v>32</v>
      </c>
      <c r="C963">
        <v>20</v>
      </c>
      <c r="D963">
        <v>6</v>
      </c>
      <c r="E963">
        <v>15</v>
      </c>
      <c r="F963">
        <v>19</v>
      </c>
      <c r="G963">
        <v>6</v>
      </c>
      <c r="H963">
        <v>14</v>
      </c>
      <c r="I963">
        <v>0.16880000000000001</v>
      </c>
      <c r="J963">
        <f t="shared" ref="J963:J1026" si="15">K963/I963*100</f>
        <v>5.9241706161137442E-2</v>
      </c>
      <c r="K963">
        <v>1E-4</v>
      </c>
      <c r="L963" t="s">
        <v>17</v>
      </c>
      <c r="M963">
        <v>296</v>
      </c>
      <c r="N963" t="s">
        <v>553</v>
      </c>
    </row>
    <row r="964" spans="1:14" x14ac:dyDescent="0.2">
      <c r="A964" t="s">
        <v>1099</v>
      </c>
      <c r="B964" t="s">
        <v>32</v>
      </c>
      <c r="C964">
        <v>19</v>
      </c>
      <c r="D964">
        <v>1</v>
      </c>
      <c r="E964">
        <v>18</v>
      </c>
      <c r="F964">
        <v>18</v>
      </c>
      <c r="G964">
        <v>1</v>
      </c>
      <c r="H964">
        <v>17</v>
      </c>
      <c r="I964">
        <v>0.17649999999999999</v>
      </c>
      <c r="J964">
        <f t="shared" si="15"/>
        <v>0.28328611898016998</v>
      </c>
      <c r="K964">
        <v>5.0000000000000001E-4</v>
      </c>
      <c r="L964" t="s">
        <v>17</v>
      </c>
      <c r="M964">
        <v>296</v>
      </c>
      <c r="N964" t="s">
        <v>553</v>
      </c>
    </row>
    <row r="965" spans="1:14" x14ac:dyDescent="0.2">
      <c r="A965" t="s">
        <v>1099</v>
      </c>
      <c r="B965" t="s">
        <v>32</v>
      </c>
      <c r="C965">
        <v>23</v>
      </c>
      <c r="D965">
        <v>11</v>
      </c>
      <c r="E965">
        <v>12</v>
      </c>
      <c r="F965">
        <v>22</v>
      </c>
      <c r="G965">
        <v>11</v>
      </c>
      <c r="H965">
        <v>11</v>
      </c>
      <c r="I965">
        <v>0.16159999999999999</v>
      </c>
      <c r="J965">
        <f t="shared" si="15"/>
        <v>0.3094059405940594</v>
      </c>
      <c r="K965">
        <v>5.0000000000000001E-4</v>
      </c>
      <c r="L965" t="s">
        <v>17</v>
      </c>
      <c r="M965">
        <v>296</v>
      </c>
      <c r="N965" t="s">
        <v>553</v>
      </c>
    </row>
    <row r="966" spans="1:14" x14ac:dyDescent="0.2">
      <c r="A966" t="s">
        <v>1099</v>
      </c>
      <c r="B966" t="s">
        <v>32</v>
      </c>
      <c r="C966">
        <v>30</v>
      </c>
      <c r="D966">
        <v>18</v>
      </c>
      <c r="E966">
        <v>13</v>
      </c>
      <c r="F966">
        <v>29</v>
      </c>
      <c r="G966">
        <v>18</v>
      </c>
      <c r="H966">
        <v>12</v>
      </c>
      <c r="I966">
        <v>0.1305</v>
      </c>
      <c r="J966">
        <f t="shared" si="15"/>
        <v>0.68965517241379315</v>
      </c>
      <c r="K966">
        <v>8.9999999999999998E-4</v>
      </c>
      <c r="L966" t="s">
        <v>17</v>
      </c>
      <c r="M966">
        <v>296</v>
      </c>
      <c r="N966" t="s">
        <v>553</v>
      </c>
    </row>
    <row r="967" spans="1:14" x14ac:dyDescent="0.2">
      <c r="A967" t="s">
        <v>1099</v>
      </c>
      <c r="B967" t="s">
        <v>32</v>
      </c>
      <c r="C967">
        <v>19</v>
      </c>
      <c r="D967">
        <v>3</v>
      </c>
      <c r="E967">
        <v>16</v>
      </c>
      <c r="F967">
        <v>18</v>
      </c>
      <c r="G967">
        <v>3</v>
      </c>
      <c r="H967">
        <v>15</v>
      </c>
      <c r="I967">
        <v>0.1792</v>
      </c>
      <c r="J967">
        <f t="shared" si="15"/>
        <v>0.11160714285714288</v>
      </c>
      <c r="K967">
        <v>2.0000000000000001E-4</v>
      </c>
      <c r="L967" t="s">
        <v>17</v>
      </c>
      <c r="M967">
        <v>296</v>
      </c>
      <c r="N967" t="s">
        <v>553</v>
      </c>
    </row>
    <row r="968" spans="1:14" x14ac:dyDescent="0.2">
      <c r="A968" t="s">
        <v>1099</v>
      </c>
      <c r="B968" t="s">
        <v>32</v>
      </c>
      <c r="C968">
        <v>20</v>
      </c>
      <c r="D968">
        <v>5</v>
      </c>
      <c r="E968">
        <v>16</v>
      </c>
      <c r="F968">
        <v>19</v>
      </c>
      <c r="G968">
        <v>5</v>
      </c>
      <c r="H968">
        <v>15</v>
      </c>
      <c r="I968">
        <v>0.1699</v>
      </c>
      <c r="J968">
        <f t="shared" si="15"/>
        <v>0.11771630370806359</v>
      </c>
      <c r="K968">
        <v>2.0000000000000001E-4</v>
      </c>
      <c r="L968" t="s">
        <v>17</v>
      </c>
      <c r="M968">
        <v>296</v>
      </c>
      <c r="N968" t="s">
        <v>553</v>
      </c>
    </row>
    <row r="969" spans="1:14" x14ac:dyDescent="0.2">
      <c r="A969" t="s">
        <v>1099</v>
      </c>
      <c r="B969" t="s">
        <v>32</v>
      </c>
      <c r="C969">
        <v>24</v>
      </c>
      <c r="D969">
        <v>12</v>
      </c>
      <c r="E969">
        <v>13</v>
      </c>
      <c r="F969">
        <v>23</v>
      </c>
      <c r="G969">
        <v>12</v>
      </c>
      <c r="H969">
        <v>12</v>
      </c>
      <c r="I969">
        <v>0.14680000000000001</v>
      </c>
      <c r="J969">
        <f t="shared" si="15"/>
        <v>1.4986376021798364</v>
      </c>
      <c r="K969">
        <v>2.2000000000000001E-3</v>
      </c>
      <c r="L969" t="s">
        <v>17</v>
      </c>
      <c r="M969">
        <v>296</v>
      </c>
      <c r="N969" t="s">
        <v>553</v>
      </c>
    </row>
    <row r="970" spans="1:14" x14ac:dyDescent="0.2">
      <c r="A970" t="s">
        <v>1099</v>
      </c>
      <c r="B970" t="s">
        <v>32</v>
      </c>
      <c r="C970">
        <v>29</v>
      </c>
      <c r="D970">
        <v>17</v>
      </c>
      <c r="E970">
        <v>12</v>
      </c>
      <c r="F970">
        <v>28</v>
      </c>
      <c r="G970">
        <v>17</v>
      </c>
      <c r="H970">
        <v>11</v>
      </c>
      <c r="I970">
        <v>0.13600000000000001</v>
      </c>
      <c r="J970">
        <f t="shared" si="15"/>
        <v>0.44117647058823523</v>
      </c>
      <c r="K970">
        <v>5.9999999999999995E-4</v>
      </c>
      <c r="L970" t="s">
        <v>17</v>
      </c>
      <c r="M970">
        <v>296</v>
      </c>
      <c r="N970" t="s">
        <v>553</v>
      </c>
    </row>
    <row r="971" spans="1:14" x14ac:dyDescent="0.2">
      <c r="A971" t="s">
        <v>1099</v>
      </c>
      <c r="B971" t="s">
        <v>32</v>
      </c>
      <c r="C971">
        <v>22</v>
      </c>
      <c r="D971">
        <v>9</v>
      </c>
      <c r="E971">
        <v>14</v>
      </c>
      <c r="F971">
        <v>21</v>
      </c>
      <c r="G971">
        <v>9</v>
      </c>
      <c r="H971">
        <v>13</v>
      </c>
      <c r="I971">
        <v>0.16089999999999999</v>
      </c>
      <c r="J971">
        <f t="shared" si="15"/>
        <v>0.31075201988812928</v>
      </c>
      <c r="K971">
        <v>5.0000000000000001E-4</v>
      </c>
      <c r="L971" t="s">
        <v>17</v>
      </c>
      <c r="M971">
        <v>296</v>
      </c>
      <c r="N971" t="s">
        <v>553</v>
      </c>
    </row>
    <row r="972" spans="1:14" x14ac:dyDescent="0.2">
      <c r="A972" t="s">
        <v>1099</v>
      </c>
      <c r="B972" t="s">
        <v>32</v>
      </c>
      <c r="C972">
        <v>20</v>
      </c>
      <c r="D972">
        <v>2</v>
      </c>
      <c r="E972">
        <v>19</v>
      </c>
      <c r="F972">
        <v>19</v>
      </c>
      <c r="G972">
        <v>2</v>
      </c>
      <c r="H972">
        <v>18</v>
      </c>
      <c r="I972">
        <v>0.1711</v>
      </c>
      <c r="J972">
        <f t="shared" si="15"/>
        <v>0.17533606078316771</v>
      </c>
      <c r="K972">
        <v>2.9999999999999997E-4</v>
      </c>
      <c r="L972" t="s">
        <v>17</v>
      </c>
      <c r="M972">
        <v>296</v>
      </c>
      <c r="N972" t="s">
        <v>553</v>
      </c>
    </row>
    <row r="973" spans="1:14" x14ac:dyDescent="0.2">
      <c r="A973" t="s">
        <v>1099</v>
      </c>
      <c r="B973" t="s">
        <v>32</v>
      </c>
      <c r="C973">
        <v>21</v>
      </c>
      <c r="D973">
        <v>7</v>
      </c>
      <c r="E973">
        <v>14</v>
      </c>
      <c r="F973">
        <v>20</v>
      </c>
      <c r="G973">
        <v>7</v>
      </c>
      <c r="H973">
        <v>13</v>
      </c>
      <c r="I973">
        <v>0.1643</v>
      </c>
      <c r="J973">
        <f t="shared" si="15"/>
        <v>0.30432136335970783</v>
      </c>
      <c r="K973">
        <v>5.0000000000000001E-4</v>
      </c>
      <c r="L973" t="s">
        <v>17</v>
      </c>
      <c r="M973">
        <v>296</v>
      </c>
      <c r="N973" t="s">
        <v>553</v>
      </c>
    </row>
    <row r="974" spans="1:14" x14ac:dyDescent="0.2">
      <c r="A974" t="s">
        <v>1099</v>
      </c>
      <c r="B974" t="s">
        <v>32</v>
      </c>
      <c r="C974">
        <v>26</v>
      </c>
      <c r="D974">
        <v>14</v>
      </c>
      <c r="E974">
        <v>13</v>
      </c>
      <c r="F974">
        <v>25</v>
      </c>
      <c r="G974">
        <v>14</v>
      </c>
      <c r="H974">
        <v>12</v>
      </c>
      <c r="I974">
        <v>0.1424</v>
      </c>
      <c r="J974">
        <f t="shared" si="15"/>
        <v>0.35112359550561795</v>
      </c>
      <c r="K974">
        <v>5.0000000000000001E-4</v>
      </c>
      <c r="L974" t="s">
        <v>17</v>
      </c>
      <c r="M974">
        <v>296</v>
      </c>
      <c r="N974" t="s">
        <v>553</v>
      </c>
    </row>
    <row r="975" spans="1:14" x14ac:dyDescent="0.2">
      <c r="A975" t="s">
        <v>1099</v>
      </c>
      <c r="B975" t="s">
        <v>32</v>
      </c>
      <c r="C975">
        <v>21</v>
      </c>
      <c r="D975">
        <v>0</v>
      </c>
      <c r="E975">
        <v>21</v>
      </c>
      <c r="F975">
        <v>20</v>
      </c>
      <c r="G975">
        <v>0</v>
      </c>
      <c r="H975">
        <v>20</v>
      </c>
      <c r="I975">
        <v>0.16289999999999999</v>
      </c>
      <c r="J975">
        <f t="shared" si="15"/>
        <v>0.12277470841006753</v>
      </c>
      <c r="K975">
        <v>2.0000000000000001E-4</v>
      </c>
      <c r="L975" t="s">
        <v>17</v>
      </c>
      <c r="M975">
        <v>296</v>
      </c>
      <c r="N975" t="s">
        <v>553</v>
      </c>
    </row>
    <row r="976" spans="1:14" x14ac:dyDescent="0.2">
      <c r="A976" t="s">
        <v>1099</v>
      </c>
      <c r="B976" t="s">
        <v>32</v>
      </c>
      <c r="C976">
        <v>19</v>
      </c>
      <c r="D976">
        <v>2</v>
      </c>
      <c r="E976">
        <v>17</v>
      </c>
      <c r="F976">
        <v>18</v>
      </c>
      <c r="G976">
        <v>2</v>
      </c>
      <c r="H976">
        <v>16</v>
      </c>
      <c r="I976">
        <v>0.18529999999999999</v>
      </c>
      <c r="J976">
        <f t="shared" si="15"/>
        <v>0.21586616297895306</v>
      </c>
      <c r="K976">
        <v>4.0000000000000002E-4</v>
      </c>
      <c r="L976" t="s">
        <v>17</v>
      </c>
      <c r="M976">
        <v>296</v>
      </c>
      <c r="N976" t="s">
        <v>553</v>
      </c>
    </row>
    <row r="977" spans="1:14" x14ac:dyDescent="0.2">
      <c r="A977" t="s">
        <v>1099</v>
      </c>
      <c r="B977" t="s">
        <v>32</v>
      </c>
      <c r="C977">
        <v>20</v>
      </c>
      <c r="D977">
        <v>4</v>
      </c>
      <c r="E977">
        <v>17</v>
      </c>
      <c r="F977">
        <v>19</v>
      </c>
      <c r="G977">
        <v>4</v>
      </c>
      <c r="H977">
        <v>16</v>
      </c>
      <c r="I977">
        <v>0.17</v>
      </c>
      <c r="J977">
        <f t="shared" si="15"/>
        <v>0.17647058823529407</v>
      </c>
      <c r="K977">
        <v>2.9999999999999997E-4</v>
      </c>
      <c r="L977" t="s">
        <v>17</v>
      </c>
      <c r="M977">
        <v>296</v>
      </c>
      <c r="N977" t="s">
        <v>553</v>
      </c>
    </row>
    <row r="978" spans="1:14" x14ac:dyDescent="0.2">
      <c r="A978" t="s">
        <v>1099</v>
      </c>
      <c r="B978" t="s">
        <v>32</v>
      </c>
      <c r="C978">
        <v>20</v>
      </c>
      <c r="D978">
        <v>3</v>
      </c>
      <c r="E978">
        <v>18</v>
      </c>
      <c r="F978">
        <v>19</v>
      </c>
      <c r="G978">
        <v>3</v>
      </c>
      <c r="H978">
        <v>17</v>
      </c>
      <c r="I978">
        <v>0.18559999999999999</v>
      </c>
      <c r="J978">
        <f t="shared" si="15"/>
        <v>0.16163793103448276</v>
      </c>
      <c r="K978">
        <v>2.9999999999999997E-4</v>
      </c>
      <c r="L978" t="s">
        <v>17</v>
      </c>
      <c r="M978">
        <v>296</v>
      </c>
      <c r="N978" t="s">
        <v>553</v>
      </c>
    </row>
    <row r="979" spans="1:14" x14ac:dyDescent="0.2">
      <c r="A979" t="s">
        <v>1099</v>
      </c>
      <c r="B979" t="s">
        <v>32</v>
      </c>
      <c r="C979">
        <v>21</v>
      </c>
      <c r="D979">
        <v>6</v>
      </c>
      <c r="E979">
        <v>15</v>
      </c>
      <c r="F979">
        <v>20</v>
      </c>
      <c r="G979">
        <v>6</v>
      </c>
      <c r="H979">
        <v>14</v>
      </c>
      <c r="I979">
        <v>0.17219999999999999</v>
      </c>
      <c r="J979">
        <f t="shared" si="15"/>
        <v>5.8072009291521495E-2</v>
      </c>
      <c r="K979">
        <v>1E-4</v>
      </c>
      <c r="L979" t="s">
        <v>17</v>
      </c>
      <c r="M979">
        <v>296</v>
      </c>
      <c r="N979" t="s">
        <v>553</v>
      </c>
    </row>
    <row r="980" spans="1:14" x14ac:dyDescent="0.2">
      <c r="A980" t="s">
        <v>1099</v>
      </c>
      <c r="B980" t="s">
        <v>32</v>
      </c>
      <c r="C980">
        <v>22</v>
      </c>
      <c r="D980">
        <v>8</v>
      </c>
      <c r="E980">
        <v>15</v>
      </c>
      <c r="F980">
        <v>21</v>
      </c>
      <c r="G980">
        <v>8</v>
      </c>
      <c r="H980">
        <v>14</v>
      </c>
      <c r="I980">
        <v>0.16500000000000001</v>
      </c>
      <c r="J980">
        <f t="shared" si="15"/>
        <v>6.0606060606060608E-2</v>
      </c>
      <c r="K980">
        <v>1E-4</v>
      </c>
      <c r="L980" t="s">
        <v>17</v>
      </c>
      <c r="M980">
        <v>296</v>
      </c>
      <c r="N980" t="s">
        <v>553</v>
      </c>
    </row>
    <row r="981" spans="1:14" x14ac:dyDescent="0.2">
      <c r="A981" t="s">
        <v>1099</v>
      </c>
      <c r="B981" t="s">
        <v>32</v>
      </c>
      <c r="C981">
        <v>24</v>
      </c>
      <c r="D981">
        <v>11</v>
      </c>
      <c r="E981">
        <v>14</v>
      </c>
      <c r="F981">
        <v>23</v>
      </c>
      <c r="G981">
        <v>11</v>
      </c>
      <c r="H981">
        <v>13</v>
      </c>
      <c r="I981">
        <v>0.1555</v>
      </c>
      <c r="J981">
        <f t="shared" si="15"/>
        <v>0.12861736334405144</v>
      </c>
      <c r="K981">
        <v>2.0000000000000001E-4</v>
      </c>
      <c r="L981" t="s">
        <v>17</v>
      </c>
      <c r="M981">
        <v>296</v>
      </c>
      <c r="N981" t="s">
        <v>553</v>
      </c>
    </row>
    <row r="982" spans="1:14" x14ac:dyDescent="0.2">
      <c r="A982" t="s">
        <v>1099</v>
      </c>
      <c r="B982" t="s">
        <v>32</v>
      </c>
      <c r="C982">
        <v>25</v>
      </c>
      <c r="D982">
        <v>12</v>
      </c>
      <c r="E982">
        <v>13</v>
      </c>
      <c r="F982">
        <v>24</v>
      </c>
      <c r="G982">
        <v>12</v>
      </c>
      <c r="H982">
        <v>12</v>
      </c>
      <c r="I982">
        <v>0.15770000000000001</v>
      </c>
      <c r="J982">
        <f t="shared" si="15"/>
        <v>0.12682308180088775</v>
      </c>
      <c r="K982">
        <v>2.0000000000000001E-4</v>
      </c>
      <c r="L982" t="s">
        <v>17</v>
      </c>
      <c r="M982">
        <v>296</v>
      </c>
      <c r="N982" t="s">
        <v>553</v>
      </c>
    </row>
    <row r="983" spans="1:14" x14ac:dyDescent="0.2">
      <c r="A983" t="s">
        <v>1099</v>
      </c>
      <c r="B983" t="s">
        <v>32</v>
      </c>
      <c r="C983">
        <v>21</v>
      </c>
      <c r="D983">
        <v>5</v>
      </c>
      <c r="E983">
        <v>16</v>
      </c>
      <c r="F983">
        <v>20</v>
      </c>
      <c r="G983">
        <v>5</v>
      </c>
      <c r="H983">
        <v>15</v>
      </c>
      <c r="I983">
        <v>0.17130000000000001</v>
      </c>
      <c r="J983">
        <f t="shared" si="15"/>
        <v>5.837711617046118E-2</v>
      </c>
      <c r="K983">
        <v>1E-4</v>
      </c>
      <c r="L983" t="s">
        <v>17</v>
      </c>
      <c r="M983">
        <v>296</v>
      </c>
      <c r="N983" t="s">
        <v>553</v>
      </c>
    </row>
    <row r="984" spans="1:14" x14ac:dyDescent="0.2">
      <c r="A984" t="s">
        <v>1099</v>
      </c>
      <c r="B984" t="s">
        <v>32</v>
      </c>
      <c r="C984">
        <v>26</v>
      </c>
      <c r="D984">
        <v>13</v>
      </c>
      <c r="E984">
        <v>14</v>
      </c>
      <c r="F984">
        <v>25</v>
      </c>
      <c r="G984">
        <v>13</v>
      </c>
      <c r="H984">
        <v>13</v>
      </c>
      <c r="I984">
        <v>0.15590000000000001</v>
      </c>
      <c r="J984">
        <f t="shared" si="15"/>
        <v>0.6414368184733803</v>
      </c>
      <c r="K984">
        <v>1E-3</v>
      </c>
      <c r="L984" t="s">
        <v>17</v>
      </c>
      <c r="M984">
        <v>296</v>
      </c>
      <c r="N984" t="s">
        <v>553</v>
      </c>
    </row>
    <row r="985" spans="1:14" x14ac:dyDescent="0.2">
      <c r="A985" t="s">
        <v>1099</v>
      </c>
      <c r="B985" t="s">
        <v>32</v>
      </c>
      <c r="C985">
        <v>22</v>
      </c>
      <c r="D985">
        <v>1</v>
      </c>
      <c r="E985">
        <v>22</v>
      </c>
      <c r="F985">
        <v>21</v>
      </c>
      <c r="G985">
        <v>1</v>
      </c>
      <c r="H985">
        <v>21</v>
      </c>
      <c r="I985">
        <v>0.15840000000000001</v>
      </c>
      <c r="J985">
        <f t="shared" si="15"/>
        <v>0.12626262626262624</v>
      </c>
      <c r="K985">
        <v>2.0000000000000001E-4</v>
      </c>
      <c r="L985" t="s">
        <v>17</v>
      </c>
      <c r="M985">
        <v>296</v>
      </c>
      <c r="N985" t="s">
        <v>553</v>
      </c>
    </row>
    <row r="986" spans="1:14" x14ac:dyDescent="0.2">
      <c r="A986" t="s">
        <v>1099</v>
      </c>
      <c r="B986" t="s">
        <v>32</v>
      </c>
      <c r="C986">
        <v>22</v>
      </c>
      <c r="D986">
        <v>7</v>
      </c>
      <c r="E986">
        <v>16</v>
      </c>
      <c r="F986">
        <v>21</v>
      </c>
      <c r="G986">
        <v>7</v>
      </c>
      <c r="H986">
        <v>15</v>
      </c>
      <c r="I986">
        <v>0.16669999999999999</v>
      </c>
      <c r="J986">
        <f t="shared" si="15"/>
        <v>0.17996400719856029</v>
      </c>
      <c r="K986">
        <v>2.9999999999999997E-4</v>
      </c>
      <c r="L986" t="s">
        <v>17</v>
      </c>
      <c r="M986">
        <v>296</v>
      </c>
      <c r="N986" t="s">
        <v>553</v>
      </c>
    </row>
    <row r="987" spans="1:14" x14ac:dyDescent="0.2">
      <c r="A987" t="s">
        <v>1099</v>
      </c>
      <c r="B987" t="s">
        <v>32</v>
      </c>
      <c r="C987">
        <v>33</v>
      </c>
      <c r="D987">
        <v>19</v>
      </c>
      <c r="E987">
        <v>14</v>
      </c>
      <c r="F987">
        <v>32</v>
      </c>
      <c r="G987">
        <v>19</v>
      </c>
      <c r="H987">
        <v>13</v>
      </c>
      <c r="I987">
        <v>0.14119999999999999</v>
      </c>
      <c r="J987">
        <f t="shared" si="15"/>
        <v>0.77903682719546752</v>
      </c>
      <c r="K987">
        <v>1.1000000000000001E-3</v>
      </c>
      <c r="L987" t="s">
        <v>17</v>
      </c>
      <c r="M987">
        <v>296</v>
      </c>
      <c r="N987" t="s">
        <v>553</v>
      </c>
    </row>
    <row r="988" spans="1:14" x14ac:dyDescent="0.2">
      <c r="A988" t="s">
        <v>1099</v>
      </c>
      <c r="B988" t="s">
        <v>32</v>
      </c>
      <c r="C988">
        <v>21</v>
      </c>
      <c r="D988">
        <v>4</v>
      </c>
      <c r="E988">
        <v>17</v>
      </c>
      <c r="F988">
        <v>20</v>
      </c>
      <c r="G988">
        <v>4</v>
      </c>
      <c r="H988">
        <v>16</v>
      </c>
      <c r="I988">
        <v>0.1749</v>
      </c>
      <c r="J988">
        <f t="shared" si="15"/>
        <v>0.34305317324185242</v>
      </c>
      <c r="K988">
        <v>5.9999999999999995E-4</v>
      </c>
      <c r="L988" t="s">
        <v>17</v>
      </c>
      <c r="M988">
        <v>296</v>
      </c>
      <c r="N988" t="s">
        <v>553</v>
      </c>
    </row>
    <row r="989" spans="1:14" x14ac:dyDescent="0.2">
      <c r="A989" t="s">
        <v>1099</v>
      </c>
      <c r="B989" t="s">
        <v>32</v>
      </c>
      <c r="C989">
        <v>21</v>
      </c>
      <c r="D989">
        <v>1</v>
      </c>
      <c r="E989">
        <v>20</v>
      </c>
      <c r="F989">
        <v>20</v>
      </c>
      <c r="G989">
        <v>1</v>
      </c>
      <c r="H989">
        <v>19</v>
      </c>
      <c r="I989">
        <v>0.17169999999999999</v>
      </c>
      <c r="J989">
        <f t="shared" si="15"/>
        <v>0.23296447291788003</v>
      </c>
      <c r="K989">
        <v>4.0000000000000002E-4</v>
      </c>
      <c r="L989" t="s">
        <v>17</v>
      </c>
      <c r="M989">
        <v>296</v>
      </c>
      <c r="N989" t="s">
        <v>553</v>
      </c>
    </row>
    <row r="990" spans="1:14" x14ac:dyDescent="0.2">
      <c r="A990" t="s">
        <v>1099</v>
      </c>
      <c r="B990" t="s">
        <v>32</v>
      </c>
      <c r="C990">
        <v>22</v>
      </c>
      <c r="D990">
        <v>6</v>
      </c>
      <c r="E990">
        <v>17</v>
      </c>
      <c r="F990">
        <v>21</v>
      </c>
      <c r="G990">
        <v>6</v>
      </c>
      <c r="H990">
        <v>16</v>
      </c>
      <c r="I990">
        <v>0.1694</v>
      </c>
      <c r="J990">
        <f t="shared" si="15"/>
        <v>5.9031877213695405E-2</v>
      </c>
      <c r="K990">
        <v>1E-4</v>
      </c>
      <c r="L990" t="s">
        <v>17</v>
      </c>
      <c r="M990">
        <v>296</v>
      </c>
      <c r="N990" t="s">
        <v>553</v>
      </c>
    </row>
    <row r="991" spans="1:14" x14ac:dyDescent="0.2">
      <c r="A991" t="s">
        <v>1099</v>
      </c>
      <c r="B991" t="s">
        <v>32</v>
      </c>
      <c r="C991">
        <v>32</v>
      </c>
      <c r="D991">
        <v>18</v>
      </c>
      <c r="E991">
        <v>15</v>
      </c>
      <c r="F991">
        <v>31</v>
      </c>
      <c r="G991">
        <v>18</v>
      </c>
      <c r="H991">
        <v>14</v>
      </c>
      <c r="I991">
        <v>0.127</v>
      </c>
      <c r="J991">
        <f t="shared" si="15"/>
        <v>1.0236220472440944</v>
      </c>
      <c r="K991">
        <v>1.2999999999999999E-3</v>
      </c>
      <c r="L991" t="s">
        <v>17</v>
      </c>
      <c r="M991">
        <v>296</v>
      </c>
      <c r="N991" t="s">
        <v>553</v>
      </c>
    </row>
    <row r="992" spans="1:14" x14ac:dyDescent="0.2">
      <c r="A992" t="s">
        <v>1099</v>
      </c>
      <c r="B992" t="s">
        <v>32</v>
      </c>
      <c r="C992">
        <v>23</v>
      </c>
      <c r="D992">
        <v>8</v>
      </c>
      <c r="E992">
        <v>15</v>
      </c>
      <c r="F992">
        <v>22</v>
      </c>
      <c r="G992">
        <v>8</v>
      </c>
      <c r="H992">
        <v>14</v>
      </c>
      <c r="I992">
        <v>0.16350000000000001</v>
      </c>
      <c r="J992">
        <f t="shared" si="15"/>
        <v>0.12232415902140673</v>
      </c>
      <c r="K992">
        <v>2.0000000000000001E-4</v>
      </c>
      <c r="L992" t="s">
        <v>17</v>
      </c>
      <c r="M992">
        <v>296</v>
      </c>
      <c r="N992" t="s">
        <v>553</v>
      </c>
    </row>
    <row r="993" spans="1:14" x14ac:dyDescent="0.2">
      <c r="A993" t="s">
        <v>1099</v>
      </c>
      <c r="B993" t="s">
        <v>32</v>
      </c>
      <c r="C993">
        <v>25</v>
      </c>
      <c r="D993">
        <v>11</v>
      </c>
      <c r="E993">
        <v>14</v>
      </c>
      <c r="F993">
        <v>24</v>
      </c>
      <c r="G993">
        <v>11</v>
      </c>
      <c r="H993">
        <v>13</v>
      </c>
      <c r="I993">
        <v>0.15809999999999999</v>
      </c>
      <c r="J993">
        <f t="shared" si="15"/>
        <v>6.3251106894370662E-2</v>
      </c>
      <c r="K993">
        <v>1E-4</v>
      </c>
      <c r="L993" t="s">
        <v>17</v>
      </c>
      <c r="M993">
        <v>296</v>
      </c>
      <c r="N993" t="s">
        <v>553</v>
      </c>
    </row>
    <row r="994" spans="1:14" x14ac:dyDescent="0.2">
      <c r="A994" t="s">
        <v>1099</v>
      </c>
      <c r="B994" t="s">
        <v>32</v>
      </c>
      <c r="C994">
        <v>35</v>
      </c>
      <c r="D994">
        <v>20</v>
      </c>
      <c r="E994">
        <v>15</v>
      </c>
      <c r="F994">
        <v>34</v>
      </c>
      <c r="G994">
        <v>20</v>
      </c>
      <c r="H994">
        <v>14</v>
      </c>
      <c r="I994">
        <v>0.13289999999999999</v>
      </c>
      <c r="J994">
        <f t="shared" si="15"/>
        <v>1.3544018058690745</v>
      </c>
      <c r="K994">
        <v>1.8E-3</v>
      </c>
      <c r="L994" t="s">
        <v>17</v>
      </c>
      <c r="M994">
        <v>296</v>
      </c>
      <c r="N994" t="s">
        <v>553</v>
      </c>
    </row>
    <row r="995" spans="1:14" x14ac:dyDescent="0.2">
      <c r="A995" t="s">
        <v>1099</v>
      </c>
      <c r="B995" t="s">
        <v>32</v>
      </c>
      <c r="C995">
        <v>31</v>
      </c>
      <c r="D995">
        <v>17</v>
      </c>
      <c r="E995">
        <v>14</v>
      </c>
      <c r="F995">
        <v>30</v>
      </c>
      <c r="G995">
        <v>17</v>
      </c>
      <c r="H995">
        <v>13</v>
      </c>
      <c r="I995">
        <v>0.13650000000000001</v>
      </c>
      <c r="J995">
        <f t="shared" si="15"/>
        <v>0.36630036630036628</v>
      </c>
      <c r="K995">
        <v>5.0000000000000001E-4</v>
      </c>
      <c r="L995" t="s">
        <v>17</v>
      </c>
      <c r="M995">
        <v>296</v>
      </c>
      <c r="N995" t="s">
        <v>553</v>
      </c>
    </row>
    <row r="996" spans="1:14" x14ac:dyDescent="0.2">
      <c r="A996" t="s">
        <v>1099</v>
      </c>
      <c r="B996" t="s">
        <v>32</v>
      </c>
      <c r="C996">
        <v>26</v>
      </c>
      <c r="D996">
        <v>12</v>
      </c>
      <c r="E996">
        <v>15</v>
      </c>
      <c r="F996">
        <v>25</v>
      </c>
      <c r="G996">
        <v>12</v>
      </c>
      <c r="H996">
        <v>14</v>
      </c>
      <c r="I996">
        <v>0.152</v>
      </c>
      <c r="J996">
        <f t="shared" si="15"/>
        <v>0.19736842105263158</v>
      </c>
      <c r="K996">
        <v>2.9999999999999997E-4</v>
      </c>
      <c r="L996" t="s">
        <v>17</v>
      </c>
      <c r="M996">
        <v>296</v>
      </c>
      <c r="N996" t="s">
        <v>553</v>
      </c>
    </row>
    <row r="997" spans="1:14" x14ac:dyDescent="0.2">
      <c r="A997" t="s">
        <v>1099</v>
      </c>
      <c r="B997" t="s">
        <v>32</v>
      </c>
      <c r="C997">
        <v>22</v>
      </c>
      <c r="D997">
        <v>2</v>
      </c>
      <c r="E997">
        <v>21</v>
      </c>
      <c r="F997">
        <v>21</v>
      </c>
      <c r="G997">
        <v>2</v>
      </c>
      <c r="H997">
        <v>20</v>
      </c>
      <c r="I997">
        <v>0.1676</v>
      </c>
      <c r="J997">
        <f t="shared" si="15"/>
        <v>5.9665871121718381E-2</v>
      </c>
      <c r="K997">
        <v>1E-4</v>
      </c>
      <c r="L997" t="s">
        <v>17</v>
      </c>
      <c r="M997">
        <v>296</v>
      </c>
      <c r="N997" t="s">
        <v>553</v>
      </c>
    </row>
    <row r="998" spans="1:14" x14ac:dyDescent="0.2">
      <c r="A998" t="s">
        <v>1099</v>
      </c>
      <c r="B998" t="s">
        <v>32</v>
      </c>
      <c r="C998">
        <v>22</v>
      </c>
      <c r="D998">
        <v>5</v>
      </c>
      <c r="E998">
        <v>18</v>
      </c>
      <c r="F998">
        <v>21</v>
      </c>
      <c r="G998">
        <v>5</v>
      </c>
      <c r="H998">
        <v>17</v>
      </c>
      <c r="I998">
        <v>0.1757</v>
      </c>
      <c r="J998">
        <f t="shared" si="15"/>
        <v>0.17074558907228229</v>
      </c>
      <c r="K998">
        <v>2.9999999999999997E-4</v>
      </c>
      <c r="L998" t="s">
        <v>17</v>
      </c>
      <c r="M998">
        <v>296</v>
      </c>
      <c r="N998" t="s">
        <v>553</v>
      </c>
    </row>
    <row r="999" spans="1:14" x14ac:dyDescent="0.2">
      <c r="A999" t="s">
        <v>1099</v>
      </c>
      <c r="B999" t="s">
        <v>32</v>
      </c>
      <c r="C999">
        <v>28</v>
      </c>
      <c r="D999">
        <v>14</v>
      </c>
      <c r="E999">
        <v>15</v>
      </c>
      <c r="F999">
        <v>27</v>
      </c>
      <c r="G999">
        <v>14</v>
      </c>
      <c r="H999">
        <v>14</v>
      </c>
      <c r="I999">
        <v>0.15140000000000001</v>
      </c>
      <c r="J999">
        <f t="shared" si="15"/>
        <v>0.79260237780713338</v>
      </c>
      <c r="K999">
        <v>1.1999999999999999E-3</v>
      </c>
      <c r="L999" t="s">
        <v>17</v>
      </c>
      <c r="M999">
        <v>296</v>
      </c>
      <c r="N999" t="s">
        <v>553</v>
      </c>
    </row>
    <row r="1000" spans="1:14" x14ac:dyDescent="0.2">
      <c r="A1000" t="s">
        <v>1099</v>
      </c>
      <c r="B1000" t="s">
        <v>32</v>
      </c>
      <c r="C1000">
        <v>23</v>
      </c>
      <c r="D1000">
        <v>7</v>
      </c>
      <c r="E1000">
        <v>16</v>
      </c>
      <c r="F1000">
        <v>22</v>
      </c>
      <c r="G1000">
        <v>7</v>
      </c>
      <c r="H1000">
        <v>15</v>
      </c>
      <c r="I1000">
        <v>0.16950000000000001</v>
      </c>
      <c r="J1000">
        <f t="shared" si="15"/>
        <v>0.11799410029498525</v>
      </c>
      <c r="K1000">
        <v>2.0000000000000001E-4</v>
      </c>
      <c r="L1000" t="s">
        <v>17</v>
      </c>
      <c r="M1000">
        <v>296</v>
      </c>
      <c r="N1000" t="s">
        <v>553</v>
      </c>
    </row>
    <row r="1001" spans="1:14" x14ac:dyDescent="0.2">
      <c r="A1001" t="s">
        <v>1099</v>
      </c>
      <c r="B1001" t="s">
        <v>32</v>
      </c>
      <c r="C1001">
        <v>25</v>
      </c>
      <c r="D1001">
        <v>10</v>
      </c>
      <c r="E1001">
        <v>15</v>
      </c>
      <c r="F1001">
        <v>24</v>
      </c>
      <c r="G1001">
        <v>10</v>
      </c>
      <c r="H1001">
        <v>14</v>
      </c>
      <c r="I1001">
        <v>0.16059999999999999</v>
      </c>
      <c r="J1001">
        <f t="shared" si="15"/>
        <v>0.68493150684931514</v>
      </c>
      <c r="K1001">
        <v>1.1000000000000001E-3</v>
      </c>
      <c r="L1001" t="s">
        <v>17</v>
      </c>
      <c r="M1001">
        <v>296</v>
      </c>
      <c r="N1001" t="s">
        <v>553</v>
      </c>
    </row>
    <row r="1002" spans="1:14" x14ac:dyDescent="0.2">
      <c r="A1002" t="s">
        <v>1099</v>
      </c>
      <c r="B1002" t="s">
        <v>32</v>
      </c>
      <c r="C1002">
        <v>22</v>
      </c>
      <c r="D1002">
        <v>3</v>
      </c>
      <c r="E1002">
        <v>20</v>
      </c>
      <c r="F1002">
        <v>21</v>
      </c>
      <c r="G1002">
        <v>3</v>
      </c>
      <c r="H1002">
        <v>19</v>
      </c>
      <c r="I1002">
        <v>0.1641</v>
      </c>
      <c r="J1002">
        <f t="shared" si="15"/>
        <v>0.18281535648994515</v>
      </c>
      <c r="K1002">
        <v>2.9999999999999997E-4</v>
      </c>
      <c r="L1002" t="s">
        <v>17</v>
      </c>
      <c r="M1002">
        <v>296</v>
      </c>
      <c r="N1002" t="s">
        <v>553</v>
      </c>
    </row>
    <row r="1003" spans="1:14" x14ac:dyDescent="0.2">
      <c r="A1003" t="s">
        <v>1099</v>
      </c>
      <c r="B1003" t="s">
        <v>32</v>
      </c>
      <c r="C1003">
        <v>23</v>
      </c>
      <c r="D1003">
        <v>6</v>
      </c>
      <c r="E1003">
        <v>17</v>
      </c>
      <c r="F1003">
        <v>22</v>
      </c>
      <c r="G1003">
        <v>6</v>
      </c>
      <c r="H1003">
        <v>16</v>
      </c>
      <c r="I1003">
        <v>0.1699</v>
      </c>
      <c r="J1003">
        <f t="shared" si="15"/>
        <v>0.11771630370806359</v>
      </c>
      <c r="K1003">
        <v>2.0000000000000001E-4</v>
      </c>
      <c r="L1003" t="s">
        <v>17</v>
      </c>
      <c r="M1003">
        <v>296</v>
      </c>
      <c r="N1003" t="s">
        <v>553</v>
      </c>
    </row>
    <row r="1004" spans="1:14" x14ac:dyDescent="0.2">
      <c r="A1004" t="s">
        <v>1099</v>
      </c>
      <c r="B1004" t="s">
        <v>32</v>
      </c>
      <c r="C1004">
        <v>24</v>
      </c>
      <c r="D1004">
        <v>8</v>
      </c>
      <c r="E1004">
        <v>17</v>
      </c>
      <c r="F1004">
        <v>23</v>
      </c>
      <c r="G1004">
        <v>8</v>
      </c>
      <c r="H1004">
        <v>16</v>
      </c>
      <c r="I1004">
        <v>0.16650000000000001</v>
      </c>
      <c r="J1004">
        <f t="shared" si="15"/>
        <v>0.12012012012012012</v>
      </c>
      <c r="K1004">
        <v>2.0000000000000001E-4</v>
      </c>
      <c r="L1004" t="s">
        <v>17</v>
      </c>
      <c r="M1004">
        <v>296</v>
      </c>
      <c r="N1004" t="s">
        <v>553</v>
      </c>
    </row>
    <row r="1005" spans="1:14" x14ac:dyDescent="0.2">
      <c r="A1005" t="s">
        <v>1099</v>
      </c>
      <c r="B1005" t="s">
        <v>32</v>
      </c>
      <c r="C1005">
        <v>26</v>
      </c>
      <c r="D1005">
        <v>11</v>
      </c>
      <c r="E1005">
        <v>16</v>
      </c>
      <c r="F1005">
        <v>25</v>
      </c>
      <c r="G1005">
        <v>11</v>
      </c>
      <c r="H1005">
        <v>15</v>
      </c>
      <c r="I1005">
        <v>0.1615</v>
      </c>
      <c r="J1005">
        <f t="shared" si="15"/>
        <v>0.12383900928792571</v>
      </c>
      <c r="K1005">
        <v>2.0000000000000001E-4</v>
      </c>
      <c r="L1005" t="s">
        <v>17</v>
      </c>
      <c r="M1005">
        <v>296</v>
      </c>
      <c r="N1005" t="s">
        <v>553</v>
      </c>
    </row>
    <row r="1006" spans="1:14" x14ac:dyDescent="0.2">
      <c r="A1006" t="s">
        <v>1099</v>
      </c>
      <c r="B1006" t="s">
        <v>32</v>
      </c>
      <c r="C1006">
        <v>32</v>
      </c>
      <c r="D1006">
        <v>17</v>
      </c>
      <c r="E1006">
        <v>16</v>
      </c>
      <c r="F1006">
        <v>31</v>
      </c>
      <c r="G1006">
        <v>17</v>
      </c>
      <c r="H1006">
        <v>15</v>
      </c>
      <c r="I1006">
        <v>0.13730000000000001</v>
      </c>
      <c r="J1006">
        <f t="shared" si="15"/>
        <v>0.36416605972323379</v>
      </c>
      <c r="K1006">
        <v>5.0000000000000001E-4</v>
      </c>
      <c r="L1006" t="s">
        <v>17</v>
      </c>
      <c r="M1006">
        <v>296</v>
      </c>
      <c r="N1006" t="s">
        <v>553</v>
      </c>
    </row>
    <row r="1007" spans="1:14" x14ac:dyDescent="0.2">
      <c r="A1007" t="s">
        <v>1099</v>
      </c>
      <c r="B1007" t="s">
        <v>32</v>
      </c>
      <c r="C1007">
        <v>35</v>
      </c>
      <c r="D1007">
        <v>19</v>
      </c>
      <c r="E1007">
        <v>16</v>
      </c>
      <c r="F1007">
        <v>34</v>
      </c>
      <c r="G1007">
        <v>19</v>
      </c>
      <c r="H1007">
        <v>15</v>
      </c>
      <c r="I1007">
        <v>0.14399999999999999</v>
      </c>
      <c r="J1007">
        <f t="shared" si="15"/>
        <v>0.76388888888888895</v>
      </c>
      <c r="K1007">
        <v>1.1000000000000001E-3</v>
      </c>
      <c r="L1007" t="s">
        <v>17</v>
      </c>
      <c r="M1007">
        <v>296</v>
      </c>
      <c r="N1007" t="s">
        <v>553</v>
      </c>
    </row>
    <row r="1008" spans="1:14" x14ac:dyDescent="0.2">
      <c r="A1008" t="s">
        <v>1099</v>
      </c>
      <c r="B1008" t="s">
        <v>32</v>
      </c>
      <c r="C1008">
        <v>24</v>
      </c>
      <c r="D1008">
        <v>7</v>
      </c>
      <c r="E1008">
        <v>18</v>
      </c>
      <c r="F1008">
        <v>23</v>
      </c>
      <c r="G1008">
        <v>7</v>
      </c>
      <c r="H1008">
        <v>17</v>
      </c>
      <c r="I1008">
        <v>0.16800000000000001</v>
      </c>
      <c r="J1008">
        <f t="shared" si="15"/>
        <v>0.11904761904761904</v>
      </c>
      <c r="K1008">
        <v>2.0000000000000001E-4</v>
      </c>
      <c r="L1008" t="s">
        <v>17</v>
      </c>
      <c r="M1008">
        <v>296</v>
      </c>
      <c r="N1008" t="s">
        <v>553</v>
      </c>
    </row>
    <row r="1009" spans="1:14" x14ac:dyDescent="0.2">
      <c r="A1009" t="s">
        <v>1099</v>
      </c>
      <c r="B1009" t="s">
        <v>32</v>
      </c>
      <c r="C1009">
        <v>23</v>
      </c>
      <c r="D1009">
        <v>1</v>
      </c>
      <c r="E1009">
        <v>22</v>
      </c>
      <c r="F1009">
        <v>22</v>
      </c>
      <c r="G1009">
        <v>1</v>
      </c>
      <c r="H1009">
        <v>21</v>
      </c>
      <c r="I1009">
        <v>0.1701</v>
      </c>
      <c r="J1009">
        <f t="shared" si="15"/>
        <v>5.8788947677836566E-2</v>
      </c>
      <c r="K1009">
        <v>1E-4</v>
      </c>
      <c r="L1009" t="s">
        <v>17</v>
      </c>
      <c r="M1009">
        <v>296</v>
      </c>
      <c r="N1009" t="s">
        <v>553</v>
      </c>
    </row>
    <row r="1010" spans="1:14" x14ac:dyDescent="0.2">
      <c r="A1010" t="s">
        <v>1099</v>
      </c>
      <c r="B1010" t="s">
        <v>32</v>
      </c>
      <c r="C1010">
        <v>26</v>
      </c>
      <c r="D1010">
        <v>10</v>
      </c>
      <c r="E1010">
        <v>17</v>
      </c>
      <c r="F1010">
        <v>25</v>
      </c>
      <c r="G1010">
        <v>10</v>
      </c>
      <c r="H1010">
        <v>16</v>
      </c>
      <c r="I1010">
        <v>0.1636</v>
      </c>
      <c r="J1010">
        <f t="shared" si="15"/>
        <v>0.12224938875305623</v>
      </c>
      <c r="K1010">
        <v>2.0000000000000001E-4</v>
      </c>
      <c r="L1010" t="s">
        <v>17</v>
      </c>
      <c r="M1010">
        <v>296</v>
      </c>
      <c r="N1010" t="s">
        <v>553</v>
      </c>
    </row>
    <row r="1011" spans="1:14" x14ac:dyDescent="0.2">
      <c r="A1011" t="s">
        <v>1099</v>
      </c>
      <c r="B1011" t="s">
        <v>32</v>
      </c>
      <c r="C1011">
        <v>34</v>
      </c>
      <c r="D1011">
        <v>18</v>
      </c>
      <c r="E1011">
        <v>17</v>
      </c>
      <c r="F1011">
        <v>33</v>
      </c>
      <c r="G1011">
        <v>18</v>
      </c>
      <c r="H1011">
        <v>16</v>
      </c>
      <c r="I1011">
        <v>0.13930000000000001</v>
      </c>
      <c r="J1011">
        <f t="shared" si="15"/>
        <v>0.35893754486719309</v>
      </c>
      <c r="K1011">
        <v>5.0000000000000001E-4</v>
      </c>
      <c r="L1011" t="s">
        <v>17</v>
      </c>
      <c r="M1011">
        <v>296</v>
      </c>
      <c r="N1011" t="s">
        <v>553</v>
      </c>
    </row>
    <row r="1012" spans="1:14" x14ac:dyDescent="0.2">
      <c r="A1012" t="s">
        <v>1099</v>
      </c>
      <c r="B1012" t="s">
        <v>32</v>
      </c>
      <c r="C1012">
        <v>23</v>
      </c>
      <c r="D1012">
        <v>4</v>
      </c>
      <c r="E1012">
        <v>19</v>
      </c>
      <c r="F1012">
        <v>22</v>
      </c>
      <c r="G1012">
        <v>4</v>
      </c>
      <c r="H1012">
        <v>18</v>
      </c>
      <c r="I1012">
        <v>0.17649999999999999</v>
      </c>
      <c r="J1012">
        <f t="shared" si="15"/>
        <v>0.113314447592068</v>
      </c>
      <c r="K1012">
        <v>2.0000000000000001E-4</v>
      </c>
      <c r="L1012" t="s">
        <v>17</v>
      </c>
      <c r="M1012">
        <v>296</v>
      </c>
      <c r="N1012" t="s">
        <v>553</v>
      </c>
    </row>
    <row r="1013" spans="1:14" x14ac:dyDescent="0.2">
      <c r="A1013" t="s">
        <v>1099</v>
      </c>
      <c r="B1013" t="s">
        <v>32</v>
      </c>
      <c r="C1013">
        <v>27</v>
      </c>
      <c r="D1013">
        <v>11</v>
      </c>
      <c r="E1013">
        <v>16</v>
      </c>
      <c r="F1013">
        <v>26</v>
      </c>
      <c r="G1013">
        <v>11</v>
      </c>
      <c r="H1013">
        <v>15</v>
      </c>
      <c r="I1013">
        <v>0.1575</v>
      </c>
      <c r="J1013">
        <f t="shared" si="15"/>
        <v>0.19047619047619047</v>
      </c>
      <c r="K1013">
        <v>2.9999999999999997E-4</v>
      </c>
      <c r="L1013" t="s">
        <v>17</v>
      </c>
      <c r="M1013">
        <v>296</v>
      </c>
      <c r="N1013" t="s">
        <v>553</v>
      </c>
    </row>
    <row r="1014" spans="1:14" x14ac:dyDescent="0.2">
      <c r="A1014" t="s">
        <v>1099</v>
      </c>
      <c r="B1014" t="s">
        <v>32</v>
      </c>
      <c r="C1014">
        <v>33</v>
      </c>
      <c r="D1014">
        <v>17</v>
      </c>
      <c r="E1014">
        <v>16</v>
      </c>
      <c r="F1014">
        <v>32</v>
      </c>
      <c r="G1014">
        <v>17</v>
      </c>
      <c r="H1014">
        <v>15</v>
      </c>
      <c r="I1014">
        <v>0.1371</v>
      </c>
      <c r="J1014">
        <f t="shared" si="15"/>
        <v>0.36469730123997085</v>
      </c>
      <c r="K1014">
        <v>5.0000000000000001E-4</v>
      </c>
      <c r="L1014" t="s">
        <v>17</v>
      </c>
      <c r="M1014">
        <v>296</v>
      </c>
      <c r="N1014" t="s">
        <v>553</v>
      </c>
    </row>
    <row r="1015" spans="1:14" x14ac:dyDescent="0.2">
      <c r="A1015" t="s">
        <v>1099</v>
      </c>
      <c r="B1015" t="s">
        <v>32</v>
      </c>
      <c r="C1015">
        <v>24</v>
      </c>
      <c r="D1015">
        <v>2</v>
      </c>
      <c r="E1015">
        <v>23</v>
      </c>
      <c r="F1015">
        <v>23</v>
      </c>
      <c r="G1015">
        <v>2</v>
      </c>
      <c r="H1015">
        <v>22</v>
      </c>
      <c r="I1015">
        <v>0.16489999999999999</v>
      </c>
      <c r="J1015">
        <f t="shared" si="15"/>
        <v>0.24257125530624621</v>
      </c>
      <c r="K1015">
        <v>4.0000000000000002E-4</v>
      </c>
      <c r="L1015" t="s">
        <v>17</v>
      </c>
      <c r="M1015">
        <v>296</v>
      </c>
      <c r="N1015" t="s">
        <v>553</v>
      </c>
    </row>
    <row r="1016" spans="1:14" x14ac:dyDescent="0.2">
      <c r="A1016" t="s">
        <v>1099</v>
      </c>
      <c r="B1016" t="s">
        <v>32</v>
      </c>
      <c r="C1016">
        <v>29</v>
      </c>
      <c r="D1016">
        <v>13</v>
      </c>
      <c r="E1016">
        <v>16</v>
      </c>
      <c r="F1016">
        <v>28</v>
      </c>
      <c r="G1016">
        <v>13</v>
      </c>
      <c r="H1016">
        <v>15</v>
      </c>
      <c r="I1016">
        <v>0.1454</v>
      </c>
      <c r="J1016">
        <f t="shared" si="15"/>
        <v>0.96286107290233847</v>
      </c>
      <c r="K1016">
        <v>1.4E-3</v>
      </c>
      <c r="L1016" t="s">
        <v>17</v>
      </c>
      <c r="M1016">
        <v>296</v>
      </c>
      <c r="N1016" t="s">
        <v>553</v>
      </c>
    </row>
    <row r="1017" spans="1:14" x14ac:dyDescent="0.2">
      <c r="A1017" t="s">
        <v>1099</v>
      </c>
      <c r="B1017" t="s">
        <v>32</v>
      </c>
      <c r="C1017">
        <v>26</v>
      </c>
      <c r="D1017">
        <v>9</v>
      </c>
      <c r="E1017">
        <v>18</v>
      </c>
      <c r="F1017">
        <v>25</v>
      </c>
      <c r="G1017">
        <v>9</v>
      </c>
      <c r="H1017">
        <v>17</v>
      </c>
      <c r="I1017">
        <v>0.15670000000000001</v>
      </c>
      <c r="J1017">
        <f t="shared" si="15"/>
        <v>0.44671346522016592</v>
      </c>
      <c r="K1017">
        <v>6.9999999999999999E-4</v>
      </c>
      <c r="L1017" t="s">
        <v>17</v>
      </c>
      <c r="M1017">
        <v>296</v>
      </c>
      <c r="N1017" t="s">
        <v>553</v>
      </c>
    </row>
    <row r="1018" spans="1:14" x14ac:dyDescent="0.2">
      <c r="A1018" t="s">
        <v>1099</v>
      </c>
      <c r="B1018" t="s">
        <v>32</v>
      </c>
      <c r="C1018">
        <v>25</v>
      </c>
      <c r="D1018">
        <v>7</v>
      </c>
      <c r="E1018">
        <v>18</v>
      </c>
      <c r="F1018">
        <v>24</v>
      </c>
      <c r="G1018">
        <v>7</v>
      </c>
      <c r="H1018">
        <v>17</v>
      </c>
      <c r="I1018">
        <v>0.1691</v>
      </c>
      <c r="J1018">
        <f t="shared" si="15"/>
        <v>0.23654642223536371</v>
      </c>
      <c r="K1018">
        <v>4.0000000000000002E-4</v>
      </c>
      <c r="L1018" t="s">
        <v>17</v>
      </c>
      <c r="M1018">
        <v>296</v>
      </c>
      <c r="N1018" t="s">
        <v>553</v>
      </c>
    </row>
    <row r="1019" spans="1:14" x14ac:dyDescent="0.2">
      <c r="A1019" t="s">
        <v>1099</v>
      </c>
      <c r="B1019" t="s">
        <v>32</v>
      </c>
      <c r="C1019">
        <v>23</v>
      </c>
      <c r="D1019">
        <v>3</v>
      </c>
      <c r="E1019">
        <v>20</v>
      </c>
      <c r="F1019">
        <v>22</v>
      </c>
      <c r="G1019">
        <v>3</v>
      </c>
      <c r="H1019">
        <v>19</v>
      </c>
      <c r="I1019">
        <v>0.15540000000000001</v>
      </c>
      <c r="J1019">
        <f t="shared" si="15"/>
        <v>0.38610038610038599</v>
      </c>
      <c r="K1019">
        <v>5.9999999999999995E-4</v>
      </c>
      <c r="L1019" t="s">
        <v>17</v>
      </c>
      <c r="M1019">
        <v>296</v>
      </c>
      <c r="N1019" t="s">
        <v>553</v>
      </c>
    </row>
    <row r="1020" spans="1:14" x14ac:dyDescent="0.2">
      <c r="A1020" t="s">
        <v>1099</v>
      </c>
      <c r="B1020" t="s">
        <v>32</v>
      </c>
      <c r="C1020">
        <v>25</v>
      </c>
      <c r="D1020">
        <v>6</v>
      </c>
      <c r="E1020">
        <v>19</v>
      </c>
      <c r="F1020">
        <v>24</v>
      </c>
      <c r="G1020">
        <v>6</v>
      </c>
      <c r="H1020">
        <v>18</v>
      </c>
      <c r="I1020">
        <v>0.16980000000000001</v>
      </c>
      <c r="J1020">
        <f t="shared" si="15"/>
        <v>0.11778563015312131</v>
      </c>
      <c r="K1020">
        <v>2.0000000000000001E-4</v>
      </c>
      <c r="L1020" t="s">
        <v>17</v>
      </c>
      <c r="M1020">
        <v>296</v>
      </c>
      <c r="N1020" t="s">
        <v>553</v>
      </c>
    </row>
    <row r="1021" spans="1:14" x14ac:dyDescent="0.2">
      <c r="A1021" t="s">
        <v>1099</v>
      </c>
      <c r="B1021" t="s">
        <v>32</v>
      </c>
      <c r="C1021">
        <v>26</v>
      </c>
      <c r="D1021">
        <v>1</v>
      </c>
      <c r="E1021">
        <v>26</v>
      </c>
      <c r="F1021">
        <v>25</v>
      </c>
      <c r="G1021">
        <v>1</v>
      </c>
      <c r="H1021">
        <v>25</v>
      </c>
      <c r="I1021">
        <v>0.1547</v>
      </c>
      <c r="J1021">
        <f t="shared" si="15"/>
        <v>6.464124111182934E-2</v>
      </c>
      <c r="K1021">
        <v>1E-4</v>
      </c>
      <c r="L1021" t="s">
        <v>17</v>
      </c>
      <c r="M1021">
        <v>296</v>
      </c>
      <c r="N1021" t="s">
        <v>553</v>
      </c>
    </row>
    <row r="1022" spans="1:14" x14ac:dyDescent="0.2">
      <c r="A1022" t="s">
        <v>1099</v>
      </c>
      <c r="B1022" t="s">
        <v>32</v>
      </c>
      <c r="C1022">
        <v>29</v>
      </c>
      <c r="D1022">
        <v>12</v>
      </c>
      <c r="E1022">
        <v>17</v>
      </c>
      <c r="F1022">
        <v>28</v>
      </c>
      <c r="G1022">
        <v>12</v>
      </c>
      <c r="H1022">
        <v>16</v>
      </c>
      <c r="I1022">
        <v>0.15390000000000001</v>
      </c>
      <c r="J1022">
        <f t="shared" si="15"/>
        <v>0.25990903183885639</v>
      </c>
      <c r="K1022">
        <v>4.0000000000000002E-4</v>
      </c>
      <c r="L1022" t="s">
        <v>17</v>
      </c>
      <c r="M1022">
        <v>296</v>
      </c>
      <c r="N1022" t="s">
        <v>553</v>
      </c>
    </row>
    <row r="1023" spans="1:14" x14ac:dyDescent="0.2">
      <c r="A1023" t="s">
        <v>1099</v>
      </c>
      <c r="B1023" t="s">
        <v>32</v>
      </c>
      <c r="C1023">
        <v>32</v>
      </c>
      <c r="D1023">
        <v>15</v>
      </c>
      <c r="E1023">
        <v>18</v>
      </c>
      <c r="F1023">
        <v>31</v>
      </c>
      <c r="G1023">
        <v>15</v>
      </c>
      <c r="H1023">
        <v>17</v>
      </c>
      <c r="I1023">
        <v>0.15140000000000001</v>
      </c>
      <c r="J1023">
        <f t="shared" si="15"/>
        <v>0.26420079260237783</v>
      </c>
      <c r="K1023">
        <v>4.0000000000000002E-4</v>
      </c>
      <c r="L1023" t="s">
        <v>17</v>
      </c>
      <c r="M1023">
        <v>296</v>
      </c>
      <c r="N1023" t="s">
        <v>553</v>
      </c>
    </row>
    <row r="1024" spans="1:14" x14ac:dyDescent="0.2">
      <c r="A1024" t="s">
        <v>1099</v>
      </c>
      <c r="B1024" t="s">
        <v>32</v>
      </c>
      <c r="C1024">
        <v>30</v>
      </c>
      <c r="D1024">
        <v>13</v>
      </c>
      <c r="E1024">
        <v>18</v>
      </c>
      <c r="F1024">
        <v>29</v>
      </c>
      <c r="G1024">
        <v>13</v>
      </c>
      <c r="H1024">
        <v>17</v>
      </c>
      <c r="I1024">
        <v>0.1492</v>
      </c>
      <c r="J1024">
        <f t="shared" si="15"/>
        <v>0.40214477211796246</v>
      </c>
      <c r="K1024">
        <v>5.9999999999999995E-4</v>
      </c>
      <c r="L1024" t="s">
        <v>17</v>
      </c>
      <c r="M1024">
        <v>296</v>
      </c>
      <c r="N1024" t="s">
        <v>553</v>
      </c>
    </row>
    <row r="1025" spans="1:14" x14ac:dyDescent="0.2">
      <c r="A1025" t="s">
        <v>1099</v>
      </c>
      <c r="B1025" t="s">
        <v>32</v>
      </c>
      <c r="C1025">
        <v>31</v>
      </c>
      <c r="D1025">
        <v>14</v>
      </c>
      <c r="E1025">
        <v>17</v>
      </c>
      <c r="F1025">
        <v>30</v>
      </c>
      <c r="G1025">
        <v>14</v>
      </c>
      <c r="H1025">
        <v>16</v>
      </c>
      <c r="I1025">
        <v>0.1394</v>
      </c>
      <c r="J1025">
        <f t="shared" si="15"/>
        <v>0.57388809182209477</v>
      </c>
      <c r="K1025">
        <v>8.0000000000000004E-4</v>
      </c>
      <c r="L1025" t="s">
        <v>17</v>
      </c>
      <c r="M1025">
        <v>296</v>
      </c>
      <c r="N1025" t="s">
        <v>553</v>
      </c>
    </row>
    <row r="1026" spans="1:14" x14ac:dyDescent="0.2">
      <c r="A1026" t="s">
        <v>1099</v>
      </c>
      <c r="B1026" t="s">
        <v>32</v>
      </c>
      <c r="C1026">
        <v>25</v>
      </c>
      <c r="D1026">
        <v>1</v>
      </c>
      <c r="E1026">
        <v>24</v>
      </c>
      <c r="F1026">
        <v>24</v>
      </c>
      <c r="G1026">
        <v>1</v>
      </c>
      <c r="H1026">
        <v>23</v>
      </c>
      <c r="I1026">
        <v>0.1666</v>
      </c>
      <c r="J1026">
        <f t="shared" si="15"/>
        <v>6.0024009603841542E-2</v>
      </c>
      <c r="K1026">
        <v>1E-4</v>
      </c>
      <c r="L1026" t="s">
        <v>17</v>
      </c>
      <c r="M1026">
        <v>296</v>
      </c>
      <c r="N1026" t="s">
        <v>553</v>
      </c>
    </row>
    <row r="1027" spans="1:14" x14ac:dyDescent="0.2">
      <c r="A1027" t="s">
        <v>1099</v>
      </c>
      <c r="B1027" t="s">
        <v>32</v>
      </c>
      <c r="C1027">
        <v>27</v>
      </c>
      <c r="D1027">
        <v>9</v>
      </c>
      <c r="E1027">
        <v>18</v>
      </c>
      <c r="F1027">
        <v>26</v>
      </c>
      <c r="G1027">
        <v>9</v>
      </c>
      <c r="H1027">
        <v>17</v>
      </c>
      <c r="I1027">
        <v>0.15970000000000001</v>
      </c>
      <c r="J1027">
        <f t="shared" ref="J1027:J1090" si="16">K1027/I1027*100</f>
        <v>0.12523481527864747</v>
      </c>
      <c r="K1027">
        <v>2.0000000000000001E-4</v>
      </c>
      <c r="L1027" t="s">
        <v>17</v>
      </c>
      <c r="M1027">
        <v>296</v>
      </c>
      <c r="N1027" t="s">
        <v>553</v>
      </c>
    </row>
    <row r="1028" spans="1:14" x14ac:dyDescent="0.2">
      <c r="A1028" t="s">
        <v>1099</v>
      </c>
      <c r="B1028" t="s">
        <v>32</v>
      </c>
      <c r="C1028">
        <v>25</v>
      </c>
      <c r="D1028">
        <v>5</v>
      </c>
      <c r="E1028">
        <v>20</v>
      </c>
      <c r="F1028">
        <v>24</v>
      </c>
      <c r="G1028">
        <v>5</v>
      </c>
      <c r="H1028">
        <v>19</v>
      </c>
      <c r="I1028">
        <v>0.17319999999999999</v>
      </c>
      <c r="J1028">
        <f t="shared" si="16"/>
        <v>0.11547344110854506</v>
      </c>
      <c r="K1028">
        <v>2.0000000000000001E-4</v>
      </c>
      <c r="L1028" t="s">
        <v>17</v>
      </c>
      <c r="M1028">
        <v>296</v>
      </c>
      <c r="N1028" t="s">
        <v>553</v>
      </c>
    </row>
    <row r="1029" spans="1:14" x14ac:dyDescent="0.2">
      <c r="A1029" t="s">
        <v>1099</v>
      </c>
      <c r="B1029" t="s">
        <v>32</v>
      </c>
      <c r="C1029">
        <v>26</v>
      </c>
      <c r="D1029">
        <v>7</v>
      </c>
      <c r="E1029">
        <v>20</v>
      </c>
      <c r="F1029">
        <v>25</v>
      </c>
      <c r="G1029">
        <v>7</v>
      </c>
      <c r="H1029">
        <v>19</v>
      </c>
      <c r="I1029">
        <v>0.1663</v>
      </c>
      <c r="J1029">
        <f t="shared" si="16"/>
        <v>6.0132291040288638E-2</v>
      </c>
      <c r="K1029">
        <v>1E-4</v>
      </c>
      <c r="L1029" t="s">
        <v>17</v>
      </c>
      <c r="M1029">
        <v>296</v>
      </c>
      <c r="N1029" t="s">
        <v>553</v>
      </c>
    </row>
    <row r="1030" spans="1:14" x14ac:dyDescent="0.2">
      <c r="A1030" t="s">
        <v>1099</v>
      </c>
      <c r="B1030" t="s">
        <v>32</v>
      </c>
      <c r="C1030">
        <v>39</v>
      </c>
      <c r="D1030">
        <v>20</v>
      </c>
      <c r="E1030">
        <v>19</v>
      </c>
      <c r="F1030">
        <v>38</v>
      </c>
      <c r="G1030">
        <v>20</v>
      </c>
      <c r="H1030">
        <v>18</v>
      </c>
      <c r="I1030">
        <v>0.1237</v>
      </c>
      <c r="J1030">
        <f t="shared" si="16"/>
        <v>1.0509296685529506</v>
      </c>
      <c r="K1030">
        <v>1.2999999999999999E-3</v>
      </c>
      <c r="L1030" t="s">
        <v>17</v>
      </c>
      <c r="M1030">
        <v>296</v>
      </c>
      <c r="N1030" t="s">
        <v>553</v>
      </c>
    </row>
    <row r="1031" spans="1:14" x14ac:dyDescent="0.2">
      <c r="A1031" t="s">
        <v>1099</v>
      </c>
      <c r="B1031" t="s">
        <v>32</v>
      </c>
      <c r="C1031">
        <v>28</v>
      </c>
      <c r="D1031">
        <v>10</v>
      </c>
      <c r="E1031">
        <v>19</v>
      </c>
      <c r="F1031">
        <v>27</v>
      </c>
      <c r="G1031">
        <v>10</v>
      </c>
      <c r="H1031">
        <v>18</v>
      </c>
      <c r="I1031">
        <v>0.1593</v>
      </c>
      <c r="J1031">
        <f t="shared" si="16"/>
        <v>6.2774639045825489E-2</v>
      </c>
      <c r="K1031">
        <v>1E-4</v>
      </c>
      <c r="L1031" t="s">
        <v>17</v>
      </c>
      <c r="M1031">
        <v>296</v>
      </c>
      <c r="N1031" t="s">
        <v>553</v>
      </c>
    </row>
    <row r="1032" spans="1:14" x14ac:dyDescent="0.2">
      <c r="A1032" t="s">
        <v>1099</v>
      </c>
      <c r="B1032" t="s">
        <v>32</v>
      </c>
      <c r="C1032">
        <v>35</v>
      </c>
      <c r="D1032">
        <v>17</v>
      </c>
      <c r="E1032">
        <v>18</v>
      </c>
      <c r="F1032">
        <v>34</v>
      </c>
      <c r="G1032">
        <v>17</v>
      </c>
      <c r="H1032">
        <v>17</v>
      </c>
      <c r="I1032">
        <v>0.1356</v>
      </c>
      <c r="J1032">
        <f t="shared" si="16"/>
        <v>0.58997050147492636</v>
      </c>
      <c r="K1032">
        <v>8.0000000000000004E-4</v>
      </c>
      <c r="L1032" t="s">
        <v>17</v>
      </c>
      <c r="M1032">
        <v>296</v>
      </c>
      <c r="N1032" t="s">
        <v>553</v>
      </c>
    </row>
    <row r="1033" spans="1:14" x14ac:dyDescent="0.2">
      <c r="A1033" t="s">
        <v>1099</v>
      </c>
      <c r="B1033" t="s">
        <v>32</v>
      </c>
      <c r="C1033">
        <v>29</v>
      </c>
      <c r="D1033">
        <v>11</v>
      </c>
      <c r="E1033">
        <v>18</v>
      </c>
      <c r="F1033">
        <v>28</v>
      </c>
      <c r="G1033">
        <v>11</v>
      </c>
      <c r="H1033">
        <v>17</v>
      </c>
      <c r="I1033">
        <v>0.15609999999999999</v>
      </c>
      <c r="J1033">
        <f t="shared" si="16"/>
        <v>0.19218449711723254</v>
      </c>
      <c r="K1033">
        <v>2.9999999999999997E-4</v>
      </c>
      <c r="L1033" t="s">
        <v>17</v>
      </c>
      <c r="M1033">
        <v>296</v>
      </c>
      <c r="N1033" t="s">
        <v>553</v>
      </c>
    </row>
    <row r="1034" spans="1:14" x14ac:dyDescent="0.2">
      <c r="A1034" t="s">
        <v>1099</v>
      </c>
      <c r="B1034" t="s">
        <v>32</v>
      </c>
      <c r="C1034">
        <v>27</v>
      </c>
      <c r="D1034">
        <v>8</v>
      </c>
      <c r="E1034">
        <v>19</v>
      </c>
      <c r="F1034">
        <v>26</v>
      </c>
      <c r="G1034">
        <v>8</v>
      </c>
      <c r="H1034">
        <v>18</v>
      </c>
      <c r="I1034">
        <v>0.1618</v>
      </c>
      <c r="J1034">
        <f t="shared" si="16"/>
        <v>0.30902348578491967</v>
      </c>
      <c r="K1034">
        <v>5.0000000000000001E-4</v>
      </c>
      <c r="L1034" t="s">
        <v>17</v>
      </c>
      <c r="M1034">
        <v>296</v>
      </c>
      <c r="N1034" t="s">
        <v>553</v>
      </c>
    </row>
    <row r="1035" spans="1:14" x14ac:dyDescent="0.2">
      <c r="A1035" t="s">
        <v>1099</v>
      </c>
      <c r="B1035" t="s">
        <v>32</v>
      </c>
      <c r="C1035">
        <v>27</v>
      </c>
      <c r="D1035">
        <v>0</v>
      </c>
      <c r="E1035">
        <v>27</v>
      </c>
      <c r="F1035">
        <v>26</v>
      </c>
      <c r="G1035">
        <v>0</v>
      </c>
      <c r="H1035">
        <v>26</v>
      </c>
      <c r="I1035">
        <v>0.15160000000000001</v>
      </c>
      <c r="J1035">
        <f t="shared" si="16"/>
        <v>0.26385224274406333</v>
      </c>
      <c r="K1035">
        <v>4.0000000000000002E-4</v>
      </c>
      <c r="L1035" t="s">
        <v>17</v>
      </c>
      <c r="M1035">
        <v>296</v>
      </c>
      <c r="N1035" t="s">
        <v>553</v>
      </c>
    </row>
    <row r="1036" spans="1:14" x14ac:dyDescent="0.2">
      <c r="A1036" t="s">
        <v>1099</v>
      </c>
      <c r="B1036" t="s">
        <v>32</v>
      </c>
      <c r="C1036">
        <v>25</v>
      </c>
      <c r="D1036">
        <v>4</v>
      </c>
      <c r="E1036">
        <v>21</v>
      </c>
      <c r="F1036">
        <v>24</v>
      </c>
      <c r="G1036">
        <v>4</v>
      </c>
      <c r="H1036">
        <v>20</v>
      </c>
      <c r="I1036">
        <v>0.1767</v>
      </c>
      <c r="J1036">
        <f t="shared" si="16"/>
        <v>0.1697792869269949</v>
      </c>
      <c r="K1036">
        <v>2.9999999999999997E-4</v>
      </c>
      <c r="L1036" t="s">
        <v>17</v>
      </c>
      <c r="M1036">
        <v>296</v>
      </c>
      <c r="N1036" t="s">
        <v>553</v>
      </c>
    </row>
    <row r="1037" spans="1:14" x14ac:dyDescent="0.2">
      <c r="A1037" t="s">
        <v>1099</v>
      </c>
      <c r="B1037" t="s">
        <v>32</v>
      </c>
      <c r="C1037">
        <v>30</v>
      </c>
      <c r="D1037">
        <v>12</v>
      </c>
      <c r="E1037">
        <v>19</v>
      </c>
      <c r="F1037">
        <v>29</v>
      </c>
      <c r="G1037">
        <v>12</v>
      </c>
      <c r="H1037">
        <v>18</v>
      </c>
      <c r="I1037">
        <v>0.15379999999999999</v>
      </c>
      <c r="J1037">
        <f t="shared" si="16"/>
        <v>0.19505851755526657</v>
      </c>
      <c r="K1037">
        <v>2.9999999999999997E-4</v>
      </c>
      <c r="L1037" t="s">
        <v>17</v>
      </c>
      <c r="M1037">
        <v>296</v>
      </c>
      <c r="N1037" t="s">
        <v>553</v>
      </c>
    </row>
    <row r="1038" spans="1:14" x14ac:dyDescent="0.2">
      <c r="A1038" t="s">
        <v>1099</v>
      </c>
      <c r="B1038" t="s">
        <v>32</v>
      </c>
      <c r="C1038">
        <v>31</v>
      </c>
      <c r="D1038">
        <v>13</v>
      </c>
      <c r="E1038">
        <v>18</v>
      </c>
      <c r="F1038">
        <v>30</v>
      </c>
      <c r="G1038">
        <v>13</v>
      </c>
      <c r="H1038">
        <v>17</v>
      </c>
      <c r="I1038">
        <v>0.15260000000000001</v>
      </c>
      <c r="J1038">
        <f t="shared" si="16"/>
        <v>0.26212319790301442</v>
      </c>
      <c r="K1038">
        <v>4.0000000000000002E-4</v>
      </c>
      <c r="L1038" t="s">
        <v>17</v>
      </c>
      <c r="M1038">
        <v>296</v>
      </c>
      <c r="N1038" t="s">
        <v>553</v>
      </c>
    </row>
    <row r="1039" spans="1:14" x14ac:dyDescent="0.2">
      <c r="A1039" t="s">
        <v>1099</v>
      </c>
      <c r="B1039" t="s">
        <v>32</v>
      </c>
      <c r="C1039">
        <v>32</v>
      </c>
      <c r="D1039">
        <v>14</v>
      </c>
      <c r="E1039">
        <v>19</v>
      </c>
      <c r="F1039">
        <v>31</v>
      </c>
      <c r="G1039">
        <v>14</v>
      </c>
      <c r="H1039">
        <v>18</v>
      </c>
      <c r="I1039">
        <v>0.14960000000000001</v>
      </c>
      <c r="J1039">
        <f t="shared" si="16"/>
        <v>0.33422459893048129</v>
      </c>
      <c r="K1039">
        <v>5.0000000000000001E-4</v>
      </c>
      <c r="L1039" t="s">
        <v>17</v>
      </c>
      <c r="M1039">
        <v>296</v>
      </c>
      <c r="N1039" t="s">
        <v>553</v>
      </c>
    </row>
    <row r="1040" spans="1:14" x14ac:dyDescent="0.2">
      <c r="A1040" t="s">
        <v>1099</v>
      </c>
      <c r="B1040" t="s">
        <v>32</v>
      </c>
      <c r="C1040">
        <v>28</v>
      </c>
      <c r="D1040">
        <v>9</v>
      </c>
      <c r="E1040">
        <v>20</v>
      </c>
      <c r="F1040">
        <v>27</v>
      </c>
      <c r="G1040">
        <v>9</v>
      </c>
      <c r="H1040">
        <v>19</v>
      </c>
      <c r="I1040">
        <v>0.1623</v>
      </c>
      <c r="J1040">
        <f t="shared" si="16"/>
        <v>0.12322858903265559</v>
      </c>
      <c r="K1040">
        <v>2.0000000000000001E-4</v>
      </c>
      <c r="L1040" t="s">
        <v>17</v>
      </c>
      <c r="M1040">
        <v>296</v>
      </c>
      <c r="N1040" t="s">
        <v>553</v>
      </c>
    </row>
    <row r="1041" spans="1:14" x14ac:dyDescent="0.2">
      <c r="A1041" t="s">
        <v>1099</v>
      </c>
      <c r="B1041" t="s">
        <v>32</v>
      </c>
      <c r="C1041">
        <v>27</v>
      </c>
      <c r="D1041">
        <v>7</v>
      </c>
      <c r="E1041">
        <v>20</v>
      </c>
      <c r="F1041">
        <v>26</v>
      </c>
      <c r="G1041">
        <v>7</v>
      </c>
      <c r="H1041">
        <v>19</v>
      </c>
      <c r="I1041">
        <v>0.1696</v>
      </c>
      <c r="J1041">
        <f t="shared" si="16"/>
        <v>0.11792452830188679</v>
      </c>
      <c r="K1041">
        <v>2.0000000000000001E-4</v>
      </c>
      <c r="L1041" t="s">
        <v>17</v>
      </c>
      <c r="M1041">
        <v>296</v>
      </c>
      <c r="N1041" t="s">
        <v>553</v>
      </c>
    </row>
    <row r="1042" spans="1:14" x14ac:dyDescent="0.2">
      <c r="A1042" t="s">
        <v>1099</v>
      </c>
      <c r="B1042" t="s">
        <v>32</v>
      </c>
      <c r="C1042">
        <v>25</v>
      </c>
      <c r="D1042">
        <v>2</v>
      </c>
      <c r="E1042">
        <v>23</v>
      </c>
      <c r="F1042">
        <v>24</v>
      </c>
      <c r="G1042">
        <v>2</v>
      </c>
      <c r="H1042">
        <v>22</v>
      </c>
      <c r="I1042">
        <v>0.17560000000000001</v>
      </c>
      <c r="J1042">
        <f t="shared" si="16"/>
        <v>0.11389521640091116</v>
      </c>
      <c r="K1042">
        <v>2.0000000000000001E-4</v>
      </c>
      <c r="L1042" t="s">
        <v>17</v>
      </c>
      <c r="M1042">
        <v>296</v>
      </c>
      <c r="N1042" t="s">
        <v>553</v>
      </c>
    </row>
    <row r="1043" spans="1:14" x14ac:dyDescent="0.2">
      <c r="A1043" t="s">
        <v>1099</v>
      </c>
      <c r="B1043" t="s">
        <v>32</v>
      </c>
      <c r="C1043">
        <v>26</v>
      </c>
      <c r="D1043">
        <v>3</v>
      </c>
      <c r="E1043">
        <v>24</v>
      </c>
      <c r="F1043">
        <v>25</v>
      </c>
      <c r="G1043">
        <v>3</v>
      </c>
      <c r="H1043">
        <v>23</v>
      </c>
      <c r="I1043">
        <v>0.17069999999999999</v>
      </c>
      <c r="J1043">
        <f t="shared" si="16"/>
        <v>0.17574692442882248</v>
      </c>
      <c r="K1043">
        <v>2.9999999999999997E-4</v>
      </c>
      <c r="L1043" t="s">
        <v>17</v>
      </c>
      <c r="M1043">
        <v>296</v>
      </c>
      <c r="N1043" t="s">
        <v>553</v>
      </c>
    </row>
    <row r="1044" spans="1:14" x14ac:dyDescent="0.2">
      <c r="A1044" t="s">
        <v>1099</v>
      </c>
      <c r="B1044" t="s">
        <v>32</v>
      </c>
      <c r="C1044">
        <v>26</v>
      </c>
      <c r="D1044">
        <v>4</v>
      </c>
      <c r="E1044">
        <v>23</v>
      </c>
      <c r="F1044">
        <v>25</v>
      </c>
      <c r="G1044">
        <v>4</v>
      </c>
      <c r="H1044">
        <v>22</v>
      </c>
      <c r="I1044">
        <v>0.1709</v>
      </c>
      <c r="J1044">
        <f t="shared" si="16"/>
        <v>0.11702750146284377</v>
      </c>
      <c r="K1044">
        <v>2.0000000000000001E-4</v>
      </c>
      <c r="L1044" t="s">
        <v>17</v>
      </c>
      <c r="M1044">
        <v>296</v>
      </c>
      <c r="N1044" t="s">
        <v>553</v>
      </c>
    </row>
    <row r="1045" spans="1:14" x14ac:dyDescent="0.2">
      <c r="A1045" t="s">
        <v>1099</v>
      </c>
      <c r="B1045" t="s">
        <v>32</v>
      </c>
      <c r="C1045">
        <v>25</v>
      </c>
      <c r="D1045">
        <v>3</v>
      </c>
      <c r="E1045">
        <v>22</v>
      </c>
      <c r="F1045">
        <v>24</v>
      </c>
      <c r="G1045">
        <v>3</v>
      </c>
      <c r="H1045">
        <v>21</v>
      </c>
      <c r="I1045">
        <v>0.1862</v>
      </c>
      <c r="J1045">
        <f t="shared" si="16"/>
        <v>0.10741138560687433</v>
      </c>
      <c r="K1045">
        <v>2.0000000000000001E-4</v>
      </c>
      <c r="L1045" t="s">
        <v>17</v>
      </c>
      <c r="M1045">
        <v>296</v>
      </c>
      <c r="N1045" t="s">
        <v>553</v>
      </c>
    </row>
    <row r="1046" spans="1:14" x14ac:dyDescent="0.2">
      <c r="A1046" t="s">
        <v>1099</v>
      </c>
      <c r="B1046" t="s">
        <v>32</v>
      </c>
      <c r="C1046">
        <v>28</v>
      </c>
      <c r="D1046">
        <v>1</v>
      </c>
      <c r="E1046">
        <v>28</v>
      </c>
      <c r="F1046">
        <v>27</v>
      </c>
      <c r="G1046">
        <v>1</v>
      </c>
      <c r="H1046">
        <v>27</v>
      </c>
      <c r="I1046">
        <v>0.15040000000000001</v>
      </c>
      <c r="J1046">
        <f t="shared" si="16"/>
        <v>0.13297872340425532</v>
      </c>
      <c r="K1046">
        <v>2.0000000000000001E-4</v>
      </c>
      <c r="L1046" t="s">
        <v>17</v>
      </c>
      <c r="M1046">
        <v>296</v>
      </c>
      <c r="N1046" t="s">
        <v>553</v>
      </c>
    </row>
    <row r="1047" spans="1:14" x14ac:dyDescent="0.2">
      <c r="A1047" t="s">
        <v>1099</v>
      </c>
      <c r="B1047" t="s">
        <v>32</v>
      </c>
      <c r="C1047">
        <v>30</v>
      </c>
      <c r="D1047">
        <v>11</v>
      </c>
      <c r="E1047">
        <v>20</v>
      </c>
      <c r="F1047">
        <v>29</v>
      </c>
      <c r="G1047">
        <v>11</v>
      </c>
      <c r="H1047">
        <v>19</v>
      </c>
      <c r="I1047">
        <v>0.157</v>
      </c>
      <c r="J1047">
        <f t="shared" si="16"/>
        <v>0.31847133757961787</v>
      </c>
      <c r="K1047">
        <v>5.0000000000000001E-4</v>
      </c>
      <c r="L1047" t="s">
        <v>17</v>
      </c>
      <c r="M1047">
        <v>296</v>
      </c>
      <c r="N1047" t="s">
        <v>553</v>
      </c>
    </row>
    <row r="1048" spans="1:14" x14ac:dyDescent="0.2">
      <c r="A1048" t="s">
        <v>1099</v>
      </c>
      <c r="B1048" t="s">
        <v>32</v>
      </c>
      <c r="C1048">
        <v>28</v>
      </c>
      <c r="D1048">
        <v>8</v>
      </c>
      <c r="E1048">
        <v>21</v>
      </c>
      <c r="F1048">
        <v>27</v>
      </c>
      <c r="G1048">
        <v>8</v>
      </c>
      <c r="H1048">
        <v>20</v>
      </c>
      <c r="I1048">
        <v>0.16539999999999999</v>
      </c>
      <c r="J1048">
        <f t="shared" si="16"/>
        <v>0.18137847642079807</v>
      </c>
      <c r="K1048">
        <v>2.9999999999999997E-4</v>
      </c>
      <c r="L1048" t="s">
        <v>17</v>
      </c>
      <c r="M1048">
        <v>296</v>
      </c>
      <c r="N1048" t="s">
        <v>553</v>
      </c>
    </row>
    <row r="1049" spans="1:14" x14ac:dyDescent="0.2">
      <c r="A1049" t="s">
        <v>1099</v>
      </c>
      <c r="B1049" t="s">
        <v>32</v>
      </c>
      <c r="C1049">
        <v>34</v>
      </c>
      <c r="D1049">
        <v>15</v>
      </c>
      <c r="E1049">
        <v>20</v>
      </c>
      <c r="F1049">
        <v>33</v>
      </c>
      <c r="G1049">
        <v>15</v>
      </c>
      <c r="H1049">
        <v>19</v>
      </c>
      <c r="I1049">
        <v>0.14660000000000001</v>
      </c>
      <c r="J1049">
        <f t="shared" si="16"/>
        <v>0.40927694406548432</v>
      </c>
      <c r="K1049">
        <v>5.9999999999999995E-4</v>
      </c>
      <c r="L1049" t="s">
        <v>17</v>
      </c>
      <c r="M1049">
        <v>296</v>
      </c>
      <c r="N1049" t="s">
        <v>553</v>
      </c>
    </row>
    <row r="1050" spans="1:14" x14ac:dyDescent="0.2">
      <c r="A1050" t="s">
        <v>1099</v>
      </c>
      <c r="B1050" t="s">
        <v>32</v>
      </c>
      <c r="C1050">
        <v>32</v>
      </c>
      <c r="D1050">
        <v>13</v>
      </c>
      <c r="E1050">
        <v>20</v>
      </c>
      <c r="F1050">
        <v>31</v>
      </c>
      <c r="G1050">
        <v>13</v>
      </c>
      <c r="H1050">
        <v>19</v>
      </c>
      <c r="I1050">
        <v>0.15010000000000001</v>
      </c>
      <c r="J1050">
        <f t="shared" si="16"/>
        <v>0.66622251832111923</v>
      </c>
      <c r="K1050">
        <v>1E-3</v>
      </c>
      <c r="L1050" t="s">
        <v>17</v>
      </c>
      <c r="M1050">
        <v>296</v>
      </c>
      <c r="N1050" t="s">
        <v>553</v>
      </c>
    </row>
    <row r="1051" spans="1:14" x14ac:dyDescent="0.2">
      <c r="A1051" t="s">
        <v>1099</v>
      </c>
      <c r="B1051" t="s">
        <v>32</v>
      </c>
      <c r="C1051">
        <v>33</v>
      </c>
      <c r="D1051">
        <v>14</v>
      </c>
      <c r="E1051">
        <v>19</v>
      </c>
      <c r="F1051">
        <v>32</v>
      </c>
      <c r="G1051">
        <v>14</v>
      </c>
      <c r="H1051">
        <v>18</v>
      </c>
      <c r="I1051">
        <v>0.1416</v>
      </c>
      <c r="J1051">
        <f t="shared" si="16"/>
        <v>0.7768361581920904</v>
      </c>
      <c r="K1051">
        <v>1.1000000000000001E-3</v>
      </c>
      <c r="L1051" t="s">
        <v>17</v>
      </c>
      <c r="M1051">
        <v>296</v>
      </c>
      <c r="N1051" t="s">
        <v>553</v>
      </c>
    </row>
    <row r="1052" spans="1:14" x14ac:dyDescent="0.2">
      <c r="A1052" t="s">
        <v>1099</v>
      </c>
      <c r="B1052" t="s">
        <v>32</v>
      </c>
      <c r="C1052">
        <v>29</v>
      </c>
      <c r="D1052">
        <v>9</v>
      </c>
      <c r="E1052">
        <v>20</v>
      </c>
      <c r="F1052">
        <v>28</v>
      </c>
      <c r="G1052">
        <v>9</v>
      </c>
      <c r="H1052">
        <v>19</v>
      </c>
      <c r="I1052">
        <v>0.16020000000000001</v>
      </c>
      <c r="J1052">
        <f t="shared" si="16"/>
        <v>0.12484394506866417</v>
      </c>
      <c r="K1052">
        <v>2.0000000000000001E-4</v>
      </c>
      <c r="L1052" t="s">
        <v>17</v>
      </c>
      <c r="M1052">
        <v>296</v>
      </c>
      <c r="N1052" t="s">
        <v>553</v>
      </c>
    </row>
    <row r="1053" spans="1:14" x14ac:dyDescent="0.2">
      <c r="A1053" t="s">
        <v>1099</v>
      </c>
      <c r="B1053" t="s">
        <v>32</v>
      </c>
      <c r="C1053">
        <v>28</v>
      </c>
      <c r="D1053">
        <v>7</v>
      </c>
      <c r="E1053">
        <v>22</v>
      </c>
      <c r="F1053">
        <v>27</v>
      </c>
      <c r="G1053">
        <v>7</v>
      </c>
      <c r="H1053">
        <v>21</v>
      </c>
      <c r="I1053">
        <v>0.1668</v>
      </c>
      <c r="J1053">
        <f t="shared" si="16"/>
        <v>0.11990407673860913</v>
      </c>
      <c r="K1053">
        <v>2.0000000000000001E-4</v>
      </c>
      <c r="L1053" t="s">
        <v>17</v>
      </c>
      <c r="M1053">
        <v>296</v>
      </c>
      <c r="N1053" t="s">
        <v>553</v>
      </c>
    </row>
    <row r="1054" spans="1:14" x14ac:dyDescent="0.2">
      <c r="A1054" t="s">
        <v>1099</v>
      </c>
      <c r="B1054" t="s">
        <v>32</v>
      </c>
      <c r="C1054">
        <v>27</v>
      </c>
      <c r="D1054">
        <v>5</v>
      </c>
      <c r="E1054">
        <v>22</v>
      </c>
      <c r="F1054">
        <v>26</v>
      </c>
      <c r="G1054">
        <v>5</v>
      </c>
      <c r="H1054">
        <v>21</v>
      </c>
      <c r="I1054">
        <v>0.17230000000000001</v>
      </c>
      <c r="J1054">
        <f t="shared" si="16"/>
        <v>0.11607661056297155</v>
      </c>
      <c r="K1054">
        <v>2.0000000000000001E-4</v>
      </c>
      <c r="L1054" t="s">
        <v>17</v>
      </c>
      <c r="M1054">
        <v>296</v>
      </c>
      <c r="N1054" t="s">
        <v>553</v>
      </c>
    </row>
    <row r="1055" spans="1:14" x14ac:dyDescent="0.2">
      <c r="A1055" t="s">
        <v>1099</v>
      </c>
      <c r="B1055" t="s">
        <v>32</v>
      </c>
      <c r="C1055">
        <v>29</v>
      </c>
      <c r="D1055">
        <v>0</v>
      </c>
      <c r="E1055">
        <v>29</v>
      </c>
      <c r="F1055">
        <v>28</v>
      </c>
      <c r="G1055">
        <v>0</v>
      </c>
      <c r="H1055">
        <v>28</v>
      </c>
      <c r="I1055">
        <v>0.15379999999999999</v>
      </c>
      <c r="J1055">
        <f t="shared" si="16"/>
        <v>6.5019505851755532E-2</v>
      </c>
      <c r="K1055">
        <v>1E-4</v>
      </c>
      <c r="L1055" t="s">
        <v>17</v>
      </c>
      <c r="M1055">
        <v>296</v>
      </c>
      <c r="N1055" t="s">
        <v>553</v>
      </c>
    </row>
    <row r="1056" spans="1:14" x14ac:dyDescent="0.2">
      <c r="A1056" t="s">
        <v>1099</v>
      </c>
      <c r="B1056" t="s">
        <v>32</v>
      </c>
      <c r="C1056">
        <v>28</v>
      </c>
      <c r="D1056">
        <v>2</v>
      </c>
      <c r="E1056">
        <v>27</v>
      </c>
      <c r="F1056">
        <v>27</v>
      </c>
      <c r="G1056">
        <v>2</v>
      </c>
      <c r="H1056">
        <v>26</v>
      </c>
      <c r="I1056">
        <v>0.16289999999999999</v>
      </c>
      <c r="J1056">
        <f t="shared" si="16"/>
        <v>6.1387354205033766E-2</v>
      </c>
      <c r="K1056">
        <v>1E-4</v>
      </c>
      <c r="L1056" t="s">
        <v>17</v>
      </c>
      <c r="M1056">
        <v>296</v>
      </c>
      <c r="N1056" t="s">
        <v>553</v>
      </c>
    </row>
    <row r="1057" spans="1:14" x14ac:dyDescent="0.2">
      <c r="A1057" t="s">
        <v>1099</v>
      </c>
      <c r="B1057" t="s">
        <v>32</v>
      </c>
      <c r="C1057">
        <v>31</v>
      </c>
      <c r="D1057">
        <v>11</v>
      </c>
      <c r="E1057">
        <v>20</v>
      </c>
      <c r="F1057">
        <v>30</v>
      </c>
      <c r="G1057">
        <v>11</v>
      </c>
      <c r="H1057">
        <v>19</v>
      </c>
      <c r="I1057">
        <v>0.15870000000000001</v>
      </c>
      <c r="J1057">
        <f t="shared" si="16"/>
        <v>0.18903591682419657</v>
      </c>
      <c r="K1057">
        <v>2.9999999999999997E-4</v>
      </c>
      <c r="L1057" t="s">
        <v>17</v>
      </c>
      <c r="M1057">
        <v>296</v>
      </c>
      <c r="N1057" t="s">
        <v>553</v>
      </c>
    </row>
    <row r="1058" spans="1:14" x14ac:dyDescent="0.2">
      <c r="A1058" t="s">
        <v>1099</v>
      </c>
      <c r="B1058" t="s">
        <v>32</v>
      </c>
      <c r="C1058">
        <v>29</v>
      </c>
      <c r="D1058">
        <v>8</v>
      </c>
      <c r="E1058">
        <v>21</v>
      </c>
      <c r="F1058">
        <v>28</v>
      </c>
      <c r="G1058">
        <v>8</v>
      </c>
      <c r="H1058">
        <v>20</v>
      </c>
      <c r="I1058">
        <v>0.1661</v>
      </c>
      <c r="J1058">
        <f t="shared" si="16"/>
        <v>6.0204695966285374E-2</v>
      </c>
      <c r="K1058">
        <v>1E-4</v>
      </c>
      <c r="L1058" t="s">
        <v>17</v>
      </c>
      <c r="M1058">
        <v>296</v>
      </c>
      <c r="N1058" t="s">
        <v>553</v>
      </c>
    </row>
    <row r="1059" spans="1:14" x14ac:dyDescent="0.2">
      <c r="A1059" t="s">
        <v>1099</v>
      </c>
      <c r="B1059" t="s">
        <v>32</v>
      </c>
      <c r="C1059">
        <v>33</v>
      </c>
      <c r="D1059">
        <v>13</v>
      </c>
      <c r="E1059">
        <v>20</v>
      </c>
      <c r="F1059">
        <v>32</v>
      </c>
      <c r="G1059">
        <v>13</v>
      </c>
      <c r="H1059">
        <v>19</v>
      </c>
      <c r="I1059">
        <v>0.14399999999999999</v>
      </c>
      <c r="J1059">
        <f t="shared" si="16"/>
        <v>0.20833333333333334</v>
      </c>
      <c r="K1059">
        <v>2.9999999999999997E-4</v>
      </c>
      <c r="L1059" t="s">
        <v>17</v>
      </c>
      <c r="M1059">
        <v>296</v>
      </c>
      <c r="N1059" t="s">
        <v>553</v>
      </c>
    </row>
    <row r="1060" spans="1:14" x14ac:dyDescent="0.2">
      <c r="A1060" t="s">
        <v>1099</v>
      </c>
      <c r="B1060" t="s">
        <v>32</v>
      </c>
      <c r="C1060">
        <v>27</v>
      </c>
      <c r="D1060">
        <v>4</v>
      </c>
      <c r="E1060">
        <v>23</v>
      </c>
      <c r="F1060">
        <v>26</v>
      </c>
      <c r="G1060">
        <v>4</v>
      </c>
      <c r="H1060">
        <v>22</v>
      </c>
      <c r="I1060">
        <v>0.1744</v>
      </c>
      <c r="J1060">
        <f t="shared" si="16"/>
        <v>5.7339449541284407E-2</v>
      </c>
      <c r="K1060">
        <v>1E-4</v>
      </c>
      <c r="L1060" t="s">
        <v>17</v>
      </c>
      <c r="M1060">
        <v>296</v>
      </c>
      <c r="N1060" t="s">
        <v>553</v>
      </c>
    </row>
    <row r="1061" spans="1:14" x14ac:dyDescent="0.2">
      <c r="A1061" t="s">
        <v>1099</v>
      </c>
      <c r="B1061" t="s">
        <v>32</v>
      </c>
      <c r="C1061">
        <v>30</v>
      </c>
      <c r="D1061">
        <v>9</v>
      </c>
      <c r="E1061">
        <v>22</v>
      </c>
      <c r="F1061">
        <v>29</v>
      </c>
      <c r="G1061">
        <v>9</v>
      </c>
      <c r="H1061">
        <v>21</v>
      </c>
      <c r="I1061">
        <v>0.1646</v>
      </c>
      <c r="J1061">
        <f t="shared" si="16"/>
        <v>0.18226002430133656</v>
      </c>
      <c r="K1061">
        <v>2.9999999999999997E-4</v>
      </c>
      <c r="L1061" t="s">
        <v>17</v>
      </c>
      <c r="M1061">
        <v>296</v>
      </c>
      <c r="N1061" t="s">
        <v>553</v>
      </c>
    </row>
    <row r="1062" spans="1:14" x14ac:dyDescent="0.2">
      <c r="A1062" t="s">
        <v>1099</v>
      </c>
      <c r="B1062" t="s">
        <v>32</v>
      </c>
      <c r="C1062">
        <v>27</v>
      </c>
      <c r="D1062">
        <v>2</v>
      </c>
      <c r="E1062">
        <v>25</v>
      </c>
      <c r="F1062">
        <v>26</v>
      </c>
      <c r="G1062">
        <v>2</v>
      </c>
      <c r="H1062">
        <v>24</v>
      </c>
      <c r="I1062">
        <v>0.17380000000000001</v>
      </c>
      <c r="J1062">
        <f t="shared" si="16"/>
        <v>5.7537399309551207E-2</v>
      </c>
      <c r="K1062">
        <v>1E-4</v>
      </c>
      <c r="L1062" t="s">
        <v>17</v>
      </c>
      <c r="M1062">
        <v>296</v>
      </c>
      <c r="N1062" t="s">
        <v>553</v>
      </c>
    </row>
    <row r="1063" spans="1:14" x14ac:dyDescent="0.2">
      <c r="A1063" t="s">
        <v>1099</v>
      </c>
      <c r="B1063" t="s">
        <v>32</v>
      </c>
      <c r="C1063">
        <v>28</v>
      </c>
      <c r="D1063">
        <v>5</v>
      </c>
      <c r="E1063">
        <v>24</v>
      </c>
      <c r="F1063">
        <v>27</v>
      </c>
      <c r="G1063">
        <v>5</v>
      </c>
      <c r="H1063">
        <v>23</v>
      </c>
      <c r="I1063">
        <v>0.1721</v>
      </c>
      <c r="J1063">
        <f t="shared" si="16"/>
        <v>0.11621150493898895</v>
      </c>
      <c r="K1063">
        <v>2.0000000000000001E-4</v>
      </c>
      <c r="L1063" t="s">
        <v>17</v>
      </c>
      <c r="M1063">
        <v>296</v>
      </c>
      <c r="N1063" t="s">
        <v>553</v>
      </c>
    </row>
    <row r="1064" spans="1:14" x14ac:dyDescent="0.2">
      <c r="A1064" t="s">
        <v>1099</v>
      </c>
      <c r="B1064" t="s">
        <v>32</v>
      </c>
      <c r="C1064">
        <v>29</v>
      </c>
      <c r="D1064">
        <v>7</v>
      </c>
      <c r="E1064">
        <v>22</v>
      </c>
      <c r="F1064">
        <v>28</v>
      </c>
      <c r="G1064">
        <v>7</v>
      </c>
      <c r="H1064">
        <v>21</v>
      </c>
      <c r="I1064">
        <v>0.17</v>
      </c>
      <c r="J1064">
        <f t="shared" si="16"/>
        <v>0.23529411764705879</v>
      </c>
      <c r="K1064">
        <v>4.0000000000000002E-4</v>
      </c>
      <c r="L1064" t="s">
        <v>17</v>
      </c>
      <c r="M1064">
        <v>296</v>
      </c>
      <c r="N1064" t="s">
        <v>553</v>
      </c>
    </row>
    <row r="1065" spans="1:14" x14ac:dyDescent="0.2">
      <c r="A1065" t="s">
        <v>1099</v>
      </c>
      <c r="B1065" t="s">
        <v>32</v>
      </c>
      <c r="C1065">
        <v>28</v>
      </c>
      <c r="D1065">
        <v>3</v>
      </c>
      <c r="E1065">
        <v>26</v>
      </c>
      <c r="F1065">
        <v>27</v>
      </c>
      <c r="G1065">
        <v>3</v>
      </c>
      <c r="H1065">
        <v>25</v>
      </c>
      <c r="I1065">
        <v>0.16589999999999999</v>
      </c>
      <c r="J1065">
        <f t="shared" si="16"/>
        <v>0.12055455093429779</v>
      </c>
      <c r="K1065">
        <v>2.0000000000000001E-4</v>
      </c>
      <c r="L1065" t="s">
        <v>17</v>
      </c>
      <c r="M1065">
        <v>296</v>
      </c>
      <c r="N1065" t="s">
        <v>553</v>
      </c>
    </row>
    <row r="1066" spans="1:14" x14ac:dyDescent="0.2">
      <c r="A1066" t="s">
        <v>1099</v>
      </c>
      <c r="B1066" t="s">
        <v>32</v>
      </c>
      <c r="C1066">
        <v>31</v>
      </c>
      <c r="D1066">
        <v>10</v>
      </c>
      <c r="E1066">
        <v>21</v>
      </c>
      <c r="F1066">
        <v>30</v>
      </c>
      <c r="G1066">
        <v>10</v>
      </c>
      <c r="H1066">
        <v>20</v>
      </c>
      <c r="I1066">
        <v>0.1573</v>
      </c>
      <c r="J1066">
        <f t="shared" si="16"/>
        <v>0.19071837253655435</v>
      </c>
      <c r="K1066">
        <v>2.9999999999999997E-4</v>
      </c>
      <c r="L1066" t="s">
        <v>17</v>
      </c>
      <c r="M1066">
        <v>296</v>
      </c>
      <c r="N1066" t="s">
        <v>553</v>
      </c>
    </row>
    <row r="1067" spans="1:14" x14ac:dyDescent="0.2">
      <c r="A1067" t="s">
        <v>1099</v>
      </c>
      <c r="B1067" t="s">
        <v>32</v>
      </c>
      <c r="C1067">
        <v>30</v>
      </c>
      <c r="D1067">
        <v>1</v>
      </c>
      <c r="E1067">
        <v>30</v>
      </c>
      <c r="F1067">
        <v>29</v>
      </c>
      <c r="G1067">
        <v>1</v>
      </c>
      <c r="H1067">
        <v>29</v>
      </c>
      <c r="I1067">
        <v>0.15329999999999999</v>
      </c>
      <c r="J1067">
        <f t="shared" si="16"/>
        <v>6.523157208088716E-2</v>
      </c>
      <c r="K1067">
        <v>1E-4</v>
      </c>
      <c r="L1067" t="s">
        <v>17</v>
      </c>
      <c r="M1067">
        <v>296</v>
      </c>
      <c r="N1067" t="s">
        <v>553</v>
      </c>
    </row>
    <row r="1068" spans="1:14" x14ac:dyDescent="0.2">
      <c r="A1068" t="s">
        <v>1099</v>
      </c>
      <c r="B1068" t="s">
        <v>32</v>
      </c>
      <c r="C1068">
        <v>41</v>
      </c>
      <c r="D1068">
        <v>19</v>
      </c>
      <c r="E1068">
        <v>22</v>
      </c>
      <c r="F1068">
        <v>40</v>
      </c>
      <c r="G1068">
        <v>19</v>
      </c>
      <c r="H1068">
        <v>21</v>
      </c>
      <c r="I1068">
        <v>0.16669999999999999</v>
      </c>
      <c r="J1068">
        <f t="shared" si="16"/>
        <v>1.139772045590882</v>
      </c>
      <c r="K1068">
        <v>1.9E-3</v>
      </c>
      <c r="L1068" t="s">
        <v>17</v>
      </c>
      <c r="M1068">
        <v>296</v>
      </c>
      <c r="N1068" t="s">
        <v>553</v>
      </c>
    </row>
    <row r="1069" spans="1:14" x14ac:dyDescent="0.2">
      <c r="A1069" t="s">
        <v>1099</v>
      </c>
      <c r="B1069" t="s">
        <v>32</v>
      </c>
      <c r="C1069">
        <v>28</v>
      </c>
      <c r="D1069">
        <v>4</v>
      </c>
      <c r="E1069">
        <v>25</v>
      </c>
      <c r="F1069">
        <v>27</v>
      </c>
      <c r="G1069">
        <v>4</v>
      </c>
      <c r="H1069">
        <v>24</v>
      </c>
      <c r="I1069">
        <v>0.1744</v>
      </c>
      <c r="J1069">
        <f t="shared" si="16"/>
        <v>0.17201834862385321</v>
      </c>
      <c r="K1069">
        <v>2.9999999999999997E-4</v>
      </c>
      <c r="L1069" t="s">
        <v>17</v>
      </c>
      <c r="M1069">
        <v>296</v>
      </c>
      <c r="N1069" t="s">
        <v>553</v>
      </c>
    </row>
    <row r="1070" spans="1:14" x14ac:dyDescent="0.2">
      <c r="A1070" t="s">
        <v>1099</v>
      </c>
      <c r="B1070" t="s">
        <v>32</v>
      </c>
      <c r="C1070">
        <v>29</v>
      </c>
      <c r="D1070">
        <v>1</v>
      </c>
      <c r="E1070">
        <v>28</v>
      </c>
      <c r="F1070">
        <v>28</v>
      </c>
      <c r="G1070">
        <v>1</v>
      </c>
      <c r="H1070">
        <v>27</v>
      </c>
      <c r="I1070">
        <v>0.16220000000000001</v>
      </c>
      <c r="J1070">
        <f t="shared" si="16"/>
        <v>0.12330456226880394</v>
      </c>
      <c r="K1070">
        <v>2.0000000000000001E-4</v>
      </c>
      <c r="L1070" t="s">
        <v>17</v>
      </c>
      <c r="M1070">
        <v>296</v>
      </c>
      <c r="N1070" t="s">
        <v>553</v>
      </c>
    </row>
    <row r="1071" spans="1:14" x14ac:dyDescent="0.2">
      <c r="A1071" t="s">
        <v>1099</v>
      </c>
      <c r="B1071" t="s">
        <v>32</v>
      </c>
      <c r="C1071">
        <v>32</v>
      </c>
      <c r="D1071">
        <v>11</v>
      </c>
      <c r="E1071">
        <v>22</v>
      </c>
      <c r="F1071">
        <v>31</v>
      </c>
      <c r="G1071">
        <v>11</v>
      </c>
      <c r="H1071">
        <v>21</v>
      </c>
      <c r="I1071">
        <v>0.15870000000000001</v>
      </c>
      <c r="J1071">
        <f t="shared" si="16"/>
        <v>0.25204788909892878</v>
      </c>
      <c r="K1071">
        <v>4.0000000000000002E-4</v>
      </c>
      <c r="L1071" t="s">
        <v>17</v>
      </c>
      <c r="M1071">
        <v>296</v>
      </c>
      <c r="N1071" t="s">
        <v>553</v>
      </c>
    </row>
    <row r="1072" spans="1:14" x14ac:dyDescent="0.2">
      <c r="A1072" t="s">
        <v>1099</v>
      </c>
      <c r="B1072" t="s">
        <v>32</v>
      </c>
      <c r="C1072">
        <v>30</v>
      </c>
      <c r="D1072">
        <v>8</v>
      </c>
      <c r="E1072">
        <v>23</v>
      </c>
      <c r="F1072">
        <v>29</v>
      </c>
      <c r="G1072">
        <v>8</v>
      </c>
      <c r="H1072">
        <v>22</v>
      </c>
      <c r="I1072">
        <v>0.16200000000000001</v>
      </c>
      <c r="J1072">
        <f t="shared" si="16"/>
        <v>0.30864197530864196</v>
      </c>
      <c r="K1072">
        <v>5.0000000000000001E-4</v>
      </c>
      <c r="L1072" t="s">
        <v>17</v>
      </c>
      <c r="M1072">
        <v>296</v>
      </c>
      <c r="N1072" t="s">
        <v>553</v>
      </c>
    </row>
    <row r="1073" spans="1:14" x14ac:dyDescent="0.2">
      <c r="A1073" t="s">
        <v>1099</v>
      </c>
      <c r="B1073" t="s">
        <v>32</v>
      </c>
      <c r="C1073">
        <v>35</v>
      </c>
      <c r="D1073">
        <v>14</v>
      </c>
      <c r="E1073">
        <v>21</v>
      </c>
      <c r="F1073">
        <v>34</v>
      </c>
      <c r="G1073">
        <v>14</v>
      </c>
      <c r="H1073">
        <v>20</v>
      </c>
      <c r="I1073">
        <v>0.1449</v>
      </c>
      <c r="J1073">
        <f t="shared" si="16"/>
        <v>0.27605244996549344</v>
      </c>
      <c r="K1073">
        <v>4.0000000000000002E-4</v>
      </c>
      <c r="L1073" t="s">
        <v>17</v>
      </c>
      <c r="M1073">
        <v>296</v>
      </c>
      <c r="N1073" t="s">
        <v>553</v>
      </c>
    </row>
    <row r="1074" spans="1:14" x14ac:dyDescent="0.2">
      <c r="A1074" t="s">
        <v>1099</v>
      </c>
      <c r="B1074" t="s">
        <v>32</v>
      </c>
      <c r="C1074">
        <v>31</v>
      </c>
      <c r="D1074">
        <v>9</v>
      </c>
      <c r="E1074">
        <v>22</v>
      </c>
      <c r="F1074">
        <v>30</v>
      </c>
      <c r="G1074">
        <v>9</v>
      </c>
      <c r="H1074">
        <v>21</v>
      </c>
      <c r="I1074">
        <v>0.16120000000000001</v>
      </c>
      <c r="J1074">
        <f t="shared" si="16"/>
        <v>6.2034739454094295E-2</v>
      </c>
      <c r="K1074">
        <v>1E-4</v>
      </c>
      <c r="L1074" t="s">
        <v>17</v>
      </c>
      <c r="M1074">
        <v>296</v>
      </c>
      <c r="N1074" t="s">
        <v>553</v>
      </c>
    </row>
    <row r="1075" spans="1:14" x14ac:dyDescent="0.2">
      <c r="A1075" t="s">
        <v>1099</v>
      </c>
      <c r="B1075" t="s">
        <v>32</v>
      </c>
      <c r="C1075">
        <v>29</v>
      </c>
      <c r="D1075">
        <v>5</v>
      </c>
      <c r="E1075">
        <v>24</v>
      </c>
      <c r="F1075">
        <v>28</v>
      </c>
      <c r="G1075">
        <v>5</v>
      </c>
      <c r="H1075">
        <v>23</v>
      </c>
      <c r="I1075">
        <v>0.1731</v>
      </c>
      <c r="J1075">
        <f t="shared" si="16"/>
        <v>5.7770075101097627E-2</v>
      </c>
      <c r="K1075">
        <v>1E-4</v>
      </c>
      <c r="L1075" t="s">
        <v>17</v>
      </c>
      <c r="M1075">
        <v>296</v>
      </c>
      <c r="N1075" t="s">
        <v>553</v>
      </c>
    </row>
    <row r="1076" spans="1:14" x14ac:dyDescent="0.2">
      <c r="A1076" t="s">
        <v>1099</v>
      </c>
      <c r="B1076" t="s">
        <v>32</v>
      </c>
      <c r="C1076">
        <v>38</v>
      </c>
      <c r="D1076">
        <v>16</v>
      </c>
      <c r="E1076">
        <v>23</v>
      </c>
      <c r="F1076">
        <v>37</v>
      </c>
      <c r="G1076">
        <v>16</v>
      </c>
      <c r="H1076">
        <v>22</v>
      </c>
      <c r="I1076">
        <v>0.1376</v>
      </c>
      <c r="J1076">
        <f t="shared" si="16"/>
        <v>0.36337209302325579</v>
      </c>
      <c r="K1076">
        <v>5.0000000000000001E-4</v>
      </c>
      <c r="L1076" t="s">
        <v>17</v>
      </c>
      <c r="M1076">
        <v>296</v>
      </c>
      <c r="N1076" t="s">
        <v>553</v>
      </c>
    </row>
    <row r="1077" spans="1:14" x14ac:dyDescent="0.2">
      <c r="A1077" t="s">
        <v>1099</v>
      </c>
      <c r="B1077" t="s">
        <v>32</v>
      </c>
      <c r="C1077">
        <v>33</v>
      </c>
      <c r="D1077">
        <v>11</v>
      </c>
      <c r="E1077">
        <v>22</v>
      </c>
      <c r="F1077">
        <v>32</v>
      </c>
      <c r="G1077">
        <v>11</v>
      </c>
      <c r="H1077">
        <v>21</v>
      </c>
      <c r="I1077">
        <v>0.16689999999999999</v>
      </c>
      <c r="J1077">
        <f t="shared" si="16"/>
        <v>0.23966446974236069</v>
      </c>
      <c r="K1077">
        <v>4.0000000000000002E-4</v>
      </c>
      <c r="L1077" t="s">
        <v>17</v>
      </c>
      <c r="M1077">
        <v>296</v>
      </c>
      <c r="N1077" t="s">
        <v>553</v>
      </c>
    </row>
    <row r="1078" spans="1:14" x14ac:dyDescent="0.2">
      <c r="A1078" t="s">
        <v>1099</v>
      </c>
      <c r="B1078" t="s">
        <v>32</v>
      </c>
      <c r="C1078">
        <v>37</v>
      </c>
      <c r="D1078">
        <v>15</v>
      </c>
      <c r="E1078">
        <v>22</v>
      </c>
      <c r="F1078">
        <v>36</v>
      </c>
      <c r="G1078">
        <v>15</v>
      </c>
      <c r="H1078">
        <v>21</v>
      </c>
      <c r="I1078">
        <v>0.14380000000000001</v>
      </c>
      <c r="J1078">
        <f t="shared" si="16"/>
        <v>0.20862308762169676</v>
      </c>
      <c r="K1078">
        <v>2.9999999999999997E-4</v>
      </c>
      <c r="L1078" t="s">
        <v>17</v>
      </c>
      <c r="M1078">
        <v>296</v>
      </c>
      <c r="N1078" t="s">
        <v>553</v>
      </c>
    </row>
    <row r="1079" spans="1:14" x14ac:dyDescent="0.2">
      <c r="A1079" t="s">
        <v>1099</v>
      </c>
      <c r="B1079" t="s">
        <v>32</v>
      </c>
      <c r="C1079">
        <v>34</v>
      </c>
      <c r="D1079">
        <v>12</v>
      </c>
      <c r="E1079">
        <v>23</v>
      </c>
      <c r="F1079">
        <v>33</v>
      </c>
      <c r="G1079">
        <v>12</v>
      </c>
      <c r="H1079">
        <v>22</v>
      </c>
      <c r="I1079">
        <v>0.1467</v>
      </c>
      <c r="J1079">
        <f t="shared" si="16"/>
        <v>0.4089979550102249</v>
      </c>
      <c r="K1079">
        <v>5.9999999999999995E-4</v>
      </c>
      <c r="L1079" t="s">
        <v>17</v>
      </c>
      <c r="M1079">
        <v>296</v>
      </c>
      <c r="N1079" t="s">
        <v>553</v>
      </c>
    </row>
    <row r="1080" spans="1:14" x14ac:dyDescent="0.2">
      <c r="A1080" t="s">
        <v>1099</v>
      </c>
      <c r="B1080" t="s">
        <v>32</v>
      </c>
      <c r="C1080">
        <v>31</v>
      </c>
      <c r="D1080">
        <v>8</v>
      </c>
      <c r="E1080">
        <v>23</v>
      </c>
      <c r="F1080">
        <v>30</v>
      </c>
      <c r="G1080">
        <v>8</v>
      </c>
      <c r="H1080">
        <v>22</v>
      </c>
      <c r="I1080">
        <v>0.16600000000000001</v>
      </c>
      <c r="J1080">
        <f t="shared" si="16"/>
        <v>0.24096385542168672</v>
      </c>
      <c r="K1080">
        <v>4.0000000000000002E-4</v>
      </c>
      <c r="L1080" t="s">
        <v>17</v>
      </c>
      <c r="M1080">
        <v>296</v>
      </c>
      <c r="N1080" t="s">
        <v>553</v>
      </c>
    </row>
    <row r="1081" spans="1:14" x14ac:dyDescent="0.2">
      <c r="A1081" t="s">
        <v>1099</v>
      </c>
      <c r="B1081" t="s">
        <v>32</v>
      </c>
      <c r="C1081">
        <v>36</v>
      </c>
      <c r="D1081">
        <v>14</v>
      </c>
      <c r="E1081">
        <v>23</v>
      </c>
      <c r="F1081">
        <v>35</v>
      </c>
      <c r="G1081">
        <v>14</v>
      </c>
      <c r="H1081">
        <v>22</v>
      </c>
      <c r="I1081">
        <v>0.14249999999999999</v>
      </c>
      <c r="J1081">
        <f t="shared" si="16"/>
        <v>0.28070175438596495</v>
      </c>
      <c r="K1081">
        <v>4.0000000000000002E-4</v>
      </c>
      <c r="L1081" t="s">
        <v>17</v>
      </c>
      <c r="M1081">
        <v>296</v>
      </c>
      <c r="N1081" t="s">
        <v>553</v>
      </c>
    </row>
    <row r="1082" spans="1:14" x14ac:dyDescent="0.2">
      <c r="A1082" t="s">
        <v>1099</v>
      </c>
      <c r="B1082" t="s">
        <v>32</v>
      </c>
      <c r="C1082">
        <v>35</v>
      </c>
      <c r="D1082">
        <v>13</v>
      </c>
      <c r="E1082">
        <v>22</v>
      </c>
      <c r="F1082">
        <v>34</v>
      </c>
      <c r="G1082">
        <v>13</v>
      </c>
      <c r="H1082">
        <v>21</v>
      </c>
      <c r="I1082">
        <v>0.13639999999999999</v>
      </c>
      <c r="J1082">
        <f t="shared" si="16"/>
        <v>0.36656891495601174</v>
      </c>
      <c r="K1082">
        <v>5.0000000000000001E-4</v>
      </c>
      <c r="L1082" t="s">
        <v>17</v>
      </c>
      <c r="M1082">
        <v>296</v>
      </c>
      <c r="N1082" t="s">
        <v>553</v>
      </c>
    </row>
    <row r="1083" spans="1:14" x14ac:dyDescent="0.2">
      <c r="A1083" t="s">
        <v>1099</v>
      </c>
      <c r="B1083" t="s">
        <v>32</v>
      </c>
      <c r="C1083">
        <v>30</v>
      </c>
      <c r="D1083">
        <v>6</v>
      </c>
      <c r="E1083">
        <v>25</v>
      </c>
      <c r="F1083">
        <v>29</v>
      </c>
      <c r="G1083">
        <v>6</v>
      </c>
      <c r="H1083">
        <v>24</v>
      </c>
      <c r="I1083">
        <v>0.17219999999999999</v>
      </c>
      <c r="J1083">
        <f t="shared" si="16"/>
        <v>5.8072009291521495E-2</v>
      </c>
      <c r="K1083">
        <v>1E-4</v>
      </c>
      <c r="L1083" t="s">
        <v>17</v>
      </c>
      <c r="M1083">
        <v>296</v>
      </c>
      <c r="N1083" t="s">
        <v>553</v>
      </c>
    </row>
    <row r="1084" spans="1:14" x14ac:dyDescent="0.2">
      <c r="A1084" t="s">
        <v>1099</v>
      </c>
      <c r="B1084" t="s">
        <v>32</v>
      </c>
      <c r="C1084">
        <v>29</v>
      </c>
      <c r="D1084">
        <v>2</v>
      </c>
      <c r="E1084">
        <v>27</v>
      </c>
      <c r="F1084">
        <v>28</v>
      </c>
      <c r="G1084">
        <v>2</v>
      </c>
      <c r="H1084">
        <v>26</v>
      </c>
      <c r="I1084">
        <v>0.17050000000000001</v>
      </c>
      <c r="J1084">
        <f t="shared" si="16"/>
        <v>5.865102639296188E-2</v>
      </c>
      <c r="K1084">
        <v>1E-4</v>
      </c>
      <c r="L1084" t="s">
        <v>17</v>
      </c>
      <c r="M1084">
        <v>296</v>
      </c>
      <c r="N1084" t="s">
        <v>553</v>
      </c>
    </row>
    <row r="1085" spans="1:14" x14ac:dyDescent="0.2">
      <c r="A1085" t="s">
        <v>1099</v>
      </c>
      <c r="B1085" t="s">
        <v>32</v>
      </c>
      <c r="C1085">
        <v>32</v>
      </c>
      <c r="D1085">
        <v>9</v>
      </c>
      <c r="E1085">
        <v>24</v>
      </c>
      <c r="F1085">
        <v>31</v>
      </c>
      <c r="G1085">
        <v>9</v>
      </c>
      <c r="H1085">
        <v>23</v>
      </c>
      <c r="I1085">
        <v>0.16439999999999999</v>
      </c>
      <c r="J1085">
        <f t="shared" si="16"/>
        <v>0.18248175182481752</v>
      </c>
      <c r="K1085">
        <v>2.9999999999999997E-4</v>
      </c>
      <c r="L1085" t="s">
        <v>17</v>
      </c>
      <c r="M1085">
        <v>296</v>
      </c>
      <c r="N1085" t="s">
        <v>553</v>
      </c>
    </row>
    <row r="1086" spans="1:14" x14ac:dyDescent="0.2">
      <c r="A1086" t="s">
        <v>1099</v>
      </c>
      <c r="B1086" t="s">
        <v>32</v>
      </c>
      <c r="C1086">
        <v>40</v>
      </c>
      <c r="D1086">
        <v>17</v>
      </c>
      <c r="E1086">
        <v>24</v>
      </c>
      <c r="F1086">
        <v>39</v>
      </c>
      <c r="G1086">
        <v>17</v>
      </c>
      <c r="H1086">
        <v>23</v>
      </c>
      <c r="I1086">
        <v>0.1298</v>
      </c>
      <c r="J1086">
        <f t="shared" si="16"/>
        <v>0.6163328197226503</v>
      </c>
      <c r="K1086">
        <v>8.0000000000000004E-4</v>
      </c>
      <c r="L1086" t="s">
        <v>17</v>
      </c>
      <c r="M1086">
        <v>296</v>
      </c>
      <c r="N1086" t="s">
        <v>553</v>
      </c>
    </row>
    <row r="1087" spans="1:14" x14ac:dyDescent="0.2">
      <c r="A1087" t="s">
        <v>1099</v>
      </c>
      <c r="B1087" t="s">
        <v>32</v>
      </c>
      <c r="C1087">
        <v>30</v>
      </c>
      <c r="D1087">
        <v>3</v>
      </c>
      <c r="E1087">
        <v>28</v>
      </c>
      <c r="F1087">
        <v>29</v>
      </c>
      <c r="G1087">
        <v>3</v>
      </c>
      <c r="H1087">
        <v>27</v>
      </c>
      <c r="I1087">
        <v>0.157</v>
      </c>
      <c r="J1087">
        <f t="shared" si="16"/>
        <v>0.44585987261146498</v>
      </c>
      <c r="K1087">
        <v>6.9999999999999999E-4</v>
      </c>
      <c r="L1087" t="s">
        <v>17</v>
      </c>
      <c r="M1087">
        <v>296</v>
      </c>
      <c r="N1087" t="s">
        <v>553</v>
      </c>
    </row>
    <row r="1088" spans="1:14" x14ac:dyDescent="0.2">
      <c r="A1088" t="s">
        <v>1099</v>
      </c>
      <c r="B1088" t="s">
        <v>32</v>
      </c>
      <c r="C1088">
        <v>29</v>
      </c>
      <c r="D1088">
        <v>4</v>
      </c>
      <c r="E1088">
        <v>25</v>
      </c>
      <c r="F1088">
        <v>28</v>
      </c>
      <c r="G1088">
        <v>4</v>
      </c>
      <c r="H1088">
        <v>24</v>
      </c>
      <c r="I1088">
        <v>0.17979999999999999</v>
      </c>
      <c r="J1088">
        <f t="shared" si="16"/>
        <v>0.22246941045606233</v>
      </c>
      <c r="K1088">
        <v>4.0000000000000002E-4</v>
      </c>
      <c r="L1088" t="s">
        <v>17</v>
      </c>
      <c r="M1088">
        <v>296</v>
      </c>
      <c r="N1088" t="s">
        <v>553</v>
      </c>
    </row>
    <row r="1089" spans="1:14" x14ac:dyDescent="0.2">
      <c r="A1089" t="s">
        <v>1099</v>
      </c>
      <c r="B1089" t="s">
        <v>32</v>
      </c>
      <c r="C1089">
        <v>31</v>
      </c>
      <c r="D1089">
        <v>1</v>
      </c>
      <c r="E1089">
        <v>30</v>
      </c>
      <c r="F1089">
        <v>30</v>
      </c>
      <c r="G1089">
        <v>1</v>
      </c>
      <c r="H1089">
        <v>29</v>
      </c>
      <c r="I1089">
        <v>0.15939999999999999</v>
      </c>
      <c r="J1089">
        <f t="shared" si="16"/>
        <v>0.31367628607277293</v>
      </c>
      <c r="K1089">
        <v>5.0000000000000001E-4</v>
      </c>
      <c r="L1089" t="s">
        <v>17</v>
      </c>
      <c r="M1089">
        <v>296</v>
      </c>
      <c r="N1089" t="s">
        <v>553</v>
      </c>
    </row>
    <row r="1090" spans="1:14" x14ac:dyDescent="0.2">
      <c r="A1090" t="s">
        <v>1099</v>
      </c>
      <c r="B1090" t="s">
        <v>32</v>
      </c>
      <c r="C1090">
        <v>39</v>
      </c>
      <c r="D1090">
        <v>16</v>
      </c>
      <c r="E1090">
        <v>23</v>
      </c>
      <c r="F1090">
        <v>38</v>
      </c>
      <c r="G1090">
        <v>16</v>
      </c>
      <c r="H1090">
        <v>22</v>
      </c>
      <c r="I1090">
        <v>0.14360000000000001</v>
      </c>
      <c r="J1090">
        <f t="shared" si="16"/>
        <v>0.55710306406685239</v>
      </c>
      <c r="K1090">
        <v>8.0000000000000004E-4</v>
      </c>
      <c r="L1090" t="s">
        <v>17</v>
      </c>
      <c r="M1090">
        <v>296</v>
      </c>
      <c r="N1090" t="s">
        <v>553</v>
      </c>
    </row>
    <row r="1091" spans="1:14" x14ac:dyDescent="0.2">
      <c r="A1091" t="s">
        <v>1099</v>
      </c>
      <c r="B1091" t="s">
        <v>32</v>
      </c>
      <c r="C1091">
        <v>30</v>
      </c>
      <c r="D1091">
        <v>4</v>
      </c>
      <c r="E1091">
        <v>27</v>
      </c>
      <c r="F1091">
        <v>29</v>
      </c>
      <c r="G1091">
        <v>4</v>
      </c>
      <c r="H1091">
        <v>26</v>
      </c>
      <c r="I1091">
        <v>0.17080000000000001</v>
      </c>
      <c r="J1091">
        <f t="shared" ref="J1091:J1154" si="17">K1091/I1091*100</f>
        <v>0.117096018735363</v>
      </c>
      <c r="K1091">
        <v>2.0000000000000001E-4</v>
      </c>
      <c r="L1091" t="s">
        <v>17</v>
      </c>
      <c r="M1091">
        <v>296</v>
      </c>
      <c r="N1091" t="s">
        <v>553</v>
      </c>
    </row>
    <row r="1092" spans="1:14" x14ac:dyDescent="0.2">
      <c r="A1092" t="s">
        <v>1099</v>
      </c>
      <c r="B1092" t="s">
        <v>32</v>
      </c>
      <c r="C1092">
        <v>34</v>
      </c>
      <c r="D1092">
        <v>11</v>
      </c>
      <c r="E1092">
        <v>24</v>
      </c>
      <c r="F1092">
        <v>33</v>
      </c>
      <c r="G1092">
        <v>11</v>
      </c>
      <c r="H1092">
        <v>23</v>
      </c>
      <c r="I1092">
        <v>0.15570000000000001</v>
      </c>
      <c r="J1092">
        <f t="shared" si="17"/>
        <v>0.19267822736030826</v>
      </c>
      <c r="K1092">
        <v>2.9999999999999997E-4</v>
      </c>
      <c r="L1092" t="s">
        <v>17</v>
      </c>
      <c r="M1092">
        <v>296</v>
      </c>
      <c r="N1092" t="s">
        <v>553</v>
      </c>
    </row>
    <row r="1093" spans="1:14" x14ac:dyDescent="0.2">
      <c r="A1093" t="s">
        <v>1099</v>
      </c>
      <c r="B1093" t="s">
        <v>32</v>
      </c>
      <c r="C1093">
        <v>38</v>
      </c>
      <c r="D1093">
        <v>15</v>
      </c>
      <c r="E1093">
        <v>24</v>
      </c>
      <c r="F1093">
        <v>37</v>
      </c>
      <c r="G1093">
        <v>15</v>
      </c>
      <c r="H1093">
        <v>23</v>
      </c>
      <c r="I1093">
        <v>0.13350000000000001</v>
      </c>
      <c r="J1093">
        <f t="shared" si="17"/>
        <v>0.37453183520599254</v>
      </c>
      <c r="K1093">
        <v>5.0000000000000001E-4</v>
      </c>
      <c r="L1093" t="s">
        <v>17</v>
      </c>
      <c r="M1093">
        <v>296</v>
      </c>
      <c r="N1093" t="s">
        <v>553</v>
      </c>
    </row>
    <row r="1094" spans="1:14" x14ac:dyDescent="0.2">
      <c r="A1094" t="s">
        <v>1099</v>
      </c>
      <c r="B1094" t="s">
        <v>32</v>
      </c>
      <c r="C1094">
        <v>35</v>
      </c>
      <c r="D1094">
        <v>12</v>
      </c>
      <c r="E1094">
        <v>23</v>
      </c>
      <c r="F1094">
        <v>34</v>
      </c>
      <c r="G1094">
        <v>12</v>
      </c>
      <c r="H1094">
        <v>22</v>
      </c>
      <c r="I1094">
        <v>0.15840000000000001</v>
      </c>
      <c r="J1094">
        <f t="shared" si="17"/>
        <v>1.0101010101010099</v>
      </c>
      <c r="K1094">
        <v>1.6000000000000001E-3</v>
      </c>
      <c r="L1094" t="s">
        <v>17</v>
      </c>
      <c r="M1094">
        <v>296</v>
      </c>
      <c r="N1094" t="s">
        <v>553</v>
      </c>
    </row>
    <row r="1095" spans="1:14" x14ac:dyDescent="0.2">
      <c r="A1095" t="s">
        <v>1099</v>
      </c>
      <c r="B1095" t="s">
        <v>32</v>
      </c>
      <c r="C1095">
        <v>36</v>
      </c>
      <c r="D1095">
        <v>13</v>
      </c>
      <c r="E1095">
        <v>24</v>
      </c>
      <c r="F1095">
        <v>35</v>
      </c>
      <c r="G1095">
        <v>13</v>
      </c>
      <c r="H1095">
        <v>23</v>
      </c>
      <c r="I1095">
        <v>0.14910000000000001</v>
      </c>
      <c r="J1095">
        <f t="shared" si="17"/>
        <v>0.67069081153588195</v>
      </c>
      <c r="K1095">
        <v>1E-3</v>
      </c>
      <c r="L1095" t="s">
        <v>17</v>
      </c>
      <c r="M1095">
        <v>296</v>
      </c>
      <c r="N1095" t="s">
        <v>553</v>
      </c>
    </row>
    <row r="1096" spans="1:14" x14ac:dyDescent="0.2">
      <c r="A1096" t="s">
        <v>1099</v>
      </c>
      <c r="B1096" t="s">
        <v>32</v>
      </c>
      <c r="C1096">
        <v>32</v>
      </c>
      <c r="D1096">
        <v>8</v>
      </c>
      <c r="E1096">
        <v>25</v>
      </c>
      <c r="F1096">
        <v>31</v>
      </c>
      <c r="G1096">
        <v>8</v>
      </c>
      <c r="H1096">
        <v>24</v>
      </c>
      <c r="I1096">
        <v>0.16639999999999999</v>
      </c>
      <c r="J1096">
        <f t="shared" si="17"/>
        <v>0.18028846153846154</v>
      </c>
      <c r="K1096">
        <v>2.9999999999999997E-4</v>
      </c>
      <c r="L1096" t="s">
        <v>17</v>
      </c>
      <c r="M1096">
        <v>296</v>
      </c>
      <c r="N1096" t="s">
        <v>553</v>
      </c>
    </row>
    <row r="1097" spans="1:14" x14ac:dyDescent="0.2">
      <c r="A1097" t="s">
        <v>1099</v>
      </c>
      <c r="B1097" t="s">
        <v>32</v>
      </c>
      <c r="C1097">
        <v>29</v>
      </c>
      <c r="D1097">
        <v>3</v>
      </c>
      <c r="E1097">
        <v>26</v>
      </c>
      <c r="F1097">
        <v>28</v>
      </c>
      <c r="G1097">
        <v>3</v>
      </c>
      <c r="H1097">
        <v>25</v>
      </c>
      <c r="I1097">
        <v>0.17449999999999999</v>
      </c>
      <c r="J1097">
        <f t="shared" si="17"/>
        <v>0.11461318051575933</v>
      </c>
      <c r="K1097">
        <v>2.0000000000000001E-4</v>
      </c>
      <c r="L1097" t="s">
        <v>17</v>
      </c>
      <c r="M1097">
        <v>296</v>
      </c>
      <c r="N1097" t="s">
        <v>553</v>
      </c>
    </row>
    <row r="1098" spans="1:14" x14ac:dyDescent="0.2">
      <c r="A1098" t="s">
        <v>1099</v>
      </c>
      <c r="B1098" t="s">
        <v>32</v>
      </c>
      <c r="C1098">
        <v>31</v>
      </c>
      <c r="D1098">
        <v>6</v>
      </c>
      <c r="E1098">
        <v>25</v>
      </c>
      <c r="F1098">
        <v>30</v>
      </c>
      <c r="G1098">
        <v>6</v>
      </c>
      <c r="H1098">
        <v>24</v>
      </c>
      <c r="I1098">
        <v>0.1678</v>
      </c>
      <c r="J1098">
        <f t="shared" si="17"/>
        <v>5.9594755661501783E-2</v>
      </c>
      <c r="K1098">
        <v>1E-4</v>
      </c>
      <c r="L1098" t="s">
        <v>17</v>
      </c>
      <c r="M1098">
        <v>296</v>
      </c>
      <c r="N1098" t="s">
        <v>553</v>
      </c>
    </row>
    <row r="1099" spans="1:14" x14ac:dyDescent="0.2">
      <c r="A1099" t="s">
        <v>1099</v>
      </c>
      <c r="B1099" t="s">
        <v>32</v>
      </c>
      <c r="C1099">
        <v>41</v>
      </c>
      <c r="D1099">
        <v>17</v>
      </c>
      <c r="E1099">
        <v>24</v>
      </c>
      <c r="F1099">
        <v>40</v>
      </c>
      <c r="G1099">
        <v>17</v>
      </c>
      <c r="H1099">
        <v>23</v>
      </c>
      <c r="I1099">
        <v>0.13109999999999999</v>
      </c>
      <c r="J1099">
        <f t="shared" si="17"/>
        <v>0.53394355453852027</v>
      </c>
      <c r="K1099">
        <v>6.9999999999999999E-4</v>
      </c>
      <c r="L1099" t="s">
        <v>17</v>
      </c>
      <c r="M1099">
        <v>296</v>
      </c>
      <c r="N1099" t="s">
        <v>553</v>
      </c>
    </row>
    <row r="1100" spans="1:14" x14ac:dyDescent="0.2">
      <c r="A1100" t="s">
        <v>1099</v>
      </c>
      <c r="B1100" t="s">
        <v>32</v>
      </c>
      <c r="C1100">
        <v>33</v>
      </c>
      <c r="D1100">
        <v>9</v>
      </c>
      <c r="E1100">
        <v>24</v>
      </c>
      <c r="F1100">
        <v>32</v>
      </c>
      <c r="G1100">
        <v>9</v>
      </c>
      <c r="H1100">
        <v>23</v>
      </c>
      <c r="I1100">
        <v>0.161</v>
      </c>
      <c r="J1100">
        <f t="shared" si="17"/>
        <v>0.43478260869565216</v>
      </c>
      <c r="K1100">
        <v>6.9999999999999999E-4</v>
      </c>
      <c r="L1100" t="s">
        <v>17</v>
      </c>
      <c r="M1100">
        <v>296</v>
      </c>
      <c r="N1100" t="s">
        <v>553</v>
      </c>
    </row>
    <row r="1101" spans="1:14" x14ac:dyDescent="0.2">
      <c r="A1101" t="s">
        <v>1099</v>
      </c>
      <c r="B1101" t="s">
        <v>32</v>
      </c>
      <c r="C1101">
        <v>33</v>
      </c>
      <c r="D1101">
        <v>0</v>
      </c>
      <c r="E1101">
        <v>33</v>
      </c>
      <c r="F1101">
        <v>32</v>
      </c>
      <c r="G1101">
        <v>0</v>
      </c>
      <c r="H1101">
        <v>32</v>
      </c>
      <c r="I1101">
        <v>0.15060000000000001</v>
      </c>
      <c r="J1101">
        <f t="shared" si="17"/>
        <v>0.13280212483399734</v>
      </c>
      <c r="K1101">
        <v>2.0000000000000001E-4</v>
      </c>
      <c r="L1101" t="s">
        <v>17</v>
      </c>
      <c r="M1101">
        <v>296</v>
      </c>
      <c r="N1101" t="s">
        <v>553</v>
      </c>
    </row>
    <row r="1102" spans="1:14" x14ac:dyDescent="0.2">
      <c r="A1102" t="s">
        <v>1099</v>
      </c>
      <c r="B1102" t="s">
        <v>32</v>
      </c>
      <c r="C1102">
        <v>32</v>
      </c>
      <c r="D1102">
        <v>2</v>
      </c>
      <c r="E1102">
        <v>31</v>
      </c>
      <c r="F1102">
        <v>31</v>
      </c>
      <c r="G1102">
        <v>2</v>
      </c>
      <c r="H1102">
        <v>30</v>
      </c>
      <c r="I1102">
        <v>0.157</v>
      </c>
      <c r="J1102">
        <f t="shared" si="17"/>
        <v>0.12738853503184716</v>
      </c>
      <c r="K1102">
        <v>2.0000000000000001E-4</v>
      </c>
      <c r="L1102" t="s">
        <v>17</v>
      </c>
      <c r="M1102">
        <v>296</v>
      </c>
      <c r="N1102" t="s">
        <v>553</v>
      </c>
    </row>
    <row r="1103" spans="1:14" x14ac:dyDescent="0.2">
      <c r="A1103" t="s">
        <v>1099</v>
      </c>
      <c r="B1103" t="s">
        <v>32</v>
      </c>
      <c r="C1103">
        <v>40</v>
      </c>
      <c r="D1103">
        <v>16</v>
      </c>
      <c r="E1103">
        <v>25</v>
      </c>
      <c r="F1103">
        <v>39</v>
      </c>
      <c r="G1103">
        <v>16</v>
      </c>
      <c r="H1103">
        <v>24</v>
      </c>
      <c r="I1103">
        <v>0.1368</v>
      </c>
      <c r="J1103">
        <f t="shared" si="17"/>
        <v>0.36549707602339176</v>
      </c>
      <c r="K1103">
        <v>5.0000000000000001E-4</v>
      </c>
      <c r="L1103" t="s">
        <v>17</v>
      </c>
      <c r="M1103">
        <v>296</v>
      </c>
      <c r="N1103" t="s">
        <v>553</v>
      </c>
    </row>
    <row r="1104" spans="1:14" x14ac:dyDescent="0.2">
      <c r="A1104" t="s">
        <v>1099</v>
      </c>
      <c r="B1104" t="s">
        <v>32</v>
      </c>
      <c r="C1104">
        <v>39</v>
      </c>
      <c r="D1104">
        <v>15</v>
      </c>
      <c r="E1104">
        <v>24</v>
      </c>
      <c r="F1104">
        <v>38</v>
      </c>
      <c r="G1104">
        <v>15</v>
      </c>
      <c r="H1104">
        <v>23</v>
      </c>
      <c r="I1104">
        <v>0.14149999999999999</v>
      </c>
      <c r="J1104">
        <f t="shared" si="17"/>
        <v>0.28268551236749118</v>
      </c>
      <c r="K1104">
        <v>4.0000000000000002E-4</v>
      </c>
      <c r="L1104" t="s">
        <v>17</v>
      </c>
      <c r="M1104">
        <v>296</v>
      </c>
      <c r="N1104" t="s">
        <v>553</v>
      </c>
    </row>
    <row r="1105" spans="1:14" x14ac:dyDescent="0.2">
      <c r="A1105" t="s">
        <v>1099</v>
      </c>
      <c r="B1105" t="s">
        <v>32</v>
      </c>
      <c r="C1105">
        <v>35</v>
      </c>
      <c r="D1105">
        <v>11</v>
      </c>
      <c r="E1105">
        <v>24</v>
      </c>
      <c r="F1105">
        <v>34</v>
      </c>
      <c r="G1105">
        <v>11</v>
      </c>
      <c r="H1105">
        <v>23</v>
      </c>
      <c r="I1105">
        <v>0.153</v>
      </c>
      <c r="J1105">
        <f t="shared" si="17"/>
        <v>0.39215686274509803</v>
      </c>
      <c r="K1105">
        <v>5.9999999999999995E-4</v>
      </c>
      <c r="L1105" t="s">
        <v>17</v>
      </c>
      <c r="M1105">
        <v>296</v>
      </c>
      <c r="N1105" t="s">
        <v>553</v>
      </c>
    </row>
    <row r="1106" spans="1:14" x14ac:dyDescent="0.2">
      <c r="A1106" t="s">
        <v>1099</v>
      </c>
      <c r="B1106" t="s">
        <v>32</v>
      </c>
      <c r="C1106">
        <v>31</v>
      </c>
      <c r="D1106">
        <v>5</v>
      </c>
      <c r="E1106">
        <v>26</v>
      </c>
      <c r="F1106">
        <v>30</v>
      </c>
      <c r="G1106">
        <v>5</v>
      </c>
      <c r="H1106">
        <v>25</v>
      </c>
      <c r="I1106">
        <v>0.17299999999999999</v>
      </c>
      <c r="J1106">
        <f t="shared" si="17"/>
        <v>5.7803468208092491E-2</v>
      </c>
      <c r="K1106">
        <v>1E-4</v>
      </c>
      <c r="L1106" t="s">
        <v>17</v>
      </c>
      <c r="M1106">
        <v>296</v>
      </c>
      <c r="N1106" t="s">
        <v>553</v>
      </c>
    </row>
    <row r="1107" spans="1:14" x14ac:dyDescent="0.2">
      <c r="A1107" t="s">
        <v>1099</v>
      </c>
      <c r="B1107" t="s">
        <v>32</v>
      </c>
      <c r="C1107">
        <v>38</v>
      </c>
      <c r="D1107">
        <v>14</v>
      </c>
      <c r="E1107">
        <v>25</v>
      </c>
      <c r="F1107">
        <v>37</v>
      </c>
      <c r="G1107">
        <v>14</v>
      </c>
      <c r="H1107">
        <v>24</v>
      </c>
      <c r="I1107">
        <v>0.1416</v>
      </c>
      <c r="J1107">
        <f t="shared" si="17"/>
        <v>0.21186440677966098</v>
      </c>
      <c r="K1107">
        <v>2.9999999999999997E-4</v>
      </c>
      <c r="L1107" t="s">
        <v>17</v>
      </c>
      <c r="M1107">
        <v>296</v>
      </c>
      <c r="N1107" t="s">
        <v>553</v>
      </c>
    </row>
    <row r="1108" spans="1:14" x14ac:dyDescent="0.2">
      <c r="A1108" t="s">
        <v>1099</v>
      </c>
      <c r="B1108" t="s">
        <v>32</v>
      </c>
      <c r="C1108">
        <v>36</v>
      </c>
      <c r="D1108">
        <v>12</v>
      </c>
      <c r="E1108">
        <v>25</v>
      </c>
      <c r="F1108">
        <v>35</v>
      </c>
      <c r="G1108">
        <v>12</v>
      </c>
      <c r="H1108">
        <v>24</v>
      </c>
      <c r="I1108">
        <v>0.1479</v>
      </c>
      <c r="J1108">
        <f t="shared" si="17"/>
        <v>0.27045300878972278</v>
      </c>
      <c r="K1108">
        <v>4.0000000000000002E-4</v>
      </c>
      <c r="L1108" t="s">
        <v>17</v>
      </c>
      <c r="M1108">
        <v>296</v>
      </c>
      <c r="N1108" t="s">
        <v>553</v>
      </c>
    </row>
    <row r="1109" spans="1:14" x14ac:dyDescent="0.2">
      <c r="A1109" t="s">
        <v>1099</v>
      </c>
      <c r="B1109" t="s">
        <v>32</v>
      </c>
      <c r="C1109">
        <v>37</v>
      </c>
      <c r="D1109">
        <v>13</v>
      </c>
      <c r="E1109">
        <v>24</v>
      </c>
      <c r="F1109">
        <v>36</v>
      </c>
      <c r="G1109">
        <v>13</v>
      </c>
      <c r="H1109">
        <v>23</v>
      </c>
      <c r="I1109">
        <v>0.1452</v>
      </c>
      <c r="J1109">
        <f t="shared" si="17"/>
        <v>0.13774104683195593</v>
      </c>
      <c r="K1109">
        <v>2.0000000000000001E-4</v>
      </c>
      <c r="L1109" t="s">
        <v>17</v>
      </c>
      <c r="M1109">
        <v>296</v>
      </c>
      <c r="N1109" t="s">
        <v>553</v>
      </c>
    </row>
    <row r="1110" spans="1:14" x14ac:dyDescent="0.2">
      <c r="A1110" t="s">
        <v>1099</v>
      </c>
      <c r="B1110" t="s">
        <v>32</v>
      </c>
      <c r="C1110">
        <v>32</v>
      </c>
      <c r="D1110">
        <v>6</v>
      </c>
      <c r="E1110">
        <v>27</v>
      </c>
      <c r="F1110">
        <v>31</v>
      </c>
      <c r="G1110">
        <v>6</v>
      </c>
      <c r="H1110">
        <v>26</v>
      </c>
      <c r="I1110">
        <v>0.17030000000000001</v>
      </c>
      <c r="J1110">
        <f t="shared" si="17"/>
        <v>0.11743981209630064</v>
      </c>
      <c r="K1110">
        <v>2.0000000000000001E-4</v>
      </c>
      <c r="L1110" t="s">
        <v>17</v>
      </c>
      <c r="M1110">
        <v>296</v>
      </c>
      <c r="N1110" t="s">
        <v>553</v>
      </c>
    </row>
    <row r="1111" spans="1:14" x14ac:dyDescent="0.2">
      <c r="A1111" t="s">
        <v>1099</v>
      </c>
      <c r="B1111" t="s">
        <v>32</v>
      </c>
      <c r="C1111">
        <v>34</v>
      </c>
      <c r="D1111">
        <v>1</v>
      </c>
      <c r="E1111">
        <v>34</v>
      </c>
      <c r="F1111">
        <v>33</v>
      </c>
      <c r="G1111">
        <v>1</v>
      </c>
      <c r="H1111">
        <v>33</v>
      </c>
      <c r="I1111">
        <v>0.15160000000000001</v>
      </c>
      <c r="J1111">
        <f t="shared" si="17"/>
        <v>0.13192612137203166</v>
      </c>
      <c r="K1111">
        <v>2.0000000000000001E-4</v>
      </c>
      <c r="L1111" t="s">
        <v>17</v>
      </c>
      <c r="M1111">
        <v>296</v>
      </c>
      <c r="N1111" t="s">
        <v>553</v>
      </c>
    </row>
    <row r="1112" spans="1:14" x14ac:dyDescent="0.2">
      <c r="A1112" t="s">
        <v>1099</v>
      </c>
      <c r="B1112" t="s">
        <v>32</v>
      </c>
      <c r="C1112">
        <v>32</v>
      </c>
      <c r="D1112">
        <v>3</v>
      </c>
      <c r="E1112">
        <v>30</v>
      </c>
      <c r="F1112">
        <v>31</v>
      </c>
      <c r="G1112">
        <v>3</v>
      </c>
      <c r="H1112">
        <v>29</v>
      </c>
      <c r="I1112">
        <v>0.16239999999999999</v>
      </c>
      <c r="J1112">
        <f t="shared" si="17"/>
        <v>0.18472906403940886</v>
      </c>
      <c r="K1112">
        <v>2.9999999999999997E-4</v>
      </c>
      <c r="L1112" t="s">
        <v>17</v>
      </c>
      <c r="M1112">
        <v>296</v>
      </c>
      <c r="N1112" t="s">
        <v>553</v>
      </c>
    </row>
    <row r="1113" spans="1:14" x14ac:dyDescent="0.2">
      <c r="A1113" t="s">
        <v>1099</v>
      </c>
      <c r="B1113" t="s">
        <v>32</v>
      </c>
      <c r="C1113">
        <v>34</v>
      </c>
      <c r="D1113">
        <v>9</v>
      </c>
      <c r="E1113">
        <v>26</v>
      </c>
      <c r="F1113">
        <v>33</v>
      </c>
      <c r="G1113">
        <v>9</v>
      </c>
      <c r="H1113">
        <v>25</v>
      </c>
      <c r="I1113">
        <v>0.1658</v>
      </c>
      <c r="J1113">
        <f t="shared" si="17"/>
        <v>0.42219541616405309</v>
      </c>
      <c r="K1113">
        <v>6.9999999999999999E-4</v>
      </c>
      <c r="L1113" t="s">
        <v>17</v>
      </c>
      <c r="M1113">
        <v>296</v>
      </c>
      <c r="N1113" t="s">
        <v>553</v>
      </c>
    </row>
    <row r="1114" spans="1:14" x14ac:dyDescent="0.2">
      <c r="A1114" t="s">
        <v>1099</v>
      </c>
      <c r="B1114" t="s">
        <v>32</v>
      </c>
      <c r="C1114">
        <v>33</v>
      </c>
      <c r="D1114">
        <v>1</v>
      </c>
      <c r="E1114">
        <v>32</v>
      </c>
      <c r="F1114">
        <v>32</v>
      </c>
      <c r="G1114">
        <v>1</v>
      </c>
      <c r="H1114">
        <v>31</v>
      </c>
      <c r="I1114">
        <v>0.15690000000000001</v>
      </c>
      <c r="J1114">
        <f t="shared" si="17"/>
        <v>6.3734862970044617E-2</v>
      </c>
      <c r="K1114">
        <v>1E-4</v>
      </c>
      <c r="L1114" t="s">
        <v>17</v>
      </c>
      <c r="M1114">
        <v>296</v>
      </c>
      <c r="N1114" t="s">
        <v>553</v>
      </c>
    </row>
    <row r="1115" spans="1:14" x14ac:dyDescent="0.2">
      <c r="A1115" t="s">
        <v>1099</v>
      </c>
      <c r="B1115" t="s">
        <v>32</v>
      </c>
      <c r="C1115">
        <v>35</v>
      </c>
      <c r="D1115">
        <v>10</v>
      </c>
      <c r="E1115">
        <v>25</v>
      </c>
      <c r="F1115">
        <v>34</v>
      </c>
      <c r="G1115">
        <v>10</v>
      </c>
      <c r="H1115">
        <v>24</v>
      </c>
      <c r="I1115">
        <v>0.15870000000000001</v>
      </c>
      <c r="J1115">
        <f t="shared" si="17"/>
        <v>0.18903591682419657</v>
      </c>
      <c r="K1115">
        <v>2.9999999999999997E-4</v>
      </c>
      <c r="L1115" t="s">
        <v>17</v>
      </c>
      <c r="M1115">
        <v>296</v>
      </c>
      <c r="N1115" t="s">
        <v>553</v>
      </c>
    </row>
    <row r="1116" spans="1:14" x14ac:dyDescent="0.2">
      <c r="A1116" t="s">
        <v>1099</v>
      </c>
      <c r="B1116" t="s">
        <v>32</v>
      </c>
      <c r="C1116">
        <v>33</v>
      </c>
      <c r="D1116">
        <v>7</v>
      </c>
      <c r="E1116">
        <v>26</v>
      </c>
      <c r="F1116">
        <v>32</v>
      </c>
      <c r="G1116">
        <v>7</v>
      </c>
      <c r="H1116">
        <v>25</v>
      </c>
      <c r="I1116">
        <v>0.16650000000000001</v>
      </c>
      <c r="J1116">
        <f t="shared" si="17"/>
        <v>0.12012012012012012</v>
      </c>
      <c r="K1116">
        <v>2.0000000000000001E-4</v>
      </c>
      <c r="L1116" t="s">
        <v>17</v>
      </c>
      <c r="M1116">
        <v>296</v>
      </c>
      <c r="N1116" t="s">
        <v>553</v>
      </c>
    </row>
    <row r="1117" spans="1:14" x14ac:dyDescent="0.2">
      <c r="A1117" t="s">
        <v>1099</v>
      </c>
      <c r="B1117" t="s">
        <v>32</v>
      </c>
      <c r="C1117">
        <v>32</v>
      </c>
      <c r="D1117">
        <v>5</v>
      </c>
      <c r="E1117">
        <v>28</v>
      </c>
      <c r="F1117">
        <v>31</v>
      </c>
      <c r="G1117">
        <v>5</v>
      </c>
      <c r="H1117">
        <v>27</v>
      </c>
      <c r="I1117">
        <v>0.1686</v>
      </c>
      <c r="J1117">
        <f t="shared" si="17"/>
        <v>0.1779359430604982</v>
      </c>
      <c r="K1117">
        <v>2.9999999999999997E-4</v>
      </c>
      <c r="L1117" t="s">
        <v>17</v>
      </c>
      <c r="M1117">
        <v>296</v>
      </c>
      <c r="N1117" t="s">
        <v>553</v>
      </c>
    </row>
    <row r="1118" spans="1:14" x14ac:dyDescent="0.2">
      <c r="A1118" t="s">
        <v>1099</v>
      </c>
      <c r="B1118" t="s">
        <v>32</v>
      </c>
      <c r="C1118">
        <v>40</v>
      </c>
      <c r="D1118">
        <v>15</v>
      </c>
      <c r="E1118">
        <v>26</v>
      </c>
      <c r="F1118">
        <v>39</v>
      </c>
      <c r="G1118">
        <v>15</v>
      </c>
      <c r="H1118">
        <v>25</v>
      </c>
      <c r="I1118">
        <v>0.14099999999999999</v>
      </c>
      <c r="J1118">
        <f t="shared" si="17"/>
        <v>0.3546099290780142</v>
      </c>
      <c r="K1118">
        <v>5.0000000000000001E-4</v>
      </c>
      <c r="L1118" t="s">
        <v>17</v>
      </c>
      <c r="M1118">
        <v>296</v>
      </c>
      <c r="N1118" t="s">
        <v>553</v>
      </c>
    </row>
    <row r="1119" spans="1:14" x14ac:dyDescent="0.2">
      <c r="A1119" t="s">
        <v>1099</v>
      </c>
      <c r="B1119" t="s">
        <v>32</v>
      </c>
      <c r="C1119">
        <v>36</v>
      </c>
      <c r="D1119">
        <v>11</v>
      </c>
      <c r="E1119">
        <v>26</v>
      </c>
      <c r="F1119">
        <v>35</v>
      </c>
      <c r="G1119">
        <v>11</v>
      </c>
      <c r="H1119">
        <v>25</v>
      </c>
      <c r="I1119">
        <v>0.15890000000000001</v>
      </c>
      <c r="J1119">
        <f t="shared" si="17"/>
        <v>0.44052863436123346</v>
      </c>
      <c r="K1119">
        <v>6.9999999999999999E-4</v>
      </c>
      <c r="L1119" t="s">
        <v>17</v>
      </c>
      <c r="M1119">
        <v>296</v>
      </c>
      <c r="N1119" t="s">
        <v>553</v>
      </c>
    </row>
    <row r="1120" spans="1:14" x14ac:dyDescent="0.2">
      <c r="A1120" t="s">
        <v>1099</v>
      </c>
      <c r="B1120" t="s">
        <v>32</v>
      </c>
      <c r="C1120">
        <v>32</v>
      </c>
      <c r="D1120">
        <v>4</v>
      </c>
      <c r="E1120">
        <v>29</v>
      </c>
      <c r="F1120">
        <v>31</v>
      </c>
      <c r="G1120">
        <v>4</v>
      </c>
      <c r="H1120">
        <v>28</v>
      </c>
      <c r="I1120">
        <v>0.16489999999999999</v>
      </c>
      <c r="J1120">
        <f t="shared" si="17"/>
        <v>0.1212856276531231</v>
      </c>
      <c r="K1120">
        <v>2.0000000000000001E-4</v>
      </c>
      <c r="L1120" t="s">
        <v>17</v>
      </c>
      <c r="M1120">
        <v>296</v>
      </c>
      <c r="N1120" t="s">
        <v>553</v>
      </c>
    </row>
    <row r="1121" spans="1:14" x14ac:dyDescent="0.2">
      <c r="A1121" t="s">
        <v>1099</v>
      </c>
      <c r="B1121" t="s">
        <v>32</v>
      </c>
      <c r="C1121">
        <v>39</v>
      </c>
      <c r="D1121">
        <v>14</v>
      </c>
      <c r="E1121">
        <v>25</v>
      </c>
      <c r="F1121">
        <v>38</v>
      </c>
      <c r="G1121">
        <v>14</v>
      </c>
      <c r="H1121">
        <v>24</v>
      </c>
      <c r="I1121">
        <v>0.1409</v>
      </c>
      <c r="J1121">
        <f t="shared" si="17"/>
        <v>0.28388928317955997</v>
      </c>
      <c r="K1121">
        <v>4.0000000000000002E-4</v>
      </c>
      <c r="L1121" t="s">
        <v>17</v>
      </c>
      <c r="M1121">
        <v>296</v>
      </c>
      <c r="N1121" t="s">
        <v>553</v>
      </c>
    </row>
    <row r="1122" spans="1:14" x14ac:dyDescent="0.2">
      <c r="A1122" t="s">
        <v>1099</v>
      </c>
      <c r="B1122" t="s">
        <v>32</v>
      </c>
      <c r="C1122">
        <v>31</v>
      </c>
      <c r="D1122">
        <v>4</v>
      </c>
      <c r="E1122">
        <v>27</v>
      </c>
      <c r="F1122">
        <v>30</v>
      </c>
      <c r="G1122">
        <v>4</v>
      </c>
      <c r="H1122">
        <v>26</v>
      </c>
      <c r="I1122">
        <v>0.17780000000000001</v>
      </c>
      <c r="J1122">
        <f t="shared" si="17"/>
        <v>0.16872890888638917</v>
      </c>
      <c r="K1122">
        <v>2.9999999999999997E-4</v>
      </c>
      <c r="L1122" t="s">
        <v>17</v>
      </c>
      <c r="M1122">
        <v>296</v>
      </c>
      <c r="N1122" t="s">
        <v>553</v>
      </c>
    </row>
    <row r="1123" spans="1:14" x14ac:dyDescent="0.2">
      <c r="A1123" t="s">
        <v>1099</v>
      </c>
      <c r="B1123" t="s">
        <v>32</v>
      </c>
      <c r="C1123">
        <v>38</v>
      </c>
      <c r="D1123">
        <v>13</v>
      </c>
      <c r="E1123">
        <v>26</v>
      </c>
      <c r="F1123">
        <v>37</v>
      </c>
      <c r="G1123">
        <v>13</v>
      </c>
      <c r="H1123">
        <v>25</v>
      </c>
      <c r="I1123">
        <v>0.1389</v>
      </c>
      <c r="J1123">
        <f t="shared" si="17"/>
        <v>0.21598272138228938</v>
      </c>
      <c r="K1123">
        <v>2.9999999999999997E-4</v>
      </c>
      <c r="L1123" t="s">
        <v>17</v>
      </c>
      <c r="M1123">
        <v>296</v>
      </c>
      <c r="N1123" t="s">
        <v>553</v>
      </c>
    </row>
    <row r="1124" spans="1:14" x14ac:dyDescent="0.2">
      <c r="A1124" t="s">
        <v>1099</v>
      </c>
      <c r="B1124" t="s">
        <v>32</v>
      </c>
      <c r="C1124">
        <v>34</v>
      </c>
      <c r="D1124">
        <v>8</v>
      </c>
      <c r="E1124">
        <v>27</v>
      </c>
      <c r="F1124">
        <v>33</v>
      </c>
      <c r="G1124">
        <v>8</v>
      </c>
      <c r="H1124">
        <v>26</v>
      </c>
      <c r="I1124">
        <v>0.16500000000000001</v>
      </c>
      <c r="J1124">
        <f t="shared" si="17"/>
        <v>0.12121212121212122</v>
      </c>
      <c r="K1124">
        <v>2.0000000000000001E-4</v>
      </c>
      <c r="L1124" t="s">
        <v>17</v>
      </c>
      <c r="M1124">
        <v>296</v>
      </c>
      <c r="N1124" t="s">
        <v>553</v>
      </c>
    </row>
    <row r="1125" spans="1:14" x14ac:dyDescent="0.2">
      <c r="A1125" t="s">
        <v>1099</v>
      </c>
      <c r="B1125" t="s">
        <v>32</v>
      </c>
      <c r="C1125">
        <v>35</v>
      </c>
      <c r="D1125">
        <v>0</v>
      </c>
      <c r="E1125">
        <v>35</v>
      </c>
      <c r="F1125">
        <v>34</v>
      </c>
      <c r="G1125">
        <v>0</v>
      </c>
      <c r="H1125">
        <v>34</v>
      </c>
      <c r="I1125">
        <v>0.1507</v>
      </c>
      <c r="J1125">
        <f t="shared" si="17"/>
        <v>6.6357000663570004E-2</v>
      </c>
      <c r="K1125">
        <v>1E-4</v>
      </c>
      <c r="L1125" t="s">
        <v>17</v>
      </c>
      <c r="M1125">
        <v>296</v>
      </c>
      <c r="N1125" t="s">
        <v>553</v>
      </c>
    </row>
    <row r="1126" spans="1:14" x14ac:dyDescent="0.2">
      <c r="A1126" t="s">
        <v>1099</v>
      </c>
      <c r="B1126" t="s">
        <v>32</v>
      </c>
      <c r="C1126">
        <v>31</v>
      </c>
      <c r="D1126">
        <v>3</v>
      </c>
      <c r="E1126">
        <v>28</v>
      </c>
      <c r="F1126">
        <v>30</v>
      </c>
      <c r="G1126">
        <v>3</v>
      </c>
      <c r="H1126">
        <v>27</v>
      </c>
      <c r="I1126">
        <v>0.17369999999999999</v>
      </c>
      <c r="J1126">
        <f t="shared" si="17"/>
        <v>5.7570523891767422E-2</v>
      </c>
      <c r="K1126">
        <v>1E-4</v>
      </c>
      <c r="L1126" t="s">
        <v>17</v>
      </c>
      <c r="M1126">
        <v>296</v>
      </c>
      <c r="N1126" t="s">
        <v>553</v>
      </c>
    </row>
    <row r="1127" spans="1:14" x14ac:dyDescent="0.2">
      <c r="A1127" t="s">
        <v>1099</v>
      </c>
      <c r="B1127" t="s">
        <v>32</v>
      </c>
      <c r="C1127">
        <v>34</v>
      </c>
      <c r="D1127">
        <v>2</v>
      </c>
      <c r="E1127">
        <v>33</v>
      </c>
      <c r="F1127">
        <v>33</v>
      </c>
      <c r="G1127">
        <v>2</v>
      </c>
      <c r="H1127">
        <v>32</v>
      </c>
      <c r="I1127">
        <v>0.15529999999999999</v>
      </c>
      <c r="J1127">
        <f t="shared" si="17"/>
        <v>0.12878300064391501</v>
      </c>
      <c r="K1127">
        <v>2.0000000000000001E-4</v>
      </c>
      <c r="L1127" t="s">
        <v>17</v>
      </c>
      <c r="M1127">
        <v>296</v>
      </c>
      <c r="N1127" t="s">
        <v>553</v>
      </c>
    </row>
    <row r="1128" spans="1:14" x14ac:dyDescent="0.2">
      <c r="A1128" t="s">
        <v>1099</v>
      </c>
      <c r="B1128" t="s">
        <v>32</v>
      </c>
      <c r="C1128">
        <v>33</v>
      </c>
      <c r="D1128">
        <v>6</v>
      </c>
      <c r="E1128">
        <v>27</v>
      </c>
      <c r="F1128">
        <v>32</v>
      </c>
      <c r="G1128">
        <v>6</v>
      </c>
      <c r="H1128">
        <v>26</v>
      </c>
      <c r="I1128">
        <v>0.16769999999999999</v>
      </c>
      <c r="J1128">
        <f t="shared" si="17"/>
        <v>0.11926058437686346</v>
      </c>
      <c r="K1128">
        <v>2.0000000000000001E-4</v>
      </c>
      <c r="L1128" t="s">
        <v>17</v>
      </c>
      <c r="M1128">
        <v>296</v>
      </c>
      <c r="N1128" t="s">
        <v>553</v>
      </c>
    </row>
    <row r="1129" spans="1:14" x14ac:dyDescent="0.2">
      <c r="A1129" t="s">
        <v>1099</v>
      </c>
      <c r="B1129" t="s">
        <v>32</v>
      </c>
      <c r="C1129">
        <v>35</v>
      </c>
      <c r="D1129">
        <v>9</v>
      </c>
      <c r="E1129">
        <v>26</v>
      </c>
      <c r="F1129">
        <v>34</v>
      </c>
      <c r="G1129">
        <v>9</v>
      </c>
      <c r="H1129">
        <v>25</v>
      </c>
      <c r="I1129">
        <v>0.16</v>
      </c>
      <c r="J1129">
        <f t="shared" si="17"/>
        <v>0.125</v>
      </c>
      <c r="K1129">
        <v>2.0000000000000001E-4</v>
      </c>
      <c r="L1129" t="s">
        <v>17</v>
      </c>
      <c r="M1129">
        <v>296</v>
      </c>
      <c r="N1129" t="s">
        <v>553</v>
      </c>
    </row>
    <row r="1130" spans="1:14" x14ac:dyDescent="0.2">
      <c r="A1130" t="s">
        <v>1099</v>
      </c>
      <c r="B1130" t="s">
        <v>32</v>
      </c>
      <c r="C1130">
        <v>36</v>
      </c>
      <c r="D1130">
        <v>10</v>
      </c>
      <c r="E1130">
        <v>27</v>
      </c>
      <c r="F1130">
        <v>35</v>
      </c>
      <c r="G1130">
        <v>10</v>
      </c>
      <c r="H1130">
        <v>26</v>
      </c>
      <c r="I1130">
        <v>0.15620000000000001</v>
      </c>
      <c r="J1130">
        <f t="shared" si="17"/>
        <v>0.25608194622279129</v>
      </c>
      <c r="K1130">
        <v>4.0000000000000002E-4</v>
      </c>
      <c r="L1130" t="s">
        <v>17</v>
      </c>
      <c r="M1130">
        <v>296</v>
      </c>
      <c r="N1130" t="s">
        <v>553</v>
      </c>
    </row>
    <row r="1131" spans="1:14" x14ac:dyDescent="0.2">
      <c r="A1131" t="s">
        <v>1099</v>
      </c>
      <c r="B1131" t="s">
        <v>32</v>
      </c>
      <c r="C1131">
        <v>41</v>
      </c>
      <c r="D1131">
        <v>15</v>
      </c>
      <c r="E1131">
        <v>26</v>
      </c>
      <c r="F1131">
        <v>40</v>
      </c>
      <c r="G1131">
        <v>15</v>
      </c>
      <c r="H1131">
        <v>25</v>
      </c>
      <c r="I1131">
        <v>0.1391</v>
      </c>
      <c r="J1131">
        <f t="shared" si="17"/>
        <v>0.35945363048166784</v>
      </c>
      <c r="K1131">
        <v>5.0000000000000001E-4</v>
      </c>
      <c r="L1131" t="s">
        <v>17</v>
      </c>
      <c r="M1131">
        <v>296</v>
      </c>
      <c r="N1131" t="s">
        <v>553</v>
      </c>
    </row>
    <row r="1132" spans="1:14" x14ac:dyDescent="0.2">
      <c r="A1132" t="s">
        <v>1099</v>
      </c>
      <c r="B1132" t="s">
        <v>32</v>
      </c>
      <c r="C1132">
        <v>34</v>
      </c>
      <c r="D1132">
        <v>7</v>
      </c>
      <c r="E1132">
        <v>28</v>
      </c>
      <c r="F1132">
        <v>33</v>
      </c>
      <c r="G1132">
        <v>7</v>
      </c>
      <c r="H1132">
        <v>27</v>
      </c>
      <c r="I1132">
        <v>0.16900000000000001</v>
      </c>
      <c r="J1132">
        <f t="shared" si="17"/>
        <v>0.1183431952662722</v>
      </c>
      <c r="K1132">
        <v>2.0000000000000001E-4</v>
      </c>
      <c r="L1132" t="s">
        <v>17</v>
      </c>
      <c r="M1132">
        <v>296</v>
      </c>
      <c r="N1132" t="s">
        <v>553</v>
      </c>
    </row>
    <row r="1133" spans="1:14" x14ac:dyDescent="0.2">
      <c r="A1133" t="s">
        <v>1099</v>
      </c>
      <c r="B1133" t="s">
        <v>32</v>
      </c>
      <c r="C1133">
        <v>33</v>
      </c>
      <c r="D1133">
        <v>2</v>
      </c>
      <c r="E1133">
        <v>31</v>
      </c>
      <c r="F1133">
        <v>32</v>
      </c>
      <c r="G1133">
        <v>2</v>
      </c>
      <c r="H1133">
        <v>30</v>
      </c>
      <c r="I1133">
        <v>0.1661</v>
      </c>
      <c r="J1133">
        <f t="shared" si="17"/>
        <v>6.0204695966285374E-2</v>
      </c>
      <c r="K1133">
        <v>1E-4</v>
      </c>
      <c r="L1133" t="s">
        <v>17</v>
      </c>
      <c r="M1133">
        <v>296</v>
      </c>
      <c r="N1133" t="s">
        <v>553</v>
      </c>
    </row>
    <row r="1134" spans="1:14" x14ac:dyDescent="0.2">
      <c r="A1134" t="s">
        <v>1099</v>
      </c>
      <c r="B1134" t="s">
        <v>32</v>
      </c>
      <c r="C1134">
        <v>40</v>
      </c>
      <c r="D1134">
        <v>14</v>
      </c>
      <c r="E1134">
        <v>27</v>
      </c>
      <c r="F1134">
        <v>39</v>
      </c>
      <c r="G1134">
        <v>14</v>
      </c>
      <c r="H1134">
        <v>26</v>
      </c>
      <c r="I1134">
        <v>0.14299999999999999</v>
      </c>
      <c r="J1134">
        <f t="shared" si="17"/>
        <v>0.20979020979020979</v>
      </c>
      <c r="K1134">
        <v>2.9999999999999997E-4</v>
      </c>
      <c r="L1134" t="s">
        <v>17</v>
      </c>
      <c r="M1134">
        <v>296</v>
      </c>
      <c r="N1134" t="s">
        <v>553</v>
      </c>
    </row>
    <row r="1135" spans="1:14" x14ac:dyDescent="0.2">
      <c r="A1135" t="s">
        <v>1099</v>
      </c>
      <c r="B1135" t="s">
        <v>32</v>
      </c>
      <c r="C1135">
        <v>44</v>
      </c>
      <c r="D1135">
        <v>17</v>
      </c>
      <c r="E1135">
        <v>28</v>
      </c>
      <c r="F1135">
        <v>43</v>
      </c>
      <c r="G1135">
        <v>17</v>
      </c>
      <c r="H1135">
        <v>27</v>
      </c>
      <c r="I1135">
        <v>0.12889999999999999</v>
      </c>
      <c r="J1135">
        <f t="shared" si="17"/>
        <v>0.69821567106283944</v>
      </c>
      <c r="K1135">
        <v>8.9999999999999998E-4</v>
      </c>
      <c r="L1135" t="s">
        <v>17</v>
      </c>
      <c r="M1135">
        <v>296</v>
      </c>
      <c r="N1135" t="s">
        <v>553</v>
      </c>
    </row>
    <row r="1136" spans="1:14" x14ac:dyDescent="0.2">
      <c r="A1136" t="s">
        <v>1099</v>
      </c>
      <c r="B1136" t="s">
        <v>32</v>
      </c>
      <c r="C1136">
        <v>36</v>
      </c>
      <c r="D1136">
        <v>1</v>
      </c>
      <c r="E1136">
        <v>36</v>
      </c>
      <c r="F1136">
        <v>35</v>
      </c>
      <c r="G1136">
        <v>1</v>
      </c>
      <c r="H1136">
        <v>35</v>
      </c>
      <c r="I1136">
        <v>0.15190000000000001</v>
      </c>
      <c r="J1136">
        <f t="shared" si="17"/>
        <v>6.5832784726793936E-2</v>
      </c>
      <c r="K1136">
        <v>1E-4</v>
      </c>
      <c r="L1136" t="s">
        <v>17</v>
      </c>
      <c r="M1136">
        <v>296</v>
      </c>
      <c r="N1136" t="s">
        <v>553</v>
      </c>
    </row>
    <row r="1137" spans="1:14" x14ac:dyDescent="0.2">
      <c r="A1137" t="s">
        <v>1099</v>
      </c>
      <c r="B1137" t="s">
        <v>32</v>
      </c>
      <c r="C1137">
        <v>35</v>
      </c>
      <c r="D1137">
        <v>8</v>
      </c>
      <c r="E1137">
        <v>27</v>
      </c>
      <c r="F1137">
        <v>34</v>
      </c>
      <c r="G1137">
        <v>8</v>
      </c>
      <c r="H1137">
        <v>26</v>
      </c>
      <c r="I1137">
        <v>0.1658</v>
      </c>
      <c r="J1137">
        <f t="shared" si="17"/>
        <v>0.18094089264173702</v>
      </c>
      <c r="K1137">
        <v>2.9999999999999997E-4</v>
      </c>
      <c r="L1137" t="s">
        <v>17</v>
      </c>
      <c r="M1137">
        <v>296</v>
      </c>
      <c r="N1137" t="s">
        <v>553</v>
      </c>
    </row>
    <row r="1138" spans="1:14" x14ac:dyDescent="0.2">
      <c r="A1138" t="s">
        <v>1099</v>
      </c>
      <c r="B1138" t="s">
        <v>32</v>
      </c>
      <c r="C1138">
        <v>33</v>
      </c>
      <c r="D1138">
        <v>5</v>
      </c>
      <c r="E1138">
        <v>28</v>
      </c>
      <c r="F1138">
        <v>32</v>
      </c>
      <c r="G1138">
        <v>5</v>
      </c>
      <c r="H1138">
        <v>27</v>
      </c>
      <c r="I1138">
        <v>0.1701</v>
      </c>
      <c r="J1138">
        <f t="shared" si="17"/>
        <v>0.11757789535567313</v>
      </c>
      <c r="K1138">
        <v>2.0000000000000001E-4</v>
      </c>
      <c r="L1138" t="s">
        <v>17</v>
      </c>
      <c r="M1138">
        <v>296</v>
      </c>
      <c r="N1138" t="s">
        <v>553</v>
      </c>
    </row>
    <row r="1139" spans="1:14" x14ac:dyDescent="0.2">
      <c r="A1139" t="s">
        <v>1099</v>
      </c>
      <c r="B1139" t="s">
        <v>32</v>
      </c>
      <c r="C1139">
        <v>35</v>
      </c>
      <c r="D1139">
        <v>1</v>
      </c>
      <c r="E1139">
        <v>34</v>
      </c>
      <c r="F1139">
        <v>34</v>
      </c>
      <c r="G1139">
        <v>1</v>
      </c>
      <c r="H1139">
        <v>33</v>
      </c>
      <c r="I1139">
        <v>0.15509999999999999</v>
      </c>
      <c r="J1139">
        <f t="shared" si="17"/>
        <v>6.4474532559638947E-2</v>
      </c>
      <c r="K1139">
        <v>1E-4</v>
      </c>
      <c r="L1139" t="s">
        <v>17</v>
      </c>
      <c r="M1139">
        <v>296</v>
      </c>
      <c r="N1139" t="s">
        <v>553</v>
      </c>
    </row>
    <row r="1140" spans="1:14" x14ac:dyDescent="0.2">
      <c r="A1140" t="s">
        <v>1099</v>
      </c>
      <c r="B1140" t="s">
        <v>32</v>
      </c>
      <c r="C1140">
        <v>34</v>
      </c>
      <c r="D1140">
        <v>3</v>
      </c>
      <c r="E1140">
        <v>32</v>
      </c>
      <c r="F1140">
        <v>33</v>
      </c>
      <c r="G1140">
        <v>3</v>
      </c>
      <c r="H1140">
        <v>31</v>
      </c>
      <c r="I1140">
        <v>0.16</v>
      </c>
      <c r="J1140">
        <f t="shared" si="17"/>
        <v>6.25E-2</v>
      </c>
      <c r="K1140">
        <v>1E-4</v>
      </c>
      <c r="L1140" t="s">
        <v>17</v>
      </c>
      <c r="M1140">
        <v>296</v>
      </c>
      <c r="N1140" t="s">
        <v>553</v>
      </c>
    </row>
    <row r="1141" spans="1:14" x14ac:dyDescent="0.2">
      <c r="A1141" t="s">
        <v>1099</v>
      </c>
      <c r="B1141" t="s">
        <v>32</v>
      </c>
      <c r="C1141">
        <v>34</v>
      </c>
      <c r="D1141">
        <v>6</v>
      </c>
      <c r="E1141">
        <v>29</v>
      </c>
      <c r="F1141">
        <v>33</v>
      </c>
      <c r="G1141">
        <v>6</v>
      </c>
      <c r="H1141">
        <v>28</v>
      </c>
      <c r="I1141">
        <v>0.17150000000000001</v>
      </c>
      <c r="J1141">
        <f t="shared" si="17"/>
        <v>5.8309037900874633E-2</v>
      </c>
      <c r="K1141">
        <v>1E-4</v>
      </c>
      <c r="L1141" t="s">
        <v>17</v>
      </c>
      <c r="M1141">
        <v>296</v>
      </c>
      <c r="N1141" t="s">
        <v>553</v>
      </c>
    </row>
    <row r="1142" spans="1:14" x14ac:dyDescent="0.2">
      <c r="A1142" t="s">
        <v>1099</v>
      </c>
      <c r="B1142" t="s">
        <v>32</v>
      </c>
      <c r="C1142">
        <v>43</v>
      </c>
      <c r="D1142">
        <v>16</v>
      </c>
      <c r="E1142">
        <v>27</v>
      </c>
      <c r="F1142">
        <v>42</v>
      </c>
      <c r="G1142">
        <v>16</v>
      </c>
      <c r="H1142">
        <v>26</v>
      </c>
      <c r="I1142">
        <v>0.14299999999999999</v>
      </c>
      <c r="J1142">
        <f t="shared" si="17"/>
        <v>0.41958041958041958</v>
      </c>
      <c r="K1142">
        <v>5.9999999999999995E-4</v>
      </c>
      <c r="L1142" t="s">
        <v>17</v>
      </c>
      <c r="M1142">
        <v>296</v>
      </c>
      <c r="N1142" t="s">
        <v>553</v>
      </c>
    </row>
    <row r="1143" spans="1:14" x14ac:dyDescent="0.2">
      <c r="A1143" t="s">
        <v>1099</v>
      </c>
      <c r="B1143" t="s">
        <v>32</v>
      </c>
      <c r="C1143">
        <v>36</v>
      </c>
      <c r="D1143">
        <v>9</v>
      </c>
      <c r="E1143">
        <v>28</v>
      </c>
      <c r="F1143">
        <v>35</v>
      </c>
      <c r="G1143">
        <v>9</v>
      </c>
      <c r="H1143">
        <v>27</v>
      </c>
      <c r="I1143">
        <v>0.16189999999999999</v>
      </c>
      <c r="J1143">
        <f t="shared" si="17"/>
        <v>0.12353304508956146</v>
      </c>
      <c r="K1143">
        <v>2.0000000000000001E-4</v>
      </c>
      <c r="L1143" t="s">
        <v>17</v>
      </c>
      <c r="M1143">
        <v>296</v>
      </c>
      <c r="N1143" t="s">
        <v>553</v>
      </c>
    </row>
    <row r="1144" spans="1:14" x14ac:dyDescent="0.2">
      <c r="A1144" t="s">
        <v>1099</v>
      </c>
      <c r="B1144" t="s">
        <v>32</v>
      </c>
      <c r="C1144">
        <v>46</v>
      </c>
      <c r="D1144">
        <v>18</v>
      </c>
      <c r="E1144">
        <v>29</v>
      </c>
      <c r="F1144">
        <v>45</v>
      </c>
      <c r="G1144">
        <v>18</v>
      </c>
      <c r="H1144">
        <v>28</v>
      </c>
      <c r="I1144">
        <v>0.13469999999999999</v>
      </c>
      <c r="J1144">
        <f t="shared" si="17"/>
        <v>1.1135857461024501</v>
      </c>
      <c r="K1144">
        <v>1.5E-3</v>
      </c>
      <c r="L1144" t="s">
        <v>17</v>
      </c>
      <c r="M1144">
        <v>296</v>
      </c>
      <c r="N1144" t="s">
        <v>553</v>
      </c>
    </row>
    <row r="1145" spans="1:14" x14ac:dyDescent="0.2">
      <c r="A1145" t="s">
        <v>1099</v>
      </c>
      <c r="B1145" t="s">
        <v>32</v>
      </c>
      <c r="C1145">
        <v>42</v>
      </c>
      <c r="D1145">
        <v>15</v>
      </c>
      <c r="E1145">
        <v>28</v>
      </c>
      <c r="F1145">
        <v>41</v>
      </c>
      <c r="G1145">
        <v>15</v>
      </c>
      <c r="H1145">
        <v>27</v>
      </c>
      <c r="I1145">
        <v>0.14510000000000001</v>
      </c>
      <c r="J1145">
        <f t="shared" si="17"/>
        <v>0.34458993797381116</v>
      </c>
      <c r="K1145">
        <v>5.0000000000000001E-4</v>
      </c>
      <c r="L1145" t="s">
        <v>17</v>
      </c>
      <c r="M1145">
        <v>296</v>
      </c>
      <c r="N1145" t="s">
        <v>553</v>
      </c>
    </row>
    <row r="1146" spans="1:14" x14ac:dyDescent="0.2">
      <c r="A1146" t="s">
        <v>1099</v>
      </c>
      <c r="B1146" t="s">
        <v>32</v>
      </c>
      <c r="C1146">
        <v>37</v>
      </c>
      <c r="D1146">
        <v>10</v>
      </c>
      <c r="E1146">
        <v>27</v>
      </c>
      <c r="F1146">
        <v>36</v>
      </c>
      <c r="G1146">
        <v>10</v>
      </c>
      <c r="H1146">
        <v>26</v>
      </c>
      <c r="I1146">
        <v>0.15740000000000001</v>
      </c>
      <c r="J1146">
        <f t="shared" si="17"/>
        <v>0.19059720457433288</v>
      </c>
      <c r="K1146">
        <v>2.9999999999999997E-4</v>
      </c>
      <c r="L1146" t="s">
        <v>17</v>
      </c>
      <c r="M1146">
        <v>296</v>
      </c>
      <c r="N1146" t="s">
        <v>553</v>
      </c>
    </row>
    <row r="1147" spans="1:14" x14ac:dyDescent="0.2">
      <c r="A1147" t="s">
        <v>1099</v>
      </c>
      <c r="B1147" t="s">
        <v>32</v>
      </c>
      <c r="C1147">
        <v>35</v>
      </c>
      <c r="D1147">
        <v>7</v>
      </c>
      <c r="E1147">
        <v>28</v>
      </c>
      <c r="F1147">
        <v>34</v>
      </c>
      <c r="G1147">
        <v>7</v>
      </c>
      <c r="H1147">
        <v>27</v>
      </c>
      <c r="I1147">
        <v>0.17</v>
      </c>
      <c r="J1147">
        <f t="shared" si="17"/>
        <v>0.1176470588235294</v>
      </c>
      <c r="K1147">
        <v>2.0000000000000001E-4</v>
      </c>
      <c r="L1147" t="s">
        <v>17</v>
      </c>
      <c r="M1147">
        <v>296</v>
      </c>
      <c r="N1147" t="s">
        <v>553</v>
      </c>
    </row>
    <row r="1148" spans="1:14" x14ac:dyDescent="0.2">
      <c r="A1148" t="s">
        <v>1099</v>
      </c>
      <c r="B1148" t="s">
        <v>32</v>
      </c>
      <c r="C1148">
        <v>34</v>
      </c>
      <c r="D1148">
        <v>4</v>
      </c>
      <c r="E1148">
        <v>31</v>
      </c>
      <c r="F1148">
        <v>33</v>
      </c>
      <c r="G1148">
        <v>4</v>
      </c>
      <c r="H1148">
        <v>30</v>
      </c>
      <c r="I1148">
        <v>0.16039999999999999</v>
      </c>
      <c r="J1148">
        <f t="shared" si="17"/>
        <v>0.12468827930174566</v>
      </c>
      <c r="K1148">
        <v>2.0000000000000001E-4</v>
      </c>
      <c r="L1148" t="s">
        <v>17</v>
      </c>
      <c r="M1148">
        <v>296</v>
      </c>
      <c r="N1148" t="s">
        <v>553</v>
      </c>
    </row>
    <row r="1149" spans="1:14" x14ac:dyDescent="0.2">
      <c r="A1149" t="s">
        <v>1099</v>
      </c>
      <c r="B1149" t="s">
        <v>32</v>
      </c>
      <c r="C1149">
        <v>40</v>
      </c>
      <c r="D1149">
        <v>13</v>
      </c>
      <c r="E1149">
        <v>28</v>
      </c>
      <c r="F1149">
        <v>39</v>
      </c>
      <c r="G1149">
        <v>13</v>
      </c>
      <c r="H1149">
        <v>27</v>
      </c>
      <c r="I1149">
        <v>0.15160000000000001</v>
      </c>
      <c r="J1149">
        <f t="shared" si="17"/>
        <v>0.52770448548812665</v>
      </c>
      <c r="K1149">
        <v>8.0000000000000004E-4</v>
      </c>
      <c r="L1149" t="s">
        <v>17</v>
      </c>
      <c r="M1149">
        <v>296</v>
      </c>
      <c r="N1149" t="s">
        <v>553</v>
      </c>
    </row>
    <row r="1150" spans="1:14" x14ac:dyDescent="0.2">
      <c r="A1150" t="s">
        <v>1099</v>
      </c>
      <c r="B1150" t="s">
        <v>32</v>
      </c>
      <c r="C1150">
        <v>39</v>
      </c>
      <c r="D1150">
        <v>12</v>
      </c>
      <c r="E1150">
        <v>27</v>
      </c>
      <c r="F1150">
        <v>38</v>
      </c>
      <c r="G1150">
        <v>12</v>
      </c>
      <c r="H1150">
        <v>26</v>
      </c>
      <c r="I1150">
        <v>0.13919999999999999</v>
      </c>
      <c r="J1150">
        <f t="shared" si="17"/>
        <v>0.50287356321839083</v>
      </c>
      <c r="K1150">
        <v>6.9999999999999999E-4</v>
      </c>
      <c r="L1150" t="s">
        <v>17</v>
      </c>
      <c r="M1150">
        <v>296</v>
      </c>
      <c r="N1150" t="s">
        <v>553</v>
      </c>
    </row>
    <row r="1151" spans="1:14" x14ac:dyDescent="0.2">
      <c r="A1151" t="s">
        <v>1099</v>
      </c>
      <c r="B1151" t="s">
        <v>32</v>
      </c>
      <c r="C1151">
        <v>37</v>
      </c>
      <c r="D1151">
        <v>0</v>
      </c>
      <c r="E1151">
        <v>37</v>
      </c>
      <c r="F1151">
        <v>36</v>
      </c>
      <c r="G1151">
        <v>0</v>
      </c>
      <c r="H1151">
        <v>36</v>
      </c>
      <c r="I1151">
        <v>0.14940000000000001</v>
      </c>
      <c r="J1151">
        <f t="shared" si="17"/>
        <v>6.6934404283801874E-2</v>
      </c>
      <c r="K1151">
        <v>1E-4</v>
      </c>
      <c r="L1151" t="s">
        <v>17</v>
      </c>
      <c r="M1151">
        <v>296</v>
      </c>
      <c r="N1151" t="s">
        <v>553</v>
      </c>
    </row>
    <row r="1152" spans="1:14" x14ac:dyDescent="0.2">
      <c r="A1152" t="s">
        <v>1099</v>
      </c>
      <c r="B1152" t="s">
        <v>32</v>
      </c>
      <c r="C1152">
        <v>36</v>
      </c>
      <c r="D1152">
        <v>2</v>
      </c>
      <c r="E1152">
        <v>35</v>
      </c>
      <c r="F1152">
        <v>35</v>
      </c>
      <c r="G1152">
        <v>2</v>
      </c>
      <c r="H1152">
        <v>34</v>
      </c>
      <c r="I1152">
        <v>0.15609999999999999</v>
      </c>
      <c r="J1152">
        <f t="shared" si="17"/>
        <v>0.12812299807815505</v>
      </c>
      <c r="K1152">
        <v>2.0000000000000001E-4</v>
      </c>
      <c r="L1152" t="s">
        <v>17</v>
      </c>
      <c r="M1152">
        <v>296</v>
      </c>
      <c r="N1152" t="s">
        <v>553</v>
      </c>
    </row>
    <row r="1153" spans="1:14" x14ac:dyDescent="0.2">
      <c r="A1153" t="s">
        <v>1099</v>
      </c>
      <c r="B1153" t="s">
        <v>32</v>
      </c>
      <c r="C1153">
        <v>36</v>
      </c>
      <c r="D1153">
        <v>8</v>
      </c>
      <c r="E1153">
        <v>29</v>
      </c>
      <c r="F1153">
        <v>35</v>
      </c>
      <c r="G1153">
        <v>8</v>
      </c>
      <c r="H1153">
        <v>28</v>
      </c>
      <c r="I1153">
        <v>0.1716</v>
      </c>
      <c r="J1153">
        <f t="shared" si="17"/>
        <v>0.11655011655011654</v>
      </c>
      <c r="K1153">
        <v>2.0000000000000001E-4</v>
      </c>
      <c r="L1153" t="s">
        <v>17</v>
      </c>
      <c r="M1153">
        <v>296</v>
      </c>
      <c r="N1153" t="s">
        <v>553</v>
      </c>
    </row>
    <row r="1154" spans="1:14" x14ac:dyDescent="0.2">
      <c r="A1154" t="s">
        <v>1099</v>
      </c>
      <c r="B1154" t="s">
        <v>32</v>
      </c>
      <c r="C1154">
        <v>33</v>
      </c>
      <c r="D1154">
        <v>3</v>
      </c>
      <c r="E1154">
        <v>30</v>
      </c>
      <c r="F1154">
        <v>32</v>
      </c>
      <c r="G1154">
        <v>3</v>
      </c>
      <c r="H1154">
        <v>29</v>
      </c>
      <c r="I1154">
        <v>0.16159999999999999</v>
      </c>
      <c r="J1154">
        <f t="shared" si="17"/>
        <v>0.18564356435643564</v>
      </c>
      <c r="K1154">
        <v>2.9999999999999997E-4</v>
      </c>
      <c r="L1154" t="s">
        <v>17</v>
      </c>
      <c r="M1154">
        <v>296</v>
      </c>
      <c r="N1154" t="s">
        <v>553</v>
      </c>
    </row>
    <row r="1155" spans="1:14" x14ac:dyDescent="0.2">
      <c r="A1155" t="s">
        <v>1099</v>
      </c>
      <c r="B1155" t="s">
        <v>32</v>
      </c>
      <c r="C1155">
        <v>33</v>
      </c>
      <c r="D1155">
        <v>4</v>
      </c>
      <c r="E1155">
        <v>29</v>
      </c>
      <c r="F1155">
        <v>32</v>
      </c>
      <c r="G1155">
        <v>4</v>
      </c>
      <c r="H1155">
        <v>28</v>
      </c>
      <c r="I1155">
        <v>0.14050000000000001</v>
      </c>
      <c r="J1155">
        <f t="shared" ref="J1155:J1218" si="18">K1155/I1155*100</f>
        <v>0.14234875444839856</v>
      </c>
      <c r="K1155">
        <v>2.0000000000000001E-4</v>
      </c>
      <c r="L1155" t="s">
        <v>17</v>
      </c>
      <c r="M1155">
        <v>296</v>
      </c>
      <c r="N1155" t="s">
        <v>553</v>
      </c>
    </row>
    <row r="1156" spans="1:14" x14ac:dyDescent="0.2">
      <c r="A1156" t="s">
        <v>1099</v>
      </c>
      <c r="B1156" t="s">
        <v>32</v>
      </c>
      <c r="C1156">
        <v>44</v>
      </c>
      <c r="D1156">
        <v>16</v>
      </c>
      <c r="E1156">
        <v>29</v>
      </c>
      <c r="F1156">
        <v>43</v>
      </c>
      <c r="G1156">
        <v>16</v>
      </c>
      <c r="H1156">
        <v>28</v>
      </c>
      <c r="I1156">
        <v>0.121</v>
      </c>
      <c r="J1156">
        <f t="shared" si="18"/>
        <v>0.74380165289256195</v>
      </c>
      <c r="K1156">
        <v>8.9999999999999998E-4</v>
      </c>
      <c r="L1156" t="s">
        <v>17</v>
      </c>
      <c r="M1156">
        <v>296</v>
      </c>
      <c r="N1156" t="s">
        <v>553</v>
      </c>
    </row>
    <row r="1157" spans="1:14" x14ac:dyDescent="0.2">
      <c r="A1157" t="s">
        <v>1099</v>
      </c>
      <c r="B1157" t="s">
        <v>32</v>
      </c>
      <c r="C1157">
        <v>37</v>
      </c>
      <c r="D1157">
        <v>9</v>
      </c>
      <c r="E1157">
        <v>28</v>
      </c>
      <c r="F1157">
        <v>36</v>
      </c>
      <c r="G1157">
        <v>9</v>
      </c>
      <c r="H1157">
        <v>27</v>
      </c>
      <c r="I1157">
        <v>0.1613</v>
      </c>
      <c r="J1157">
        <f t="shared" si="18"/>
        <v>0.18598884066955981</v>
      </c>
      <c r="K1157">
        <v>2.9999999999999997E-4</v>
      </c>
      <c r="L1157" t="s">
        <v>17</v>
      </c>
      <c r="M1157">
        <v>296</v>
      </c>
      <c r="N1157" t="s">
        <v>553</v>
      </c>
    </row>
    <row r="1158" spans="1:14" x14ac:dyDescent="0.2">
      <c r="A1158" t="s">
        <v>1099</v>
      </c>
      <c r="B1158" t="s">
        <v>32</v>
      </c>
      <c r="C1158">
        <v>35</v>
      </c>
      <c r="D1158">
        <v>6</v>
      </c>
      <c r="E1158">
        <v>29</v>
      </c>
      <c r="F1158">
        <v>34</v>
      </c>
      <c r="G1158">
        <v>6</v>
      </c>
      <c r="H1158">
        <v>28</v>
      </c>
      <c r="I1158">
        <v>0.17080000000000001</v>
      </c>
      <c r="J1158">
        <f t="shared" si="18"/>
        <v>0.117096018735363</v>
      </c>
      <c r="K1158">
        <v>2.0000000000000001E-4</v>
      </c>
      <c r="L1158" t="s">
        <v>17</v>
      </c>
      <c r="M1158">
        <v>296</v>
      </c>
      <c r="N1158" t="s">
        <v>553</v>
      </c>
    </row>
    <row r="1159" spans="1:14" x14ac:dyDescent="0.2">
      <c r="A1159" t="s">
        <v>1099</v>
      </c>
      <c r="B1159" t="s">
        <v>32</v>
      </c>
      <c r="C1159">
        <v>35</v>
      </c>
      <c r="D1159">
        <v>2</v>
      </c>
      <c r="E1159">
        <v>33</v>
      </c>
      <c r="F1159">
        <v>34</v>
      </c>
      <c r="G1159">
        <v>2</v>
      </c>
      <c r="H1159">
        <v>32</v>
      </c>
      <c r="I1159">
        <v>0.1668</v>
      </c>
      <c r="J1159">
        <f t="shared" si="18"/>
        <v>0.11990407673860913</v>
      </c>
      <c r="K1159">
        <v>2.0000000000000001E-4</v>
      </c>
      <c r="L1159" t="s">
        <v>17</v>
      </c>
      <c r="M1159">
        <v>296</v>
      </c>
      <c r="N1159" t="s">
        <v>553</v>
      </c>
    </row>
    <row r="1160" spans="1:14" x14ac:dyDescent="0.2">
      <c r="A1160" t="s">
        <v>1099</v>
      </c>
      <c r="B1160" t="s">
        <v>32</v>
      </c>
      <c r="C1160">
        <v>43</v>
      </c>
      <c r="D1160">
        <v>15</v>
      </c>
      <c r="E1160">
        <v>28</v>
      </c>
      <c r="F1160">
        <v>42</v>
      </c>
      <c r="G1160">
        <v>15</v>
      </c>
      <c r="H1160">
        <v>27</v>
      </c>
      <c r="I1160">
        <v>0.129</v>
      </c>
      <c r="J1160">
        <f t="shared" si="18"/>
        <v>0.62015503875968991</v>
      </c>
      <c r="K1160">
        <v>8.0000000000000004E-4</v>
      </c>
      <c r="L1160" t="s">
        <v>17</v>
      </c>
      <c r="M1160">
        <v>296</v>
      </c>
      <c r="N1160" t="s">
        <v>553</v>
      </c>
    </row>
    <row r="1161" spans="1:14" x14ac:dyDescent="0.2">
      <c r="A1161" t="s">
        <v>1099</v>
      </c>
      <c r="B1161" t="s">
        <v>32</v>
      </c>
      <c r="C1161">
        <v>38</v>
      </c>
      <c r="D1161">
        <v>10</v>
      </c>
      <c r="E1161">
        <v>29</v>
      </c>
      <c r="F1161">
        <v>37</v>
      </c>
      <c r="G1161">
        <v>10</v>
      </c>
      <c r="H1161">
        <v>28</v>
      </c>
      <c r="I1161">
        <v>0.15590000000000001</v>
      </c>
      <c r="J1161">
        <f t="shared" si="18"/>
        <v>0.25657472738935211</v>
      </c>
      <c r="K1161">
        <v>4.0000000000000002E-4</v>
      </c>
      <c r="L1161" t="s">
        <v>17</v>
      </c>
      <c r="M1161">
        <v>296</v>
      </c>
      <c r="N1161" t="s">
        <v>553</v>
      </c>
    </row>
    <row r="1162" spans="1:14" x14ac:dyDescent="0.2">
      <c r="A1162" t="s">
        <v>1099</v>
      </c>
      <c r="B1162" t="s">
        <v>32</v>
      </c>
      <c r="C1162">
        <v>42</v>
      </c>
      <c r="D1162">
        <v>14</v>
      </c>
      <c r="E1162">
        <v>29</v>
      </c>
      <c r="F1162">
        <v>41</v>
      </c>
      <c r="G1162">
        <v>14</v>
      </c>
      <c r="H1162">
        <v>28</v>
      </c>
      <c r="I1162">
        <v>0.13600000000000001</v>
      </c>
      <c r="J1162">
        <f t="shared" si="18"/>
        <v>0.29411764705882354</v>
      </c>
      <c r="K1162">
        <v>4.0000000000000002E-4</v>
      </c>
      <c r="L1162" t="s">
        <v>17</v>
      </c>
      <c r="M1162">
        <v>296</v>
      </c>
      <c r="N1162" t="s">
        <v>553</v>
      </c>
    </row>
    <row r="1163" spans="1:14" x14ac:dyDescent="0.2">
      <c r="A1163" t="s">
        <v>1099</v>
      </c>
      <c r="B1163" t="s">
        <v>32</v>
      </c>
      <c r="C1163">
        <v>37</v>
      </c>
      <c r="D1163">
        <v>1</v>
      </c>
      <c r="E1163">
        <v>36</v>
      </c>
      <c r="F1163">
        <v>36</v>
      </c>
      <c r="G1163">
        <v>1</v>
      </c>
      <c r="H1163">
        <v>35</v>
      </c>
      <c r="I1163">
        <v>0.1573</v>
      </c>
      <c r="J1163">
        <f t="shared" si="18"/>
        <v>6.3572790845518118E-2</v>
      </c>
      <c r="K1163">
        <v>1E-4</v>
      </c>
      <c r="L1163" t="s">
        <v>17</v>
      </c>
      <c r="M1163">
        <v>296</v>
      </c>
      <c r="N1163" t="s">
        <v>553</v>
      </c>
    </row>
    <row r="1164" spans="1:14" x14ac:dyDescent="0.2">
      <c r="A1164" t="s">
        <v>1099</v>
      </c>
      <c r="B1164" t="s">
        <v>32</v>
      </c>
      <c r="C1164">
        <v>36</v>
      </c>
      <c r="D1164">
        <v>3</v>
      </c>
      <c r="E1164">
        <v>34</v>
      </c>
      <c r="F1164">
        <v>35</v>
      </c>
      <c r="G1164">
        <v>3</v>
      </c>
      <c r="H1164">
        <v>33</v>
      </c>
      <c r="I1164">
        <v>0.1641</v>
      </c>
      <c r="J1164">
        <f t="shared" si="18"/>
        <v>6.0938452163315053E-2</v>
      </c>
      <c r="K1164">
        <v>1E-4</v>
      </c>
      <c r="L1164" t="s">
        <v>17</v>
      </c>
      <c r="M1164">
        <v>296</v>
      </c>
      <c r="N1164" t="s">
        <v>553</v>
      </c>
    </row>
    <row r="1165" spans="1:14" x14ac:dyDescent="0.2">
      <c r="A1165" t="s">
        <v>1099</v>
      </c>
      <c r="B1165" t="s">
        <v>32</v>
      </c>
      <c r="C1165">
        <v>37</v>
      </c>
      <c r="D1165">
        <v>8</v>
      </c>
      <c r="E1165">
        <v>29</v>
      </c>
      <c r="F1165">
        <v>36</v>
      </c>
      <c r="G1165">
        <v>8</v>
      </c>
      <c r="H1165">
        <v>28</v>
      </c>
      <c r="I1165">
        <v>0.16439999999999999</v>
      </c>
      <c r="J1165">
        <f t="shared" si="18"/>
        <v>0.12165450121654502</v>
      </c>
      <c r="K1165">
        <v>2.0000000000000001E-4</v>
      </c>
      <c r="L1165" t="s">
        <v>17</v>
      </c>
      <c r="M1165">
        <v>296</v>
      </c>
      <c r="N1165" t="s">
        <v>553</v>
      </c>
    </row>
    <row r="1166" spans="1:14" x14ac:dyDescent="0.2">
      <c r="A1166" t="s">
        <v>1099</v>
      </c>
      <c r="B1166" t="s">
        <v>32</v>
      </c>
      <c r="C1166">
        <v>45</v>
      </c>
      <c r="D1166">
        <v>16</v>
      </c>
      <c r="E1166">
        <v>29</v>
      </c>
      <c r="F1166">
        <v>44</v>
      </c>
      <c r="G1166">
        <v>16</v>
      </c>
      <c r="H1166">
        <v>28</v>
      </c>
      <c r="I1166">
        <v>0.1328</v>
      </c>
      <c r="J1166">
        <f t="shared" si="18"/>
        <v>0.60240963855421692</v>
      </c>
      <c r="K1166">
        <v>8.0000000000000004E-4</v>
      </c>
      <c r="L1166" t="s">
        <v>17</v>
      </c>
      <c r="M1166">
        <v>296</v>
      </c>
      <c r="N1166" t="s">
        <v>553</v>
      </c>
    </row>
    <row r="1167" spans="1:14" x14ac:dyDescent="0.2">
      <c r="A1167" t="s">
        <v>1099</v>
      </c>
      <c r="B1167" t="s">
        <v>32</v>
      </c>
      <c r="C1167">
        <v>38</v>
      </c>
      <c r="D1167">
        <v>9</v>
      </c>
      <c r="E1167">
        <v>30</v>
      </c>
      <c r="F1167">
        <v>37</v>
      </c>
      <c r="G1167">
        <v>9</v>
      </c>
      <c r="H1167">
        <v>29</v>
      </c>
      <c r="I1167">
        <v>0.1585</v>
      </c>
      <c r="J1167">
        <f t="shared" si="18"/>
        <v>0.1892744479495268</v>
      </c>
      <c r="K1167">
        <v>2.9999999999999997E-4</v>
      </c>
      <c r="L1167" t="s">
        <v>17</v>
      </c>
      <c r="M1167">
        <v>296</v>
      </c>
      <c r="N1167" t="s">
        <v>553</v>
      </c>
    </row>
    <row r="1168" spans="1:14" x14ac:dyDescent="0.2">
      <c r="A1168" t="s">
        <v>1099</v>
      </c>
      <c r="B1168" t="s">
        <v>32</v>
      </c>
      <c r="C1168">
        <v>44</v>
      </c>
      <c r="D1168">
        <v>15</v>
      </c>
      <c r="E1168">
        <v>30</v>
      </c>
      <c r="F1168">
        <v>43</v>
      </c>
      <c r="G1168">
        <v>15</v>
      </c>
      <c r="H1168">
        <v>29</v>
      </c>
      <c r="I1168">
        <v>0.1338</v>
      </c>
      <c r="J1168">
        <f t="shared" si="18"/>
        <v>0.44843049327354262</v>
      </c>
      <c r="K1168">
        <v>5.9999999999999995E-4</v>
      </c>
      <c r="L1168" t="s">
        <v>17</v>
      </c>
      <c r="M1168">
        <v>296</v>
      </c>
      <c r="N1168" t="s">
        <v>553</v>
      </c>
    </row>
    <row r="1169" spans="1:14" x14ac:dyDescent="0.2">
      <c r="A1169" t="s">
        <v>1099</v>
      </c>
      <c r="B1169" t="s">
        <v>32</v>
      </c>
      <c r="C1169">
        <v>39</v>
      </c>
      <c r="D1169">
        <v>10</v>
      </c>
      <c r="E1169">
        <v>29</v>
      </c>
      <c r="F1169">
        <v>38</v>
      </c>
      <c r="G1169">
        <v>10</v>
      </c>
      <c r="H1169">
        <v>28</v>
      </c>
      <c r="I1169">
        <v>0.15740000000000001</v>
      </c>
      <c r="J1169">
        <f t="shared" si="18"/>
        <v>0.19059720457433288</v>
      </c>
      <c r="K1169">
        <v>2.9999999999999997E-4</v>
      </c>
      <c r="L1169" t="s">
        <v>17</v>
      </c>
      <c r="M1169">
        <v>296</v>
      </c>
      <c r="N1169" t="s">
        <v>553</v>
      </c>
    </row>
    <row r="1170" spans="1:14" x14ac:dyDescent="0.2">
      <c r="A1170" t="s">
        <v>1099</v>
      </c>
      <c r="B1170" t="s">
        <v>32</v>
      </c>
      <c r="C1170">
        <v>43</v>
      </c>
      <c r="D1170">
        <v>14</v>
      </c>
      <c r="E1170">
        <v>29</v>
      </c>
      <c r="F1170">
        <v>42</v>
      </c>
      <c r="G1170">
        <v>14</v>
      </c>
      <c r="H1170">
        <v>28</v>
      </c>
      <c r="I1170">
        <v>0.13880000000000001</v>
      </c>
      <c r="J1170">
        <f t="shared" si="18"/>
        <v>0.36023054755043227</v>
      </c>
      <c r="K1170">
        <v>5.0000000000000001E-4</v>
      </c>
      <c r="L1170" t="s">
        <v>17</v>
      </c>
      <c r="M1170">
        <v>296</v>
      </c>
      <c r="N1170" t="s">
        <v>553</v>
      </c>
    </row>
    <row r="1171" spans="1:14" x14ac:dyDescent="0.2">
      <c r="A1171" t="s">
        <v>1099</v>
      </c>
      <c r="B1171" t="s">
        <v>32</v>
      </c>
      <c r="C1171">
        <v>39</v>
      </c>
      <c r="D1171">
        <v>0</v>
      </c>
      <c r="E1171">
        <v>39</v>
      </c>
      <c r="F1171">
        <v>38</v>
      </c>
      <c r="G1171">
        <v>0</v>
      </c>
      <c r="H1171">
        <v>38</v>
      </c>
      <c r="I1171">
        <v>0.14749999999999999</v>
      </c>
      <c r="J1171">
        <f t="shared" si="18"/>
        <v>0.13559322033898305</v>
      </c>
      <c r="K1171">
        <v>2.0000000000000001E-4</v>
      </c>
      <c r="L1171" t="s">
        <v>17</v>
      </c>
      <c r="M1171">
        <v>296</v>
      </c>
      <c r="N1171" t="s">
        <v>553</v>
      </c>
    </row>
    <row r="1172" spans="1:14" x14ac:dyDescent="0.2">
      <c r="A1172" t="s">
        <v>1099</v>
      </c>
      <c r="B1172" t="s">
        <v>32</v>
      </c>
      <c r="C1172">
        <v>41</v>
      </c>
      <c r="D1172">
        <v>12</v>
      </c>
      <c r="E1172">
        <v>29</v>
      </c>
      <c r="F1172">
        <v>40</v>
      </c>
      <c r="G1172">
        <v>12</v>
      </c>
      <c r="H1172">
        <v>28</v>
      </c>
      <c r="I1172">
        <v>0.14549999999999999</v>
      </c>
      <c r="J1172">
        <f t="shared" si="18"/>
        <v>0.27491408934707906</v>
      </c>
      <c r="K1172">
        <v>4.0000000000000002E-4</v>
      </c>
      <c r="L1172" t="s">
        <v>17</v>
      </c>
      <c r="M1172">
        <v>296</v>
      </c>
      <c r="N1172" t="s">
        <v>553</v>
      </c>
    </row>
    <row r="1173" spans="1:14" x14ac:dyDescent="0.2">
      <c r="A1173" t="s">
        <v>1099</v>
      </c>
      <c r="B1173" t="s">
        <v>32</v>
      </c>
      <c r="C1173">
        <v>38</v>
      </c>
      <c r="D1173">
        <v>2</v>
      </c>
      <c r="E1173">
        <v>37</v>
      </c>
      <c r="F1173">
        <v>37</v>
      </c>
      <c r="G1173">
        <v>2</v>
      </c>
      <c r="H1173">
        <v>36</v>
      </c>
      <c r="I1173">
        <v>0.14499999999999999</v>
      </c>
      <c r="J1173">
        <f t="shared" si="18"/>
        <v>1.3103448275862069</v>
      </c>
      <c r="K1173">
        <v>1.9E-3</v>
      </c>
      <c r="L1173" t="s">
        <v>17</v>
      </c>
      <c r="M1173">
        <v>296</v>
      </c>
      <c r="N1173" t="s">
        <v>553</v>
      </c>
    </row>
    <row r="1174" spans="1:14" x14ac:dyDescent="0.2">
      <c r="A1174" t="s">
        <v>1099</v>
      </c>
      <c r="B1174" t="s">
        <v>32</v>
      </c>
      <c r="C1174">
        <v>46</v>
      </c>
      <c r="D1174">
        <v>16</v>
      </c>
      <c r="E1174">
        <v>31</v>
      </c>
      <c r="F1174">
        <v>45</v>
      </c>
      <c r="G1174">
        <v>16</v>
      </c>
      <c r="H1174">
        <v>30</v>
      </c>
      <c r="I1174">
        <v>0.12670000000000001</v>
      </c>
      <c r="J1174">
        <f t="shared" si="18"/>
        <v>0.78926598263614844</v>
      </c>
      <c r="K1174">
        <v>1E-3</v>
      </c>
      <c r="L1174" t="s">
        <v>17</v>
      </c>
      <c r="M1174">
        <v>296</v>
      </c>
      <c r="N1174" t="s">
        <v>553</v>
      </c>
    </row>
    <row r="1175" spans="1:14" x14ac:dyDescent="0.2">
      <c r="A1175" t="s">
        <v>1099</v>
      </c>
      <c r="B1175" t="s">
        <v>32</v>
      </c>
      <c r="C1175">
        <v>35</v>
      </c>
      <c r="D1175">
        <v>3</v>
      </c>
      <c r="E1175">
        <v>32</v>
      </c>
      <c r="F1175">
        <v>34</v>
      </c>
      <c r="G1175">
        <v>3</v>
      </c>
      <c r="H1175">
        <v>31</v>
      </c>
      <c r="I1175">
        <v>0.16789999999999999</v>
      </c>
      <c r="J1175">
        <f t="shared" si="18"/>
        <v>0.11911852293031568</v>
      </c>
      <c r="K1175">
        <v>2.0000000000000001E-4</v>
      </c>
      <c r="L1175" t="s">
        <v>17</v>
      </c>
      <c r="M1175">
        <v>296</v>
      </c>
      <c r="N1175" t="s">
        <v>553</v>
      </c>
    </row>
    <row r="1176" spans="1:14" x14ac:dyDescent="0.2">
      <c r="A1176" t="s">
        <v>1099</v>
      </c>
      <c r="B1176" t="s">
        <v>32</v>
      </c>
      <c r="C1176">
        <v>38</v>
      </c>
      <c r="D1176">
        <v>8</v>
      </c>
      <c r="E1176">
        <v>31</v>
      </c>
      <c r="F1176">
        <v>37</v>
      </c>
      <c r="G1176">
        <v>8</v>
      </c>
      <c r="H1176">
        <v>30</v>
      </c>
      <c r="I1176">
        <v>0.16520000000000001</v>
      </c>
      <c r="J1176">
        <f t="shared" si="18"/>
        <v>0.18159806295399511</v>
      </c>
      <c r="K1176">
        <v>2.9999999999999997E-4</v>
      </c>
      <c r="L1176" t="s">
        <v>17</v>
      </c>
      <c r="M1176">
        <v>296</v>
      </c>
      <c r="N1176" t="s">
        <v>553</v>
      </c>
    </row>
    <row r="1177" spans="1:14" x14ac:dyDescent="0.2">
      <c r="A1177" t="s">
        <v>1099</v>
      </c>
      <c r="B1177" t="s">
        <v>32</v>
      </c>
      <c r="C1177">
        <v>37</v>
      </c>
      <c r="D1177">
        <v>2</v>
      </c>
      <c r="E1177">
        <v>35</v>
      </c>
      <c r="F1177">
        <v>36</v>
      </c>
      <c r="G1177">
        <v>2</v>
      </c>
      <c r="H1177">
        <v>34</v>
      </c>
      <c r="I1177">
        <v>0.16170000000000001</v>
      </c>
      <c r="J1177">
        <f t="shared" si="18"/>
        <v>6.1842918985776124E-2</v>
      </c>
      <c r="K1177">
        <v>1E-4</v>
      </c>
      <c r="L1177" t="s">
        <v>17</v>
      </c>
      <c r="M1177">
        <v>296</v>
      </c>
      <c r="N1177" t="s">
        <v>553</v>
      </c>
    </row>
    <row r="1178" spans="1:14" x14ac:dyDescent="0.2">
      <c r="A1178" t="s">
        <v>1099</v>
      </c>
      <c r="B1178" t="s">
        <v>32</v>
      </c>
      <c r="C1178">
        <v>45</v>
      </c>
      <c r="D1178">
        <v>15</v>
      </c>
      <c r="E1178">
        <v>30</v>
      </c>
      <c r="F1178">
        <v>44</v>
      </c>
      <c r="G1178">
        <v>15</v>
      </c>
      <c r="H1178">
        <v>29</v>
      </c>
      <c r="I1178">
        <v>0.1414</v>
      </c>
      <c r="J1178">
        <f t="shared" si="18"/>
        <v>0.49504950495049505</v>
      </c>
      <c r="K1178">
        <v>6.9999999999999999E-4</v>
      </c>
      <c r="L1178" t="s">
        <v>17</v>
      </c>
      <c r="M1178">
        <v>296</v>
      </c>
      <c r="N1178" t="s">
        <v>553</v>
      </c>
    </row>
    <row r="1179" spans="1:14" x14ac:dyDescent="0.2">
      <c r="A1179" t="s">
        <v>1099</v>
      </c>
      <c r="B1179" t="s">
        <v>32</v>
      </c>
      <c r="C1179">
        <v>39</v>
      </c>
      <c r="D1179">
        <v>9</v>
      </c>
      <c r="E1179">
        <v>30</v>
      </c>
      <c r="F1179">
        <v>38</v>
      </c>
      <c r="G1179">
        <v>9</v>
      </c>
      <c r="H1179">
        <v>29</v>
      </c>
      <c r="I1179">
        <v>0.16470000000000001</v>
      </c>
      <c r="J1179">
        <f t="shared" si="18"/>
        <v>0.18214936247723132</v>
      </c>
      <c r="K1179">
        <v>2.9999999999999997E-4</v>
      </c>
      <c r="L1179" t="s">
        <v>17</v>
      </c>
      <c r="M1179">
        <v>296</v>
      </c>
      <c r="N1179" t="s">
        <v>553</v>
      </c>
    </row>
    <row r="1180" spans="1:14" x14ac:dyDescent="0.2">
      <c r="A1180" t="s">
        <v>1099</v>
      </c>
      <c r="B1180" t="s">
        <v>32</v>
      </c>
      <c r="C1180">
        <v>35</v>
      </c>
      <c r="D1180">
        <v>4</v>
      </c>
      <c r="E1180">
        <v>31</v>
      </c>
      <c r="F1180">
        <v>34</v>
      </c>
      <c r="G1180">
        <v>4</v>
      </c>
      <c r="H1180">
        <v>30</v>
      </c>
      <c r="I1180">
        <v>0.16919999999999999</v>
      </c>
      <c r="J1180">
        <f t="shared" si="18"/>
        <v>0.11820330969267141</v>
      </c>
      <c r="K1180">
        <v>2.0000000000000001E-4</v>
      </c>
      <c r="L1180" t="s">
        <v>17</v>
      </c>
      <c r="M1180">
        <v>296</v>
      </c>
      <c r="N1180" t="s">
        <v>553</v>
      </c>
    </row>
    <row r="1181" spans="1:14" x14ac:dyDescent="0.2">
      <c r="A1181" t="s">
        <v>1099</v>
      </c>
      <c r="B1181" t="s">
        <v>32</v>
      </c>
      <c r="C1181">
        <v>37</v>
      </c>
      <c r="D1181">
        <v>6</v>
      </c>
      <c r="E1181">
        <v>31</v>
      </c>
      <c r="F1181">
        <v>36</v>
      </c>
      <c r="G1181">
        <v>6</v>
      </c>
      <c r="H1181">
        <v>30</v>
      </c>
      <c r="I1181">
        <v>0.17119999999999999</v>
      </c>
      <c r="J1181">
        <f t="shared" si="18"/>
        <v>0.52570093457943923</v>
      </c>
      <c r="K1181">
        <v>8.9999999999999998E-4</v>
      </c>
      <c r="L1181" t="s">
        <v>17</v>
      </c>
      <c r="M1181">
        <v>296</v>
      </c>
      <c r="N1181" t="s">
        <v>553</v>
      </c>
    </row>
    <row r="1182" spans="1:14" x14ac:dyDescent="0.2">
      <c r="A1182" t="s">
        <v>1099</v>
      </c>
      <c r="B1182" t="s">
        <v>32</v>
      </c>
      <c r="C1182">
        <v>40</v>
      </c>
      <c r="D1182">
        <v>1</v>
      </c>
      <c r="E1182">
        <v>40</v>
      </c>
      <c r="F1182">
        <v>39</v>
      </c>
      <c r="G1182">
        <v>1</v>
      </c>
      <c r="H1182">
        <v>39</v>
      </c>
      <c r="I1182">
        <v>0.14280000000000001</v>
      </c>
      <c r="J1182">
        <f t="shared" si="18"/>
        <v>0.42016806722689065</v>
      </c>
      <c r="K1182">
        <v>5.9999999999999995E-4</v>
      </c>
      <c r="L1182" t="s">
        <v>17</v>
      </c>
      <c r="M1182">
        <v>296</v>
      </c>
      <c r="N1182" t="s">
        <v>553</v>
      </c>
    </row>
    <row r="1183" spans="1:14" x14ac:dyDescent="0.2">
      <c r="A1183" t="s">
        <v>1099</v>
      </c>
      <c r="B1183" t="s">
        <v>32</v>
      </c>
      <c r="C1183">
        <v>40</v>
      </c>
      <c r="D1183">
        <v>10</v>
      </c>
      <c r="E1183">
        <v>31</v>
      </c>
      <c r="F1183">
        <v>39</v>
      </c>
      <c r="G1183">
        <v>10</v>
      </c>
      <c r="H1183">
        <v>30</v>
      </c>
      <c r="I1183">
        <v>0.16200000000000001</v>
      </c>
      <c r="J1183">
        <f t="shared" si="18"/>
        <v>0.30864197530864196</v>
      </c>
      <c r="K1183">
        <v>5.0000000000000001E-4</v>
      </c>
      <c r="L1183" t="s">
        <v>17</v>
      </c>
      <c r="M1183">
        <v>296</v>
      </c>
      <c r="N1183" t="s">
        <v>553</v>
      </c>
    </row>
    <row r="1184" spans="1:14" x14ac:dyDescent="0.2">
      <c r="A1184" t="s">
        <v>1099</v>
      </c>
      <c r="B1184" t="s">
        <v>32</v>
      </c>
      <c r="C1184">
        <v>39</v>
      </c>
      <c r="D1184">
        <v>1</v>
      </c>
      <c r="E1184">
        <v>38</v>
      </c>
      <c r="F1184">
        <v>38</v>
      </c>
      <c r="G1184">
        <v>1</v>
      </c>
      <c r="H1184">
        <v>37</v>
      </c>
      <c r="I1184">
        <v>0.14929999999999999</v>
      </c>
      <c r="J1184">
        <f t="shared" si="18"/>
        <v>0.46885465505693236</v>
      </c>
      <c r="K1184">
        <v>6.9999999999999999E-4</v>
      </c>
      <c r="L1184" t="s">
        <v>17</v>
      </c>
      <c r="M1184">
        <v>296</v>
      </c>
      <c r="N1184" t="s">
        <v>553</v>
      </c>
    </row>
    <row r="1185" spans="1:14" x14ac:dyDescent="0.2">
      <c r="A1185" t="s">
        <v>1099</v>
      </c>
      <c r="B1185" t="s">
        <v>32</v>
      </c>
      <c r="C1185">
        <v>42</v>
      </c>
      <c r="D1185">
        <v>12</v>
      </c>
      <c r="E1185">
        <v>31</v>
      </c>
      <c r="F1185">
        <v>41</v>
      </c>
      <c r="G1185">
        <v>12</v>
      </c>
      <c r="H1185">
        <v>30</v>
      </c>
      <c r="I1185">
        <v>0.14560000000000001</v>
      </c>
      <c r="J1185">
        <f t="shared" si="18"/>
        <v>0.20604395604395601</v>
      </c>
      <c r="K1185">
        <v>2.9999999999999997E-4</v>
      </c>
      <c r="L1185" t="s">
        <v>17</v>
      </c>
      <c r="M1185">
        <v>296</v>
      </c>
      <c r="N1185" t="s">
        <v>553</v>
      </c>
    </row>
    <row r="1186" spans="1:14" x14ac:dyDescent="0.2">
      <c r="A1186" t="s">
        <v>1099</v>
      </c>
      <c r="B1186" t="s">
        <v>32</v>
      </c>
      <c r="C1186">
        <v>38</v>
      </c>
      <c r="D1186">
        <v>7</v>
      </c>
      <c r="E1186">
        <v>32</v>
      </c>
      <c r="F1186">
        <v>37</v>
      </c>
      <c r="G1186">
        <v>7</v>
      </c>
      <c r="H1186">
        <v>31</v>
      </c>
      <c r="I1186">
        <v>0.17069999999999999</v>
      </c>
      <c r="J1186">
        <f t="shared" si="18"/>
        <v>0.23432923257176336</v>
      </c>
      <c r="K1186">
        <v>4.0000000000000002E-4</v>
      </c>
      <c r="L1186" t="s">
        <v>17</v>
      </c>
      <c r="M1186">
        <v>296</v>
      </c>
      <c r="N1186" t="s">
        <v>553</v>
      </c>
    </row>
    <row r="1187" spans="1:14" x14ac:dyDescent="0.2">
      <c r="A1187" t="s">
        <v>1099</v>
      </c>
      <c r="B1187" t="s">
        <v>32</v>
      </c>
      <c r="C1187">
        <v>38</v>
      </c>
      <c r="D1187">
        <v>3</v>
      </c>
      <c r="E1187">
        <v>36</v>
      </c>
      <c r="F1187">
        <v>37</v>
      </c>
      <c r="G1187">
        <v>3</v>
      </c>
      <c r="H1187">
        <v>35</v>
      </c>
      <c r="I1187">
        <v>0.16059999999999999</v>
      </c>
      <c r="J1187">
        <f t="shared" si="18"/>
        <v>0.12453300124533004</v>
      </c>
      <c r="K1187">
        <v>2.0000000000000001E-4</v>
      </c>
      <c r="L1187" t="s">
        <v>17</v>
      </c>
      <c r="M1187">
        <v>296</v>
      </c>
      <c r="N1187" t="s">
        <v>553</v>
      </c>
    </row>
    <row r="1188" spans="1:14" x14ac:dyDescent="0.2">
      <c r="A1188" t="s">
        <v>1099</v>
      </c>
      <c r="B1188" t="s">
        <v>32</v>
      </c>
      <c r="C1188">
        <v>47</v>
      </c>
      <c r="D1188">
        <v>16</v>
      </c>
      <c r="E1188">
        <v>31</v>
      </c>
      <c r="F1188">
        <v>46</v>
      </c>
      <c r="G1188">
        <v>16</v>
      </c>
      <c r="H1188">
        <v>30</v>
      </c>
      <c r="I1188">
        <v>0.1303</v>
      </c>
      <c r="J1188">
        <f t="shared" si="18"/>
        <v>0.53722179585571761</v>
      </c>
      <c r="K1188">
        <v>6.9999999999999999E-4</v>
      </c>
      <c r="L1188" t="s">
        <v>17</v>
      </c>
      <c r="M1188">
        <v>296</v>
      </c>
      <c r="N1188" t="s">
        <v>553</v>
      </c>
    </row>
    <row r="1189" spans="1:14" x14ac:dyDescent="0.2">
      <c r="A1189" t="s">
        <v>1099</v>
      </c>
      <c r="B1189" t="s">
        <v>32</v>
      </c>
      <c r="C1189">
        <v>39</v>
      </c>
      <c r="D1189">
        <v>8</v>
      </c>
      <c r="E1189">
        <v>31</v>
      </c>
      <c r="F1189">
        <v>38</v>
      </c>
      <c r="G1189">
        <v>8</v>
      </c>
      <c r="H1189">
        <v>30</v>
      </c>
      <c r="I1189">
        <v>0.16370000000000001</v>
      </c>
      <c r="J1189">
        <f t="shared" si="18"/>
        <v>0.12217470983506415</v>
      </c>
      <c r="K1189">
        <v>2.0000000000000001E-4</v>
      </c>
      <c r="L1189" t="s">
        <v>17</v>
      </c>
      <c r="M1189">
        <v>296</v>
      </c>
      <c r="N1189" t="s">
        <v>553</v>
      </c>
    </row>
    <row r="1190" spans="1:14" x14ac:dyDescent="0.2">
      <c r="A1190" t="s">
        <v>1099</v>
      </c>
      <c r="B1190" t="s">
        <v>32</v>
      </c>
      <c r="C1190">
        <v>46</v>
      </c>
      <c r="D1190">
        <v>15</v>
      </c>
      <c r="E1190">
        <v>32</v>
      </c>
      <c r="F1190">
        <v>45</v>
      </c>
      <c r="G1190">
        <v>15</v>
      </c>
      <c r="H1190">
        <v>31</v>
      </c>
      <c r="I1190">
        <v>0.1363</v>
      </c>
      <c r="J1190">
        <f t="shared" si="18"/>
        <v>0.44020542920029337</v>
      </c>
      <c r="K1190">
        <v>5.9999999999999995E-4</v>
      </c>
      <c r="L1190" t="s">
        <v>17</v>
      </c>
      <c r="M1190">
        <v>296</v>
      </c>
      <c r="N1190" t="s">
        <v>553</v>
      </c>
    </row>
    <row r="1191" spans="1:14" x14ac:dyDescent="0.2">
      <c r="A1191" t="s">
        <v>1099</v>
      </c>
      <c r="B1191" t="s">
        <v>32</v>
      </c>
      <c r="C1191">
        <v>40</v>
      </c>
      <c r="D1191">
        <v>9</v>
      </c>
      <c r="E1191">
        <v>32</v>
      </c>
      <c r="F1191">
        <v>39</v>
      </c>
      <c r="G1191">
        <v>9</v>
      </c>
      <c r="H1191">
        <v>31</v>
      </c>
      <c r="I1191">
        <v>0.159</v>
      </c>
      <c r="J1191">
        <f t="shared" si="18"/>
        <v>0.18867924528301885</v>
      </c>
      <c r="K1191">
        <v>2.9999999999999997E-4</v>
      </c>
      <c r="L1191" t="s">
        <v>17</v>
      </c>
      <c r="M1191">
        <v>296</v>
      </c>
      <c r="N1191" t="s">
        <v>553</v>
      </c>
    </row>
    <row r="1192" spans="1:14" x14ac:dyDescent="0.2">
      <c r="A1192" t="s">
        <v>1099</v>
      </c>
      <c r="B1192" t="s">
        <v>32</v>
      </c>
      <c r="C1192">
        <v>41</v>
      </c>
      <c r="D1192">
        <v>0</v>
      </c>
      <c r="E1192">
        <v>41</v>
      </c>
      <c r="F1192">
        <v>40</v>
      </c>
      <c r="G1192">
        <v>0</v>
      </c>
      <c r="H1192">
        <v>40</v>
      </c>
      <c r="I1192">
        <v>0.14460000000000001</v>
      </c>
      <c r="J1192">
        <f t="shared" si="18"/>
        <v>0.20746887966804975</v>
      </c>
      <c r="K1192">
        <v>2.9999999999999997E-4</v>
      </c>
      <c r="L1192" t="s">
        <v>17</v>
      </c>
      <c r="M1192">
        <v>296</v>
      </c>
      <c r="N1192" t="s">
        <v>553</v>
      </c>
    </row>
    <row r="1193" spans="1:14" x14ac:dyDescent="0.2">
      <c r="A1193" t="s">
        <v>1099</v>
      </c>
      <c r="B1193" t="s">
        <v>32</v>
      </c>
      <c r="C1193">
        <v>38</v>
      </c>
      <c r="D1193">
        <v>6</v>
      </c>
      <c r="E1193">
        <v>33</v>
      </c>
      <c r="F1193">
        <v>37</v>
      </c>
      <c r="G1193">
        <v>6</v>
      </c>
      <c r="H1193">
        <v>32</v>
      </c>
      <c r="I1193">
        <v>0.16769999999999999</v>
      </c>
      <c r="J1193">
        <f t="shared" si="18"/>
        <v>0.17889087656529518</v>
      </c>
      <c r="K1193">
        <v>2.9999999999999997E-4</v>
      </c>
      <c r="L1193" t="s">
        <v>17</v>
      </c>
      <c r="M1193">
        <v>296</v>
      </c>
      <c r="N1193" t="s">
        <v>553</v>
      </c>
    </row>
    <row r="1194" spans="1:14" x14ac:dyDescent="0.2">
      <c r="A1194" t="s">
        <v>1099</v>
      </c>
      <c r="B1194" t="s">
        <v>32</v>
      </c>
      <c r="C1194">
        <v>45</v>
      </c>
      <c r="D1194">
        <v>14</v>
      </c>
      <c r="E1194">
        <v>31</v>
      </c>
      <c r="F1194">
        <v>44</v>
      </c>
      <c r="G1194">
        <v>14</v>
      </c>
      <c r="H1194">
        <v>30</v>
      </c>
      <c r="I1194">
        <v>0.13439999999999999</v>
      </c>
      <c r="J1194">
        <f t="shared" si="18"/>
        <v>0.37202380952380953</v>
      </c>
      <c r="K1194">
        <v>5.0000000000000001E-4</v>
      </c>
      <c r="L1194" t="s">
        <v>17</v>
      </c>
      <c r="M1194">
        <v>296</v>
      </c>
      <c r="N1194" t="s">
        <v>553</v>
      </c>
    </row>
    <row r="1195" spans="1:14" x14ac:dyDescent="0.2">
      <c r="A1195" t="s">
        <v>1099</v>
      </c>
      <c r="B1195" t="s">
        <v>32</v>
      </c>
      <c r="C1195">
        <v>40</v>
      </c>
      <c r="D1195">
        <v>2</v>
      </c>
      <c r="E1195">
        <v>39</v>
      </c>
      <c r="F1195">
        <v>39</v>
      </c>
      <c r="G1195">
        <v>2</v>
      </c>
      <c r="H1195">
        <v>38</v>
      </c>
      <c r="I1195">
        <v>0.15049999999999999</v>
      </c>
      <c r="J1195">
        <f t="shared" si="18"/>
        <v>0.13289036544850499</v>
      </c>
      <c r="K1195">
        <v>2.0000000000000001E-4</v>
      </c>
      <c r="L1195" t="s">
        <v>17</v>
      </c>
      <c r="M1195">
        <v>296</v>
      </c>
      <c r="N1195" t="s">
        <v>553</v>
      </c>
    </row>
    <row r="1196" spans="1:14" x14ac:dyDescent="0.2">
      <c r="A1196" t="s">
        <v>1099</v>
      </c>
      <c r="B1196" t="s">
        <v>32</v>
      </c>
      <c r="C1196">
        <v>41</v>
      </c>
      <c r="D1196">
        <v>10</v>
      </c>
      <c r="E1196">
        <v>31</v>
      </c>
      <c r="F1196">
        <v>40</v>
      </c>
      <c r="G1196">
        <v>10</v>
      </c>
      <c r="H1196">
        <v>30</v>
      </c>
      <c r="I1196">
        <v>0.17249999999999999</v>
      </c>
      <c r="J1196">
        <f t="shared" si="18"/>
        <v>0.46376811594202905</v>
      </c>
      <c r="K1196">
        <v>8.0000000000000004E-4</v>
      </c>
      <c r="L1196" t="s">
        <v>17</v>
      </c>
      <c r="M1196">
        <v>296</v>
      </c>
      <c r="N1196" t="s">
        <v>553</v>
      </c>
    </row>
    <row r="1197" spans="1:14" x14ac:dyDescent="0.2">
      <c r="A1197" t="s">
        <v>1099</v>
      </c>
      <c r="B1197" t="s">
        <v>32</v>
      </c>
      <c r="C1197">
        <v>42</v>
      </c>
      <c r="D1197">
        <v>11</v>
      </c>
      <c r="E1197">
        <v>32</v>
      </c>
      <c r="F1197">
        <v>41</v>
      </c>
      <c r="G1197">
        <v>11</v>
      </c>
      <c r="H1197">
        <v>31</v>
      </c>
      <c r="I1197">
        <v>0.1517</v>
      </c>
      <c r="J1197">
        <f t="shared" si="18"/>
        <v>0.2636783124588003</v>
      </c>
      <c r="K1197">
        <v>4.0000000000000002E-4</v>
      </c>
      <c r="L1197" t="s">
        <v>17</v>
      </c>
      <c r="M1197">
        <v>296</v>
      </c>
      <c r="N1197" t="s">
        <v>553</v>
      </c>
    </row>
    <row r="1198" spans="1:14" x14ac:dyDescent="0.2">
      <c r="A1198" t="s">
        <v>1099</v>
      </c>
      <c r="B1198" t="s">
        <v>32</v>
      </c>
      <c r="C1198">
        <v>38</v>
      </c>
      <c r="D1198">
        <v>5</v>
      </c>
      <c r="E1198">
        <v>34</v>
      </c>
      <c r="F1198">
        <v>37</v>
      </c>
      <c r="G1198">
        <v>5</v>
      </c>
      <c r="H1198">
        <v>33</v>
      </c>
      <c r="I1198">
        <v>0.16550000000000001</v>
      </c>
      <c r="J1198">
        <f t="shared" si="18"/>
        <v>0.42296072507552868</v>
      </c>
      <c r="K1198">
        <v>6.9999999999999999E-4</v>
      </c>
      <c r="L1198" t="s">
        <v>17</v>
      </c>
      <c r="M1198">
        <v>296</v>
      </c>
      <c r="N1198" t="s">
        <v>553</v>
      </c>
    </row>
    <row r="1199" spans="1:14" x14ac:dyDescent="0.2">
      <c r="A1199" t="s">
        <v>1099</v>
      </c>
      <c r="B1199" t="s">
        <v>32</v>
      </c>
      <c r="C1199">
        <v>37</v>
      </c>
      <c r="D1199">
        <v>3</v>
      </c>
      <c r="E1199">
        <v>34</v>
      </c>
      <c r="F1199">
        <v>36</v>
      </c>
      <c r="G1199">
        <v>3</v>
      </c>
      <c r="H1199">
        <v>33</v>
      </c>
      <c r="I1199">
        <v>0.1706</v>
      </c>
      <c r="J1199">
        <f t="shared" si="18"/>
        <v>0.35169988276670572</v>
      </c>
      <c r="K1199">
        <v>5.9999999999999995E-4</v>
      </c>
      <c r="L1199" t="s">
        <v>17</v>
      </c>
      <c r="M1199">
        <v>296</v>
      </c>
      <c r="N1199" t="s">
        <v>553</v>
      </c>
    </row>
    <row r="1200" spans="1:14" x14ac:dyDescent="0.2">
      <c r="A1200" t="s">
        <v>1099</v>
      </c>
      <c r="B1200" t="s">
        <v>32</v>
      </c>
      <c r="C1200">
        <v>39</v>
      </c>
      <c r="D1200">
        <v>7</v>
      </c>
      <c r="E1200">
        <v>32</v>
      </c>
      <c r="F1200">
        <v>38</v>
      </c>
      <c r="G1200">
        <v>7</v>
      </c>
      <c r="H1200">
        <v>31</v>
      </c>
      <c r="I1200">
        <v>0.17499999999999999</v>
      </c>
      <c r="J1200">
        <f t="shared" si="18"/>
        <v>0.74285714285714288</v>
      </c>
      <c r="K1200">
        <v>1.2999999999999999E-3</v>
      </c>
      <c r="L1200" t="s">
        <v>17</v>
      </c>
      <c r="M1200">
        <v>296</v>
      </c>
      <c r="N1200" t="s">
        <v>553</v>
      </c>
    </row>
    <row r="1201" spans="1:14" x14ac:dyDescent="0.2">
      <c r="A1201" t="s">
        <v>1099</v>
      </c>
      <c r="B1201" t="s">
        <v>32</v>
      </c>
      <c r="C1201">
        <v>39</v>
      </c>
      <c r="D1201">
        <v>2</v>
      </c>
      <c r="E1201">
        <v>37</v>
      </c>
      <c r="F1201">
        <v>38</v>
      </c>
      <c r="G1201">
        <v>2</v>
      </c>
      <c r="H1201">
        <v>36</v>
      </c>
      <c r="I1201">
        <v>0.15279999999999999</v>
      </c>
      <c r="J1201">
        <f t="shared" si="18"/>
        <v>0.26178010471204188</v>
      </c>
      <c r="K1201">
        <v>4.0000000000000002E-4</v>
      </c>
      <c r="L1201" t="s">
        <v>17</v>
      </c>
      <c r="M1201">
        <v>296</v>
      </c>
      <c r="N1201" t="s">
        <v>553</v>
      </c>
    </row>
    <row r="1202" spans="1:14" x14ac:dyDescent="0.2">
      <c r="A1202" t="s">
        <v>1099</v>
      </c>
      <c r="B1202" t="s">
        <v>32</v>
      </c>
      <c r="C1202">
        <v>40</v>
      </c>
      <c r="D1202">
        <v>8</v>
      </c>
      <c r="E1202">
        <v>33</v>
      </c>
      <c r="F1202">
        <v>39</v>
      </c>
      <c r="G1202">
        <v>8</v>
      </c>
      <c r="H1202">
        <v>32</v>
      </c>
      <c r="I1202">
        <v>0.1704</v>
      </c>
      <c r="J1202">
        <f t="shared" si="18"/>
        <v>0.176056338028169</v>
      </c>
      <c r="K1202">
        <v>2.9999999999999997E-4</v>
      </c>
      <c r="L1202" t="s">
        <v>17</v>
      </c>
      <c r="M1202">
        <v>296</v>
      </c>
      <c r="N1202" t="s">
        <v>553</v>
      </c>
    </row>
    <row r="1203" spans="1:14" x14ac:dyDescent="0.2">
      <c r="A1203" t="s">
        <v>1099</v>
      </c>
      <c r="B1203" t="s">
        <v>32</v>
      </c>
      <c r="C1203">
        <v>42</v>
      </c>
      <c r="D1203">
        <v>1</v>
      </c>
      <c r="E1203">
        <v>42</v>
      </c>
      <c r="F1203">
        <v>41</v>
      </c>
      <c r="G1203">
        <v>1</v>
      </c>
      <c r="H1203">
        <v>41</v>
      </c>
      <c r="I1203">
        <v>0.1419</v>
      </c>
      <c r="J1203">
        <f t="shared" si="18"/>
        <v>7.0472163495419307E-2</v>
      </c>
      <c r="K1203">
        <v>1E-4</v>
      </c>
      <c r="L1203" t="s">
        <v>17</v>
      </c>
      <c r="M1203">
        <v>296</v>
      </c>
      <c r="N1203" t="s">
        <v>553</v>
      </c>
    </row>
    <row r="1204" spans="1:14" x14ac:dyDescent="0.2">
      <c r="A1204" t="s">
        <v>1099</v>
      </c>
      <c r="B1204" t="s">
        <v>32</v>
      </c>
      <c r="C1204">
        <v>41</v>
      </c>
      <c r="D1204">
        <v>9</v>
      </c>
      <c r="E1204">
        <v>32</v>
      </c>
      <c r="F1204">
        <v>40</v>
      </c>
      <c r="G1204">
        <v>9</v>
      </c>
      <c r="H1204">
        <v>31</v>
      </c>
      <c r="I1204">
        <v>0.15820000000000001</v>
      </c>
      <c r="J1204">
        <f t="shared" si="18"/>
        <v>0.1896333754740834</v>
      </c>
      <c r="K1204">
        <v>2.9999999999999997E-4</v>
      </c>
      <c r="L1204" t="s">
        <v>17</v>
      </c>
      <c r="M1204">
        <v>296</v>
      </c>
      <c r="N1204" t="s">
        <v>553</v>
      </c>
    </row>
    <row r="1205" spans="1:14" x14ac:dyDescent="0.2">
      <c r="A1205" t="s">
        <v>1099</v>
      </c>
      <c r="B1205" t="s">
        <v>32</v>
      </c>
      <c r="C1205">
        <v>46</v>
      </c>
      <c r="D1205">
        <v>14</v>
      </c>
      <c r="E1205">
        <v>33</v>
      </c>
      <c r="F1205">
        <v>45</v>
      </c>
      <c r="G1205">
        <v>14</v>
      </c>
      <c r="H1205">
        <v>32</v>
      </c>
      <c r="I1205">
        <v>0.1305</v>
      </c>
      <c r="J1205">
        <f t="shared" si="18"/>
        <v>0.61302681992337171</v>
      </c>
      <c r="K1205">
        <v>8.0000000000000004E-4</v>
      </c>
      <c r="L1205" t="s">
        <v>17</v>
      </c>
      <c r="M1205">
        <v>296</v>
      </c>
      <c r="N1205" t="s">
        <v>553</v>
      </c>
    </row>
    <row r="1206" spans="1:14" x14ac:dyDescent="0.2">
      <c r="A1206" t="s">
        <v>1099</v>
      </c>
      <c r="B1206" t="s">
        <v>32</v>
      </c>
      <c r="C1206">
        <v>41</v>
      </c>
      <c r="D1206">
        <v>1</v>
      </c>
      <c r="E1206">
        <v>40</v>
      </c>
      <c r="F1206">
        <v>40</v>
      </c>
      <c r="G1206">
        <v>1</v>
      </c>
      <c r="H1206">
        <v>39</v>
      </c>
      <c r="I1206">
        <v>0.1489</v>
      </c>
      <c r="J1206">
        <f t="shared" si="18"/>
        <v>0.13431833445265279</v>
      </c>
      <c r="K1206">
        <v>2.0000000000000001E-4</v>
      </c>
      <c r="L1206" t="s">
        <v>17</v>
      </c>
      <c r="M1206">
        <v>296</v>
      </c>
      <c r="N1206" t="s">
        <v>553</v>
      </c>
    </row>
    <row r="1207" spans="1:14" x14ac:dyDescent="0.2">
      <c r="A1207" t="s">
        <v>1099</v>
      </c>
      <c r="B1207" t="s">
        <v>32</v>
      </c>
      <c r="C1207">
        <v>42</v>
      </c>
      <c r="D1207">
        <v>10</v>
      </c>
      <c r="E1207">
        <v>33</v>
      </c>
      <c r="F1207">
        <v>41</v>
      </c>
      <c r="G1207">
        <v>10</v>
      </c>
      <c r="H1207">
        <v>32</v>
      </c>
      <c r="I1207">
        <v>0.16159999999999999</v>
      </c>
      <c r="J1207">
        <f t="shared" si="18"/>
        <v>0.3094059405940594</v>
      </c>
      <c r="K1207">
        <v>5.0000000000000001E-4</v>
      </c>
      <c r="L1207" t="s">
        <v>17</v>
      </c>
      <c r="M1207">
        <v>296</v>
      </c>
      <c r="N1207" t="s">
        <v>553</v>
      </c>
    </row>
    <row r="1208" spans="1:14" x14ac:dyDescent="0.2">
      <c r="A1208" t="s">
        <v>1099</v>
      </c>
      <c r="B1208" t="s">
        <v>32</v>
      </c>
      <c r="C1208">
        <v>45</v>
      </c>
      <c r="D1208">
        <v>13</v>
      </c>
      <c r="E1208">
        <v>32</v>
      </c>
      <c r="F1208">
        <v>44</v>
      </c>
      <c r="G1208">
        <v>13</v>
      </c>
      <c r="H1208">
        <v>31</v>
      </c>
      <c r="I1208">
        <v>0.1389</v>
      </c>
      <c r="J1208">
        <f t="shared" si="18"/>
        <v>0.50395968322534201</v>
      </c>
      <c r="K1208">
        <v>6.9999999999999999E-4</v>
      </c>
      <c r="L1208" t="s">
        <v>17</v>
      </c>
      <c r="M1208">
        <v>296</v>
      </c>
      <c r="N1208" t="s">
        <v>553</v>
      </c>
    </row>
    <row r="1209" spans="1:14" x14ac:dyDescent="0.2">
      <c r="A1209" t="s">
        <v>1099</v>
      </c>
      <c r="B1209" t="s">
        <v>32</v>
      </c>
      <c r="C1209">
        <v>40</v>
      </c>
      <c r="D1209">
        <v>3</v>
      </c>
      <c r="E1209">
        <v>38</v>
      </c>
      <c r="F1209">
        <v>39</v>
      </c>
      <c r="G1209">
        <v>3</v>
      </c>
      <c r="H1209">
        <v>37</v>
      </c>
      <c r="I1209">
        <v>0.15690000000000001</v>
      </c>
      <c r="J1209">
        <f t="shared" si="18"/>
        <v>0.19120458891013381</v>
      </c>
      <c r="K1209">
        <v>2.9999999999999997E-4</v>
      </c>
      <c r="L1209" t="s">
        <v>17</v>
      </c>
      <c r="M1209">
        <v>296</v>
      </c>
      <c r="N1209" t="s">
        <v>553</v>
      </c>
    </row>
    <row r="1210" spans="1:14" x14ac:dyDescent="0.2">
      <c r="A1210" t="s">
        <v>1099</v>
      </c>
      <c r="B1210" t="s">
        <v>32</v>
      </c>
      <c r="C1210">
        <v>37</v>
      </c>
      <c r="D1210">
        <v>4</v>
      </c>
      <c r="E1210">
        <v>33</v>
      </c>
      <c r="F1210">
        <v>36</v>
      </c>
      <c r="G1210">
        <v>4</v>
      </c>
      <c r="H1210">
        <v>32</v>
      </c>
      <c r="I1210">
        <v>0.1668</v>
      </c>
      <c r="J1210">
        <f t="shared" si="18"/>
        <v>0.23980815347721826</v>
      </c>
      <c r="K1210">
        <v>4.0000000000000002E-4</v>
      </c>
      <c r="L1210" t="s">
        <v>17</v>
      </c>
      <c r="M1210">
        <v>296</v>
      </c>
      <c r="N1210" t="s">
        <v>553</v>
      </c>
    </row>
    <row r="1211" spans="1:14" x14ac:dyDescent="0.2">
      <c r="A1211" t="s">
        <v>1099</v>
      </c>
      <c r="B1211" t="s">
        <v>32</v>
      </c>
      <c r="C1211">
        <v>39</v>
      </c>
      <c r="D1211">
        <v>6</v>
      </c>
      <c r="E1211">
        <v>33</v>
      </c>
      <c r="F1211">
        <v>38</v>
      </c>
      <c r="G1211">
        <v>6</v>
      </c>
      <c r="H1211">
        <v>32</v>
      </c>
      <c r="I1211">
        <v>0.1653</v>
      </c>
      <c r="J1211">
        <f t="shared" si="18"/>
        <v>0.12099213551119178</v>
      </c>
      <c r="K1211">
        <v>2.0000000000000001E-4</v>
      </c>
      <c r="L1211" t="s">
        <v>17</v>
      </c>
      <c r="M1211">
        <v>296</v>
      </c>
      <c r="N1211" t="s">
        <v>553</v>
      </c>
    </row>
    <row r="1212" spans="1:14" x14ac:dyDescent="0.2">
      <c r="A1212" t="s">
        <v>1099</v>
      </c>
      <c r="B1212" t="s">
        <v>32</v>
      </c>
      <c r="C1212">
        <v>40</v>
      </c>
      <c r="D1212">
        <v>7</v>
      </c>
      <c r="E1212">
        <v>34</v>
      </c>
      <c r="F1212">
        <v>39</v>
      </c>
      <c r="G1212">
        <v>7</v>
      </c>
      <c r="H1212">
        <v>33</v>
      </c>
      <c r="I1212">
        <v>0.17180000000000001</v>
      </c>
      <c r="J1212">
        <f t="shared" si="18"/>
        <v>0.11641443538998836</v>
      </c>
      <c r="K1212">
        <v>2.0000000000000001E-4</v>
      </c>
      <c r="L1212" t="s">
        <v>17</v>
      </c>
      <c r="M1212">
        <v>296</v>
      </c>
      <c r="N1212" t="s">
        <v>553</v>
      </c>
    </row>
    <row r="1213" spans="1:14" x14ac:dyDescent="0.2">
      <c r="A1213" t="s">
        <v>1099</v>
      </c>
      <c r="B1213" t="s">
        <v>32</v>
      </c>
      <c r="C1213">
        <v>48</v>
      </c>
      <c r="D1213">
        <v>15</v>
      </c>
      <c r="E1213">
        <v>34</v>
      </c>
      <c r="F1213">
        <v>47</v>
      </c>
      <c r="G1213">
        <v>15</v>
      </c>
      <c r="H1213">
        <v>33</v>
      </c>
      <c r="I1213">
        <v>0.1469</v>
      </c>
      <c r="J1213">
        <f t="shared" si="18"/>
        <v>0.54458815520762427</v>
      </c>
      <c r="K1213">
        <v>8.0000000000000004E-4</v>
      </c>
      <c r="L1213" t="s">
        <v>17</v>
      </c>
      <c r="M1213">
        <v>296</v>
      </c>
      <c r="N1213" t="s">
        <v>553</v>
      </c>
    </row>
    <row r="1214" spans="1:14" x14ac:dyDescent="0.2">
      <c r="A1214" t="s">
        <v>1099</v>
      </c>
      <c r="B1214" t="s">
        <v>32</v>
      </c>
      <c r="C1214">
        <v>42</v>
      </c>
      <c r="D1214">
        <v>2</v>
      </c>
      <c r="E1214">
        <v>41</v>
      </c>
      <c r="F1214">
        <v>41</v>
      </c>
      <c r="G1214">
        <v>2</v>
      </c>
      <c r="H1214">
        <v>40</v>
      </c>
      <c r="I1214">
        <v>0.153</v>
      </c>
      <c r="J1214">
        <f t="shared" si="18"/>
        <v>0.13071895424836602</v>
      </c>
      <c r="K1214">
        <v>2.0000000000000001E-4</v>
      </c>
      <c r="L1214" t="s">
        <v>17</v>
      </c>
      <c r="M1214">
        <v>296</v>
      </c>
      <c r="N1214" t="s">
        <v>553</v>
      </c>
    </row>
    <row r="1215" spans="1:14" x14ac:dyDescent="0.2">
      <c r="A1215" t="s">
        <v>1099</v>
      </c>
      <c r="B1215" t="s">
        <v>32</v>
      </c>
      <c r="C1215">
        <v>47</v>
      </c>
      <c r="D1215">
        <v>14</v>
      </c>
      <c r="E1215">
        <v>33</v>
      </c>
      <c r="F1215">
        <v>46</v>
      </c>
      <c r="G1215">
        <v>14</v>
      </c>
      <c r="H1215">
        <v>32</v>
      </c>
      <c r="I1215">
        <v>0.13569999999999999</v>
      </c>
      <c r="J1215">
        <f t="shared" si="18"/>
        <v>0.44215180545320559</v>
      </c>
      <c r="K1215">
        <v>5.9999999999999995E-4</v>
      </c>
      <c r="L1215" t="s">
        <v>17</v>
      </c>
      <c r="M1215">
        <v>296</v>
      </c>
      <c r="N1215" t="s">
        <v>553</v>
      </c>
    </row>
    <row r="1216" spans="1:14" x14ac:dyDescent="0.2">
      <c r="A1216" t="s">
        <v>1099</v>
      </c>
      <c r="B1216" t="s">
        <v>32</v>
      </c>
      <c r="C1216">
        <v>42</v>
      </c>
      <c r="D1216">
        <v>9</v>
      </c>
      <c r="E1216">
        <v>34</v>
      </c>
      <c r="F1216">
        <v>41</v>
      </c>
      <c r="G1216">
        <v>9</v>
      </c>
      <c r="H1216">
        <v>33</v>
      </c>
      <c r="I1216">
        <v>0.15959999999999999</v>
      </c>
      <c r="J1216">
        <f t="shared" si="18"/>
        <v>0.18796992481203006</v>
      </c>
      <c r="K1216">
        <v>2.9999999999999997E-4</v>
      </c>
      <c r="L1216" t="s">
        <v>17</v>
      </c>
      <c r="M1216">
        <v>296</v>
      </c>
      <c r="N1216" t="s">
        <v>553</v>
      </c>
    </row>
    <row r="1217" spans="1:14" x14ac:dyDescent="0.2">
      <c r="A1217" t="s">
        <v>1099</v>
      </c>
      <c r="B1217" t="s">
        <v>32</v>
      </c>
      <c r="C1217">
        <v>40</v>
      </c>
      <c r="D1217">
        <v>4</v>
      </c>
      <c r="E1217">
        <v>37</v>
      </c>
      <c r="F1217">
        <v>39</v>
      </c>
      <c r="G1217">
        <v>4</v>
      </c>
      <c r="H1217">
        <v>36</v>
      </c>
      <c r="I1217">
        <v>0.154</v>
      </c>
      <c r="J1217">
        <f t="shared" si="18"/>
        <v>0.12987012987012986</v>
      </c>
      <c r="K1217">
        <v>2.0000000000000001E-4</v>
      </c>
      <c r="L1217" t="s">
        <v>17</v>
      </c>
      <c r="M1217">
        <v>296</v>
      </c>
      <c r="N1217" t="s">
        <v>553</v>
      </c>
    </row>
    <row r="1218" spans="1:14" x14ac:dyDescent="0.2">
      <c r="A1218" t="s">
        <v>1099</v>
      </c>
      <c r="B1218" t="s">
        <v>32</v>
      </c>
      <c r="C1218">
        <v>46</v>
      </c>
      <c r="D1218">
        <v>13</v>
      </c>
      <c r="E1218">
        <v>34</v>
      </c>
      <c r="F1218">
        <v>45</v>
      </c>
      <c r="G1218">
        <v>13</v>
      </c>
      <c r="H1218">
        <v>33</v>
      </c>
      <c r="I1218">
        <v>0.126</v>
      </c>
      <c r="J1218">
        <f t="shared" si="18"/>
        <v>0.55555555555555558</v>
      </c>
      <c r="K1218">
        <v>6.9999999999999999E-4</v>
      </c>
      <c r="L1218" t="s">
        <v>17</v>
      </c>
      <c r="M1218">
        <v>296</v>
      </c>
      <c r="N1218" t="s">
        <v>553</v>
      </c>
    </row>
    <row r="1219" spans="1:14" x14ac:dyDescent="0.2">
      <c r="A1219" t="s">
        <v>1099</v>
      </c>
      <c r="B1219" t="s">
        <v>32</v>
      </c>
      <c r="C1219">
        <v>40</v>
      </c>
      <c r="D1219">
        <v>6</v>
      </c>
      <c r="E1219">
        <v>35</v>
      </c>
      <c r="F1219">
        <v>39</v>
      </c>
      <c r="G1219">
        <v>6</v>
      </c>
      <c r="H1219">
        <v>34</v>
      </c>
      <c r="I1219">
        <v>0.1479</v>
      </c>
      <c r="J1219">
        <f t="shared" ref="J1219:J1282" si="19">K1219/I1219*100</f>
        <v>0.47329276538201487</v>
      </c>
      <c r="K1219">
        <v>6.9999999999999999E-4</v>
      </c>
      <c r="L1219" t="s">
        <v>17</v>
      </c>
      <c r="M1219">
        <v>296</v>
      </c>
      <c r="N1219" t="s">
        <v>553</v>
      </c>
    </row>
    <row r="1220" spans="1:14" x14ac:dyDescent="0.2">
      <c r="A1220" t="s">
        <v>1099</v>
      </c>
      <c r="B1220" t="s">
        <v>32</v>
      </c>
      <c r="C1220">
        <v>43</v>
      </c>
      <c r="D1220">
        <v>10</v>
      </c>
      <c r="E1220">
        <v>33</v>
      </c>
      <c r="F1220">
        <v>42</v>
      </c>
      <c r="G1220">
        <v>10</v>
      </c>
      <c r="H1220">
        <v>32</v>
      </c>
      <c r="I1220">
        <v>0.15609999999999999</v>
      </c>
      <c r="J1220">
        <f t="shared" si="19"/>
        <v>1.2171684817424728</v>
      </c>
      <c r="K1220">
        <v>1.9E-3</v>
      </c>
      <c r="L1220" t="s">
        <v>17</v>
      </c>
      <c r="M1220">
        <v>296</v>
      </c>
      <c r="N1220" t="s">
        <v>553</v>
      </c>
    </row>
    <row r="1221" spans="1:14" x14ac:dyDescent="0.2">
      <c r="A1221" t="s">
        <v>1099</v>
      </c>
      <c r="B1221" t="s">
        <v>32</v>
      </c>
      <c r="C1221">
        <v>39</v>
      </c>
      <c r="D1221">
        <v>3</v>
      </c>
      <c r="E1221">
        <v>36</v>
      </c>
      <c r="F1221">
        <v>38</v>
      </c>
      <c r="G1221">
        <v>3</v>
      </c>
      <c r="H1221">
        <v>35</v>
      </c>
      <c r="I1221">
        <v>0.16239999999999999</v>
      </c>
      <c r="J1221">
        <f t="shared" si="19"/>
        <v>0.24630541871921185</v>
      </c>
      <c r="K1221">
        <v>4.0000000000000002E-4</v>
      </c>
      <c r="L1221" t="s">
        <v>17</v>
      </c>
      <c r="M1221">
        <v>296</v>
      </c>
      <c r="N1221" t="s">
        <v>553</v>
      </c>
    </row>
    <row r="1222" spans="1:14" x14ac:dyDescent="0.2">
      <c r="A1222" t="s">
        <v>1099</v>
      </c>
      <c r="B1222" t="s">
        <v>32</v>
      </c>
      <c r="C1222">
        <v>41</v>
      </c>
      <c r="D1222">
        <v>2</v>
      </c>
      <c r="E1222">
        <v>39</v>
      </c>
      <c r="F1222">
        <v>40</v>
      </c>
      <c r="G1222">
        <v>2</v>
      </c>
      <c r="H1222">
        <v>38</v>
      </c>
      <c r="I1222">
        <v>0.1565</v>
      </c>
      <c r="J1222">
        <f t="shared" si="19"/>
        <v>0.25559105431309903</v>
      </c>
      <c r="K1222">
        <v>4.0000000000000002E-4</v>
      </c>
      <c r="L1222" t="s">
        <v>17</v>
      </c>
      <c r="M1222">
        <v>296</v>
      </c>
      <c r="N1222" t="s">
        <v>553</v>
      </c>
    </row>
    <row r="1223" spans="1:14" x14ac:dyDescent="0.2">
      <c r="A1223" t="s">
        <v>1099</v>
      </c>
      <c r="B1223" t="s">
        <v>32</v>
      </c>
      <c r="C1223">
        <v>40</v>
      </c>
      <c r="D1223">
        <v>5</v>
      </c>
      <c r="E1223">
        <v>36</v>
      </c>
      <c r="F1223">
        <v>39</v>
      </c>
      <c r="G1223">
        <v>5</v>
      </c>
      <c r="H1223">
        <v>35</v>
      </c>
      <c r="I1223">
        <v>0.1678</v>
      </c>
      <c r="J1223">
        <f t="shared" si="19"/>
        <v>0.11918951132300357</v>
      </c>
      <c r="K1223">
        <v>2.0000000000000001E-4</v>
      </c>
      <c r="L1223" t="s">
        <v>17</v>
      </c>
      <c r="M1223">
        <v>296</v>
      </c>
      <c r="N1223" t="s">
        <v>553</v>
      </c>
    </row>
    <row r="1224" spans="1:14" x14ac:dyDescent="0.2">
      <c r="A1224" t="s">
        <v>1099</v>
      </c>
      <c r="B1224" t="s">
        <v>32</v>
      </c>
      <c r="C1224">
        <v>41</v>
      </c>
      <c r="D1224">
        <v>7</v>
      </c>
      <c r="E1224">
        <v>34</v>
      </c>
      <c r="F1224">
        <v>40</v>
      </c>
      <c r="G1224">
        <v>7</v>
      </c>
      <c r="H1224">
        <v>33</v>
      </c>
      <c r="I1224">
        <v>0.1716</v>
      </c>
      <c r="J1224">
        <f t="shared" si="19"/>
        <v>0.17482517482517479</v>
      </c>
      <c r="K1224">
        <v>2.9999999999999997E-4</v>
      </c>
      <c r="L1224" t="s">
        <v>17</v>
      </c>
      <c r="M1224">
        <v>296</v>
      </c>
      <c r="N1224" t="s">
        <v>553</v>
      </c>
    </row>
    <row r="1225" spans="1:14" x14ac:dyDescent="0.2">
      <c r="A1225" t="s">
        <v>1099</v>
      </c>
      <c r="B1225" t="s">
        <v>32</v>
      </c>
      <c r="C1225">
        <v>44</v>
      </c>
      <c r="D1225">
        <v>1</v>
      </c>
      <c r="E1225">
        <v>44</v>
      </c>
      <c r="F1225">
        <v>43</v>
      </c>
      <c r="G1225">
        <v>1</v>
      </c>
      <c r="H1225">
        <v>43</v>
      </c>
      <c r="I1225">
        <v>0.14630000000000001</v>
      </c>
      <c r="J1225">
        <f t="shared" si="19"/>
        <v>0.27341079972658916</v>
      </c>
      <c r="K1225">
        <v>4.0000000000000002E-4</v>
      </c>
      <c r="L1225" t="s">
        <v>17</v>
      </c>
      <c r="M1225">
        <v>296</v>
      </c>
      <c r="N1225" t="s">
        <v>553</v>
      </c>
    </row>
    <row r="1226" spans="1:14" x14ac:dyDescent="0.2">
      <c r="A1226" t="s">
        <v>1099</v>
      </c>
      <c r="B1226" t="s">
        <v>32</v>
      </c>
      <c r="C1226">
        <v>39</v>
      </c>
      <c r="D1226">
        <v>5</v>
      </c>
      <c r="E1226">
        <v>34</v>
      </c>
      <c r="F1226">
        <v>38</v>
      </c>
      <c r="G1226">
        <v>5</v>
      </c>
      <c r="H1226">
        <v>33</v>
      </c>
      <c r="I1226">
        <v>0.16400000000000001</v>
      </c>
      <c r="J1226">
        <f t="shared" si="19"/>
        <v>0.3048780487804878</v>
      </c>
      <c r="K1226">
        <v>5.0000000000000001E-4</v>
      </c>
      <c r="L1226" t="s">
        <v>17</v>
      </c>
      <c r="M1226">
        <v>296</v>
      </c>
      <c r="N1226" t="s">
        <v>553</v>
      </c>
    </row>
    <row r="1227" spans="1:14" x14ac:dyDescent="0.2">
      <c r="A1227" t="s">
        <v>1099</v>
      </c>
      <c r="B1227" t="s">
        <v>32</v>
      </c>
      <c r="C1227">
        <v>43</v>
      </c>
      <c r="D1227">
        <v>1</v>
      </c>
      <c r="E1227">
        <v>42</v>
      </c>
      <c r="F1227">
        <v>42</v>
      </c>
      <c r="G1227">
        <v>1</v>
      </c>
      <c r="H1227">
        <v>41</v>
      </c>
      <c r="I1227">
        <v>0.15029999999999999</v>
      </c>
      <c r="J1227">
        <f t="shared" si="19"/>
        <v>0.13306719893546243</v>
      </c>
      <c r="K1227">
        <v>2.0000000000000001E-4</v>
      </c>
      <c r="L1227" t="s">
        <v>17</v>
      </c>
      <c r="M1227">
        <v>296</v>
      </c>
      <c r="N1227" t="s">
        <v>553</v>
      </c>
    </row>
    <row r="1228" spans="1:14" x14ac:dyDescent="0.2">
      <c r="A1228" t="s">
        <v>1099</v>
      </c>
      <c r="B1228" t="s">
        <v>32</v>
      </c>
      <c r="C1228">
        <v>42</v>
      </c>
      <c r="D1228">
        <v>8</v>
      </c>
      <c r="E1228">
        <v>35</v>
      </c>
      <c r="F1228">
        <v>41</v>
      </c>
      <c r="G1228">
        <v>8</v>
      </c>
      <c r="H1228">
        <v>34</v>
      </c>
      <c r="I1228">
        <v>0.16300000000000001</v>
      </c>
      <c r="J1228">
        <f t="shared" si="19"/>
        <v>0.18404907975460122</v>
      </c>
      <c r="K1228">
        <v>2.9999999999999997E-4</v>
      </c>
      <c r="L1228" t="s">
        <v>17</v>
      </c>
      <c r="M1228">
        <v>296</v>
      </c>
      <c r="N1228" t="s">
        <v>553</v>
      </c>
    </row>
    <row r="1229" spans="1:14" x14ac:dyDescent="0.2">
      <c r="A1229" t="s">
        <v>1099</v>
      </c>
      <c r="B1229" t="s">
        <v>32</v>
      </c>
      <c r="C1229">
        <v>48</v>
      </c>
      <c r="D1229">
        <v>14</v>
      </c>
      <c r="E1229">
        <v>35</v>
      </c>
      <c r="F1229">
        <v>47</v>
      </c>
      <c r="G1229">
        <v>14</v>
      </c>
      <c r="H1229">
        <v>34</v>
      </c>
      <c r="I1229">
        <v>0.14499999999999999</v>
      </c>
      <c r="J1229">
        <f t="shared" si="19"/>
        <v>0.41379310344827586</v>
      </c>
      <c r="K1229">
        <v>5.9999999999999995E-4</v>
      </c>
      <c r="L1229" t="s">
        <v>17</v>
      </c>
      <c r="M1229">
        <v>296</v>
      </c>
      <c r="N1229" t="s">
        <v>553</v>
      </c>
    </row>
    <row r="1230" spans="1:14" x14ac:dyDescent="0.2">
      <c r="A1230" t="s">
        <v>1099</v>
      </c>
      <c r="B1230" t="s">
        <v>32</v>
      </c>
      <c r="C1230">
        <v>42</v>
      </c>
      <c r="D1230">
        <v>3</v>
      </c>
      <c r="E1230">
        <v>40</v>
      </c>
      <c r="F1230">
        <v>41</v>
      </c>
      <c r="G1230">
        <v>3</v>
      </c>
      <c r="H1230">
        <v>39</v>
      </c>
      <c r="I1230">
        <v>0.15690000000000001</v>
      </c>
      <c r="J1230">
        <f t="shared" si="19"/>
        <v>0.12746972594008923</v>
      </c>
      <c r="K1230">
        <v>2.0000000000000001E-4</v>
      </c>
      <c r="L1230" t="s">
        <v>17</v>
      </c>
      <c r="M1230">
        <v>296</v>
      </c>
      <c r="N1230" t="s">
        <v>553</v>
      </c>
    </row>
    <row r="1231" spans="1:14" x14ac:dyDescent="0.2">
      <c r="A1231" t="s">
        <v>1099</v>
      </c>
      <c r="B1231" t="s">
        <v>32</v>
      </c>
      <c r="C1231">
        <v>43</v>
      </c>
      <c r="D1231">
        <v>9</v>
      </c>
      <c r="E1231">
        <v>34</v>
      </c>
      <c r="F1231">
        <v>42</v>
      </c>
      <c r="G1231">
        <v>9</v>
      </c>
      <c r="H1231">
        <v>33</v>
      </c>
      <c r="I1231">
        <v>0.16120000000000001</v>
      </c>
      <c r="J1231">
        <f t="shared" si="19"/>
        <v>0.24813895781637718</v>
      </c>
      <c r="K1231">
        <v>4.0000000000000002E-4</v>
      </c>
      <c r="L1231" t="s">
        <v>17</v>
      </c>
      <c r="M1231">
        <v>296</v>
      </c>
      <c r="N1231" t="s">
        <v>553</v>
      </c>
    </row>
    <row r="1232" spans="1:14" x14ac:dyDescent="0.2">
      <c r="A1232" t="s">
        <v>1099</v>
      </c>
      <c r="B1232" t="s">
        <v>32</v>
      </c>
      <c r="C1232">
        <v>47</v>
      </c>
      <c r="D1232">
        <v>13</v>
      </c>
      <c r="E1232">
        <v>34</v>
      </c>
      <c r="F1232">
        <v>46</v>
      </c>
      <c r="G1232">
        <v>13</v>
      </c>
      <c r="H1232">
        <v>33</v>
      </c>
      <c r="I1232">
        <v>0.1434</v>
      </c>
      <c r="J1232">
        <f t="shared" si="19"/>
        <v>0.34867503486750351</v>
      </c>
      <c r="K1232">
        <v>5.0000000000000001E-4</v>
      </c>
      <c r="L1232" t="s">
        <v>17</v>
      </c>
      <c r="M1232">
        <v>296</v>
      </c>
      <c r="N1232" t="s">
        <v>553</v>
      </c>
    </row>
    <row r="1233" spans="1:14" x14ac:dyDescent="0.2">
      <c r="A1233" t="s">
        <v>1099</v>
      </c>
      <c r="B1233" t="s">
        <v>32</v>
      </c>
      <c r="C1233">
        <v>51</v>
      </c>
      <c r="D1233">
        <v>16</v>
      </c>
      <c r="E1233">
        <v>35</v>
      </c>
      <c r="F1233">
        <v>50</v>
      </c>
      <c r="G1233">
        <v>16</v>
      </c>
      <c r="H1233">
        <v>34</v>
      </c>
      <c r="I1233">
        <v>0.1459</v>
      </c>
      <c r="J1233">
        <f t="shared" si="19"/>
        <v>1.0281014393420151</v>
      </c>
      <c r="K1233">
        <v>1.5E-3</v>
      </c>
      <c r="L1233" t="s">
        <v>17</v>
      </c>
      <c r="M1233">
        <v>296</v>
      </c>
      <c r="N1233" t="s">
        <v>553</v>
      </c>
    </row>
    <row r="1234" spans="1:14" x14ac:dyDescent="0.2">
      <c r="A1234" t="s">
        <v>1099</v>
      </c>
      <c r="B1234" t="s">
        <v>32</v>
      </c>
      <c r="C1234">
        <v>44</v>
      </c>
      <c r="D1234">
        <v>10</v>
      </c>
      <c r="E1234">
        <v>35</v>
      </c>
      <c r="F1234">
        <v>43</v>
      </c>
      <c r="G1234">
        <v>10</v>
      </c>
      <c r="H1234">
        <v>34</v>
      </c>
      <c r="I1234">
        <v>0.15740000000000001</v>
      </c>
      <c r="J1234">
        <f t="shared" si="19"/>
        <v>0.12706480304955528</v>
      </c>
      <c r="K1234">
        <v>2.0000000000000001E-4</v>
      </c>
      <c r="L1234" t="s">
        <v>17</v>
      </c>
      <c r="M1234">
        <v>296</v>
      </c>
      <c r="N1234" t="s">
        <v>553</v>
      </c>
    </row>
    <row r="1235" spans="1:14" x14ac:dyDescent="0.2">
      <c r="A1235" t="s">
        <v>1099</v>
      </c>
      <c r="B1235" t="s">
        <v>32</v>
      </c>
      <c r="C1235">
        <v>46</v>
      </c>
      <c r="D1235">
        <v>12</v>
      </c>
      <c r="E1235">
        <v>35</v>
      </c>
      <c r="F1235">
        <v>45</v>
      </c>
      <c r="G1235">
        <v>12</v>
      </c>
      <c r="H1235">
        <v>34</v>
      </c>
      <c r="I1235">
        <v>0.1459</v>
      </c>
      <c r="J1235">
        <f t="shared" si="19"/>
        <v>0.27416038382453739</v>
      </c>
      <c r="K1235">
        <v>4.0000000000000002E-4</v>
      </c>
      <c r="L1235" t="s">
        <v>17</v>
      </c>
      <c r="M1235">
        <v>296</v>
      </c>
      <c r="N1235" t="s">
        <v>553</v>
      </c>
    </row>
    <row r="1236" spans="1:14" x14ac:dyDescent="0.2">
      <c r="A1236" t="s">
        <v>1099</v>
      </c>
      <c r="B1236" t="s">
        <v>32</v>
      </c>
      <c r="C1236">
        <v>45</v>
      </c>
      <c r="D1236">
        <v>11</v>
      </c>
      <c r="E1236">
        <v>34</v>
      </c>
      <c r="F1236">
        <v>44</v>
      </c>
      <c r="G1236">
        <v>11</v>
      </c>
      <c r="H1236">
        <v>33</v>
      </c>
      <c r="I1236">
        <v>0.151</v>
      </c>
      <c r="J1236">
        <f t="shared" si="19"/>
        <v>0.19867549668874171</v>
      </c>
      <c r="K1236">
        <v>2.9999999999999997E-4</v>
      </c>
      <c r="L1236" t="s">
        <v>17</v>
      </c>
      <c r="M1236">
        <v>296</v>
      </c>
      <c r="N1236" t="s">
        <v>553</v>
      </c>
    </row>
    <row r="1237" spans="1:14" x14ac:dyDescent="0.2">
      <c r="A1237" t="s">
        <v>1099</v>
      </c>
      <c r="B1237" t="s">
        <v>32</v>
      </c>
      <c r="C1237">
        <v>39</v>
      </c>
      <c r="D1237">
        <v>4</v>
      </c>
      <c r="E1237">
        <v>35</v>
      </c>
      <c r="F1237">
        <v>38</v>
      </c>
      <c r="G1237">
        <v>4</v>
      </c>
      <c r="H1237">
        <v>34</v>
      </c>
      <c r="I1237">
        <v>0.16889999999999999</v>
      </c>
      <c r="J1237">
        <f t="shared" si="19"/>
        <v>5.9206631142687989E-2</v>
      </c>
      <c r="K1237">
        <v>1E-4</v>
      </c>
      <c r="L1237" t="s">
        <v>17</v>
      </c>
      <c r="M1237">
        <v>296</v>
      </c>
      <c r="N1237" t="s">
        <v>553</v>
      </c>
    </row>
    <row r="1238" spans="1:14" x14ac:dyDescent="0.2">
      <c r="A1238" t="s">
        <v>1099</v>
      </c>
      <c r="B1238" t="s">
        <v>32</v>
      </c>
      <c r="C1238">
        <v>45</v>
      </c>
      <c r="D1238">
        <v>0</v>
      </c>
      <c r="E1238">
        <v>45</v>
      </c>
      <c r="F1238">
        <v>44</v>
      </c>
      <c r="G1238">
        <v>0</v>
      </c>
      <c r="H1238">
        <v>44</v>
      </c>
      <c r="I1238">
        <v>0.1371</v>
      </c>
      <c r="J1238">
        <f t="shared" si="19"/>
        <v>0.29175784099197666</v>
      </c>
      <c r="K1238">
        <v>4.0000000000000002E-4</v>
      </c>
      <c r="L1238" t="s">
        <v>17</v>
      </c>
      <c r="M1238">
        <v>296</v>
      </c>
      <c r="N1238" t="s">
        <v>553</v>
      </c>
    </row>
    <row r="1239" spans="1:14" x14ac:dyDescent="0.2">
      <c r="A1239" t="s">
        <v>1099</v>
      </c>
      <c r="B1239" t="s">
        <v>32</v>
      </c>
      <c r="C1239">
        <v>42</v>
      </c>
      <c r="D1239">
        <v>7</v>
      </c>
      <c r="E1239">
        <v>36</v>
      </c>
      <c r="F1239">
        <v>41</v>
      </c>
      <c r="G1239">
        <v>7</v>
      </c>
      <c r="H1239">
        <v>35</v>
      </c>
      <c r="I1239">
        <v>0.1633</v>
      </c>
      <c r="J1239">
        <f t="shared" si="19"/>
        <v>0.30618493570116351</v>
      </c>
      <c r="K1239">
        <v>5.0000000000000001E-4</v>
      </c>
      <c r="L1239" t="s">
        <v>17</v>
      </c>
      <c r="M1239">
        <v>296</v>
      </c>
      <c r="N1239" t="s">
        <v>553</v>
      </c>
    </row>
    <row r="1240" spans="1:14" x14ac:dyDescent="0.2">
      <c r="A1240" t="s">
        <v>1099</v>
      </c>
      <c r="B1240" t="s">
        <v>32</v>
      </c>
      <c r="C1240">
        <v>41</v>
      </c>
      <c r="D1240">
        <v>6</v>
      </c>
      <c r="E1240">
        <v>35</v>
      </c>
      <c r="F1240">
        <v>40</v>
      </c>
      <c r="G1240">
        <v>6</v>
      </c>
      <c r="H1240">
        <v>34</v>
      </c>
      <c r="I1240">
        <v>0.16</v>
      </c>
      <c r="J1240">
        <f t="shared" si="19"/>
        <v>0.25</v>
      </c>
      <c r="K1240">
        <v>4.0000000000000002E-4</v>
      </c>
      <c r="L1240" t="s">
        <v>17</v>
      </c>
      <c r="M1240">
        <v>296</v>
      </c>
      <c r="N1240" t="s">
        <v>553</v>
      </c>
    </row>
    <row r="1241" spans="1:14" x14ac:dyDescent="0.2">
      <c r="A1241" t="s">
        <v>1099</v>
      </c>
      <c r="B1241" t="s">
        <v>32</v>
      </c>
      <c r="C1241">
        <v>44</v>
      </c>
      <c r="D1241">
        <v>2</v>
      </c>
      <c r="E1241">
        <v>43</v>
      </c>
      <c r="F1241">
        <v>43</v>
      </c>
      <c r="G1241">
        <v>2</v>
      </c>
      <c r="H1241">
        <v>42</v>
      </c>
      <c r="I1241">
        <v>0.15229999999999999</v>
      </c>
      <c r="J1241">
        <f t="shared" si="19"/>
        <v>0.13131976362442549</v>
      </c>
      <c r="K1241">
        <v>2.0000000000000001E-4</v>
      </c>
      <c r="L1241" t="s">
        <v>17</v>
      </c>
      <c r="M1241">
        <v>296</v>
      </c>
      <c r="N1241" t="s">
        <v>553</v>
      </c>
    </row>
    <row r="1242" spans="1:14" x14ac:dyDescent="0.2">
      <c r="A1242" t="s">
        <v>1099</v>
      </c>
      <c r="B1242" t="s">
        <v>32</v>
      </c>
      <c r="C1242">
        <v>49</v>
      </c>
      <c r="D1242">
        <v>14</v>
      </c>
      <c r="E1242">
        <v>35</v>
      </c>
      <c r="F1242">
        <v>48</v>
      </c>
      <c r="G1242">
        <v>14</v>
      </c>
      <c r="H1242">
        <v>34</v>
      </c>
      <c r="I1242">
        <v>0.15770000000000001</v>
      </c>
      <c r="J1242">
        <f t="shared" si="19"/>
        <v>0.507292327203551</v>
      </c>
      <c r="K1242">
        <v>8.0000000000000004E-4</v>
      </c>
      <c r="L1242" t="s">
        <v>17</v>
      </c>
      <c r="M1242">
        <v>296</v>
      </c>
      <c r="N1242" t="s">
        <v>553</v>
      </c>
    </row>
    <row r="1243" spans="1:14" x14ac:dyDescent="0.2">
      <c r="A1243" t="s">
        <v>1099</v>
      </c>
      <c r="B1243" t="s">
        <v>32</v>
      </c>
      <c r="C1243">
        <v>43</v>
      </c>
      <c r="D1243">
        <v>8</v>
      </c>
      <c r="E1243">
        <v>35</v>
      </c>
      <c r="F1243">
        <v>42</v>
      </c>
      <c r="G1243">
        <v>8</v>
      </c>
      <c r="H1243">
        <v>34</v>
      </c>
      <c r="I1243">
        <v>0.1623</v>
      </c>
      <c r="J1243">
        <f t="shared" si="19"/>
        <v>0.49291435613062234</v>
      </c>
      <c r="K1243">
        <v>8.0000000000000004E-4</v>
      </c>
      <c r="L1243" t="s">
        <v>17</v>
      </c>
      <c r="M1243">
        <v>296</v>
      </c>
      <c r="N1243" t="s">
        <v>553</v>
      </c>
    </row>
    <row r="1244" spans="1:14" x14ac:dyDescent="0.2">
      <c r="A1244" t="s">
        <v>1099</v>
      </c>
      <c r="B1244" t="s">
        <v>32</v>
      </c>
      <c r="C1244">
        <v>41</v>
      </c>
      <c r="D1244">
        <v>3</v>
      </c>
      <c r="E1244">
        <v>38</v>
      </c>
      <c r="F1244">
        <v>40</v>
      </c>
      <c r="G1244">
        <v>3</v>
      </c>
      <c r="H1244">
        <v>37</v>
      </c>
      <c r="I1244">
        <v>0.1734</v>
      </c>
      <c r="J1244">
        <f t="shared" si="19"/>
        <v>0.28835063437139563</v>
      </c>
      <c r="K1244">
        <v>5.0000000000000001E-4</v>
      </c>
      <c r="L1244" t="s">
        <v>17</v>
      </c>
      <c r="M1244">
        <v>296</v>
      </c>
      <c r="N1244" t="s">
        <v>553</v>
      </c>
    </row>
    <row r="1245" spans="1:14" x14ac:dyDescent="0.2">
      <c r="A1245" t="s">
        <v>1099</v>
      </c>
      <c r="B1245" t="s">
        <v>32</v>
      </c>
      <c r="C1245">
        <v>43</v>
      </c>
      <c r="D1245">
        <v>2</v>
      </c>
      <c r="E1245">
        <v>41</v>
      </c>
      <c r="F1245">
        <v>42</v>
      </c>
      <c r="G1245">
        <v>2</v>
      </c>
      <c r="H1245">
        <v>40</v>
      </c>
      <c r="I1245">
        <v>0.15690000000000001</v>
      </c>
      <c r="J1245">
        <f t="shared" si="19"/>
        <v>0.12746972594008923</v>
      </c>
      <c r="K1245">
        <v>2.0000000000000001E-4</v>
      </c>
      <c r="L1245" t="s">
        <v>17</v>
      </c>
      <c r="M1245">
        <v>296</v>
      </c>
      <c r="N1245" t="s">
        <v>553</v>
      </c>
    </row>
    <row r="1246" spans="1:14" x14ac:dyDescent="0.2">
      <c r="A1246" t="s">
        <v>1099</v>
      </c>
      <c r="B1246" t="s">
        <v>32</v>
      </c>
      <c r="C1246">
        <v>42</v>
      </c>
      <c r="D1246">
        <v>4</v>
      </c>
      <c r="E1246">
        <v>39</v>
      </c>
      <c r="F1246">
        <v>41</v>
      </c>
      <c r="G1246">
        <v>4</v>
      </c>
      <c r="H1246">
        <v>38</v>
      </c>
      <c r="I1246">
        <v>0.15770000000000001</v>
      </c>
      <c r="J1246">
        <f t="shared" si="19"/>
        <v>0.12682308180088775</v>
      </c>
      <c r="K1246">
        <v>2.0000000000000001E-4</v>
      </c>
      <c r="L1246" t="s">
        <v>17</v>
      </c>
      <c r="M1246">
        <v>296</v>
      </c>
      <c r="N1246" t="s">
        <v>553</v>
      </c>
    </row>
    <row r="1247" spans="1:14" x14ac:dyDescent="0.2">
      <c r="A1247" t="s">
        <v>1099</v>
      </c>
      <c r="B1247" t="s">
        <v>32</v>
      </c>
      <c r="C1247">
        <v>44</v>
      </c>
      <c r="D1247">
        <v>9</v>
      </c>
      <c r="E1247">
        <v>36</v>
      </c>
      <c r="F1247">
        <v>43</v>
      </c>
      <c r="G1247">
        <v>9</v>
      </c>
      <c r="H1247">
        <v>35</v>
      </c>
      <c r="I1247">
        <v>0.15920000000000001</v>
      </c>
      <c r="J1247">
        <f t="shared" si="19"/>
        <v>0.43969849246231157</v>
      </c>
      <c r="K1247">
        <v>6.9999999999999999E-4</v>
      </c>
      <c r="L1247" t="s">
        <v>17</v>
      </c>
      <c r="M1247">
        <v>296</v>
      </c>
      <c r="N1247" t="s">
        <v>553</v>
      </c>
    </row>
    <row r="1248" spans="1:14" x14ac:dyDescent="0.2">
      <c r="A1248" t="s">
        <v>1099</v>
      </c>
      <c r="B1248" t="s">
        <v>32</v>
      </c>
      <c r="C1248">
        <v>46</v>
      </c>
      <c r="D1248">
        <v>11</v>
      </c>
      <c r="E1248">
        <v>36</v>
      </c>
      <c r="F1248">
        <v>45</v>
      </c>
      <c r="G1248">
        <v>11</v>
      </c>
      <c r="H1248">
        <v>35</v>
      </c>
      <c r="I1248">
        <v>0.1515</v>
      </c>
      <c r="J1248">
        <f t="shared" si="19"/>
        <v>0.19801980198019803</v>
      </c>
      <c r="K1248">
        <v>2.9999999999999997E-4</v>
      </c>
      <c r="L1248" t="s">
        <v>17</v>
      </c>
      <c r="M1248">
        <v>296</v>
      </c>
      <c r="N1248" t="s">
        <v>553</v>
      </c>
    </row>
    <row r="1249" spans="1:14" x14ac:dyDescent="0.2">
      <c r="A1249" t="s">
        <v>1099</v>
      </c>
      <c r="B1249" t="s">
        <v>32</v>
      </c>
      <c r="C1249">
        <v>42</v>
      </c>
      <c r="D1249">
        <v>6</v>
      </c>
      <c r="E1249">
        <v>37</v>
      </c>
      <c r="F1249">
        <v>41</v>
      </c>
      <c r="G1249">
        <v>6</v>
      </c>
      <c r="H1249">
        <v>36</v>
      </c>
      <c r="I1249">
        <v>0.16539999999999999</v>
      </c>
      <c r="J1249">
        <f t="shared" si="19"/>
        <v>0.12091898428053206</v>
      </c>
      <c r="K1249">
        <v>2.0000000000000001E-4</v>
      </c>
      <c r="L1249" t="s">
        <v>17</v>
      </c>
      <c r="M1249">
        <v>296</v>
      </c>
      <c r="N1249" t="s">
        <v>553</v>
      </c>
    </row>
    <row r="1250" spans="1:14" x14ac:dyDescent="0.2">
      <c r="A1250" t="s">
        <v>1099</v>
      </c>
      <c r="B1250" t="s">
        <v>32</v>
      </c>
      <c r="C1250">
        <v>46</v>
      </c>
      <c r="D1250">
        <v>1</v>
      </c>
      <c r="E1250">
        <v>46</v>
      </c>
      <c r="F1250">
        <v>45</v>
      </c>
      <c r="G1250">
        <v>1</v>
      </c>
      <c r="H1250">
        <v>45</v>
      </c>
      <c r="I1250">
        <v>0.14510000000000001</v>
      </c>
      <c r="J1250">
        <f t="shared" si="19"/>
        <v>0.20675396278428668</v>
      </c>
      <c r="K1250">
        <v>2.9999999999999997E-4</v>
      </c>
      <c r="L1250" t="s">
        <v>17</v>
      </c>
      <c r="M1250">
        <v>296</v>
      </c>
      <c r="N1250" t="s">
        <v>553</v>
      </c>
    </row>
    <row r="1251" spans="1:14" x14ac:dyDescent="0.2">
      <c r="A1251" t="s">
        <v>1099</v>
      </c>
      <c r="B1251" t="s">
        <v>32</v>
      </c>
      <c r="C1251">
        <v>51</v>
      </c>
      <c r="D1251">
        <v>15</v>
      </c>
      <c r="E1251">
        <v>36</v>
      </c>
      <c r="F1251">
        <v>50</v>
      </c>
      <c r="G1251">
        <v>15</v>
      </c>
      <c r="H1251">
        <v>35</v>
      </c>
      <c r="I1251">
        <v>0.1429</v>
      </c>
      <c r="J1251">
        <f t="shared" si="19"/>
        <v>0.90972708187543727</v>
      </c>
      <c r="K1251">
        <v>1.2999999999999999E-3</v>
      </c>
      <c r="L1251" t="s">
        <v>17</v>
      </c>
      <c r="M1251">
        <v>296</v>
      </c>
      <c r="N1251" t="s">
        <v>553</v>
      </c>
    </row>
    <row r="1252" spans="1:14" x14ac:dyDescent="0.2">
      <c r="A1252" t="s">
        <v>1099</v>
      </c>
      <c r="B1252" t="s">
        <v>32</v>
      </c>
      <c r="C1252">
        <v>42</v>
      </c>
      <c r="D1252">
        <v>5</v>
      </c>
      <c r="E1252">
        <v>38</v>
      </c>
      <c r="F1252">
        <v>41</v>
      </c>
      <c r="G1252">
        <v>5</v>
      </c>
      <c r="H1252">
        <v>37</v>
      </c>
      <c r="I1252">
        <v>0.16250000000000001</v>
      </c>
      <c r="J1252">
        <f t="shared" si="19"/>
        <v>0.12307692307692308</v>
      </c>
      <c r="K1252">
        <v>2.0000000000000001E-4</v>
      </c>
      <c r="L1252" t="s">
        <v>17</v>
      </c>
      <c r="M1252">
        <v>296</v>
      </c>
      <c r="N1252" t="s">
        <v>553</v>
      </c>
    </row>
    <row r="1253" spans="1:14" x14ac:dyDescent="0.2">
      <c r="A1253" t="s">
        <v>1099</v>
      </c>
      <c r="B1253" t="s">
        <v>32</v>
      </c>
      <c r="C1253">
        <v>45</v>
      </c>
      <c r="D1253">
        <v>1</v>
      </c>
      <c r="E1253">
        <v>44</v>
      </c>
      <c r="F1253">
        <v>44</v>
      </c>
      <c r="G1253">
        <v>1</v>
      </c>
      <c r="H1253">
        <v>43</v>
      </c>
      <c r="I1253">
        <v>0.14560000000000001</v>
      </c>
      <c r="J1253">
        <f t="shared" si="19"/>
        <v>0.13736263736263735</v>
      </c>
      <c r="K1253">
        <v>2.0000000000000001E-4</v>
      </c>
      <c r="L1253" t="s">
        <v>17</v>
      </c>
      <c r="M1253">
        <v>296</v>
      </c>
      <c r="N1253" t="s">
        <v>553</v>
      </c>
    </row>
    <row r="1254" spans="1:14" x14ac:dyDescent="0.2">
      <c r="A1254" t="s">
        <v>1099</v>
      </c>
      <c r="B1254" t="s">
        <v>32</v>
      </c>
      <c r="C1254">
        <v>44</v>
      </c>
      <c r="D1254">
        <v>8</v>
      </c>
      <c r="E1254">
        <v>37</v>
      </c>
      <c r="F1254">
        <v>43</v>
      </c>
      <c r="G1254">
        <v>8</v>
      </c>
      <c r="H1254">
        <v>36</v>
      </c>
      <c r="I1254">
        <v>0.16950000000000001</v>
      </c>
      <c r="J1254">
        <f t="shared" si="19"/>
        <v>0.2359882005899705</v>
      </c>
      <c r="K1254">
        <v>4.0000000000000002E-4</v>
      </c>
      <c r="L1254" t="s">
        <v>17</v>
      </c>
      <c r="M1254">
        <v>296</v>
      </c>
      <c r="N1254" t="s">
        <v>553</v>
      </c>
    </row>
    <row r="1255" spans="1:14" x14ac:dyDescent="0.2">
      <c r="A1255" t="s">
        <v>1099</v>
      </c>
      <c r="B1255" t="s">
        <v>32</v>
      </c>
      <c r="C1255">
        <v>49</v>
      </c>
      <c r="D1255">
        <v>13</v>
      </c>
      <c r="E1255">
        <v>36</v>
      </c>
      <c r="F1255">
        <v>48</v>
      </c>
      <c r="G1255">
        <v>13</v>
      </c>
      <c r="H1255">
        <v>35</v>
      </c>
      <c r="I1255">
        <v>0.14230000000000001</v>
      </c>
      <c r="J1255">
        <f t="shared" si="19"/>
        <v>0.35137034434293746</v>
      </c>
      <c r="K1255">
        <v>5.0000000000000001E-4</v>
      </c>
      <c r="L1255" t="s">
        <v>17</v>
      </c>
      <c r="M1255">
        <v>296</v>
      </c>
      <c r="N1255" t="s">
        <v>553</v>
      </c>
    </row>
    <row r="1256" spans="1:14" x14ac:dyDescent="0.2">
      <c r="A1256" t="s">
        <v>1099</v>
      </c>
      <c r="B1256" t="s">
        <v>32</v>
      </c>
      <c r="C1256">
        <v>41</v>
      </c>
      <c r="D1256">
        <v>5</v>
      </c>
      <c r="E1256">
        <v>36</v>
      </c>
      <c r="F1256">
        <v>40</v>
      </c>
      <c r="G1256">
        <v>5</v>
      </c>
      <c r="H1256">
        <v>35</v>
      </c>
      <c r="I1256">
        <v>0.16389999999999999</v>
      </c>
      <c r="J1256">
        <f t="shared" si="19"/>
        <v>0.18303843807199513</v>
      </c>
      <c r="K1256">
        <v>2.9999999999999997E-4</v>
      </c>
      <c r="L1256" t="s">
        <v>17</v>
      </c>
      <c r="M1256">
        <v>296</v>
      </c>
      <c r="N1256" t="s">
        <v>553</v>
      </c>
    </row>
    <row r="1257" spans="1:14" x14ac:dyDescent="0.2">
      <c r="A1257" t="s">
        <v>1099</v>
      </c>
      <c r="B1257" t="s">
        <v>32</v>
      </c>
      <c r="C1257">
        <v>46</v>
      </c>
      <c r="D1257">
        <v>10</v>
      </c>
      <c r="E1257">
        <v>37</v>
      </c>
      <c r="F1257">
        <v>45</v>
      </c>
      <c r="G1257">
        <v>10</v>
      </c>
      <c r="H1257">
        <v>36</v>
      </c>
      <c r="I1257">
        <v>0.1565</v>
      </c>
      <c r="J1257">
        <f t="shared" si="19"/>
        <v>0.19169329073482427</v>
      </c>
      <c r="K1257">
        <v>2.9999999999999997E-4</v>
      </c>
      <c r="L1257" t="s">
        <v>17</v>
      </c>
      <c r="M1257">
        <v>296</v>
      </c>
      <c r="N1257" t="s">
        <v>553</v>
      </c>
    </row>
    <row r="1258" spans="1:14" x14ac:dyDescent="0.2">
      <c r="A1258" t="s">
        <v>1099</v>
      </c>
      <c r="B1258" t="s">
        <v>32</v>
      </c>
      <c r="C1258">
        <v>47</v>
      </c>
      <c r="D1258">
        <v>11</v>
      </c>
      <c r="E1258">
        <v>36</v>
      </c>
      <c r="F1258">
        <v>46</v>
      </c>
      <c r="G1258">
        <v>11</v>
      </c>
      <c r="H1258">
        <v>35</v>
      </c>
      <c r="I1258">
        <v>0.151</v>
      </c>
      <c r="J1258">
        <f t="shared" si="19"/>
        <v>0.26490066225165565</v>
      </c>
      <c r="K1258">
        <v>4.0000000000000002E-4</v>
      </c>
      <c r="L1258" t="s">
        <v>17</v>
      </c>
      <c r="M1258">
        <v>296</v>
      </c>
      <c r="N1258" t="s">
        <v>553</v>
      </c>
    </row>
    <row r="1259" spans="1:14" x14ac:dyDescent="0.2">
      <c r="A1259" t="s">
        <v>1099</v>
      </c>
      <c r="B1259" t="s">
        <v>32</v>
      </c>
      <c r="C1259">
        <v>47</v>
      </c>
      <c r="D1259">
        <v>0</v>
      </c>
      <c r="E1259">
        <v>47</v>
      </c>
      <c r="F1259">
        <v>46</v>
      </c>
      <c r="G1259">
        <v>0</v>
      </c>
      <c r="H1259">
        <v>46</v>
      </c>
      <c r="I1259">
        <v>0.14549999999999999</v>
      </c>
      <c r="J1259">
        <f t="shared" si="19"/>
        <v>0.2061855670103093</v>
      </c>
      <c r="K1259">
        <v>2.9999999999999997E-4</v>
      </c>
      <c r="L1259" t="s">
        <v>17</v>
      </c>
      <c r="M1259">
        <v>296</v>
      </c>
      <c r="N1259" t="s">
        <v>553</v>
      </c>
    </row>
    <row r="1260" spans="1:14" x14ac:dyDescent="0.2">
      <c r="A1260" t="s">
        <v>1099</v>
      </c>
      <c r="B1260" t="s">
        <v>32</v>
      </c>
      <c r="C1260">
        <v>52</v>
      </c>
      <c r="D1260">
        <v>15</v>
      </c>
      <c r="E1260">
        <v>38</v>
      </c>
      <c r="F1260">
        <v>51</v>
      </c>
      <c r="G1260">
        <v>15</v>
      </c>
      <c r="H1260">
        <v>37</v>
      </c>
      <c r="I1260">
        <v>0.14960000000000001</v>
      </c>
      <c r="J1260">
        <f t="shared" si="19"/>
        <v>0.86898395721925115</v>
      </c>
      <c r="K1260">
        <v>1.2999999999999999E-3</v>
      </c>
      <c r="L1260" t="s">
        <v>17</v>
      </c>
      <c r="M1260">
        <v>296</v>
      </c>
      <c r="N1260" t="s">
        <v>553</v>
      </c>
    </row>
    <row r="1261" spans="1:14" x14ac:dyDescent="0.2">
      <c r="A1261" t="s">
        <v>1099</v>
      </c>
      <c r="B1261" t="s">
        <v>32</v>
      </c>
      <c r="C1261">
        <v>43</v>
      </c>
      <c r="D1261">
        <v>3</v>
      </c>
      <c r="E1261">
        <v>40</v>
      </c>
      <c r="F1261">
        <v>42</v>
      </c>
      <c r="G1261">
        <v>3</v>
      </c>
      <c r="H1261">
        <v>39</v>
      </c>
      <c r="I1261">
        <v>0.16819999999999999</v>
      </c>
      <c r="J1261">
        <f t="shared" si="19"/>
        <v>0.11890606420927469</v>
      </c>
      <c r="K1261">
        <v>2.0000000000000001E-4</v>
      </c>
      <c r="L1261" t="s">
        <v>17</v>
      </c>
      <c r="M1261">
        <v>296</v>
      </c>
      <c r="N1261" t="s">
        <v>553</v>
      </c>
    </row>
    <row r="1262" spans="1:14" x14ac:dyDescent="0.2">
      <c r="A1262" t="s">
        <v>1099</v>
      </c>
      <c r="B1262" t="s">
        <v>32</v>
      </c>
      <c r="C1262">
        <v>45</v>
      </c>
      <c r="D1262">
        <v>2</v>
      </c>
      <c r="E1262">
        <v>43</v>
      </c>
      <c r="F1262">
        <v>44</v>
      </c>
      <c r="G1262">
        <v>2</v>
      </c>
      <c r="H1262">
        <v>42</v>
      </c>
      <c r="I1262">
        <v>0.15559999999999999</v>
      </c>
      <c r="J1262">
        <f t="shared" si="19"/>
        <v>0.12853470437017997</v>
      </c>
      <c r="K1262">
        <v>2.0000000000000001E-4</v>
      </c>
      <c r="L1262" t="s">
        <v>17</v>
      </c>
      <c r="M1262">
        <v>296</v>
      </c>
      <c r="N1262" t="s">
        <v>553</v>
      </c>
    </row>
    <row r="1263" spans="1:14" x14ac:dyDescent="0.2">
      <c r="A1263" t="s">
        <v>1099</v>
      </c>
      <c r="B1263" t="s">
        <v>32</v>
      </c>
      <c r="C1263">
        <v>44</v>
      </c>
      <c r="D1263">
        <v>7</v>
      </c>
      <c r="E1263">
        <v>38</v>
      </c>
      <c r="F1263">
        <v>43</v>
      </c>
      <c r="G1263">
        <v>7</v>
      </c>
      <c r="H1263">
        <v>37</v>
      </c>
      <c r="I1263">
        <v>0.16550000000000001</v>
      </c>
      <c r="J1263">
        <f t="shared" si="19"/>
        <v>0.18126888217522658</v>
      </c>
      <c r="K1263">
        <v>2.9999999999999997E-4</v>
      </c>
      <c r="L1263" t="s">
        <v>17</v>
      </c>
      <c r="M1263">
        <v>296</v>
      </c>
      <c r="N1263" t="s">
        <v>553</v>
      </c>
    </row>
    <row r="1264" spans="1:14" x14ac:dyDescent="0.2">
      <c r="A1264" t="s">
        <v>1099</v>
      </c>
      <c r="B1264" t="s">
        <v>32</v>
      </c>
      <c r="C1264">
        <v>44</v>
      </c>
      <c r="D1264">
        <v>4</v>
      </c>
      <c r="E1264">
        <v>41</v>
      </c>
      <c r="F1264">
        <v>43</v>
      </c>
      <c r="G1264">
        <v>4</v>
      </c>
      <c r="H1264">
        <v>40</v>
      </c>
      <c r="I1264">
        <v>0.16320000000000001</v>
      </c>
      <c r="J1264">
        <f t="shared" si="19"/>
        <v>0.12254901960784313</v>
      </c>
      <c r="K1264">
        <v>2.0000000000000001E-4</v>
      </c>
      <c r="L1264" t="s">
        <v>17</v>
      </c>
      <c r="M1264">
        <v>296</v>
      </c>
      <c r="N1264" t="s">
        <v>553</v>
      </c>
    </row>
    <row r="1265" spans="1:14" x14ac:dyDescent="0.2">
      <c r="A1265" t="s">
        <v>1099</v>
      </c>
      <c r="B1265" t="s">
        <v>32</v>
      </c>
      <c r="C1265">
        <v>43</v>
      </c>
      <c r="D1265">
        <v>6</v>
      </c>
      <c r="E1265">
        <v>37</v>
      </c>
      <c r="F1265">
        <v>42</v>
      </c>
      <c r="G1265">
        <v>6</v>
      </c>
      <c r="H1265">
        <v>36</v>
      </c>
      <c r="I1265">
        <v>0.1658</v>
      </c>
      <c r="J1265">
        <f t="shared" si="19"/>
        <v>0.24125452352231608</v>
      </c>
      <c r="K1265">
        <v>4.0000000000000002E-4</v>
      </c>
      <c r="L1265" t="s">
        <v>17</v>
      </c>
      <c r="M1265">
        <v>296</v>
      </c>
      <c r="N1265" t="s">
        <v>553</v>
      </c>
    </row>
    <row r="1266" spans="1:14" x14ac:dyDescent="0.2">
      <c r="A1266" t="s">
        <v>1099</v>
      </c>
      <c r="B1266" t="s">
        <v>32</v>
      </c>
      <c r="C1266">
        <v>45</v>
      </c>
      <c r="D1266">
        <v>8</v>
      </c>
      <c r="E1266">
        <v>37</v>
      </c>
      <c r="F1266">
        <v>44</v>
      </c>
      <c r="G1266">
        <v>8</v>
      </c>
      <c r="H1266">
        <v>36</v>
      </c>
      <c r="I1266">
        <v>0.1636</v>
      </c>
      <c r="J1266">
        <f t="shared" si="19"/>
        <v>0.42787286063569679</v>
      </c>
      <c r="K1266">
        <v>6.9999999999999999E-4</v>
      </c>
      <c r="L1266" t="s">
        <v>17</v>
      </c>
      <c r="M1266">
        <v>296</v>
      </c>
      <c r="N1266" t="s">
        <v>553</v>
      </c>
    </row>
    <row r="1267" spans="1:14" x14ac:dyDescent="0.2">
      <c r="A1267" t="s">
        <v>1099</v>
      </c>
      <c r="B1267" t="s">
        <v>32</v>
      </c>
      <c r="C1267">
        <v>46</v>
      </c>
      <c r="D1267">
        <v>9</v>
      </c>
      <c r="E1267">
        <v>38</v>
      </c>
      <c r="F1267">
        <v>45</v>
      </c>
      <c r="G1267">
        <v>9</v>
      </c>
      <c r="H1267">
        <v>37</v>
      </c>
      <c r="I1267">
        <v>0.16550000000000001</v>
      </c>
      <c r="J1267">
        <f t="shared" si="19"/>
        <v>0.18126888217522658</v>
      </c>
      <c r="K1267">
        <v>2.9999999999999997E-4</v>
      </c>
      <c r="L1267" t="s">
        <v>17</v>
      </c>
      <c r="M1267">
        <v>296</v>
      </c>
      <c r="N1267" t="s">
        <v>553</v>
      </c>
    </row>
    <row r="1268" spans="1:14" x14ac:dyDescent="0.2">
      <c r="A1268" t="s">
        <v>1099</v>
      </c>
      <c r="B1268" t="s">
        <v>32</v>
      </c>
      <c r="C1268">
        <v>49</v>
      </c>
      <c r="D1268">
        <v>12</v>
      </c>
      <c r="E1268">
        <v>37</v>
      </c>
      <c r="F1268">
        <v>48</v>
      </c>
      <c r="G1268">
        <v>12</v>
      </c>
      <c r="H1268">
        <v>36</v>
      </c>
      <c r="I1268">
        <v>0.1457</v>
      </c>
      <c r="J1268">
        <f t="shared" si="19"/>
        <v>0.54907343857240909</v>
      </c>
      <c r="K1268">
        <v>8.0000000000000004E-4</v>
      </c>
      <c r="L1268" t="s">
        <v>17</v>
      </c>
      <c r="M1268">
        <v>296</v>
      </c>
      <c r="N1268" t="s">
        <v>553</v>
      </c>
    </row>
    <row r="1269" spans="1:14" x14ac:dyDescent="0.2">
      <c r="A1269" t="s">
        <v>1099</v>
      </c>
      <c r="B1269" t="s">
        <v>32</v>
      </c>
      <c r="C1269">
        <v>48</v>
      </c>
      <c r="D1269">
        <v>1</v>
      </c>
      <c r="E1269">
        <v>48</v>
      </c>
      <c r="F1269">
        <v>47</v>
      </c>
      <c r="G1269">
        <v>1</v>
      </c>
      <c r="H1269">
        <v>47</v>
      </c>
      <c r="I1269">
        <v>0.14419999999999999</v>
      </c>
      <c r="J1269">
        <f t="shared" si="19"/>
        <v>0.27739251040221913</v>
      </c>
      <c r="K1269">
        <v>4.0000000000000002E-4</v>
      </c>
      <c r="L1269" t="s">
        <v>17</v>
      </c>
      <c r="M1269">
        <v>296</v>
      </c>
      <c r="N1269" t="s">
        <v>553</v>
      </c>
    </row>
    <row r="1270" spans="1:14" x14ac:dyDescent="0.2">
      <c r="A1270" t="s">
        <v>1099</v>
      </c>
      <c r="B1270" t="s">
        <v>32</v>
      </c>
      <c r="C1270">
        <v>47</v>
      </c>
      <c r="D1270">
        <v>1</v>
      </c>
      <c r="E1270">
        <v>46</v>
      </c>
      <c r="F1270">
        <v>46</v>
      </c>
      <c r="G1270">
        <v>1</v>
      </c>
      <c r="H1270">
        <v>45</v>
      </c>
      <c r="I1270">
        <v>0.14990000000000001</v>
      </c>
      <c r="J1270">
        <f t="shared" si="19"/>
        <v>0.26684456304202803</v>
      </c>
      <c r="K1270">
        <v>4.0000000000000002E-4</v>
      </c>
      <c r="L1270" t="s">
        <v>17</v>
      </c>
      <c r="M1270">
        <v>296</v>
      </c>
      <c r="N1270" t="s">
        <v>553</v>
      </c>
    </row>
    <row r="1271" spans="1:14" x14ac:dyDescent="0.2">
      <c r="A1271" t="s">
        <v>1099</v>
      </c>
      <c r="B1271" t="s">
        <v>32</v>
      </c>
      <c r="C1271">
        <v>44</v>
      </c>
      <c r="D1271">
        <v>6</v>
      </c>
      <c r="E1271">
        <v>39</v>
      </c>
      <c r="F1271">
        <v>43</v>
      </c>
      <c r="G1271">
        <v>6</v>
      </c>
      <c r="H1271">
        <v>38</v>
      </c>
      <c r="I1271">
        <v>0.16489999999999999</v>
      </c>
      <c r="J1271">
        <f t="shared" si="19"/>
        <v>0.18192844147968465</v>
      </c>
      <c r="K1271">
        <v>2.9999999999999997E-4</v>
      </c>
      <c r="L1271" t="s">
        <v>17</v>
      </c>
      <c r="M1271">
        <v>296</v>
      </c>
      <c r="N1271" t="s">
        <v>553</v>
      </c>
    </row>
    <row r="1272" spans="1:14" x14ac:dyDescent="0.2">
      <c r="A1272" t="s">
        <v>1099</v>
      </c>
      <c r="B1272" t="s">
        <v>32</v>
      </c>
      <c r="C1272">
        <v>44</v>
      </c>
      <c r="D1272">
        <v>5</v>
      </c>
      <c r="E1272">
        <v>40</v>
      </c>
      <c r="F1272">
        <v>43</v>
      </c>
      <c r="G1272">
        <v>5</v>
      </c>
      <c r="H1272">
        <v>39</v>
      </c>
      <c r="I1272">
        <v>0.16300000000000001</v>
      </c>
      <c r="J1272">
        <f t="shared" si="19"/>
        <v>0.18404907975460122</v>
      </c>
      <c r="K1272">
        <v>2.9999999999999997E-4</v>
      </c>
      <c r="L1272" t="s">
        <v>17</v>
      </c>
      <c r="M1272">
        <v>296</v>
      </c>
      <c r="N1272" t="s">
        <v>553</v>
      </c>
    </row>
    <row r="1273" spans="1:14" x14ac:dyDescent="0.2">
      <c r="A1273" t="s">
        <v>1099</v>
      </c>
      <c r="B1273" t="s">
        <v>32</v>
      </c>
      <c r="C1273">
        <v>46</v>
      </c>
      <c r="D1273">
        <v>3</v>
      </c>
      <c r="E1273">
        <v>44</v>
      </c>
      <c r="F1273">
        <v>45</v>
      </c>
      <c r="G1273">
        <v>3</v>
      </c>
      <c r="H1273">
        <v>43</v>
      </c>
      <c r="I1273">
        <v>0.15340000000000001</v>
      </c>
      <c r="J1273">
        <f t="shared" si="19"/>
        <v>0.1303780964797914</v>
      </c>
      <c r="K1273">
        <v>2.0000000000000001E-4</v>
      </c>
      <c r="L1273" t="s">
        <v>17</v>
      </c>
      <c r="M1273">
        <v>296</v>
      </c>
      <c r="N1273" t="s">
        <v>553</v>
      </c>
    </row>
    <row r="1274" spans="1:14" x14ac:dyDescent="0.2">
      <c r="A1274" t="s">
        <v>1099</v>
      </c>
      <c r="B1274" t="s">
        <v>32</v>
      </c>
      <c r="C1274">
        <v>52</v>
      </c>
      <c r="D1274">
        <v>14</v>
      </c>
      <c r="E1274">
        <v>39</v>
      </c>
      <c r="F1274">
        <v>51</v>
      </c>
      <c r="G1274">
        <v>14</v>
      </c>
      <c r="H1274">
        <v>38</v>
      </c>
      <c r="I1274">
        <v>0.13669999999999999</v>
      </c>
      <c r="J1274">
        <f t="shared" si="19"/>
        <v>0.65837600585223122</v>
      </c>
      <c r="K1274">
        <v>8.9999999999999998E-4</v>
      </c>
      <c r="L1274" t="s">
        <v>17</v>
      </c>
      <c r="M1274">
        <v>296</v>
      </c>
      <c r="N1274" t="s">
        <v>553</v>
      </c>
    </row>
    <row r="1275" spans="1:14" x14ac:dyDescent="0.2">
      <c r="A1275" t="s">
        <v>1099</v>
      </c>
      <c r="B1275" t="s">
        <v>32</v>
      </c>
      <c r="C1275">
        <v>46</v>
      </c>
      <c r="D1275">
        <v>8</v>
      </c>
      <c r="E1275">
        <v>39</v>
      </c>
      <c r="F1275">
        <v>45</v>
      </c>
      <c r="G1275">
        <v>8</v>
      </c>
      <c r="H1275">
        <v>38</v>
      </c>
      <c r="I1275">
        <v>0.1656</v>
      </c>
      <c r="J1275">
        <f t="shared" si="19"/>
        <v>0.66425120772946866</v>
      </c>
      <c r="K1275">
        <v>1.1000000000000001E-3</v>
      </c>
      <c r="L1275" t="s">
        <v>17</v>
      </c>
      <c r="M1275">
        <v>296</v>
      </c>
      <c r="N1275" t="s">
        <v>553</v>
      </c>
    </row>
    <row r="1276" spans="1:14" x14ac:dyDescent="0.2">
      <c r="A1276" t="s">
        <v>1099</v>
      </c>
      <c r="B1276" t="s">
        <v>32</v>
      </c>
      <c r="C1276">
        <v>49</v>
      </c>
      <c r="D1276">
        <v>0</v>
      </c>
      <c r="E1276">
        <v>49</v>
      </c>
      <c r="F1276">
        <v>48</v>
      </c>
      <c r="G1276">
        <v>0</v>
      </c>
      <c r="H1276">
        <v>48</v>
      </c>
      <c r="I1276">
        <v>0.14360000000000001</v>
      </c>
      <c r="J1276">
        <f t="shared" si="19"/>
        <v>0.55710306406685239</v>
      </c>
      <c r="K1276">
        <v>8.0000000000000004E-4</v>
      </c>
      <c r="L1276" t="s">
        <v>17</v>
      </c>
      <c r="M1276">
        <v>296</v>
      </c>
      <c r="N1276" t="s">
        <v>553</v>
      </c>
    </row>
    <row r="1277" spans="1:14" x14ac:dyDescent="0.2">
      <c r="A1277" t="s">
        <v>1099</v>
      </c>
      <c r="B1277" t="s">
        <v>32</v>
      </c>
      <c r="C1277">
        <v>50</v>
      </c>
      <c r="D1277">
        <v>12</v>
      </c>
      <c r="E1277">
        <v>39</v>
      </c>
      <c r="F1277">
        <v>49</v>
      </c>
      <c r="G1277">
        <v>12</v>
      </c>
      <c r="H1277">
        <v>38</v>
      </c>
      <c r="I1277">
        <v>0.15620000000000001</v>
      </c>
      <c r="J1277">
        <f t="shared" si="19"/>
        <v>0.38412291933418691</v>
      </c>
      <c r="K1277">
        <v>5.9999999999999995E-4</v>
      </c>
      <c r="L1277" t="s">
        <v>17</v>
      </c>
      <c r="M1277">
        <v>296</v>
      </c>
      <c r="N1277" t="s">
        <v>553</v>
      </c>
    </row>
    <row r="1278" spans="1:14" x14ac:dyDescent="0.2">
      <c r="A1278" t="s">
        <v>1099</v>
      </c>
      <c r="B1278" t="s">
        <v>32</v>
      </c>
      <c r="C1278">
        <v>47</v>
      </c>
      <c r="D1278">
        <v>9</v>
      </c>
      <c r="E1278">
        <v>38</v>
      </c>
      <c r="F1278">
        <v>46</v>
      </c>
      <c r="G1278">
        <v>9</v>
      </c>
      <c r="H1278">
        <v>37</v>
      </c>
      <c r="I1278">
        <v>0.16189999999999999</v>
      </c>
      <c r="J1278">
        <f t="shared" si="19"/>
        <v>0.24706609017912293</v>
      </c>
      <c r="K1278">
        <v>4.0000000000000002E-4</v>
      </c>
      <c r="L1278" t="s">
        <v>17</v>
      </c>
      <c r="M1278">
        <v>296</v>
      </c>
      <c r="N1278" t="s">
        <v>553</v>
      </c>
    </row>
    <row r="1279" spans="1:14" x14ac:dyDescent="0.2">
      <c r="A1279" t="s">
        <v>1099</v>
      </c>
      <c r="B1279" t="s">
        <v>32</v>
      </c>
      <c r="C1279">
        <v>48</v>
      </c>
      <c r="D1279">
        <v>2</v>
      </c>
      <c r="E1279">
        <v>47</v>
      </c>
      <c r="F1279">
        <v>47</v>
      </c>
      <c r="G1279">
        <v>2</v>
      </c>
      <c r="H1279">
        <v>46</v>
      </c>
      <c r="I1279">
        <v>0.14910000000000001</v>
      </c>
      <c r="J1279">
        <f t="shared" si="19"/>
        <v>0.33534540576794097</v>
      </c>
      <c r="K1279">
        <v>5.0000000000000001E-4</v>
      </c>
      <c r="L1279" t="s">
        <v>17</v>
      </c>
      <c r="M1279">
        <v>296</v>
      </c>
      <c r="N1279" t="s">
        <v>553</v>
      </c>
    </row>
    <row r="1280" spans="1:14" x14ac:dyDescent="0.2">
      <c r="A1280" t="s">
        <v>1099</v>
      </c>
      <c r="B1280" t="s">
        <v>32</v>
      </c>
      <c r="C1280">
        <v>45</v>
      </c>
      <c r="D1280">
        <v>3</v>
      </c>
      <c r="E1280">
        <v>42</v>
      </c>
      <c r="F1280">
        <v>44</v>
      </c>
      <c r="G1280">
        <v>3</v>
      </c>
      <c r="H1280">
        <v>41</v>
      </c>
      <c r="I1280">
        <v>0.1537</v>
      </c>
      <c r="J1280">
        <f t="shared" si="19"/>
        <v>0.32530904359141183</v>
      </c>
      <c r="K1280">
        <v>5.0000000000000001E-4</v>
      </c>
      <c r="L1280" t="s">
        <v>17</v>
      </c>
      <c r="M1280">
        <v>296</v>
      </c>
      <c r="N1280" t="s">
        <v>553</v>
      </c>
    </row>
    <row r="1281" spans="1:14" x14ac:dyDescent="0.2">
      <c r="A1281" t="s">
        <v>1099</v>
      </c>
      <c r="B1281" t="s">
        <v>32</v>
      </c>
      <c r="C1281">
        <v>43</v>
      </c>
      <c r="D1281">
        <v>4</v>
      </c>
      <c r="E1281">
        <v>39</v>
      </c>
      <c r="F1281">
        <v>42</v>
      </c>
      <c r="G1281">
        <v>4</v>
      </c>
      <c r="H1281">
        <v>38</v>
      </c>
      <c r="I1281">
        <v>0.16300000000000001</v>
      </c>
      <c r="J1281">
        <f t="shared" si="19"/>
        <v>0.1226993865030675</v>
      </c>
      <c r="K1281">
        <v>2.0000000000000001E-4</v>
      </c>
      <c r="L1281" t="s">
        <v>17</v>
      </c>
      <c r="M1281">
        <v>296</v>
      </c>
      <c r="N1281" t="s">
        <v>553</v>
      </c>
    </row>
    <row r="1282" spans="1:14" x14ac:dyDescent="0.2">
      <c r="A1282" t="s">
        <v>1099</v>
      </c>
      <c r="B1282" t="s">
        <v>32</v>
      </c>
      <c r="C1282">
        <v>47</v>
      </c>
      <c r="D1282">
        <v>2</v>
      </c>
      <c r="E1282">
        <v>45</v>
      </c>
      <c r="F1282">
        <v>46</v>
      </c>
      <c r="G1282">
        <v>2</v>
      </c>
      <c r="H1282">
        <v>44</v>
      </c>
      <c r="I1282">
        <v>0.1492</v>
      </c>
      <c r="J1282">
        <f t="shared" si="19"/>
        <v>0.20107238605898123</v>
      </c>
      <c r="K1282">
        <v>2.9999999999999997E-4</v>
      </c>
      <c r="L1282" t="s">
        <v>17</v>
      </c>
      <c r="M1282">
        <v>296</v>
      </c>
      <c r="N1282" t="s">
        <v>553</v>
      </c>
    </row>
    <row r="1283" spans="1:14" x14ac:dyDescent="0.2">
      <c r="A1283" t="s">
        <v>1099</v>
      </c>
      <c r="B1283" t="s">
        <v>32</v>
      </c>
      <c r="C1283">
        <v>43</v>
      </c>
      <c r="D1283">
        <v>5</v>
      </c>
      <c r="E1283">
        <v>38</v>
      </c>
      <c r="F1283">
        <v>42</v>
      </c>
      <c r="G1283">
        <v>5</v>
      </c>
      <c r="H1283">
        <v>37</v>
      </c>
      <c r="I1283">
        <v>0.15939999999999999</v>
      </c>
      <c r="J1283">
        <f t="shared" ref="J1283:J1346" si="20">K1283/I1283*100</f>
        <v>0.12547051442910917</v>
      </c>
      <c r="K1283">
        <v>2.0000000000000001E-4</v>
      </c>
      <c r="L1283" t="s">
        <v>17</v>
      </c>
      <c r="M1283">
        <v>296</v>
      </c>
      <c r="N1283" t="s">
        <v>553</v>
      </c>
    </row>
    <row r="1284" spans="1:14" x14ac:dyDescent="0.2">
      <c r="A1284" t="s">
        <v>1099</v>
      </c>
      <c r="B1284" t="s">
        <v>32</v>
      </c>
      <c r="C1284">
        <v>53</v>
      </c>
      <c r="D1284">
        <v>14</v>
      </c>
      <c r="E1284">
        <v>39</v>
      </c>
      <c r="F1284">
        <v>52</v>
      </c>
      <c r="G1284">
        <v>14</v>
      </c>
      <c r="H1284">
        <v>38</v>
      </c>
      <c r="I1284">
        <v>0.13819999999999999</v>
      </c>
      <c r="J1284">
        <f t="shared" si="20"/>
        <v>0.86830680173661368</v>
      </c>
      <c r="K1284">
        <v>1.1999999999999999E-3</v>
      </c>
      <c r="L1284" t="s">
        <v>17</v>
      </c>
      <c r="M1284">
        <v>296</v>
      </c>
      <c r="N1284" t="s">
        <v>553</v>
      </c>
    </row>
    <row r="1285" spans="1:14" x14ac:dyDescent="0.2">
      <c r="A1285" t="s">
        <v>1099</v>
      </c>
      <c r="B1285" t="s">
        <v>32</v>
      </c>
      <c r="C1285">
        <v>46</v>
      </c>
      <c r="D1285">
        <v>4</v>
      </c>
      <c r="E1285">
        <v>43</v>
      </c>
      <c r="F1285">
        <v>45</v>
      </c>
      <c r="G1285">
        <v>4</v>
      </c>
      <c r="H1285">
        <v>42</v>
      </c>
      <c r="I1285">
        <v>0.15939999999999999</v>
      </c>
      <c r="J1285">
        <f t="shared" si="20"/>
        <v>0.18820577164366373</v>
      </c>
      <c r="K1285">
        <v>2.9999999999999997E-4</v>
      </c>
      <c r="L1285" t="s">
        <v>17</v>
      </c>
      <c r="M1285">
        <v>296</v>
      </c>
      <c r="N1285" t="s">
        <v>553</v>
      </c>
    </row>
    <row r="1286" spans="1:14" x14ac:dyDescent="0.2">
      <c r="A1286" t="s">
        <v>1099</v>
      </c>
      <c r="B1286" t="s">
        <v>32</v>
      </c>
      <c r="C1286">
        <v>46</v>
      </c>
      <c r="D1286">
        <v>7</v>
      </c>
      <c r="E1286">
        <v>40</v>
      </c>
      <c r="F1286">
        <v>45</v>
      </c>
      <c r="G1286">
        <v>7</v>
      </c>
      <c r="H1286">
        <v>39</v>
      </c>
      <c r="I1286">
        <v>0.1578</v>
      </c>
      <c r="J1286">
        <f t="shared" si="20"/>
        <v>0.31685678073510776</v>
      </c>
      <c r="K1286">
        <v>5.0000000000000001E-4</v>
      </c>
      <c r="L1286" t="s">
        <v>17</v>
      </c>
      <c r="M1286">
        <v>296</v>
      </c>
      <c r="N1286" t="s">
        <v>553</v>
      </c>
    </row>
    <row r="1287" spans="1:14" x14ac:dyDescent="0.2">
      <c r="A1287" t="s">
        <v>1099</v>
      </c>
      <c r="B1287" t="s">
        <v>32</v>
      </c>
      <c r="C1287">
        <v>50</v>
      </c>
      <c r="D1287">
        <v>1</v>
      </c>
      <c r="E1287">
        <v>50</v>
      </c>
      <c r="F1287">
        <v>49</v>
      </c>
      <c r="G1287">
        <v>1</v>
      </c>
      <c r="H1287">
        <v>49</v>
      </c>
      <c r="I1287">
        <v>0.14710000000000001</v>
      </c>
      <c r="J1287">
        <f t="shared" si="20"/>
        <v>0.54384772263766146</v>
      </c>
      <c r="K1287">
        <v>8.0000000000000004E-4</v>
      </c>
      <c r="L1287" t="s">
        <v>17</v>
      </c>
      <c r="M1287">
        <v>296</v>
      </c>
      <c r="N1287" t="s">
        <v>553</v>
      </c>
    </row>
    <row r="1288" spans="1:14" x14ac:dyDescent="0.2">
      <c r="A1288" t="s">
        <v>1099</v>
      </c>
      <c r="B1288" t="s">
        <v>32</v>
      </c>
      <c r="C1288">
        <v>49</v>
      </c>
      <c r="D1288">
        <v>1</v>
      </c>
      <c r="E1288">
        <v>48</v>
      </c>
      <c r="F1288">
        <v>48</v>
      </c>
      <c r="G1288">
        <v>1</v>
      </c>
      <c r="H1288">
        <v>47</v>
      </c>
      <c r="I1288">
        <v>0.14910000000000001</v>
      </c>
      <c r="J1288">
        <f t="shared" si="20"/>
        <v>0.20120724346076457</v>
      </c>
      <c r="K1288">
        <v>2.9999999999999997E-4</v>
      </c>
      <c r="L1288" t="s">
        <v>17</v>
      </c>
      <c r="M1288">
        <v>296</v>
      </c>
      <c r="N1288" t="s">
        <v>553</v>
      </c>
    </row>
    <row r="1289" spans="1:14" x14ac:dyDescent="0.2">
      <c r="A1289" t="s">
        <v>1099</v>
      </c>
      <c r="B1289" t="s">
        <v>32</v>
      </c>
      <c r="C1289">
        <v>51</v>
      </c>
      <c r="D1289">
        <v>12</v>
      </c>
      <c r="E1289">
        <v>39</v>
      </c>
      <c r="F1289">
        <v>50</v>
      </c>
      <c r="G1289">
        <v>12</v>
      </c>
      <c r="H1289">
        <v>38</v>
      </c>
      <c r="I1289">
        <v>0.14499999999999999</v>
      </c>
      <c r="J1289">
        <f t="shared" si="20"/>
        <v>0.68965517241379315</v>
      </c>
      <c r="K1289">
        <v>1E-3</v>
      </c>
      <c r="L1289" t="s">
        <v>17</v>
      </c>
      <c r="M1289">
        <v>296</v>
      </c>
      <c r="N1289" t="s">
        <v>553</v>
      </c>
    </row>
    <row r="1290" spans="1:14" x14ac:dyDescent="0.2">
      <c r="A1290" t="s">
        <v>1099</v>
      </c>
      <c r="B1290" t="s">
        <v>32</v>
      </c>
      <c r="C1290">
        <v>47</v>
      </c>
      <c r="D1290">
        <v>8</v>
      </c>
      <c r="E1290">
        <v>39</v>
      </c>
      <c r="F1290">
        <v>46</v>
      </c>
      <c r="G1290">
        <v>8</v>
      </c>
      <c r="H1290">
        <v>38</v>
      </c>
      <c r="I1290">
        <v>0.16159999999999999</v>
      </c>
      <c r="J1290">
        <f t="shared" si="20"/>
        <v>0.24752475247524752</v>
      </c>
      <c r="K1290">
        <v>4.0000000000000002E-4</v>
      </c>
      <c r="L1290" t="s">
        <v>17</v>
      </c>
      <c r="M1290">
        <v>296</v>
      </c>
      <c r="N1290" t="s">
        <v>553</v>
      </c>
    </row>
    <row r="1291" spans="1:14" x14ac:dyDescent="0.2">
      <c r="A1291" t="s">
        <v>1099</v>
      </c>
      <c r="B1291" t="s">
        <v>32</v>
      </c>
      <c r="C1291">
        <v>48</v>
      </c>
      <c r="D1291">
        <v>9</v>
      </c>
      <c r="E1291">
        <v>40</v>
      </c>
      <c r="F1291">
        <v>47</v>
      </c>
      <c r="G1291">
        <v>9</v>
      </c>
      <c r="H1291">
        <v>39</v>
      </c>
      <c r="I1291">
        <v>0.1608</v>
      </c>
      <c r="J1291">
        <f t="shared" si="20"/>
        <v>0.24875621890547264</v>
      </c>
      <c r="K1291">
        <v>4.0000000000000002E-4</v>
      </c>
      <c r="L1291" t="s">
        <v>17</v>
      </c>
      <c r="M1291">
        <v>296</v>
      </c>
      <c r="N1291" t="s">
        <v>553</v>
      </c>
    </row>
    <row r="1292" spans="1:14" x14ac:dyDescent="0.2">
      <c r="A1292" t="s">
        <v>1099</v>
      </c>
      <c r="B1292" t="s">
        <v>32</v>
      </c>
      <c r="C1292">
        <v>50</v>
      </c>
      <c r="D1292">
        <v>11</v>
      </c>
      <c r="E1292">
        <v>40</v>
      </c>
      <c r="F1292">
        <v>49</v>
      </c>
      <c r="G1292">
        <v>11</v>
      </c>
      <c r="H1292">
        <v>39</v>
      </c>
      <c r="I1292">
        <v>0.1502</v>
      </c>
      <c r="J1292">
        <f t="shared" si="20"/>
        <v>0.53262316910785623</v>
      </c>
      <c r="K1292">
        <v>8.0000000000000004E-4</v>
      </c>
      <c r="L1292" t="s">
        <v>17</v>
      </c>
      <c r="M1292">
        <v>296</v>
      </c>
      <c r="N1292" t="s">
        <v>553</v>
      </c>
    </row>
    <row r="1293" spans="1:14" x14ac:dyDescent="0.2">
      <c r="A1293" t="s">
        <v>1099</v>
      </c>
      <c r="B1293" t="s">
        <v>32</v>
      </c>
      <c r="C1293">
        <v>49</v>
      </c>
      <c r="D1293">
        <v>10</v>
      </c>
      <c r="E1293">
        <v>39</v>
      </c>
      <c r="F1293">
        <v>48</v>
      </c>
      <c r="G1293">
        <v>10</v>
      </c>
      <c r="H1293">
        <v>38</v>
      </c>
      <c r="I1293">
        <v>0.1573</v>
      </c>
      <c r="J1293">
        <f t="shared" si="20"/>
        <v>0.25429116338207247</v>
      </c>
      <c r="K1293">
        <v>4.0000000000000002E-4</v>
      </c>
      <c r="L1293" t="s">
        <v>17</v>
      </c>
      <c r="M1293">
        <v>296</v>
      </c>
      <c r="N1293" t="s">
        <v>553</v>
      </c>
    </row>
    <row r="1294" spans="1:14" x14ac:dyDescent="0.2">
      <c r="A1294" t="s">
        <v>1099</v>
      </c>
      <c r="B1294" t="s">
        <v>32</v>
      </c>
      <c r="C1294">
        <v>48</v>
      </c>
      <c r="D1294">
        <v>3</v>
      </c>
      <c r="E1294">
        <v>46</v>
      </c>
      <c r="F1294">
        <v>47</v>
      </c>
      <c r="G1294">
        <v>3</v>
      </c>
      <c r="H1294">
        <v>45</v>
      </c>
      <c r="I1294">
        <v>0.152</v>
      </c>
      <c r="J1294">
        <f t="shared" si="20"/>
        <v>0.19736842105263158</v>
      </c>
      <c r="K1294">
        <v>2.9999999999999997E-4</v>
      </c>
      <c r="L1294" t="s">
        <v>17</v>
      </c>
      <c r="M1294">
        <v>296</v>
      </c>
      <c r="N1294" t="s">
        <v>553</v>
      </c>
    </row>
    <row r="1295" spans="1:14" x14ac:dyDescent="0.2">
      <c r="A1295" t="s">
        <v>1099</v>
      </c>
      <c r="B1295" t="s">
        <v>32</v>
      </c>
      <c r="C1295">
        <v>45</v>
      </c>
      <c r="D1295">
        <v>6</v>
      </c>
      <c r="E1295">
        <v>39</v>
      </c>
      <c r="F1295">
        <v>44</v>
      </c>
      <c r="G1295">
        <v>6</v>
      </c>
      <c r="H1295">
        <v>38</v>
      </c>
      <c r="I1295">
        <v>0.1638</v>
      </c>
      <c r="J1295">
        <f t="shared" si="20"/>
        <v>0.18315018315018314</v>
      </c>
      <c r="K1295">
        <v>2.9999999999999997E-4</v>
      </c>
      <c r="L1295" t="s">
        <v>17</v>
      </c>
      <c r="M1295">
        <v>296</v>
      </c>
      <c r="N1295" t="s">
        <v>553</v>
      </c>
    </row>
    <row r="1296" spans="1:14" x14ac:dyDescent="0.2">
      <c r="A1296" t="s">
        <v>1099</v>
      </c>
      <c r="B1296" t="s">
        <v>32</v>
      </c>
      <c r="C1296">
        <v>46</v>
      </c>
      <c r="D1296">
        <v>5</v>
      </c>
      <c r="E1296">
        <v>42</v>
      </c>
      <c r="F1296">
        <v>45</v>
      </c>
      <c r="G1296">
        <v>5</v>
      </c>
      <c r="H1296">
        <v>41</v>
      </c>
      <c r="I1296">
        <v>0.16170000000000001</v>
      </c>
      <c r="J1296">
        <f t="shared" si="20"/>
        <v>0.18552875695732837</v>
      </c>
      <c r="K1296">
        <v>2.9999999999999997E-4</v>
      </c>
      <c r="L1296" t="s">
        <v>17</v>
      </c>
      <c r="M1296">
        <v>296</v>
      </c>
      <c r="N1296" t="s">
        <v>553</v>
      </c>
    </row>
    <row r="1297" spans="1:14" x14ac:dyDescent="0.2">
      <c r="A1297" t="s">
        <v>1099</v>
      </c>
      <c r="B1297" t="s">
        <v>32</v>
      </c>
      <c r="C1297">
        <v>46</v>
      </c>
      <c r="D1297">
        <v>6</v>
      </c>
      <c r="E1297">
        <v>41</v>
      </c>
      <c r="F1297">
        <v>45</v>
      </c>
      <c r="G1297">
        <v>6</v>
      </c>
      <c r="H1297">
        <v>40</v>
      </c>
      <c r="I1297">
        <v>0.15409999999999999</v>
      </c>
      <c r="J1297">
        <f t="shared" si="20"/>
        <v>0.19467878001297859</v>
      </c>
      <c r="K1297">
        <v>2.9999999999999997E-4</v>
      </c>
      <c r="L1297" t="s">
        <v>17</v>
      </c>
      <c r="M1297">
        <v>296</v>
      </c>
      <c r="N1297" t="s">
        <v>553</v>
      </c>
    </row>
    <row r="1298" spans="1:14" x14ac:dyDescent="0.2">
      <c r="A1298" t="s">
        <v>1099</v>
      </c>
      <c r="B1298" t="s">
        <v>32</v>
      </c>
      <c r="C1298">
        <v>51</v>
      </c>
      <c r="D1298">
        <v>0</v>
      </c>
      <c r="E1298">
        <v>51</v>
      </c>
      <c r="F1298">
        <v>50</v>
      </c>
      <c r="G1298">
        <v>0</v>
      </c>
      <c r="H1298">
        <v>50</v>
      </c>
      <c r="I1298">
        <v>0.1439</v>
      </c>
      <c r="J1298">
        <f t="shared" si="20"/>
        <v>0.20847810979847115</v>
      </c>
      <c r="K1298">
        <v>2.9999999999999997E-4</v>
      </c>
      <c r="L1298" t="s">
        <v>17</v>
      </c>
      <c r="M1298">
        <v>296</v>
      </c>
      <c r="N1298" t="s">
        <v>553</v>
      </c>
    </row>
    <row r="1299" spans="1:14" x14ac:dyDescent="0.2">
      <c r="A1299" t="s">
        <v>1099</v>
      </c>
      <c r="B1299" t="s">
        <v>32</v>
      </c>
      <c r="C1299">
        <v>53</v>
      </c>
      <c r="D1299">
        <v>13</v>
      </c>
      <c r="E1299">
        <v>40</v>
      </c>
      <c r="F1299">
        <v>52</v>
      </c>
      <c r="G1299">
        <v>13</v>
      </c>
      <c r="H1299">
        <v>39</v>
      </c>
      <c r="I1299">
        <v>0.14080000000000001</v>
      </c>
      <c r="J1299">
        <f t="shared" si="20"/>
        <v>0.56818181818181823</v>
      </c>
      <c r="K1299">
        <v>8.0000000000000004E-4</v>
      </c>
      <c r="L1299" t="s">
        <v>17</v>
      </c>
      <c r="M1299">
        <v>296</v>
      </c>
      <c r="N1299" t="s">
        <v>553</v>
      </c>
    </row>
    <row r="1300" spans="1:14" x14ac:dyDescent="0.2">
      <c r="A1300" t="s">
        <v>1099</v>
      </c>
      <c r="B1300" t="s">
        <v>32</v>
      </c>
      <c r="C1300">
        <v>47</v>
      </c>
      <c r="D1300">
        <v>3</v>
      </c>
      <c r="E1300">
        <v>44</v>
      </c>
      <c r="F1300">
        <v>46</v>
      </c>
      <c r="G1300">
        <v>3</v>
      </c>
      <c r="H1300">
        <v>43</v>
      </c>
      <c r="I1300">
        <v>0.1583</v>
      </c>
      <c r="J1300">
        <f t="shared" si="20"/>
        <v>0.18951358180669614</v>
      </c>
      <c r="K1300">
        <v>2.9999999999999997E-4</v>
      </c>
      <c r="L1300" t="s">
        <v>17</v>
      </c>
      <c r="M1300">
        <v>296</v>
      </c>
      <c r="N1300" t="s">
        <v>553</v>
      </c>
    </row>
    <row r="1301" spans="1:14" x14ac:dyDescent="0.2">
      <c r="A1301" t="s">
        <v>1099</v>
      </c>
      <c r="B1301" t="s">
        <v>32</v>
      </c>
      <c r="C1301">
        <v>50</v>
      </c>
      <c r="D1301">
        <v>2</v>
      </c>
      <c r="E1301">
        <v>49</v>
      </c>
      <c r="F1301">
        <v>49</v>
      </c>
      <c r="G1301">
        <v>2</v>
      </c>
      <c r="H1301">
        <v>48</v>
      </c>
      <c r="I1301">
        <v>0.14779999999999999</v>
      </c>
      <c r="J1301">
        <f t="shared" si="20"/>
        <v>0.20297699594046006</v>
      </c>
      <c r="K1301">
        <v>2.9999999999999997E-4</v>
      </c>
      <c r="L1301" t="s">
        <v>17</v>
      </c>
      <c r="M1301">
        <v>296</v>
      </c>
      <c r="N1301" t="s">
        <v>553</v>
      </c>
    </row>
    <row r="1302" spans="1:14" x14ac:dyDescent="0.2">
      <c r="A1302" t="s">
        <v>1099</v>
      </c>
      <c r="B1302" t="s">
        <v>32</v>
      </c>
      <c r="C1302">
        <v>52</v>
      </c>
      <c r="D1302">
        <v>12</v>
      </c>
      <c r="E1302">
        <v>41</v>
      </c>
      <c r="F1302">
        <v>51</v>
      </c>
      <c r="G1302">
        <v>12</v>
      </c>
      <c r="H1302">
        <v>40</v>
      </c>
      <c r="I1302">
        <v>0.14510000000000001</v>
      </c>
      <c r="J1302">
        <f t="shared" si="20"/>
        <v>0.41350792556857335</v>
      </c>
      <c r="K1302">
        <v>5.9999999999999995E-4</v>
      </c>
      <c r="L1302" t="s">
        <v>17</v>
      </c>
      <c r="M1302">
        <v>296</v>
      </c>
      <c r="N1302" t="s">
        <v>553</v>
      </c>
    </row>
    <row r="1303" spans="1:14" x14ac:dyDescent="0.2">
      <c r="A1303" t="s">
        <v>1099</v>
      </c>
      <c r="B1303" t="s">
        <v>32</v>
      </c>
      <c r="C1303">
        <v>48</v>
      </c>
      <c r="D1303">
        <v>8</v>
      </c>
      <c r="E1303">
        <v>41</v>
      </c>
      <c r="F1303">
        <v>47</v>
      </c>
      <c r="G1303">
        <v>8</v>
      </c>
      <c r="H1303">
        <v>40</v>
      </c>
      <c r="I1303">
        <v>0.1575</v>
      </c>
      <c r="J1303">
        <f t="shared" si="20"/>
        <v>0.12698412698412698</v>
      </c>
      <c r="K1303">
        <v>2.0000000000000001E-4</v>
      </c>
      <c r="L1303" t="s">
        <v>17</v>
      </c>
      <c r="M1303">
        <v>296</v>
      </c>
      <c r="N1303" t="s">
        <v>553</v>
      </c>
    </row>
    <row r="1304" spans="1:14" x14ac:dyDescent="0.2">
      <c r="A1304" t="s">
        <v>1099</v>
      </c>
      <c r="B1304" t="s">
        <v>32</v>
      </c>
      <c r="C1304">
        <v>49</v>
      </c>
      <c r="D1304">
        <v>2</v>
      </c>
      <c r="E1304">
        <v>47</v>
      </c>
      <c r="F1304">
        <v>48</v>
      </c>
      <c r="G1304">
        <v>2</v>
      </c>
      <c r="H1304">
        <v>46</v>
      </c>
      <c r="I1304">
        <v>0.14680000000000001</v>
      </c>
      <c r="J1304">
        <f t="shared" si="20"/>
        <v>0.27247956403269752</v>
      </c>
      <c r="K1304">
        <v>4.0000000000000002E-4</v>
      </c>
      <c r="L1304" t="s">
        <v>17</v>
      </c>
      <c r="M1304">
        <v>296</v>
      </c>
      <c r="N1304" t="s">
        <v>553</v>
      </c>
    </row>
    <row r="1305" spans="1:14" x14ac:dyDescent="0.2">
      <c r="A1305" t="s">
        <v>1099</v>
      </c>
      <c r="B1305" t="s">
        <v>32</v>
      </c>
      <c r="C1305">
        <v>50</v>
      </c>
      <c r="D1305">
        <v>10</v>
      </c>
      <c r="E1305">
        <v>41</v>
      </c>
      <c r="F1305">
        <v>49</v>
      </c>
      <c r="G1305">
        <v>10</v>
      </c>
      <c r="H1305">
        <v>40</v>
      </c>
      <c r="I1305">
        <v>0.1512</v>
      </c>
      <c r="J1305">
        <f t="shared" si="20"/>
        <v>0.3306878306878307</v>
      </c>
      <c r="K1305">
        <v>5.0000000000000001E-4</v>
      </c>
      <c r="L1305" t="s">
        <v>17</v>
      </c>
      <c r="M1305">
        <v>296</v>
      </c>
      <c r="N1305" t="s">
        <v>553</v>
      </c>
    </row>
    <row r="1306" spans="1:14" x14ac:dyDescent="0.2">
      <c r="A1306" t="s">
        <v>1099</v>
      </c>
      <c r="B1306" t="s">
        <v>32</v>
      </c>
      <c r="C1306">
        <v>48</v>
      </c>
      <c r="D1306">
        <v>4</v>
      </c>
      <c r="E1306">
        <v>45</v>
      </c>
      <c r="F1306">
        <v>47</v>
      </c>
      <c r="G1306">
        <v>4</v>
      </c>
      <c r="H1306">
        <v>44</v>
      </c>
      <c r="I1306">
        <v>0.159</v>
      </c>
      <c r="J1306">
        <f t="shared" si="20"/>
        <v>0.18867924528301885</v>
      </c>
      <c r="K1306">
        <v>2.9999999999999997E-4</v>
      </c>
      <c r="L1306" t="s">
        <v>17</v>
      </c>
      <c r="M1306">
        <v>296</v>
      </c>
      <c r="N1306" t="s">
        <v>553</v>
      </c>
    </row>
    <row r="1307" spans="1:14" x14ac:dyDescent="0.2">
      <c r="A1307" t="s">
        <v>1099</v>
      </c>
      <c r="B1307" t="s">
        <v>32</v>
      </c>
      <c r="C1307">
        <v>52</v>
      </c>
      <c r="D1307">
        <v>1</v>
      </c>
      <c r="E1307">
        <v>52</v>
      </c>
      <c r="F1307">
        <v>51</v>
      </c>
      <c r="G1307">
        <v>1</v>
      </c>
      <c r="H1307">
        <v>51</v>
      </c>
      <c r="I1307">
        <v>0.1409</v>
      </c>
      <c r="J1307">
        <f t="shared" si="20"/>
        <v>0.21291696238466998</v>
      </c>
      <c r="K1307">
        <v>2.9999999999999997E-4</v>
      </c>
      <c r="L1307" t="s">
        <v>17</v>
      </c>
      <c r="M1307">
        <v>296</v>
      </c>
      <c r="N1307" t="s">
        <v>553</v>
      </c>
    </row>
    <row r="1308" spans="1:14" x14ac:dyDescent="0.2">
      <c r="A1308" t="s">
        <v>1099</v>
      </c>
      <c r="B1308" t="s">
        <v>32</v>
      </c>
      <c r="C1308">
        <v>51</v>
      </c>
      <c r="D1308">
        <v>1</v>
      </c>
      <c r="E1308">
        <v>50</v>
      </c>
      <c r="F1308">
        <v>50</v>
      </c>
      <c r="G1308">
        <v>1</v>
      </c>
      <c r="H1308">
        <v>49</v>
      </c>
      <c r="I1308">
        <v>0.14860000000000001</v>
      </c>
      <c r="J1308">
        <f t="shared" si="20"/>
        <v>0.20188425302826377</v>
      </c>
      <c r="K1308">
        <v>2.9999999999999997E-4</v>
      </c>
      <c r="L1308" t="s">
        <v>17</v>
      </c>
      <c r="M1308">
        <v>296</v>
      </c>
      <c r="N1308" t="s">
        <v>553</v>
      </c>
    </row>
    <row r="1309" spans="1:14" x14ac:dyDescent="0.2">
      <c r="A1309" t="s">
        <v>1099</v>
      </c>
      <c r="B1309" t="s">
        <v>32</v>
      </c>
      <c r="C1309">
        <v>45</v>
      </c>
      <c r="D1309">
        <v>5</v>
      </c>
      <c r="E1309">
        <v>40</v>
      </c>
      <c r="F1309">
        <v>44</v>
      </c>
      <c r="G1309">
        <v>5</v>
      </c>
      <c r="H1309">
        <v>39</v>
      </c>
      <c r="I1309">
        <v>0.15939999999999999</v>
      </c>
      <c r="J1309">
        <f t="shared" si="20"/>
        <v>0.18820577164366373</v>
      </c>
      <c r="K1309">
        <v>2.9999999999999997E-4</v>
      </c>
      <c r="L1309" t="s">
        <v>17</v>
      </c>
      <c r="M1309">
        <v>296</v>
      </c>
      <c r="N1309" t="s">
        <v>553</v>
      </c>
    </row>
    <row r="1310" spans="1:14" x14ac:dyDescent="0.2">
      <c r="A1310" t="s">
        <v>1099</v>
      </c>
      <c r="B1310" t="s">
        <v>32</v>
      </c>
      <c r="C1310">
        <v>52</v>
      </c>
      <c r="D1310">
        <v>11</v>
      </c>
      <c r="E1310">
        <v>42</v>
      </c>
      <c r="F1310">
        <v>51</v>
      </c>
      <c r="G1310">
        <v>11</v>
      </c>
      <c r="H1310">
        <v>41</v>
      </c>
      <c r="I1310">
        <v>0.1552</v>
      </c>
      <c r="J1310">
        <f t="shared" si="20"/>
        <v>0.32216494845360821</v>
      </c>
      <c r="K1310">
        <v>5.0000000000000001E-4</v>
      </c>
      <c r="L1310" t="s">
        <v>17</v>
      </c>
      <c r="M1310">
        <v>296</v>
      </c>
      <c r="N1310" t="s">
        <v>553</v>
      </c>
    </row>
    <row r="1311" spans="1:14" x14ac:dyDescent="0.2">
      <c r="A1311" t="s">
        <v>1099</v>
      </c>
      <c r="B1311" t="s">
        <v>32</v>
      </c>
      <c r="C1311">
        <v>56</v>
      </c>
      <c r="D1311">
        <v>14</v>
      </c>
      <c r="E1311">
        <v>43</v>
      </c>
      <c r="F1311">
        <v>55</v>
      </c>
      <c r="G1311">
        <v>14</v>
      </c>
      <c r="H1311">
        <v>42</v>
      </c>
      <c r="I1311">
        <v>0.14779999999999999</v>
      </c>
      <c r="J1311">
        <f t="shared" si="20"/>
        <v>0.94722598105548039</v>
      </c>
      <c r="K1311">
        <v>1.4E-3</v>
      </c>
      <c r="L1311" t="s">
        <v>17</v>
      </c>
      <c r="M1311">
        <v>296</v>
      </c>
      <c r="N1311" t="s">
        <v>553</v>
      </c>
    </row>
    <row r="1312" spans="1:14" x14ac:dyDescent="0.2">
      <c r="A1312" t="s">
        <v>1099</v>
      </c>
      <c r="B1312" t="s">
        <v>32</v>
      </c>
      <c r="C1312">
        <v>53</v>
      </c>
      <c r="D1312">
        <v>0</v>
      </c>
      <c r="E1312">
        <v>53</v>
      </c>
      <c r="F1312">
        <v>52</v>
      </c>
      <c r="G1312">
        <v>0</v>
      </c>
      <c r="H1312">
        <v>52</v>
      </c>
      <c r="I1312">
        <v>0.14149999999999999</v>
      </c>
      <c r="J1312">
        <f t="shared" si="20"/>
        <v>0.21201413427561835</v>
      </c>
      <c r="K1312">
        <v>2.9999999999999997E-4</v>
      </c>
      <c r="L1312" t="s">
        <v>17</v>
      </c>
      <c r="M1312">
        <v>296</v>
      </c>
      <c r="N1312" t="s">
        <v>553</v>
      </c>
    </row>
    <row r="1313" spans="1:14" x14ac:dyDescent="0.2">
      <c r="A1313" t="s">
        <v>1099</v>
      </c>
      <c r="B1313" t="s">
        <v>32</v>
      </c>
      <c r="C1313">
        <v>52</v>
      </c>
      <c r="D1313">
        <v>2</v>
      </c>
      <c r="E1313">
        <v>51</v>
      </c>
      <c r="F1313">
        <v>51</v>
      </c>
      <c r="G1313">
        <v>2</v>
      </c>
      <c r="H1313">
        <v>50</v>
      </c>
      <c r="I1313">
        <v>0.14499999999999999</v>
      </c>
      <c r="J1313">
        <f t="shared" si="20"/>
        <v>0.20689655172413793</v>
      </c>
      <c r="K1313">
        <v>2.9999999999999997E-4</v>
      </c>
      <c r="L1313" t="s">
        <v>17</v>
      </c>
      <c r="M1313">
        <v>296</v>
      </c>
      <c r="N1313" t="s">
        <v>553</v>
      </c>
    </row>
    <row r="1314" spans="1:14" x14ac:dyDescent="0.2">
      <c r="A1314" t="s">
        <v>1099</v>
      </c>
      <c r="B1314" t="s">
        <v>32</v>
      </c>
      <c r="C1314">
        <v>55</v>
      </c>
      <c r="D1314">
        <v>13</v>
      </c>
      <c r="E1314">
        <v>42</v>
      </c>
      <c r="F1314">
        <v>54</v>
      </c>
      <c r="G1314">
        <v>13</v>
      </c>
      <c r="H1314">
        <v>41</v>
      </c>
      <c r="I1314">
        <v>0.1429</v>
      </c>
      <c r="J1314">
        <f t="shared" si="20"/>
        <v>0.62981105668299509</v>
      </c>
      <c r="K1314">
        <v>8.9999999999999998E-4</v>
      </c>
      <c r="L1314" t="s">
        <v>17</v>
      </c>
      <c r="M1314">
        <v>296</v>
      </c>
      <c r="N1314" t="s">
        <v>553</v>
      </c>
    </row>
    <row r="1315" spans="1:14" x14ac:dyDescent="0.2">
      <c r="A1315" t="s">
        <v>1099</v>
      </c>
      <c r="B1315" t="s">
        <v>32</v>
      </c>
      <c r="C1315">
        <v>47</v>
      </c>
      <c r="D1315">
        <v>6</v>
      </c>
      <c r="E1315">
        <v>41</v>
      </c>
      <c r="F1315">
        <v>46</v>
      </c>
      <c r="G1315">
        <v>6</v>
      </c>
      <c r="H1315">
        <v>40</v>
      </c>
      <c r="I1315">
        <v>0.158</v>
      </c>
      <c r="J1315">
        <f t="shared" si="20"/>
        <v>0.18987341772151894</v>
      </c>
      <c r="K1315">
        <v>2.9999999999999997E-4</v>
      </c>
      <c r="L1315" t="s">
        <v>17</v>
      </c>
      <c r="M1315">
        <v>296</v>
      </c>
      <c r="N1315" t="s">
        <v>553</v>
      </c>
    </row>
    <row r="1316" spans="1:14" x14ac:dyDescent="0.2">
      <c r="A1316" t="s">
        <v>1099</v>
      </c>
      <c r="B1316" t="s">
        <v>32</v>
      </c>
      <c r="C1316">
        <v>51</v>
      </c>
      <c r="D1316">
        <v>2</v>
      </c>
      <c r="E1316">
        <v>49</v>
      </c>
      <c r="F1316">
        <v>50</v>
      </c>
      <c r="G1316">
        <v>2</v>
      </c>
      <c r="H1316">
        <v>48</v>
      </c>
      <c r="I1316">
        <v>0.1507</v>
      </c>
      <c r="J1316">
        <f t="shared" si="20"/>
        <v>0.26542800265428002</v>
      </c>
      <c r="K1316">
        <v>4.0000000000000002E-4</v>
      </c>
      <c r="L1316" t="s">
        <v>17</v>
      </c>
      <c r="M1316">
        <v>296</v>
      </c>
      <c r="N1316" t="s">
        <v>553</v>
      </c>
    </row>
    <row r="1317" spans="1:14" x14ac:dyDescent="0.2">
      <c r="A1317" t="s">
        <v>1099</v>
      </c>
      <c r="B1317" t="s">
        <v>32</v>
      </c>
      <c r="C1317">
        <v>47</v>
      </c>
      <c r="D1317">
        <v>4</v>
      </c>
      <c r="E1317">
        <v>43</v>
      </c>
      <c r="F1317">
        <v>46</v>
      </c>
      <c r="G1317">
        <v>4</v>
      </c>
      <c r="H1317">
        <v>42</v>
      </c>
      <c r="I1317">
        <v>0.16350000000000001</v>
      </c>
      <c r="J1317">
        <f t="shared" si="20"/>
        <v>0.18348623853211005</v>
      </c>
      <c r="K1317">
        <v>2.9999999999999997E-4</v>
      </c>
      <c r="L1317" t="s">
        <v>17</v>
      </c>
      <c r="M1317">
        <v>296</v>
      </c>
      <c r="N1317" t="s">
        <v>553</v>
      </c>
    </row>
    <row r="1318" spans="1:14" x14ac:dyDescent="0.2">
      <c r="A1318" t="s">
        <v>1099</v>
      </c>
      <c r="B1318" t="s">
        <v>32</v>
      </c>
      <c r="C1318">
        <v>54</v>
      </c>
      <c r="D1318">
        <v>12</v>
      </c>
      <c r="E1318">
        <v>43</v>
      </c>
      <c r="F1318">
        <v>53</v>
      </c>
      <c r="G1318">
        <v>12</v>
      </c>
      <c r="H1318">
        <v>42</v>
      </c>
      <c r="I1318">
        <v>0.1444</v>
      </c>
      <c r="J1318">
        <f t="shared" si="20"/>
        <v>0.554016620498615</v>
      </c>
      <c r="K1318">
        <v>8.0000000000000004E-4</v>
      </c>
      <c r="L1318" t="s">
        <v>17</v>
      </c>
      <c r="M1318">
        <v>296</v>
      </c>
      <c r="N1318" t="s">
        <v>553</v>
      </c>
    </row>
    <row r="1319" spans="1:14" x14ac:dyDescent="0.2">
      <c r="A1319" t="s">
        <v>1099</v>
      </c>
      <c r="B1319" t="s">
        <v>32</v>
      </c>
      <c r="C1319">
        <v>50</v>
      </c>
      <c r="D1319">
        <v>4</v>
      </c>
      <c r="E1319">
        <v>47</v>
      </c>
      <c r="F1319">
        <v>49</v>
      </c>
      <c r="G1319">
        <v>4</v>
      </c>
      <c r="H1319">
        <v>46</v>
      </c>
      <c r="I1319">
        <v>0.15740000000000001</v>
      </c>
      <c r="J1319">
        <f t="shared" si="20"/>
        <v>0.25412960609911056</v>
      </c>
      <c r="K1319">
        <v>4.0000000000000002E-4</v>
      </c>
      <c r="L1319" t="s">
        <v>17</v>
      </c>
      <c r="M1319">
        <v>296</v>
      </c>
      <c r="N1319" t="s">
        <v>553</v>
      </c>
    </row>
    <row r="1320" spans="1:14" x14ac:dyDescent="0.2">
      <c r="A1320" t="s">
        <v>1099</v>
      </c>
      <c r="B1320" t="s">
        <v>32</v>
      </c>
      <c r="C1320">
        <v>53</v>
      </c>
      <c r="D1320">
        <v>11</v>
      </c>
      <c r="E1320">
        <v>42</v>
      </c>
      <c r="F1320">
        <v>52</v>
      </c>
      <c r="G1320">
        <v>11</v>
      </c>
      <c r="H1320">
        <v>41</v>
      </c>
      <c r="I1320">
        <v>0.15140000000000001</v>
      </c>
      <c r="J1320">
        <f t="shared" si="20"/>
        <v>0.59445178335534998</v>
      </c>
      <c r="K1320">
        <v>8.9999999999999998E-4</v>
      </c>
      <c r="L1320" t="s">
        <v>17</v>
      </c>
      <c r="M1320">
        <v>296</v>
      </c>
      <c r="N1320" t="s">
        <v>553</v>
      </c>
    </row>
    <row r="1321" spans="1:14" x14ac:dyDescent="0.2">
      <c r="A1321" t="s">
        <v>1099</v>
      </c>
      <c r="B1321" t="s">
        <v>32</v>
      </c>
      <c r="C1321">
        <v>50</v>
      </c>
      <c r="D1321">
        <v>8</v>
      </c>
      <c r="E1321">
        <v>43</v>
      </c>
      <c r="F1321">
        <v>49</v>
      </c>
      <c r="G1321">
        <v>8</v>
      </c>
      <c r="H1321">
        <v>42</v>
      </c>
      <c r="I1321">
        <v>0.15659999999999999</v>
      </c>
      <c r="J1321">
        <f t="shared" si="20"/>
        <v>0.19157088122605362</v>
      </c>
      <c r="K1321">
        <v>2.9999999999999997E-4</v>
      </c>
      <c r="L1321" t="s">
        <v>17</v>
      </c>
      <c r="M1321">
        <v>296</v>
      </c>
      <c r="N1321" t="s">
        <v>553</v>
      </c>
    </row>
    <row r="1322" spans="1:14" x14ac:dyDescent="0.2">
      <c r="A1322" t="s">
        <v>1099</v>
      </c>
      <c r="B1322" t="s">
        <v>32</v>
      </c>
      <c r="C1322">
        <v>52</v>
      </c>
      <c r="D1322">
        <v>10</v>
      </c>
      <c r="E1322">
        <v>43</v>
      </c>
      <c r="F1322">
        <v>51</v>
      </c>
      <c r="G1322">
        <v>10</v>
      </c>
      <c r="H1322">
        <v>42</v>
      </c>
      <c r="I1322">
        <v>0.15340000000000001</v>
      </c>
      <c r="J1322">
        <f t="shared" si="20"/>
        <v>0.32594524119947843</v>
      </c>
      <c r="K1322">
        <v>5.0000000000000001E-4</v>
      </c>
      <c r="L1322" t="s">
        <v>17</v>
      </c>
      <c r="M1322">
        <v>296</v>
      </c>
      <c r="N1322" t="s">
        <v>553</v>
      </c>
    </row>
    <row r="1323" spans="1:14" x14ac:dyDescent="0.2">
      <c r="A1323" t="s">
        <v>1099</v>
      </c>
      <c r="B1323" t="s">
        <v>32</v>
      </c>
      <c r="C1323">
        <v>53</v>
      </c>
      <c r="D1323">
        <v>1</v>
      </c>
      <c r="E1323">
        <v>52</v>
      </c>
      <c r="F1323">
        <v>52</v>
      </c>
      <c r="G1323">
        <v>1</v>
      </c>
      <c r="H1323">
        <v>51</v>
      </c>
      <c r="I1323">
        <v>0.1444</v>
      </c>
      <c r="J1323">
        <f t="shared" si="20"/>
        <v>0.2770083102493075</v>
      </c>
      <c r="K1323">
        <v>4.0000000000000002E-4</v>
      </c>
      <c r="L1323" t="s">
        <v>17</v>
      </c>
      <c r="M1323">
        <v>296</v>
      </c>
      <c r="N1323" t="s">
        <v>553</v>
      </c>
    </row>
    <row r="1324" spans="1:14" x14ac:dyDescent="0.2">
      <c r="A1324" t="s">
        <v>1099</v>
      </c>
      <c r="B1324" t="s">
        <v>32</v>
      </c>
      <c r="C1324">
        <v>49</v>
      </c>
      <c r="D1324">
        <v>7</v>
      </c>
      <c r="E1324">
        <v>42</v>
      </c>
      <c r="F1324">
        <v>48</v>
      </c>
      <c r="G1324">
        <v>7</v>
      </c>
      <c r="H1324">
        <v>41</v>
      </c>
      <c r="I1324">
        <v>0.15870000000000001</v>
      </c>
      <c r="J1324">
        <f t="shared" si="20"/>
        <v>0.25204788909892878</v>
      </c>
      <c r="K1324">
        <v>4.0000000000000002E-4</v>
      </c>
      <c r="L1324" t="s">
        <v>17</v>
      </c>
      <c r="M1324">
        <v>296</v>
      </c>
      <c r="N1324" t="s">
        <v>553</v>
      </c>
    </row>
    <row r="1325" spans="1:14" x14ac:dyDescent="0.2">
      <c r="A1325" t="s">
        <v>1099</v>
      </c>
      <c r="B1325" t="s">
        <v>32</v>
      </c>
      <c r="C1325">
        <v>56</v>
      </c>
      <c r="D1325">
        <v>13</v>
      </c>
      <c r="E1325">
        <v>44</v>
      </c>
      <c r="F1325">
        <v>55</v>
      </c>
      <c r="G1325">
        <v>13</v>
      </c>
      <c r="H1325">
        <v>43</v>
      </c>
      <c r="I1325">
        <v>0.13780000000000001</v>
      </c>
      <c r="J1325">
        <f t="shared" si="20"/>
        <v>0.8708272859216255</v>
      </c>
      <c r="K1325">
        <v>1.1999999999999999E-3</v>
      </c>
      <c r="L1325" t="s">
        <v>17</v>
      </c>
      <c r="M1325">
        <v>296</v>
      </c>
      <c r="N1325" t="s">
        <v>553</v>
      </c>
    </row>
    <row r="1326" spans="1:14" x14ac:dyDescent="0.2">
      <c r="A1326" t="s">
        <v>1099</v>
      </c>
      <c r="B1326" t="s">
        <v>32</v>
      </c>
      <c r="C1326">
        <v>52</v>
      </c>
      <c r="D1326">
        <v>3</v>
      </c>
      <c r="E1326">
        <v>50</v>
      </c>
      <c r="F1326">
        <v>51</v>
      </c>
      <c r="G1326">
        <v>3</v>
      </c>
      <c r="H1326">
        <v>49</v>
      </c>
      <c r="I1326">
        <v>0.15290000000000001</v>
      </c>
      <c r="J1326">
        <f t="shared" si="20"/>
        <v>0.32701111837802482</v>
      </c>
      <c r="K1326">
        <v>5.0000000000000001E-4</v>
      </c>
      <c r="L1326" t="s">
        <v>17</v>
      </c>
      <c r="M1326">
        <v>296</v>
      </c>
      <c r="N1326" t="s">
        <v>553</v>
      </c>
    </row>
    <row r="1327" spans="1:14" x14ac:dyDescent="0.2">
      <c r="A1327" t="s">
        <v>1099</v>
      </c>
      <c r="B1327" t="s">
        <v>32</v>
      </c>
      <c r="C1327">
        <v>55</v>
      </c>
      <c r="D1327">
        <v>12</v>
      </c>
      <c r="E1327">
        <v>43</v>
      </c>
      <c r="F1327">
        <v>54</v>
      </c>
      <c r="G1327">
        <v>12</v>
      </c>
      <c r="H1327">
        <v>42</v>
      </c>
      <c r="I1327">
        <v>0.14749999999999999</v>
      </c>
      <c r="J1327">
        <f t="shared" si="20"/>
        <v>0.5423728813559322</v>
      </c>
      <c r="K1327">
        <v>8.0000000000000004E-4</v>
      </c>
      <c r="L1327" t="s">
        <v>17</v>
      </c>
      <c r="M1327">
        <v>296</v>
      </c>
      <c r="N1327" t="s">
        <v>553</v>
      </c>
    </row>
    <row r="1328" spans="1:14" x14ac:dyDescent="0.2">
      <c r="A1328" t="s">
        <v>1099</v>
      </c>
      <c r="B1328" t="s">
        <v>32</v>
      </c>
      <c r="C1328">
        <v>47</v>
      </c>
      <c r="D1328">
        <v>5</v>
      </c>
      <c r="E1328">
        <v>42</v>
      </c>
      <c r="F1328">
        <v>46</v>
      </c>
      <c r="G1328">
        <v>5</v>
      </c>
      <c r="H1328">
        <v>41</v>
      </c>
      <c r="I1328">
        <v>0.15890000000000001</v>
      </c>
      <c r="J1328">
        <f t="shared" si="20"/>
        <v>0.12586532410320955</v>
      </c>
      <c r="K1328">
        <v>2.0000000000000001E-4</v>
      </c>
      <c r="L1328" t="s">
        <v>17</v>
      </c>
      <c r="M1328">
        <v>296</v>
      </c>
      <c r="N1328" t="s">
        <v>553</v>
      </c>
    </row>
    <row r="1329" spans="1:14" x14ac:dyDescent="0.2">
      <c r="A1329" t="s">
        <v>1099</v>
      </c>
      <c r="B1329" t="s">
        <v>32</v>
      </c>
      <c r="C1329">
        <v>55</v>
      </c>
      <c r="D1329">
        <v>0</v>
      </c>
      <c r="E1329">
        <v>55</v>
      </c>
      <c r="F1329">
        <v>54</v>
      </c>
      <c r="G1329">
        <v>0</v>
      </c>
      <c r="H1329">
        <v>54</v>
      </c>
      <c r="I1329">
        <v>0.13519999999999999</v>
      </c>
      <c r="J1329">
        <f t="shared" si="20"/>
        <v>0.22189349112426035</v>
      </c>
      <c r="K1329">
        <v>2.9999999999999997E-4</v>
      </c>
      <c r="L1329" t="s">
        <v>17</v>
      </c>
      <c r="M1329">
        <v>296</v>
      </c>
      <c r="N1329" t="s">
        <v>553</v>
      </c>
    </row>
    <row r="1330" spans="1:14" x14ac:dyDescent="0.2">
      <c r="A1330" t="s">
        <v>1099</v>
      </c>
      <c r="B1330" t="s">
        <v>32</v>
      </c>
      <c r="C1330">
        <v>54</v>
      </c>
      <c r="D1330">
        <v>11</v>
      </c>
      <c r="E1330">
        <v>44</v>
      </c>
      <c r="F1330">
        <v>53</v>
      </c>
      <c r="G1330">
        <v>11</v>
      </c>
      <c r="H1330">
        <v>43</v>
      </c>
      <c r="I1330">
        <v>0.1424</v>
      </c>
      <c r="J1330">
        <f t="shared" si="20"/>
        <v>1.193820224719101</v>
      </c>
      <c r="K1330">
        <v>1.6999999999999999E-3</v>
      </c>
      <c r="L1330" t="s">
        <v>17</v>
      </c>
      <c r="M1330">
        <v>296</v>
      </c>
      <c r="N1330" t="s">
        <v>553</v>
      </c>
    </row>
    <row r="1331" spans="1:14" x14ac:dyDescent="0.2">
      <c r="A1331" t="s">
        <v>1099</v>
      </c>
      <c r="B1331" t="s">
        <v>32</v>
      </c>
      <c r="C1331">
        <v>50</v>
      </c>
      <c r="D1331">
        <v>5</v>
      </c>
      <c r="E1331">
        <v>46</v>
      </c>
      <c r="F1331">
        <v>49</v>
      </c>
      <c r="G1331">
        <v>5</v>
      </c>
      <c r="H1331">
        <v>45</v>
      </c>
      <c r="I1331">
        <v>0.15029999999999999</v>
      </c>
      <c r="J1331">
        <f t="shared" si="20"/>
        <v>1.3306719893546242</v>
      </c>
      <c r="K1331">
        <v>2E-3</v>
      </c>
      <c r="L1331" t="s">
        <v>17</v>
      </c>
      <c r="M1331">
        <v>296</v>
      </c>
      <c r="N1331" t="s">
        <v>553</v>
      </c>
    </row>
    <row r="1332" spans="1:14" x14ac:dyDescent="0.2">
      <c r="A1332" t="s">
        <v>1099</v>
      </c>
      <c r="B1332" t="s">
        <v>32</v>
      </c>
      <c r="C1332">
        <v>51</v>
      </c>
      <c r="D1332">
        <v>3</v>
      </c>
      <c r="E1332">
        <v>48</v>
      </c>
      <c r="F1332">
        <v>50</v>
      </c>
      <c r="G1332">
        <v>3</v>
      </c>
      <c r="H1332">
        <v>47</v>
      </c>
      <c r="I1332">
        <v>0.1595</v>
      </c>
      <c r="J1332">
        <f t="shared" si="20"/>
        <v>1.0031347962382446</v>
      </c>
      <c r="K1332">
        <v>1.6000000000000001E-3</v>
      </c>
      <c r="L1332" t="s">
        <v>17</v>
      </c>
      <c r="M1332">
        <v>296</v>
      </c>
      <c r="N1332" t="s">
        <v>553</v>
      </c>
    </row>
    <row r="1333" spans="1:14" x14ac:dyDescent="0.2">
      <c r="A1333" t="s">
        <v>1099</v>
      </c>
      <c r="B1333" t="s">
        <v>32</v>
      </c>
      <c r="C1333">
        <v>53</v>
      </c>
      <c r="D1333">
        <v>10</v>
      </c>
      <c r="E1333">
        <v>43</v>
      </c>
      <c r="F1333">
        <v>52</v>
      </c>
      <c r="G1333">
        <v>10</v>
      </c>
      <c r="H1333">
        <v>42</v>
      </c>
      <c r="I1333">
        <v>0.16109999999999999</v>
      </c>
      <c r="J1333">
        <f t="shared" si="20"/>
        <v>0.37243947858472998</v>
      </c>
      <c r="K1333">
        <v>5.9999999999999995E-4</v>
      </c>
      <c r="L1333" t="s">
        <v>17</v>
      </c>
      <c r="M1333">
        <v>296</v>
      </c>
      <c r="N1333" t="s">
        <v>553</v>
      </c>
    </row>
    <row r="1334" spans="1:14" x14ac:dyDescent="0.2">
      <c r="A1334" t="s">
        <v>1099</v>
      </c>
      <c r="B1334" t="s">
        <v>32</v>
      </c>
      <c r="C1334">
        <v>54</v>
      </c>
      <c r="D1334">
        <v>2</v>
      </c>
      <c r="E1334">
        <v>53</v>
      </c>
      <c r="F1334">
        <v>53</v>
      </c>
      <c r="G1334">
        <v>2</v>
      </c>
      <c r="H1334">
        <v>52</v>
      </c>
      <c r="I1334">
        <v>0.1424</v>
      </c>
      <c r="J1334">
        <f t="shared" si="20"/>
        <v>0.21067415730337077</v>
      </c>
      <c r="K1334">
        <v>2.9999999999999997E-4</v>
      </c>
      <c r="L1334" t="s">
        <v>17</v>
      </c>
      <c r="M1334">
        <v>296</v>
      </c>
      <c r="N1334" t="s">
        <v>553</v>
      </c>
    </row>
    <row r="1335" spans="1:14" x14ac:dyDescent="0.2">
      <c r="A1335" t="s">
        <v>1099</v>
      </c>
      <c r="B1335" t="s">
        <v>32</v>
      </c>
      <c r="C1335">
        <v>51</v>
      </c>
      <c r="D1335">
        <v>8</v>
      </c>
      <c r="E1335">
        <v>43</v>
      </c>
      <c r="F1335">
        <v>50</v>
      </c>
      <c r="G1335">
        <v>8</v>
      </c>
      <c r="H1335">
        <v>42</v>
      </c>
      <c r="I1335">
        <v>0.1575</v>
      </c>
      <c r="J1335">
        <f t="shared" si="20"/>
        <v>0.19047619047619047</v>
      </c>
      <c r="K1335">
        <v>2.9999999999999997E-4</v>
      </c>
      <c r="L1335" t="s">
        <v>17</v>
      </c>
      <c r="M1335">
        <v>296</v>
      </c>
      <c r="N1335" t="s">
        <v>553</v>
      </c>
    </row>
    <row r="1336" spans="1:14" x14ac:dyDescent="0.2">
      <c r="A1336" t="s">
        <v>1099</v>
      </c>
      <c r="B1336" t="s">
        <v>32</v>
      </c>
      <c r="C1336">
        <v>49</v>
      </c>
      <c r="D1336">
        <v>4</v>
      </c>
      <c r="E1336">
        <v>45</v>
      </c>
      <c r="F1336">
        <v>48</v>
      </c>
      <c r="G1336">
        <v>4</v>
      </c>
      <c r="H1336">
        <v>44</v>
      </c>
      <c r="I1336">
        <v>0.15260000000000001</v>
      </c>
      <c r="J1336">
        <f t="shared" si="20"/>
        <v>0.26212319790301442</v>
      </c>
      <c r="K1336">
        <v>4.0000000000000002E-4</v>
      </c>
      <c r="L1336" t="s">
        <v>17</v>
      </c>
      <c r="M1336">
        <v>296</v>
      </c>
      <c r="N1336" t="s">
        <v>553</v>
      </c>
    </row>
    <row r="1337" spans="1:14" x14ac:dyDescent="0.2">
      <c r="A1337" t="s">
        <v>1099</v>
      </c>
      <c r="B1337" t="s">
        <v>32</v>
      </c>
      <c r="C1337">
        <v>52</v>
      </c>
      <c r="D1337">
        <v>4</v>
      </c>
      <c r="E1337">
        <v>49</v>
      </c>
      <c r="F1337">
        <v>51</v>
      </c>
      <c r="G1337">
        <v>4</v>
      </c>
      <c r="H1337">
        <v>48</v>
      </c>
      <c r="I1337">
        <v>0.15359999999999999</v>
      </c>
      <c r="J1337">
        <f t="shared" si="20"/>
        <v>0.26041666666666669</v>
      </c>
      <c r="K1337">
        <v>4.0000000000000002E-4</v>
      </c>
      <c r="L1337" t="s">
        <v>17</v>
      </c>
      <c r="M1337">
        <v>296</v>
      </c>
      <c r="N1337" t="s">
        <v>553</v>
      </c>
    </row>
    <row r="1338" spans="1:14" x14ac:dyDescent="0.2">
      <c r="A1338" t="s">
        <v>1099</v>
      </c>
      <c r="B1338" t="s">
        <v>32</v>
      </c>
      <c r="C1338">
        <v>56</v>
      </c>
      <c r="D1338">
        <v>12</v>
      </c>
      <c r="E1338">
        <v>45</v>
      </c>
      <c r="F1338">
        <v>55</v>
      </c>
      <c r="G1338">
        <v>12</v>
      </c>
      <c r="H1338">
        <v>44</v>
      </c>
      <c r="I1338">
        <v>0.1421</v>
      </c>
      <c r="J1338">
        <f t="shared" si="20"/>
        <v>0.70372976776917662</v>
      </c>
      <c r="K1338">
        <v>1E-3</v>
      </c>
      <c r="L1338" t="s">
        <v>17</v>
      </c>
      <c r="M1338">
        <v>296</v>
      </c>
      <c r="N1338" t="s">
        <v>553</v>
      </c>
    </row>
    <row r="1339" spans="1:14" x14ac:dyDescent="0.2">
      <c r="A1339" t="s">
        <v>1099</v>
      </c>
      <c r="B1339" t="s">
        <v>32</v>
      </c>
      <c r="C1339">
        <v>56</v>
      </c>
      <c r="D1339">
        <v>1</v>
      </c>
      <c r="E1339">
        <v>56</v>
      </c>
      <c r="F1339">
        <v>55</v>
      </c>
      <c r="G1339">
        <v>1</v>
      </c>
      <c r="H1339">
        <v>55</v>
      </c>
      <c r="I1339">
        <v>0.1477</v>
      </c>
      <c r="J1339">
        <f t="shared" si="20"/>
        <v>0.33852403520649971</v>
      </c>
      <c r="K1339">
        <v>5.0000000000000001E-4</v>
      </c>
      <c r="L1339" t="s">
        <v>17</v>
      </c>
      <c r="M1339">
        <v>296</v>
      </c>
      <c r="N1339" t="s">
        <v>553</v>
      </c>
    </row>
    <row r="1340" spans="1:14" x14ac:dyDescent="0.2">
      <c r="A1340" t="s">
        <v>1099</v>
      </c>
      <c r="B1340" t="s">
        <v>32</v>
      </c>
      <c r="C1340">
        <v>54</v>
      </c>
      <c r="D1340">
        <v>10</v>
      </c>
      <c r="E1340">
        <v>45</v>
      </c>
      <c r="F1340">
        <v>53</v>
      </c>
      <c r="G1340">
        <v>10</v>
      </c>
      <c r="H1340">
        <v>44</v>
      </c>
      <c r="I1340">
        <v>0.1555</v>
      </c>
      <c r="J1340">
        <f t="shared" si="20"/>
        <v>0.38585209003215432</v>
      </c>
      <c r="K1340">
        <v>5.9999999999999995E-4</v>
      </c>
      <c r="L1340" t="s">
        <v>17</v>
      </c>
      <c r="M1340">
        <v>296</v>
      </c>
      <c r="N1340" t="s">
        <v>553</v>
      </c>
    </row>
    <row r="1341" spans="1:14" x14ac:dyDescent="0.2">
      <c r="A1341" t="s">
        <v>1099</v>
      </c>
      <c r="B1341" t="s">
        <v>32</v>
      </c>
      <c r="C1341">
        <v>49</v>
      </c>
      <c r="D1341">
        <v>6</v>
      </c>
      <c r="E1341">
        <v>43</v>
      </c>
      <c r="F1341">
        <v>48</v>
      </c>
      <c r="G1341">
        <v>6</v>
      </c>
      <c r="H1341">
        <v>42</v>
      </c>
      <c r="I1341">
        <v>0.15840000000000001</v>
      </c>
      <c r="J1341">
        <f t="shared" si="20"/>
        <v>0.31565656565656564</v>
      </c>
      <c r="K1341">
        <v>5.0000000000000001E-4</v>
      </c>
      <c r="L1341" t="s">
        <v>17</v>
      </c>
      <c r="M1341">
        <v>296</v>
      </c>
      <c r="N1341" t="s">
        <v>553</v>
      </c>
    </row>
    <row r="1342" spans="1:14" x14ac:dyDescent="0.2">
      <c r="A1342" t="s">
        <v>1099</v>
      </c>
      <c r="B1342" t="s">
        <v>32</v>
      </c>
      <c r="C1342">
        <v>52</v>
      </c>
      <c r="D1342">
        <v>8</v>
      </c>
      <c r="E1342">
        <v>45</v>
      </c>
      <c r="F1342">
        <v>51</v>
      </c>
      <c r="G1342">
        <v>8</v>
      </c>
      <c r="H1342">
        <v>44</v>
      </c>
      <c r="I1342">
        <v>0.1527</v>
      </c>
      <c r="J1342">
        <f t="shared" si="20"/>
        <v>0.32743942370661427</v>
      </c>
      <c r="K1342">
        <v>5.0000000000000001E-4</v>
      </c>
      <c r="L1342" t="s">
        <v>17</v>
      </c>
      <c r="M1342">
        <v>296</v>
      </c>
      <c r="N1342" t="s">
        <v>553</v>
      </c>
    </row>
    <row r="1343" spans="1:14" x14ac:dyDescent="0.2">
      <c r="A1343" t="s">
        <v>1099</v>
      </c>
      <c r="B1343" t="s">
        <v>32</v>
      </c>
      <c r="C1343">
        <v>53</v>
      </c>
      <c r="D1343">
        <v>9</v>
      </c>
      <c r="E1343">
        <v>44</v>
      </c>
      <c r="F1343">
        <v>52</v>
      </c>
      <c r="G1343">
        <v>9</v>
      </c>
      <c r="H1343">
        <v>43</v>
      </c>
      <c r="I1343">
        <v>0.15229999999999999</v>
      </c>
      <c r="J1343">
        <f t="shared" si="20"/>
        <v>0.65659881812212739</v>
      </c>
      <c r="K1343">
        <v>1E-3</v>
      </c>
      <c r="L1343" t="s">
        <v>17</v>
      </c>
      <c r="M1343">
        <v>296</v>
      </c>
      <c r="N1343" t="s">
        <v>553</v>
      </c>
    </row>
    <row r="1344" spans="1:14" x14ac:dyDescent="0.2">
      <c r="A1344" t="s">
        <v>1099</v>
      </c>
      <c r="B1344" t="s">
        <v>32</v>
      </c>
      <c r="C1344">
        <v>54</v>
      </c>
      <c r="D1344">
        <v>3</v>
      </c>
      <c r="E1344">
        <v>52</v>
      </c>
      <c r="F1344">
        <v>53</v>
      </c>
      <c r="G1344">
        <v>3</v>
      </c>
      <c r="H1344">
        <v>51</v>
      </c>
      <c r="I1344">
        <v>0.14510000000000001</v>
      </c>
      <c r="J1344">
        <f t="shared" si="20"/>
        <v>0.2756719503790489</v>
      </c>
      <c r="K1344">
        <v>4.0000000000000002E-4</v>
      </c>
      <c r="L1344" t="s">
        <v>17</v>
      </c>
      <c r="M1344">
        <v>296</v>
      </c>
      <c r="N1344" t="s">
        <v>553</v>
      </c>
    </row>
    <row r="1345" spans="1:14" x14ac:dyDescent="0.2">
      <c r="A1345" t="s">
        <v>1099</v>
      </c>
      <c r="B1345" t="s">
        <v>32</v>
      </c>
      <c r="C1345">
        <v>57</v>
      </c>
      <c r="D1345">
        <v>0</v>
      </c>
      <c r="E1345">
        <v>57</v>
      </c>
      <c r="F1345">
        <v>56</v>
      </c>
      <c r="G1345">
        <v>0</v>
      </c>
      <c r="H1345">
        <v>56</v>
      </c>
      <c r="I1345">
        <v>0.1361</v>
      </c>
      <c r="J1345">
        <f t="shared" si="20"/>
        <v>0.4408523144746509</v>
      </c>
      <c r="K1345">
        <v>5.9999999999999995E-4</v>
      </c>
      <c r="L1345" t="s">
        <v>17</v>
      </c>
      <c r="M1345">
        <v>296</v>
      </c>
      <c r="N1345" t="s">
        <v>553</v>
      </c>
    </row>
    <row r="1346" spans="1:14" x14ac:dyDescent="0.2">
      <c r="A1346" t="s">
        <v>1099</v>
      </c>
      <c r="B1346" t="s">
        <v>32</v>
      </c>
      <c r="C1346">
        <v>57</v>
      </c>
      <c r="D1346">
        <v>12</v>
      </c>
      <c r="E1346">
        <v>45</v>
      </c>
      <c r="F1346">
        <v>56</v>
      </c>
      <c r="G1346">
        <v>12</v>
      </c>
      <c r="H1346">
        <v>44</v>
      </c>
      <c r="I1346">
        <v>0.15310000000000001</v>
      </c>
      <c r="J1346">
        <f t="shared" si="20"/>
        <v>0.78380143696930094</v>
      </c>
      <c r="K1346">
        <v>1.1999999999999999E-3</v>
      </c>
      <c r="L1346" t="s">
        <v>17</v>
      </c>
      <c r="M1346">
        <v>296</v>
      </c>
      <c r="N1346" t="s">
        <v>553</v>
      </c>
    </row>
    <row r="1347" spans="1:14" x14ac:dyDescent="0.2">
      <c r="A1347" t="s">
        <v>1099</v>
      </c>
      <c r="B1347" t="s">
        <v>32</v>
      </c>
      <c r="C1347">
        <v>56</v>
      </c>
      <c r="D1347">
        <v>2</v>
      </c>
      <c r="E1347">
        <v>55</v>
      </c>
      <c r="F1347">
        <v>55</v>
      </c>
      <c r="G1347">
        <v>2</v>
      </c>
      <c r="H1347">
        <v>54</v>
      </c>
      <c r="I1347">
        <v>0.14069999999999999</v>
      </c>
      <c r="J1347">
        <f t="shared" ref="J1347:J1410" si="21">K1347/I1347*100</f>
        <v>0.35536602700781811</v>
      </c>
      <c r="K1347">
        <v>5.0000000000000001E-4</v>
      </c>
      <c r="L1347" t="s">
        <v>17</v>
      </c>
      <c r="M1347">
        <v>296</v>
      </c>
      <c r="N1347" t="s">
        <v>553</v>
      </c>
    </row>
    <row r="1348" spans="1:14" x14ac:dyDescent="0.2">
      <c r="A1348" t="s">
        <v>1099</v>
      </c>
      <c r="B1348" t="s">
        <v>32</v>
      </c>
      <c r="C1348">
        <v>55</v>
      </c>
      <c r="D1348">
        <v>10</v>
      </c>
      <c r="E1348">
        <v>45</v>
      </c>
      <c r="F1348">
        <v>54</v>
      </c>
      <c r="G1348">
        <v>10</v>
      </c>
      <c r="H1348">
        <v>44</v>
      </c>
      <c r="I1348">
        <v>0.15140000000000001</v>
      </c>
      <c r="J1348">
        <f t="shared" si="21"/>
        <v>0.39630118890356669</v>
      </c>
      <c r="K1348">
        <v>5.9999999999999995E-4</v>
      </c>
      <c r="L1348" t="s">
        <v>17</v>
      </c>
      <c r="M1348">
        <v>296</v>
      </c>
      <c r="N1348" t="s">
        <v>553</v>
      </c>
    </row>
    <row r="1349" spans="1:14" x14ac:dyDescent="0.2">
      <c r="A1349" t="s">
        <v>1099</v>
      </c>
      <c r="B1349" t="s">
        <v>32</v>
      </c>
      <c r="C1349">
        <v>54</v>
      </c>
      <c r="D1349">
        <v>9</v>
      </c>
      <c r="E1349">
        <v>46</v>
      </c>
      <c r="F1349">
        <v>53</v>
      </c>
      <c r="G1349">
        <v>9</v>
      </c>
      <c r="H1349">
        <v>45</v>
      </c>
      <c r="I1349">
        <v>0.1565</v>
      </c>
      <c r="J1349">
        <f t="shared" si="21"/>
        <v>0.25559105431309903</v>
      </c>
      <c r="K1349">
        <v>4.0000000000000002E-4</v>
      </c>
      <c r="L1349" t="s">
        <v>17</v>
      </c>
      <c r="M1349">
        <v>296</v>
      </c>
      <c r="N1349" t="s">
        <v>553</v>
      </c>
    </row>
    <row r="1350" spans="1:14" x14ac:dyDescent="0.2">
      <c r="A1350" t="s">
        <v>1099</v>
      </c>
      <c r="B1350" t="s">
        <v>32</v>
      </c>
      <c r="C1350">
        <v>59</v>
      </c>
      <c r="D1350">
        <v>13</v>
      </c>
      <c r="E1350">
        <v>46</v>
      </c>
      <c r="F1350">
        <v>58</v>
      </c>
      <c r="G1350">
        <v>13</v>
      </c>
      <c r="H1350">
        <v>45</v>
      </c>
      <c r="I1350">
        <v>0.1338</v>
      </c>
      <c r="J1350">
        <f t="shared" si="21"/>
        <v>1.3452914798206277</v>
      </c>
      <c r="K1350">
        <v>1.8E-3</v>
      </c>
      <c r="L1350" t="s">
        <v>17</v>
      </c>
      <c r="M1350">
        <v>296</v>
      </c>
      <c r="N1350" t="s">
        <v>553</v>
      </c>
    </row>
    <row r="1351" spans="1:14" x14ac:dyDescent="0.2">
      <c r="A1351" t="s">
        <v>1099</v>
      </c>
      <c r="B1351" t="s">
        <v>32</v>
      </c>
      <c r="C1351">
        <v>52</v>
      </c>
      <c r="D1351">
        <v>6</v>
      </c>
      <c r="E1351">
        <v>47</v>
      </c>
      <c r="F1351">
        <v>51</v>
      </c>
      <c r="G1351">
        <v>6</v>
      </c>
      <c r="H1351">
        <v>46</v>
      </c>
      <c r="I1351">
        <v>0.159</v>
      </c>
      <c r="J1351">
        <f t="shared" si="21"/>
        <v>0.44025157232704404</v>
      </c>
      <c r="K1351">
        <v>6.9999999999999999E-4</v>
      </c>
      <c r="L1351" t="s">
        <v>17</v>
      </c>
      <c r="M1351">
        <v>296</v>
      </c>
      <c r="N1351" t="s">
        <v>553</v>
      </c>
    </row>
    <row r="1352" spans="1:14" x14ac:dyDescent="0.2">
      <c r="A1352" t="s">
        <v>1099</v>
      </c>
      <c r="B1352" t="s">
        <v>32</v>
      </c>
      <c r="C1352">
        <v>58</v>
      </c>
      <c r="D1352">
        <v>1</v>
      </c>
      <c r="E1352">
        <v>58</v>
      </c>
      <c r="F1352">
        <v>57</v>
      </c>
      <c r="G1352">
        <v>1</v>
      </c>
      <c r="H1352">
        <v>57</v>
      </c>
      <c r="I1352">
        <v>0.1464</v>
      </c>
      <c r="J1352">
        <f t="shared" si="21"/>
        <v>0.47814207650273227</v>
      </c>
      <c r="K1352">
        <v>6.9999999999999999E-4</v>
      </c>
      <c r="L1352" t="s">
        <v>17</v>
      </c>
      <c r="M1352">
        <v>296</v>
      </c>
      <c r="N1352" t="s">
        <v>553</v>
      </c>
    </row>
    <row r="1353" spans="1:14" x14ac:dyDescent="0.2">
      <c r="A1353" t="s">
        <v>1099</v>
      </c>
      <c r="B1353" t="s">
        <v>32</v>
      </c>
      <c r="C1353">
        <v>57</v>
      </c>
      <c r="D1353">
        <v>1</v>
      </c>
      <c r="E1353">
        <v>56</v>
      </c>
      <c r="F1353">
        <v>56</v>
      </c>
      <c r="G1353">
        <v>1</v>
      </c>
      <c r="H1353">
        <v>55</v>
      </c>
      <c r="I1353">
        <v>0.14180000000000001</v>
      </c>
      <c r="J1353">
        <f t="shared" si="21"/>
        <v>0.42313117066290545</v>
      </c>
      <c r="K1353">
        <v>5.9999999999999995E-4</v>
      </c>
      <c r="L1353" t="s">
        <v>17</v>
      </c>
      <c r="M1353">
        <v>296</v>
      </c>
      <c r="N1353" t="s">
        <v>553</v>
      </c>
    </row>
    <row r="1354" spans="1:14" x14ac:dyDescent="0.2">
      <c r="A1354" t="s">
        <v>1099</v>
      </c>
      <c r="B1354" t="s">
        <v>32</v>
      </c>
      <c r="C1354">
        <v>58</v>
      </c>
      <c r="D1354">
        <v>12</v>
      </c>
      <c r="E1354">
        <v>47</v>
      </c>
      <c r="F1354">
        <v>57</v>
      </c>
      <c r="G1354">
        <v>12</v>
      </c>
      <c r="H1354">
        <v>46</v>
      </c>
      <c r="I1354">
        <v>0.1431</v>
      </c>
      <c r="J1354">
        <f t="shared" si="21"/>
        <v>0.9783368273934312</v>
      </c>
      <c r="K1354">
        <v>1.4E-3</v>
      </c>
      <c r="L1354" t="s">
        <v>17</v>
      </c>
      <c r="M1354">
        <v>296</v>
      </c>
      <c r="N1354" t="s">
        <v>553</v>
      </c>
    </row>
    <row r="1355" spans="1:14" x14ac:dyDescent="0.2">
      <c r="A1355" t="s">
        <v>1099</v>
      </c>
      <c r="B1355" t="s">
        <v>32</v>
      </c>
      <c r="C1355">
        <v>56</v>
      </c>
      <c r="D1355">
        <v>3</v>
      </c>
      <c r="E1355">
        <v>54</v>
      </c>
      <c r="F1355">
        <v>55</v>
      </c>
      <c r="G1355">
        <v>3</v>
      </c>
      <c r="H1355">
        <v>53</v>
      </c>
      <c r="I1355">
        <v>0.15989999999999999</v>
      </c>
      <c r="J1355">
        <f t="shared" si="21"/>
        <v>0.50031269543464674</v>
      </c>
      <c r="K1355">
        <v>8.0000000000000004E-4</v>
      </c>
      <c r="L1355" t="s">
        <v>17</v>
      </c>
      <c r="M1355">
        <v>296</v>
      </c>
      <c r="N1355" t="s">
        <v>553</v>
      </c>
    </row>
    <row r="1356" spans="1:14" x14ac:dyDescent="0.2">
      <c r="A1356" t="s">
        <v>1099</v>
      </c>
      <c r="B1356" t="s">
        <v>32</v>
      </c>
      <c r="C1356">
        <v>56</v>
      </c>
      <c r="D1356">
        <v>10</v>
      </c>
      <c r="E1356">
        <v>47</v>
      </c>
      <c r="F1356">
        <v>55</v>
      </c>
      <c r="G1356">
        <v>10</v>
      </c>
      <c r="H1356">
        <v>46</v>
      </c>
      <c r="I1356">
        <v>0.15340000000000001</v>
      </c>
      <c r="J1356">
        <f t="shared" si="21"/>
        <v>0.45632333767926986</v>
      </c>
      <c r="K1356">
        <v>6.9999999999999999E-4</v>
      </c>
      <c r="L1356" t="s">
        <v>17</v>
      </c>
      <c r="M1356">
        <v>296</v>
      </c>
      <c r="N1356" t="s">
        <v>553</v>
      </c>
    </row>
    <row r="1357" spans="1:14" x14ac:dyDescent="0.2">
      <c r="A1357" t="s">
        <v>1099</v>
      </c>
      <c r="B1357" t="s">
        <v>32</v>
      </c>
      <c r="C1357">
        <v>55</v>
      </c>
      <c r="D1357">
        <v>3</v>
      </c>
      <c r="E1357">
        <v>52</v>
      </c>
      <c r="F1357">
        <v>54</v>
      </c>
      <c r="G1357">
        <v>3</v>
      </c>
      <c r="H1357">
        <v>51</v>
      </c>
      <c r="I1357">
        <v>0.14530000000000001</v>
      </c>
      <c r="J1357">
        <f t="shared" si="21"/>
        <v>0.61940812112869925</v>
      </c>
      <c r="K1357">
        <v>8.9999999999999998E-4</v>
      </c>
      <c r="L1357" t="s">
        <v>17</v>
      </c>
      <c r="M1357">
        <v>296</v>
      </c>
      <c r="N1357" t="s">
        <v>553</v>
      </c>
    </row>
    <row r="1358" spans="1:14" x14ac:dyDescent="0.2">
      <c r="A1358" t="s">
        <v>1099</v>
      </c>
      <c r="B1358" t="s">
        <v>32</v>
      </c>
      <c r="C1358">
        <v>58</v>
      </c>
      <c r="D1358">
        <v>2</v>
      </c>
      <c r="E1358">
        <v>57</v>
      </c>
      <c r="F1358">
        <v>57</v>
      </c>
      <c r="G1358">
        <v>2</v>
      </c>
      <c r="H1358">
        <v>56</v>
      </c>
      <c r="I1358">
        <v>0.1409</v>
      </c>
      <c r="J1358">
        <f t="shared" si="21"/>
        <v>0.21291696238466998</v>
      </c>
      <c r="K1358">
        <v>2.9999999999999997E-4</v>
      </c>
      <c r="L1358" t="s">
        <v>17</v>
      </c>
      <c r="M1358">
        <v>296</v>
      </c>
      <c r="N1358" t="s">
        <v>553</v>
      </c>
    </row>
    <row r="1359" spans="1:14" x14ac:dyDescent="0.2">
      <c r="A1359" t="s">
        <v>1099</v>
      </c>
      <c r="B1359" t="s">
        <v>32</v>
      </c>
      <c r="C1359">
        <v>53</v>
      </c>
      <c r="D1359">
        <v>4</v>
      </c>
      <c r="E1359">
        <v>49</v>
      </c>
      <c r="F1359">
        <v>52</v>
      </c>
      <c r="G1359">
        <v>4</v>
      </c>
      <c r="H1359">
        <v>48</v>
      </c>
      <c r="I1359">
        <v>0.15579999999999999</v>
      </c>
      <c r="J1359">
        <f t="shared" si="21"/>
        <v>0.3209242618741977</v>
      </c>
      <c r="K1359">
        <v>5.0000000000000001E-4</v>
      </c>
      <c r="L1359" t="s">
        <v>17</v>
      </c>
      <c r="M1359">
        <v>296</v>
      </c>
      <c r="N1359" t="s">
        <v>553</v>
      </c>
    </row>
    <row r="1360" spans="1:14" x14ac:dyDescent="0.2">
      <c r="A1360" t="s">
        <v>1099</v>
      </c>
      <c r="B1360" t="s">
        <v>32</v>
      </c>
      <c r="C1360">
        <v>54</v>
      </c>
      <c r="D1360">
        <v>5</v>
      </c>
      <c r="E1360">
        <v>50</v>
      </c>
      <c r="F1360">
        <v>53</v>
      </c>
      <c r="G1360">
        <v>5</v>
      </c>
      <c r="H1360">
        <v>49</v>
      </c>
      <c r="I1360">
        <v>0.153</v>
      </c>
      <c r="J1360">
        <f t="shared" si="21"/>
        <v>0.39215686274509803</v>
      </c>
      <c r="K1360">
        <v>5.9999999999999995E-4</v>
      </c>
      <c r="L1360" t="s">
        <v>17</v>
      </c>
      <c r="M1360">
        <v>296</v>
      </c>
      <c r="N1360" t="s">
        <v>553</v>
      </c>
    </row>
    <row r="1361" spans="1:14" x14ac:dyDescent="0.2">
      <c r="A1361" t="s">
        <v>1099</v>
      </c>
      <c r="B1361" t="s">
        <v>32</v>
      </c>
      <c r="C1361">
        <v>57</v>
      </c>
      <c r="D1361">
        <v>2</v>
      </c>
      <c r="E1361">
        <v>55</v>
      </c>
      <c r="F1361">
        <v>56</v>
      </c>
      <c r="G1361">
        <v>2</v>
      </c>
      <c r="H1361">
        <v>54</v>
      </c>
      <c r="I1361">
        <v>0.14369999999999999</v>
      </c>
      <c r="J1361">
        <f t="shared" si="21"/>
        <v>0.20876826722338201</v>
      </c>
      <c r="K1361">
        <v>2.9999999999999997E-4</v>
      </c>
      <c r="L1361" t="s">
        <v>17</v>
      </c>
      <c r="M1361">
        <v>296</v>
      </c>
      <c r="N1361" t="s">
        <v>553</v>
      </c>
    </row>
    <row r="1362" spans="1:14" x14ac:dyDescent="0.2">
      <c r="A1362" t="s">
        <v>1099</v>
      </c>
      <c r="B1362" t="s">
        <v>32</v>
      </c>
      <c r="C1362">
        <v>51</v>
      </c>
      <c r="D1362">
        <v>5</v>
      </c>
      <c r="E1362">
        <v>46</v>
      </c>
      <c r="F1362">
        <v>50</v>
      </c>
      <c r="G1362">
        <v>5</v>
      </c>
      <c r="H1362">
        <v>45</v>
      </c>
      <c r="I1362">
        <v>0.15720000000000001</v>
      </c>
      <c r="J1362">
        <f t="shared" si="21"/>
        <v>0.2544529262086514</v>
      </c>
      <c r="K1362">
        <v>4.0000000000000002E-4</v>
      </c>
      <c r="L1362" t="s">
        <v>17</v>
      </c>
      <c r="M1362">
        <v>296</v>
      </c>
      <c r="N1362" t="s">
        <v>553</v>
      </c>
    </row>
    <row r="1363" spans="1:14" x14ac:dyDescent="0.2">
      <c r="A1363" t="s">
        <v>1099</v>
      </c>
      <c r="B1363" t="s">
        <v>32</v>
      </c>
      <c r="C1363">
        <v>59</v>
      </c>
      <c r="D1363">
        <v>1</v>
      </c>
      <c r="E1363">
        <v>58</v>
      </c>
      <c r="F1363">
        <v>58</v>
      </c>
      <c r="G1363">
        <v>1</v>
      </c>
      <c r="H1363">
        <v>57</v>
      </c>
      <c r="I1363">
        <v>0.14380000000000001</v>
      </c>
      <c r="J1363">
        <f t="shared" si="21"/>
        <v>0.27816411682892905</v>
      </c>
      <c r="K1363">
        <v>4.0000000000000002E-4</v>
      </c>
      <c r="L1363" t="s">
        <v>17</v>
      </c>
      <c r="M1363">
        <v>296</v>
      </c>
      <c r="N1363" t="s">
        <v>553</v>
      </c>
    </row>
    <row r="1364" spans="1:14" x14ac:dyDescent="0.2">
      <c r="A1364" t="s">
        <v>1099</v>
      </c>
      <c r="B1364" t="s">
        <v>32</v>
      </c>
      <c r="C1364">
        <v>58</v>
      </c>
      <c r="D1364">
        <v>3</v>
      </c>
      <c r="E1364">
        <v>56</v>
      </c>
      <c r="F1364">
        <v>57</v>
      </c>
      <c r="G1364">
        <v>3</v>
      </c>
      <c r="H1364">
        <v>55</v>
      </c>
      <c r="I1364">
        <v>0.14199999999999999</v>
      </c>
      <c r="J1364">
        <f t="shared" si="21"/>
        <v>0.21126760563380279</v>
      </c>
      <c r="K1364">
        <v>2.9999999999999997E-4</v>
      </c>
      <c r="L1364" t="s">
        <v>17</v>
      </c>
      <c r="M1364">
        <v>296</v>
      </c>
      <c r="N1364" t="s">
        <v>553</v>
      </c>
    </row>
    <row r="1365" spans="1:14" x14ac:dyDescent="0.2">
      <c r="A1365" t="s">
        <v>1099</v>
      </c>
      <c r="B1365" t="s">
        <v>32</v>
      </c>
      <c r="C1365">
        <v>55</v>
      </c>
      <c r="D1365">
        <v>8</v>
      </c>
      <c r="E1365">
        <v>47</v>
      </c>
      <c r="F1365">
        <v>54</v>
      </c>
      <c r="G1365">
        <v>8</v>
      </c>
      <c r="H1365">
        <v>46</v>
      </c>
      <c r="I1365">
        <v>0.15490000000000001</v>
      </c>
      <c r="J1365">
        <f t="shared" si="21"/>
        <v>0.32278889606197547</v>
      </c>
      <c r="K1365">
        <v>5.0000000000000001E-4</v>
      </c>
      <c r="L1365" t="s">
        <v>17</v>
      </c>
      <c r="M1365">
        <v>296</v>
      </c>
      <c r="N1365" t="s">
        <v>553</v>
      </c>
    </row>
    <row r="1366" spans="1:14" x14ac:dyDescent="0.2">
      <c r="A1366" t="s">
        <v>1099</v>
      </c>
      <c r="B1366" t="s">
        <v>32</v>
      </c>
      <c r="C1366">
        <v>61</v>
      </c>
      <c r="D1366">
        <v>0</v>
      </c>
      <c r="E1366">
        <v>61</v>
      </c>
      <c r="F1366">
        <v>60</v>
      </c>
      <c r="G1366">
        <v>0</v>
      </c>
      <c r="H1366">
        <v>60</v>
      </c>
      <c r="I1366">
        <v>0.13780000000000001</v>
      </c>
      <c r="J1366">
        <f t="shared" si="21"/>
        <v>0.43541364296081275</v>
      </c>
      <c r="K1366">
        <v>5.9999999999999995E-4</v>
      </c>
      <c r="L1366" t="s">
        <v>17</v>
      </c>
      <c r="M1366">
        <v>296</v>
      </c>
      <c r="N1366" t="s">
        <v>553</v>
      </c>
    </row>
    <row r="1367" spans="1:14" x14ac:dyDescent="0.2">
      <c r="A1367" t="s">
        <v>1099</v>
      </c>
      <c r="B1367" t="s">
        <v>32</v>
      </c>
      <c r="C1367">
        <v>57</v>
      </c>
      <c r="D1367">
        <v>3</v>
      </c>
      <c r="E1367">
        <v>54</v>
      </c>
      <c r="F1367">
        <v>56</v>
      </c>
      <c r="G1367">
        <v>3</v>
      </c>
      <c r="H1367">
        <v>53</v>
      </c>
      <c r="I1367">
        <v>0.14630000000000001</v>
      </c>
      <c r="J1367">
        <f t="shared" si="21"/>
        <v>0.27341079972658916</v>
      </c>
      <c r="K1367">
        <v>4.0000000000000002E-4</v>
      </c>
      <c r="L1367" t="s">
        <v>17</v>
      </c>
      <c r="M1367">
        <v>296</v>
      </c>
      <c r="N1367" t="s">
        <v>553</v>
      </c>
    </row>
    <row r="1368" spans="1:14" x14ac:dyDescent="0.2">
      <c r="A1368" t="s">
        <v>1099</v>
      </c>
      <c r="B1368" t="s">
        <v>32</v>
      </c>
      <c r="C1368">
        <v>55</v>
      </c>
      <c r="D1368">
        <v>4</v>
      </c>
      <c r="E1368">
        <v>51</v>
      </c>
      <c r="F1368">
        <v>54</v>
      </c>
      <c r="G1368">
        <v>4</v>
      </c>
      <c r="H1368">
        <v>50</v>
      </c>
      <c r="I1368">
        <v>0.1535</v>
      </c>
      <c r="J1368">
        <f t="shared" si="21"/>
        <v>0.32573289902280134</v>
      </c>
      <c r="K1368">
        <v>5.0000000000000001E-4</v>
      </c>
      <c r="L1368" t="s">
        <v>17</v>
      </c>
      <c r="M1368">
        <v>296</v>
      </c>
      <c r="N1368" t="s">
        <v>553</v>
      </c>
    </row>
    <row r="1369" spans="1:14" x14ac:dyDescent="0.2">
      <c r="A1369" t="s">
        <v>1099</v>
      </c>
      <c r="B1369" t="s">
        <v>32</v>
      </c>
      <c r="C1369">
        <v>58</v>
      </c>
      <c r="D1369">
        <v>10</v>
      </c>
      <c r="E1369">
        <v>49</v>
      </c>
      <c r="F1369">
        <v>57</v>
      </c>
      <c r="G1369">
        <v>10</v>
      </c>
      <c r="H1369">
        <v>48</v>
      </c>
      <c r="I1369">
        <v>0.15939999999999999</v>
      </c>
      <c r="J1369">
        <f t="shared" si="21"/>
        <v>0.56461731493099121</v>
      </c>
      <c r="K1369">
        <v>8.9999999999999998E-4</v>
      </c>
      <c r="L1369" t="s">
        <v>17</v>
      </c>
      <c r="M1369">
        <v>296</v>
      </c>
      <c r="N1369" t="s">
        <v>553</v>
      </c>
    </row>
    <row r="1370" spans="1:14" x14ac:dyDescent="0.2">
      <c r="A1370" t="s">
        <v>1099</v>
      </c>
      <c r="B1370" t="s">
        <v>32</v>
      </c>
      <c r="C1370">
        <v>56</v>
      </c>
      <c r="D1370">
        <v>5</v>
      </c>
      <c r="E1370">
        <v>52</v>
      </c>
      <c r="F1370">
        <v>55</v>
      </c>
      <c r="G1370">
        <v>5</v>
      </c>
      <c r="H1370">
        <v>51</v>
      </c>
      <c r="I1370">
        <v>0.1535</v>
      </c>
      <c r="J1370">
        <f t="shared" si="21"/>
        <v>0.26058631921824105</v>
      </c>
      <c r="K1370">
        <v>4.0000000000000002E-4</v>
      </c>
      <c r="L1370" t="s">
        <v>17</v>
      </c>
      <c r="M1370">
        <v>296</v>
      </c>
      <c r="N1370" t="s">
        <v>553</v>
      </c>
    </row>
    <row r="1371" spans="1:14" x14ac:dyDescent="0.2">
      <c r="A1371" t="s">
        <v>1099</v>
      </c>
      <c r="B1371" t="s">
        <v>32</v>
      </c>
      <c r="C1371">
        <v>59</v>
      </c>
      <c r="D1371">
        <v>2</v>
      </c>
      <c r="E1371">
        <v>57</v>
      </c>
      <c r="F1371">
        <v>58</v>
      </c>
      <c r="G1371">
        <v>2</v>
      </c>
      <c r="H1371">
        <v>56</v>
      </c>
      <c r="I1371">
        <v>0.1409</v>
      </c>
      <c r="J1371">
        <f t="shared" si="21"/>
        <v>0.28388928317955997</v>
      </c>
      <c r="K1371">
        <v>4.0000000000000002E-4</v>
      </c>
      <c r="L1371" t="s">
        <v>17</v>
      </c>
      <c r="M1371">
        <v>296</v>
      </c>
      <c r="N1371" t="s">
        <v>553</v>
      </c>
    </row>
    <row r="1372" spans="1:14" x14ac:dyDescent="0.2">
      <c r="A1372" t="s">
        <v>1099</v>
      </c>
      <c r="B1372" t="s">
        <v>32</v>
      </c>
      <c r="C1372">
        <v>57</v>
      </c>
      <c r="D1372">
        <v>9</v>
      </c>
      <c r="E1372">
        <v>48</v>
      </c>
      <c r="F1372">
        <v>56</v>
      </c>
      <c r="G1372">
        <v>9</v>
      </c>
      <c r="H1372">
        <v>47</v>
      </c>
      <c r="I1372">
        <v>0.15260000000000001</v>
      </c>
      <c r="J1372">
        <f t="shared" si="21"/>
        <v>0.5897771952817823</v>
      </c>
      <c r="K1372">
        <v>8.9999999999999998E-4</v>
      </c>
      <c r="L1372" t="s">
        <v>17</v>
      </c>
      <c r="M1372">
        <v>296</v>
      </c>
      <c r="N1372" t="s">
        <v>553</v>
      </c>
    </row>
    <row r="1373" spans="1:14" x14ac:dyDescent="0.2">
      <c r="A1373" t="s">
        <v>1099</v>
      </c>
      <c r="B1373" t="s">
        <v>32</v>
      </c>
      <c r="C1373">
        <v>56</v>
      </c>
      <c r="D1373">
        <v>8</v>
      </c>
      <c r="E1373">
        <v>49</v>
      </c>
      <c r="F1373">
        <v>55</v>
      </c>
      <c r="G1373">
        <v>8</v>
      </c>
      <c r="H1373">
        <v>48</v>
      </c>
      <c r="I1373">
        <v>0.1482</v>
      </c>
      <c r="J1373">
        <f t="shared" si="21"/>
        <v>0.47233468286099867</v>
      </c>
      <c r="K1373">
        <v>6.9999999999999999E-4</v>
      </c>
      <c r="L1373" t="s">
        <v>17</v>
      </c>
      <c r="M1373">
        <v>296</v>
      </c>
      <c r="N1373" t="s">
        <v>553</v>
      </c>
    </row>
    <row r="1374" spans="1:14" x14ac:dyDescent="0.2">
      <c r="A1374" t="s">
        <v>1099</v>
      </c>
      <c r="B1374" t="s">
        <v>32</v>
      </c>
      <c r="C1374">
        <v>62</v>
      </c>
      <c r="D1374">
        <v>1</v>
      </c>
      <c r="E1374">
        <v>62</v>
      </c>
      <c r="F1374">
        <v>61</v>
      </c>
      <c r="G1374">
        <v>1</v>
      </c>
      <c r="H1374">
        <v>61</v>
      </c>
      <c r="I1374">
        <v>0.1331</v>
      </c>
      <c r="J1374">
        <f t="shared" si="21"/>
        <v>0.37565740045078888</v>
      </c>
      <c r="K1374">
        <v>5.0000000000000001E-4</v>
      </c>
      <c r="L1374" t="s">
        <v>17</v>
      </c>
      <c r="M1374">
        <v>296</v>
      </c>
      <c r="N1374" t="s">
        <v>553</v>
      </c>
    </row>
    <row r="1375" spans="1:14" x14ac:dyDescent="0.2">
      <c r="A1375" t="s">
        <v>1099</v>
      </c>
      <c r="B1375" t="s">
        <v>32</v>
      </c>
      <c r="C1375">
        <v>58</v>
      </c>
      <c r="D1375">
        <v>4</v>
      </c>
      <c r="E1375">
        <v>55</v>
      </c>
      <c r="F1375">
        <v>57</v>
      </c>
      <c r="G1375">
        <v>4</v>
      </c>
      <c r="H1375">
        <v>54</v>
      </c>
      <c r="I1375">
        <v>0.14649999999999999</v>
      </c>
      <c r="J1375">
        <f t="shared" si="21"/>
        <v>0.34129692832764508</v>
      </c>
      <c r="K1375">
        <v>5.0000000000000001E-4</v>
      </c>
      <c r="L1375" t="s">
        <v>17</v>
      </c>
      <c r="M1375">
        <v>296</v>
      </c>
      <c r="N1375" t="s">
        <v>553</v>
      </c>
    </row>
    <row r="1376" spans="1:14" x14ac:dyDescent="0.2">
      <c r="A1376" t="s">
        <v>1099</v>
      </c>
      <c r="B1376" t="s">
        <v>32</v>
      </c>
      <c r="C1376">
        <v>53</v>
      </c>
      <c r="D1376">
        <v>5</v>
      </c>
      <c r="E1376">
        <v>48</v>
      </c>
      <c r="F1376">
        <v>52</v>
      </c>
      <c r="G1376">
        <v>5</v>
      </c>
      <c r="H1376">
        <v>47</v>
      </c>
      <c r="I1376">
        <v>0.16669999999999999</v>
      </c>
      <c r="J1376">
        <f t="shared" si="21"/>
        <v>0.35992801439712058</v>
      </c>
      <c r="K1376">
        <v>5.9999999999999995E-4</v>
      </c>
      <c r="L1376" t="s">
        <v>17</v>
      </c>
      <c r="M1376">
        <v>296</v>
      </c>
      <c r="N1376" t="s">
        <v>553</v>
      </c>
    </row>
    <row r="1377" spans="1:14" x14ac:dyDescent="0.2">
      <c r="A1377" t="s">
        <v>1099</v>
      </c>
      <c r="B1377" t="s">
        <v>32</v>
      </c>
      <c r="C1377">
        <v>53</v>
      </c>
      <c r="D1377">
        <v>6</v>
      </c>
      <c r="E1377">
        <v>47</v>
      </c>
      <c r="F1377">
        <v>52</v>
      </c>
      <c r="G1377">
        <v>6</v>
      </c>
      <c r="H1377">
        <v>46</v>
      </c>
      <c r="I1377">
        <v>0.15590000000000001</v>
      </c>
      <c r="J1377">
        <f t="shared" si="21"/>
        <v>0.38486209108402819</v>
      </c>
      <c r="K1377">
        <v>5.9999999999999995E-4</v>
      </c>
      <c r="L1377" t="s">
        <v>17</v>
      </c>
      <c r="M1377">
        <v>296</v>
      </c>
      <c r="N1377" t="s">
        <v>553</v>
      </c>
    </row>
    <row r="1378" spans="1:14" x14ac:dyDescent="0.2">
      <c r="A1378" t="s">
        <v>1099</v>
      </c>
      <c r="B1378" t="s">
        <v>32</v>
      </c>
      <c r="C1378">
        <v>60</v>
      </c>
      <c r="D1378">
        <v>3</v>
      </c>
      <c r="E1378">
        <v>58</v>
      </c>
      <c r="F1378">
        <v>59</v>
      </c>
      <c r="G1378">
        <v>3</v>
      </c>
      <c r="H1378">
        <v>57</v>
      </c>
      <c r="I1378">
        <v>0.14050000000000001</v>
      </c>
      <c r="J1378">
        <f t="shared" si="21"/>
        <v>0.49822064056939491</v>
      </c>
      <c r="K1378">
        <v>6.9999999999999999E-4</v>
      </c>
      <c r="L1378" t="s">
        <v>17</v>
      </c>
      <c r="M1378">
        <v>296</v>
      </c>
      <c r="N1378" t="s">
        <v>553</v>
      </c>
    </row>
    <row r="1379" spans="1:14" x14ac:dyDescent="0.2">
      <c r="A1379" t="s">
        <v>1099</v>
      </c>
      <c r="B1379" t="s">
        <v>32</v>
      </c>
      <c r="C1379">
        <v>56</v>
      </c>
      <c r="D1379">
        <v>7</v>
      </c>
      <c r="E1379">
        <v>50</v>
      </c>
      <c r="F1379">
        <v>55</v>
      </c>
      <c r="G1379">
        <v>7</v>
      </c>
      <c r="H1379">
        <v>49</v>
      </c>
      <c r="I1379">
        <v>0.14099999999999999</v>
      </c>
      <c r="J1379">
        <f t="shared" si="21"/>
        <v>0.42553191489361702</v>
      </c>
      <c r="K1379">
        <v>5.9999999999999995E-4</v>
      </c>
      <c r="L1379" t="s">
        <v>17</v>
      </c>
      <c r="M1379">
        <v>296</v>
      </c>
      <c r="N1379" t="s">
        <v>553</v>
      </c>
    </row>
    <row r="1380" spans="1:14" x14ac:dyDescent="0.2">
      <c r="A1380" t="s">
        <v>1099</v>
      </c>
      <c r="B1380" t="s">
        <v>32</v>
      </c>
      <c r="C1380">
        <v>58</v>
      </c>
      <c r="D1380">
        <v>9</v>
      </c>
      <c r="E1380">
        <v>50</v>
      </c>
      <c r="F1380">
        <v>57</v>
      </c>
      <c r="G1380">
        <v>9</v>
      </c>
      <c r="H1380">
        <v>49</v>
      </c>
      <c r="I1380">
        <v>0.16350000000000001</v>
      </c>
      <c r="J1380">
        <f t="shared" si="21"/>
        <v>0.42813455657492355</v>
      </c>
      <c r="K1380">
        <v>6.9999999999999999E-4</v>
      </c>
      <c r="L1380" t="s">
        <v>17</v>
      </c>
      <c r="M1380">
        <v>296</v>
      </c>
      <c r="N1380" t="s">
        <v>553</v>
      </c>
    </row>
    <row r="1381" spans="1:14" x14ac:dyDescent="0.2">
      <c r="A1381" t="s">
        <v>1099</v>
      </c>
      <c r="B1381" t="s">
        <v>32</v>
      </c>
      <c r="C1381">
        <v>55</v>
      </c>
      <c r="D1381">
        <v>7</v>
      </c>
      <c r="E1381">
        <v>48</v>
      </c>
      <c r="F1381">
        <v>54</v>
      </c>
      <c r="G1381">
        <v>7</v>
      </c>
      <c r="H1381">
        <v>47</v>
      </c>
      <c r="I1381">
        <v>0.1515</v>
      </c>
      <c r="J1381">
        <f t="shared" si="21"/>
        <v>0.66006600660066006</v>
      </c>
      <c r="K1381">
        <v>1E-3</v>
      </c>
      <c r="L1381" t="s">
        <v>17</v>
      </c>
      <c r="M1381">
        <v>296</v>
      </c>
      <c r="N1381" t="s">
        <v>553</v>
      </c>
    </row>
    <row r="1382" spans="1:14" x14ac:dyDescent="0.2">
      <c r="A1382" t="s">
        <v>1099</v>
      </c>
      <c r="B1382" t="s">
        <v>32</v>
      </c>
      <c r="C1382">
        <v>57</v>
      </c>
      <c r="D1382">
        <v>4</v>
      </c>
      <c r="E1382">
        <v>53</v>
      </c>
      <c r="F1382">
        <v>56</v>
      </c>
      <c r="G1382">
        <v>4</v>
      </c>
      <c r="H1382">
        <v>52</v>
      </c>
      <c r="I1382">
        <v>0.1525</v>
      </c>
      <c r="J1382">
        <f t="shared" si="21"/>
        <v>0.32786885245901637</v>
      </c>
      <c r="K1382">
        <v>5.0000000000000001E-4</v>
      </c>
      <c r="L1382" t="s">
        <v>17</v>
      </c>
      <c r="M1382">
        <v>296</v>
      </c>
      <c r="N1382" t="s">
        <v>553</v>
      </c>
    </row>
    <row r="1383" spans="1:14" x14ac:dyDescent="0.2">
      <c r="A1383" t="s">
        <v>1099</v>
      </c>
      <c r="B1383" t="s">
        <v>32</v>
      </c>
      <c r="C1383">
        <v>62</v>
      </c>
      <c r="D1383">
        <v>2</v>
      </c>
      <c r="E1383">
        <v>61</v>
      </c>
      <c r="F1383">
        <v>61</v>
      </c>
      <c r="G1383">
        <v>2</v>
      </c>
      <c r="H1383">
        <v>60</v>
      </c>
      <c r="I1383">
        <v>0.1386</v>
      </c>
      <c r="J1383">
        <f t="shared" si="21"/>
        <v>0.36075036075036077</v>
      </c>
      <c r="K1383">
        <v>5.0000000000000001E-4</v>
      </c>
      <c r="L1383" t="s">
        <v>17</v>
      </c>
      <c r="M1383">
        <v>296</v>
      </c>
      <c r="N1383" t="s">
        <v>553</v>
      </c>
    </row>
    <row r="1384" spans="1:14" x14ac:dyDescent="0.2">
      <c r="A1384" t="s">
        <v>1099</v>
      </c>
      <c r="B1384" t="s">
        <v>32</v>
      </c>
      <c r="C1384">
        <v>57</v>
      </c>
      <c r="D1384">
        <v>8</v>
      </c>
      <c r="E1384">
        <v>49</v>
      </c>
      <c r="F1384">
        <v>56</v>
      </c>
      <c r="G1384">
        <v>8</v>
      </c>
      <c r="H1384">
        <v>48</v>
      </c>
      <c r="I1384">
        <v>0.15140000000000001</v>
      </c>
      <c r="J1384">
        <f t="shared" si="21"/>
        <v>0.66050198150594452</v>
      </c>
      <c r="K1384">
        <v>1E-3</v>
      </c>
      <c r="L1384" t="s">
        <v>17</v>
      </c>
      <c r="M1384">
        <v>296</v>
      </c>
      <c r="N1384" t="s">
        <v>553</v>
      </c>
    </row>
    <row r="1385" spans="1:14" x14ac:dyDescent="0.2">
      <c r="A1385" t="s">
        <v>1099</v>
      </c>
      <c r="B1385" t="s">
        <v>32</v>
      </c>
      <c r="C1385">
        <v>61</v>
      </c>
      <c r="D1385">
        <v>2</v>
      </c>
      <c r="E1385">
        <v>59</v>
      </c>
      <c r="F1385">
        <v>60</v>
      </c>
      <c r="G1385">
        <v>2</v>
      </c>
      <c r="H1385">
        <v>58</v>
      </c>
      <c r="I1385">
        <v>0.14050000000000001</v>
      </c>
      <c r="J1385">
        <f t="shared" si="21"/>
        <v>0.71174377224199281</v>
      </c>
      <c r="K1385">
        <v>1E-3</v>
      </c>
      <c r="L1385" t="s">
        <v>17</v>
      </c>
      <c r="M1385">
        <v>296</v>
      </c>
      <c r="N1385" t="s">
        <v>553</v>
      </c>
    </row>
    <row r="1386" spans="1:14" x14ac:dyDescent="0.2">
      <c r="A1386" t="s">
        <v>1099</v>
      </c>
      <c r="B1386" t="s">
        <v>32</v>
      </c>
      <c r="C1386">
        <v>58</v>
      </c>
      <c r="D1386">
        <v>5</v>
      </c>
      <c r="E1386">
        <v>54</v>
      </c>
      <c r="F1386">
        <v>57</v>
      </c>
      <c r="G1386">
        <v>5</v>
      </c>
      <c r="H1386">
        <v>53</v>
      </c>
      <c r="I1386">
        <v>0.15110000000000001</v>
      </c>
      <c r="J1386">
        <f t="shared" si="21"/>
        <v>0.33090668431502313</v>
      </c>
      <c r="K1386">
        <v>5.0000000000000001E-4</v>
      </c>
      <c r="L1386" t="s">
        <v>17</v>
      </c>
      <c r="M1386">
        <v>296</v>
      </c>
      <c r="N1386" t="s">
        <v>553</v>
      </c>
    </row>
    <row r="1387" spans="1:14" x14ac:dyDescent="0.2">
      <c r="A1387" t="s">
        <v>1099</v>
      </c>
      <c r="B1387" t="s">
        <v>32</v>
      </c>
      <c r="C1387">
        <v>60</v>
      </c>
      <c r="D1387">
        <v>10</v>
      </c>
      <c r="E1387">
        <v>51</v>
      </c>
      <c r="F1387">
        <v>59</v>
      </c>
      <c r="G1387">
        <v>10</v>
      </c>
      <c r="H1387">
        <v>50</v>
      </c>
      <c r="I1387">
        <v>0.16919999999999999</v>
      </c>
      <c r="J1387">
        <f t="shared" si="21"/>
        <v>0.70921985815602839</v>
      </c>
      <c r="K1387">
        <v>1.1999999999999999E-3</v>
      </c>
      <c r="L1387" t="s">
        <v>17</v>
      </c>
      <c r="M1387">
        <v>296</v>
      </c>
      <c r="N1387" t="s">
        <v>553</v>
      </c>
    </row>
    <row r="1388" spans="1:14" x14ac:dyDescent="0.2">
      <c r="A1388" t="s">
        <v>1099</v>
      </c>
      <c r="B1388" t="s">
        <v>32</v>
      </c>
      <c r="C1388">
        <v>64</v>
      </c>
      <c r="D1388">
        <v>1</v>
      </c>
      <c r="E1388">
        <v>64</v>
      </c>
      <c r="F1388">
        <v>63</v>
      </c>
      <c r="G1388">
        <v>1</v>
      </c>
      <c r="H1388">
        <v>63</v>
      </c>
      <c r="I1388">
        <v>0.13070000000000001</v>
      </c>
      <c r="J1388">
        <f t="shared" si="21"/>
        <v>0.45906656465187445</v>
      </c>
      <c r="K1388">
        <v>5.9999999999999995E-4</v>
      </c>
      <c r="L1388" t="s">
        <v>17</v>
      </c>
      <c r="M1388">
        <v>296</v>
      </c>
      <c r="N1388" t="s">
        <v>553</v>
      </c>
    </row>
    <row r="1389" spans="1:14" x14ac:dyDescent="0.2">
      <c r="A1389" t="s">
        <v>1099</v>
      </c>
      <c r="B1389" t="s">
        <v>32</v>
      </c>
      <c r="C1389">
        <v>60</v>
      </c>
      <c r="D1389">
        <v>4</v>
      </c>
      <c r="E1389">
        <v>57</v>
      </c>
      <c r="F1389">
        <v>59</v>
      </c>
      <c r="G1389">
        <v>4</v>
      </c>
      <c r="H1389">
        <v>56</v>
      </c>
      <c r="I1389">
        <v>0.14610000000000001</v>
      </c>
      <c r="J1389">
        <f t="shared" si="21"/>
        <v>0.41067761806981512</v>
      </c>
      <c r="K1389">
        <v>5.9999999999999995E-4</v>
      </c>
      <c r="L1389" t="s">
        <v>17</v>
      </c>
      <c r="M1389">
        <v>296</v>
      </c>
      <c r="N1389" t="s">
        <v>553</v>
      </c>
    </row>
    <row r="1390" spans="1:14" x14ac:dyDescent="0.2">
      <c r="A1390" t="s">
        <v>1099</v>
      </c>
      <c r="B1390" t="s">
        <v>32</v>
      </c>
      <c r="C1390">
        <v>63</v>
      </c>
      <c r="D1390">
        <v>1</v>
      </c>
      <c r="E1390">
        <v>62</v>
      </c>
      <c r="F1390">
        <v>62</v>
      </c>
      <c r="G1390">
        <v>1</v>
      </c>
      <c r="H1390">
        <v>61</v>
      </c>
      <c r="I1390">
        <v>0.13700000000000001</v>
      </c>
      <c r="J1390">
        <f t="shared" si="21"/>
        <v>0.58394160583941601</v>
      </c>
      <c r="K1390">
        <v>8.0000000000000004E-4</v>
      </c>
      <c r="L1390" t="s">
        <v>17</v>
      </c>
      <c r="M1390">
        <v>296</v>
      </c>
      <c r="N1390" t="s">
        <v>553</v>
      </c>
    </row>
    <row r="1391" spans="1:14" x14ac:dyDescent="0.2">
      <c r="A1391" t="s">
        <v>1099</v>
      </c>
      <c r="B1391" t="s">
        <v>32</v>
      </c>
      <c r="C1391">
        <v>55</v>
      </c>
      <c r="D1391">
        <v>5</v>
      </c>
      <c r="E1391">
        <v>50</v>
      </c>
      <c r="F1391">
        <v>54</v>
      </c>
      <c r="G1391">
        <v>5</v>
      </c>
      <c r="H1391">
        <v>49</v>
      </c>
      <c r="I1391">
        <v>0.1527</v>
      </c>
      <c r="J1391">
        <f t="shared" si="21"/>
        <v>0.32743942370661427</v>
      </c>
      <c r="K1391">
        <v>5.0000000000000001E-4</v>
      </c>
      <c r="L1391" t="s">
        <v>17</v>
      </c>
      <c r="M1391">
        <v>296</v>
      </c>
      <c r="N1391" t="s">
        <v>553</v>
      </c>
    </row>
    <row r="1392" spans="1:14" x14ac:dyDescent="0.2">
      <c r="A1392" t="s">
        <v>1099</v>
      </c>
      <c r="B1392" t="s">
        <v>32</v>
      </c>
      <c r="C1392">
        <v>62</v>
      </c>
      <c r="D1392">
        <v>3</v>
      </c>
      <c r="E1392">
        <v>60</v>
      </c>
      <c r="F1392">
        <v>61</v>
      </c>
      <c r="G1392">
        <v>3</v>
      </c>
      <c r="H1392">
        <v>59</v>
      </c>
      <c r="I1392">
        <v>0.13850000000000001</v>
      </c>
      <c r="J1392">
        <f t="shared" si="21"/>
        <v>0.43321299638989164</v>
      </c>
      <c r="K1392">
        <v>5.9999999999999995E-4</v>
      </c>
      <c r="L1392" t="s">
        <v>17</v>
      </c>
      <c r="M1392">
        <v>296</v>
      </c>
      <c r="N1392" t="s">
        <v>553</v>
      </c>
    </row>
    <row r="1393" spans="1:14" x14ac:dyDescent="0.2">
      <c r="A1393" t="s">
        <v>1099</v>
      </c>
      <c r="B1393" t="s">
        <v>32</v>
      </c>
      <c r="C1393">
        <v>65</v>
      </c>
      <c r="D1393">
        <v>0</v>
      </c>
      <c r="E1393">
        <v>65</v>
      </c>
      <c r="F1393">
        <v>64</v>
      </c>
      <c r="G1393">
        <v>0</v>
      </c>
      <c r="H1393">
        <v>64</v>
      </c>
      <c r="I1393">
        <v>0.13250000000000001</v>
      </c>
      <c r="J1393">
        <f t="shared" si="21"/>
        <v>0.52830188679245282</v>
      </c>
      <c r="K1393">
        <v>6.9999999999999999E-4</v>
      </c>
      <c r="L1393" t="s">
        <v>17</v>
      </c>
      <c r="M1393">
        <v>296</v>
      </c>
      <c r="N1393" t="s">
        <v>553</v>
      </c>
    </row>
    <row r="1394" spans="1:14" x14ac:dyDescent="0.2">
      <c r="A1394" t="s">
        <v>1099</v>
      </c>
      <c r="B1394" t="s">
        <v>32</v>
      </c>
      <c r="C1394">
        <v>59</v>
      </c>
      <c r="D1394">
        <v>4</v>
      </c>
      <c r="E1394">
        <v>55</v>
      </c>
      <c r="F1394">
        <v>58</v>
      </c>
      <c r="G1394">
        <v>4</v>
      </c>
      <c r="H1394">
        <v>54</v>
      </c>
      <c r="I1394">
        <v>0.15429999999999999</v>
      </c>
      <c r="J1394">
        <f t="shared" si="21"/>
        <v>0.38885288399222295</v>
      </c>
      <c r="K1394">
        <v>5.9999999999999995E-4</v>
      </c>
      <c r="L1394" t="s">
        <v>17</v>
      </c>
      <c r="M1394">
        <v>296</v>
      </c>
      <c r="N1394" t="s">
        <v>553</v>
      </c>
    </row>
    <row r="1395" spans="1:14" x14ac:dyDescent="0.2">
      <c r="A1395" t="s">
        <v>1099</v>
      </c>
      <c r="B1395" t="s">
        <v>32</v>
      </c>
      <c r="C1395">
        <v>61</v>
      </c>
      <c r="D1395">
        <v>3</v>
      </c>
      <c r="E1395">
        <v>58</v>
      </c>
      <c r="F1395">
        <v>60</v>
      </c>
      <c r="G1395">
        <v>3</v>
      </c>
      <c r="H1395">
        <v>57</v>
      </c>
      <c r="I1395">
        <v>0.14319999999999999</v>
      </c>
      <c r="J1395">
        <f t="shared" si="21"/>
        <v>0.55865921787709494</v>
      </c>
      <c r="K1395">
        <v>8.0000000000000004E-4</v>
      </c>
      <c r="L1395" t="s">
        <v>17</v>
      </c>
      <c r="M1395">
        <v>296</v>
      </c>
      <c r="N1395" t="s">
        <v>553</v>
      </c>
    </row>
    <row r="1396" spans="1:14" x14ac:dyDescent="0.2">
      <c r="A1396" t="s">
        <v>1099</v>
      </c>
      <c r="B1396" t="s">
        <v>32</v>
      </c>
      <c r="C1396">
        <v>64</v>
      </c>
      <c r="D1396">
        <v>2</v>
      </c>
      <c r="E1396">
        <v>63</v>
      </c>
      <c r="F1396">
        <v>63</v>
      </c>
      <c r="G1396">
        <v>2</v>
      </c>
      <c r="H1396">
        <v>62</v>
      </c>
      <c r="I1396">
        <v>0.14000000000000001</v>
      </c>
      <c r="J1396">
        <f t="shared" si="21"/>
        <v>0.49999999999999994</v>
      </c>
      <c r="K1396">
        <v>6.9999999999999999E-4</v>
      </c>
      <c r="L1396" t="s">
        <v>17</v>
      </c>
      <c r="M1396">
        <v>296</v>
      </c>
      <c r="N1396" t="s">
        <v>553</v>
      </c>
    </row>
    <row r="1397" spans="1:14" x14ac:dyDescent="0.2">
      <c r="A1397" t="s">
        <v>1099</v>
      </c>
      <c r="B1397" t="s">
        <v>32</v>
      </c>
      <c r="C1397">
        <v>55</v>
      </c>
      <c r="D1397">
        <v>6</v>
      </c>
      <c r="E1397">
        <v>49</v>
      </c>
      <c r="F1397">
        <v>54</v>
      </c>
      <c r="G1397">
        <v>6</v>
      </c>
      <c r="H1397">
        <v>48</v>
      </c>
      <c r="I1397">
        <v>0.15540000000000001</v>
      </c>
      <c r="J1397">
        <f t="shared" si="21"/>
        <v>0.193050193050193</v>
      </c>
      <c r="K1397">
        <v>2.9999999999999997E-4</v>
      </c>
      <c r="L1397" t="s">
        <v>17</v>
      </c>
      <c r="M1397">
        <v>296</v>
      </c>
      <c r="N1397" t="s">
        <v>553</v>
      </c>
    </row>
    <row r="1398" spans="1:14" x14ac:dyDescent="0.2">
      <c r="A1398" t="s">
        <v>1099</v>
      </c>
      <c r="B1398" t="s">
        <v>32</v>
      </c>
      <c r="C1398">
        <v>60</v>
      </c>
      <c r="D1398">
        <v>9</v>
      </c>
      <c r="E1398">
        <v>52</v>
      </c>
      <c r="F1398">
        <v>59</v>
      </c>
      <c r="G1398">
        <v>9</v>
      </c>
      <c r="H1398">
        <v>51</v>
      </c>
      <c r="I1398">
        <v>0.15959999999999999</v>
      </c>
      <c r="J1398">
        <f t="shared" si="21"/>
        <v>0.62656641604010033</v>
      </c>
      <c r="K1398">
        <v>1E-3</v>
      </c>
      <c r="L1398" t="s">
        <v>17</v>
      </c>
      <c r="M1398">
        <v>296</v>
      </c>
      <c r="N1398" t="s">
        <v>553</v>
      </c>
    </row>
    <row r="1399" spans="1:14" x14ac:dyDescent="0.2">
      <c r="A1399" t="s">
        <v>1099</v>
      </c>
      <c r="B1399" t="s">
        <v>32</v>
      </c>
      <c r="C1399">
        <v>60</v>
      </c>
      <c r="D1399">
        <v>5</v>
      </c>
      <c r="E1399">
        <v>56</v>
      </c>
      <c r="F1399">
        <v>59</v>
      </c>
      <c r="G1399">
        <v>5</v>
      </c>
      <c r="H1399">
        <v>55</v>
      </c>
      <c r="I1399">
        <v>0.15029999999999999</v>
      </c>
      <c r="J1399">
        <f t="shared" si="21"/>
        <v>0.39920159680638717</v>
      </c>
      <c r="K1399">
        <v>5.9999999999999995E-4</v>
      </c>
      <c r="L1399" t="s">
        <v>17</v>
      </c>
      <c r="M1399">
        <v>296</v>
      </c>
      <c r="N1399" t="s">
        <v>553</v>
      </c>
    </row>
    <row r="1400" spans="1:14" x14ac:dyDescent="0.2">
      <c r="A1400" t="s">
        <v>1099</v>
      </c>
      <c r="B1400" t="s">
        <v>32</v>
      </c>
      <c r="C1400">
        <v>62</v>
      </c>
      <c r="D1400">
        <v>4</v>
      </c>
      <c r="E1400">
        <v>59</v>
      </c>
      <c r="F1400">
        <v>61</v>
      </c>
      <c r="G1400">
        <v>4</v>
      </c>
      <c r="H1400">
        <v>58</v>
      </c>
      <c r="I1400">
        <v>0.14680000000000001</v>
      </c>
      <c r="J1400">
        <f t="shared" si="21"/>
        <v>0.54495912806539504</v>
      </c>
      <c r="K1400">
        <v>8.0000000000000004E-4</v>
      </c>
      <c r="L1400" t="s">
        <v>17</v>
      </c>
      <c r="M1400">
        <v>296</v>
      </c>
      <c r="N1400" t="s">
        <v>553</v>
      </c>
    </row>
    <row r="1401" spans="1:14" x14ac:dyDescent="0.2">
      <c r="A1401" t="s">
        <v>1099</v>
      </c>
      <c r="B1401" t="s">
        <v>32</v>
      </c>
      <c r="C1401">
        <v>65</v>
      </c>
      <c r="D1401">
        <v>1</v>
      </c>
      <c r="E1401">
        <v>64</v>
      </c>
      <c r="F1401">
        <v>64</v>
      </c>
      <c r="G1401">
        <v>1</v>
      </c>
      <c r="H1401">
        <v>63</v>
      </c>
      <c r="I1401">
        <v>0.14860000000000001</v>
      </c>
      <c r="J1401">
        <f t="shared" si="21"/>
        <v>0.60565275908479133</v>
      </c>
      <c r="K1401">
        <v>8.9999999999999998E-4</v>
      </c>
      <c r="L1401" t="s">
        <v>17</v>
      </c>
      <c r="M1401">
        <v>296</v>
      </c>
      <c r="N1401" t="s">
        <v>553</v>
      </c>
    </row>
    <row r="1402" spans="1:14" x14ac:dyDescent="0.2">
      <c r="A1402" t="s">
        <v>1099</v>
      </c>
      <c r="B1402" t="s">
        <v>32</v>
      </c>
      <c r="C1402">
        <v>59</v>
      </c>
      <c r="D1402">
        <v>8</v>
      </c>
      <c r="E1402">
        <v>51</v>
      </c>
      <c r="F1402">
        <v>58</v>
      </c>
      <c r="G1402">
        <v>8</v>
      </c>
      <c r="H1402">
        <v>50</v>
      </c>
      <c r="I1402">
        <v>0.15359999999999999</v>
      </c>
      <c r="J1402">
        <f t="shared" si="21"/>
        <v>0.5859375</v>
      </c>
      <c r="K1402">
        <v>8.9999999999999998E-4</v>
      </c>
      <c r="L1402" t="s">
        <v>17</v>
      </c>
      <c r="M1402">
        <v>296</v>
      </c>
      <c r="N1402" t="s">
        <v>553</v>
      </c>
    </row>
    <row r="1403" spans="1:14" x14ac:dyDescent="0.2">
      <c r="A1403" t="s">
        <v>1099</v>
      </c>
      <c r="B1403" t="s">
        <v>32</v>
      </c>
      <c r="C1403">
        <v>64</v>
      </c>
      <c r="D1403">
        <v>3</v>
      </c>
      <c r="E1403">
        <v>62</v>
      </c>
      <c r="F1403">
        <v>63</v>
      </c>
      <c r="G1403">
        <v>3</v>
      </c>
      <c r="H1403">
        <v>61</v>
      </c>
      <c r="I1403">
        <v>0.13730000000000001</v>
      </c>
      <c r="J1403">
        <f t="shared" si="21"/>
        <v>0.50983248361252731</v>
      </c>
      <c r="K1403">
        <v>6.9999999999999999E-4</v>
      </c>
      <c r="L1403" t="s">
        <v>17</v>
      </c>
      <c r="M1403">
        <v>296</v>
      </c>
      <c r="N1403" t="s">
        <v>553</v>
      </c>
    </row>
    <row r="1404" spans="1:14" x14ac:dyDescent="0.2">
      <c r="A1404" t="s">
        <v>1099</v>
      </c>
      <c r="B1404" t="s">
        <v>32</v>
      </c>
      <c r="C1404">
        <v>63</v>
      </c>
      <c r="D1404">
        <v>3</v>
      </c>
      <c r="E1404">
        <v>60</v>
      </c>
      <c r="F1404">
        <v>62</v>
      </c>
      <c r="G1404">
        <v>3</v>
      </c>
      <c r="H1404">
        <v>59</v>
      </c>
      <c r="I1404">
        <v>0.1429</v>
      </c>
      <c r="J1404">
        <f t="shared" si="21"/>
        <v>0.69979006298110569</v>
      </c>
      <c r="K1404">
        <v>1E-3</v>
      </c>
      <c r="L1404" t="s">
        <v>17</v>
      </c>
      <c r="M1404">
        <v>296</v>
      </c>
      <c r="N1404" t="s">
        <v>553</v>
      </c>
    </row>
    <row r="1405" spans="1:14" x14ac:dyDescent="0.2">
      <c r="A1405" t="s">
        <v>1099</v>
      </c>
      <c r="B1405" t="s">
        <v>32</v>
      </c>
      <c r="C1405">
        <v>60</v>
      </c>
      <c r="D1405">
        <v>7</v>
      </c>
      <c r="E1405">
        <v>54</v>
      </c>
      <c r="F1405">
        <v>59</v>
      </c>
      <c r="G1405">
        <v>7</v>
      </c>
      <c r="H1405">
        <v>53</v>
      </c>
      <c r="I1405">
        <v>0.1492</v>
      </c>
      <c r="J1405">
        <f t="shared" si="21"/>
        <v>0.60321715817694366</v>
      </c>
      <c r="K1405">
        <v>8.9999999999999998E-4</v>
      </c>
      <c r="L1405" t="s">
        <v>17</v>
      </c>
      <c r="M1405">
        <v>296</v>
      </c>
      <c r="N1405" t="s">
        <v>553</v>
      </c>
    </row>
    <row r="1406" spans="1:14" x14ac:dyDescent="0.2">
      <c r="A1406" t="s">
        <v>1099</v>
      </c>
      <c r="B1406" t="s">
        <v>32</v>
      </c>
      <c r="C1406">
        <v>68</v>
      </c>
      <c r="D1406">
        <v>1</v>
      </c>
      <c r="E1406">
        <v>68</v>
      </c>
      <c r="F1406">
        <v>67</v>
      </c>
      <c r="G1406">
        <v>1</v>
      </c>
      <c r="H1406">
        <v>67</v>
      </c>
      <c r="I1406">
        <v>0.13270000000000001</v>
      </c>
      <c r="J1406">
        <f t="shared" si="21"/>
        <v>0.82893745290128118</v>
      </c>
      <c r="K1406">
        <v>1.1000000000000001E-3</v>
      </c>
      <c r="L1406" t="s">
        <v>17</v>
      </c>
      <c r="M1406">
        <v>296</v>
      </c>
      <c r="N1406" t="s">
        <v>553</v>
      </c>
    </row>
    <row r="1407" spans="1:14" x14ac:dyDescent="0.2">
      <c r="A1407" t="s">
        <v>1099</v>
      </c>
      <c r="B1407" t="s">
        <v>32</v>
      </c>
      <c r="C1407">
        <v>64</v>
      </c>
      <c r="D1407">
        <v>4</v>
      </c>
      <c r="E1407">
        <v>61</v>
      </c>
      <c r="F1407">
        <v>63</v>
      </c>
      <c r="G1407">
        <v>4</v>
      </c>
      <c r="H1407">
        <v>60</v>
      </c>
      <c r="I1407">
        <v>0.13750000000000001</v>
      </c>
      <c r="J1407">
        <f t="shared" si="21"/>
        <v>0.8</v>
      </c>
      <c r="K1407">
        <v>1.1000000000000001E-3</v>
      </c>
      <c r="L1407" t="s">
        <v>17</v>
      </c>
      <c r="M1407">
        <v>296</v>
      </c>
      <c r="N1407" t="s">
        <v>553</v>
      </c>
    </row>
    <row r="1408" spans="1:14" x14ac:dyDescent="0.2">
      <c r="A1408" t="s">
        <v>1099</v>
      </c>
      <c r="B1408" t="s">
        <v>32</v>
      </c>
      <c r="C1408">
        <v>66</v>
      </c>
      <c r="D1408">
        <v>3</v>
      </c>
      <c r="E1408">
        <v>64</v>
      </c>
      <c r="F1408">
        <v>65</v>
      </c>
      <c r="G1408">
        <v>3</v>
      </c>
      <c r="H1408">
        <v>63</v>
      </c>
      <c r="I1408">
        <v>0.1273</v>
      </c>
      <c r="J1408">
        <f t="shared" si="21"/>
        <v>0.94265514532600148</v>
      </c>
      <c r="K1408">
        <v>1.1999999999999999E-3</v>
      </c>
      <c r="L1408" t="s">
        <v>17</v>
      </c>
      <c r="M1408">
        <v>296</v>
      </c>
      <c r="N1408" t="s">
        <v>553</v>
      </c>
    </row>
    <row r="1409" spans="1:18" x14ac:dyDescent="0.2">
      <c r="A1409" t="s">
        <v>1099</v>
      </c>
      <c r="B1409" t="s">
        <v>32</v>
      </c>
      <c r="C1409">
        <v>69</v>
      </c>
      <c r="D1409">
        <v>0</v>
      </c>
      <c r="E1409">
        <v>69</v>
      </c>
      <c r="F1409">
        <v>68</v>
      </c>
      <c r="G1409">
        <v>0</v>
      </c>
      <c r="H1409">
        <v>68</v>
      </c>
      <c r="I1409">
        <v>0.1244</v>
      </c>
      <c r="J1409">
        <f t="shared" si="21"/>
        <v>1.045016077170418</v>
      </c>
      <c r="K1409">
        <v>1.2999999999999999E-3</v>
      </c>
      <c r="L1409" t="s">
        <v>17</v>
      </c>
      <c r="M1409">
        <v>296</v>
      </c>
      <c r="N1409" t="s">
        <v>553</v>
      </c>
    </row>
    <row r="1410" spans="1:18" x14ac:dyDescent="0.2">
      <c r="A1410" t="s">
        <v>1099</v>
      </c>
      <c r="B1410" t="s">
        <v>32</v>
      </c>
      <c r="C1410">
        <v>63</v>
      </c>
      <c r="D1410">
        <v>4</v>
      </c>
      <c r="E1410">
        <v>59</v>
      </c>
      <c r="F1410">
        <v>62</v>
      </c>
      <c r="G1410">
        <v>4</v>
      </c>
      <c r="H1410">
        <v>58</v>
      </c>
      <c r="I1410">
        <v>0.1565</v>
      </c>
      <c r="J1410">
        <f t="shared" si="21"/>
        <v>0.76677316293929709</v>
      </c>
      <c r="K1410">
        <v>1.1999999999999999E-3</v>
      </c>
      <c r="L1410" t="s">
        <v>17</v>
      </c>
      <c r="M1410">
        <v>296</v>
      </c>
      <c r="N1410" t="s">
        <v>553</v>
      </c>
    </row>
    <row r="1411" spans="1:18" x14ac:dyDescent="0.2">
      <c r="A1411" t="s">
        <v>1099</v>
      </c>
      <c r="B1411" t="s">
        <v>32</v>
      </c>
      <c r="C1411">
        <v>65</v>
      </c>
      <c r="D1411">
        <v>3</v>
      </c>
      <c r="E1411">
        <v>62</v>
      </c>
      <c r="F1411">
        <v>64</v>
      </c>
      <c r="G1411">
        <v>3</v>
      </c>
      <c r="H1411">
        <v>61</v>
      </c>
      <c r="I1411">
        <v>0.15079999999999999</v>
      </c>
      <c r="J1411">
        <f t="shared" ref="J1411:J1471" si="22">K1411/I1411*100</f>
        <v>0.86206896551724133</v>
      </c>
      <c r="K1411">
        <v>1.2999999999999999E-3</v>
      </c>
      <c r="L1411" t="s">
        <v>17</v>
      </c>
      <c r="M1411">
        <v>296</v>
      </c>
      <c r="N1411" t="s">
        <v>553</v>
      </c>
    </row>
    <row r="1412" spans="1:18" x14ac:dyDescent="0.2">
      <c r="A1412" t="s">
        <v>1099</v>
      </c>
      <c r="B1412" t="s">
        <v>32</v>
      </c>
      <c r="C1412">
        <v>68</v>
      </c>
      <c r="D1412">
        <v>2</v>
      </c>
      <c r="E1412">
        <v>67</v>
      </c>
      <c r="F1412">
        <v>67</v>
      </c>
      <c r="G1412">
        <v>2</v>
      </c>
      <c r="H1412">
        <v>66</v>
      </c>
      <c r="I1412">
        <v>0.13339999999999999</v>
      </c>
      <c r="J1412">
        <f t="shared" si="22"/>
        <v>1.0494752623688157</v>
      </c>
      <c r="K1412">
        <v>1.4E-3</v>
      </c>
      <c r="L1412" t="s">
        <v>17</v>
      </c>
      <c r="M1412">
        <v>296</v>
      </c>
      <c r="N1412" t="s">
        <v>553</v>
      </c>
    </row>
    <row r="1413" spans="1:18" x14ac:dyDescent="0.2">
      <c r="A1413" t="s">
        <v>1099</v>
      </c>
      <c r="B1413" t="s">
        <v>32</v>
      </c>
      <c r="C1413">
        <v>62</v>
      </c>
      <c r="D1413">
        <v>6</v>
      </c>
      <c r="E1413">
        <v>57</v>
      </c>
      <c r="F1413">
        <v>61</v>
      </c>
      <c r="G1413">
        <v>6</v>
      </c>
      <c r="H1413">
        <v>56</v>
      </c>
      <c r="I1413">
        <v>0.1497</v>
      </c>
      <c r="J1413">
        <f t="shared" si="22"/>
        <v>0.53440213760855049</v>
      </c>
      <c r="K1413">
        <v>8.0000000000000004E-4</v>
      </c>
      <c r="L1413" t="s">
        <v>17</v>
      </c>
      <c r="M1413">
        <v>296</v>
      </c>
      <c r="N1413" t="s">
        <v>553</v>
      </c>
    </row>
    <row r="1414" spans="1:18" x14ac:dyDescent="0.2">
      <c r="A1414" t="s">
        <v>1099</v>
      </c>
      <c r="B1414" t="s">
        <v>32</v>
      </c>
      <c r="C1414">
        <v>59</v>
      </c>
      <c r="D1414">
        <v>7</v>
      </c>
      <c r="E1414">
        <v>52</v>
      </c>
      <c r="F1414">
        <v>58</v>
      </c>
      <c r="G1414">
        <v>7</v>
      </c>
      <c r="H1414">
        <v>51</v>
      </c>
      <c r="I1414">
        <v>0.14879999999999999</v>
      </c>
      <c r="J1414">
        <f t="shared" si="22"/>
        <v>0.73924731182795711</v>
      </c>
      <c r="K1414">
        <v>1.1000000000000001E-3</v>
      </c>
      <c r="L1414" t="s">
        <v>17</v>
      </c>
      <c r="M1414">
        <v>296</v>
      </c>
      <c r="N1414" t="s">
        <v>553</v>
      </c>
    </row>
    <row r="1415" spans="1:18" x14ac:dyDescent="0.2">
      <c r="A1415" t="s">
        <v>1099</v>
      </c>
      <c r="B1415" t="s">
        <v>32</v>
      </c>
      <c r="C1415">
        <v>61</v>
      </c>
      <c r="D1415">
        <v>5</v>
      </c>
      <c r="E1415">
        <v>56</v>
      </c>
      <c r="F1415">
        <v>60</v>
      </c>
      <c r="G1415">
        <v>5</v>
      </c>
      <c r="H1415">
        <v>55</v>
      </c>
      <c r="I1415">
        <v>0.15240000000000001</v>
      </c>
      <c r="J1415">
        <f t="shared" si="22"/>
        <v>0.59055118110236215</v>
      </c>
      <c r="K1415">
        <v>8.9999999999999998E-4</v>
      </c>
      <c r="L1415" t="s">
        <v>17</v>
      </c>
      <c r="M1415">
        <v>296</v>
      </c>
      <c r="N1415" t="s">
        <v>553</v>
      </c>
    </row>
    <row r="1416" spans="1:18" x14ac:dyDescent="0.2">
      <c r="A1416" t="s">
        <v>1099</v>
      </c>
      <c r="B1416" t="s">
        <v>32</v>
      </c>
      <c r="C1416">
        <v>66</v>
      </c>
      <c r="D1416">
        <v>4</v>
      </c>
      <c r="E1416">
        <v>63</v>
      </c>
      <c r="F1416">
        <v>65</v>
      </c>
      <c r="G1416">
        <v>4</v>
      </c>
      <c r="H1416">
        <v>62</v>
      </c>
      <c r="I1416">
        <v>0.1338</v>
      </c>
      <c r="J1416">
        <f t="shared" si="22"/>
        <v>1.2705530642750373</v>
      </c>
      <c r="K1416">
        <v>1.6999999999999999E-3</v>
      </c>
      <c r="L1416" t="s">
        <v>17</v>
      </c>
      <c r="M1416">
        <v>296</v>
      </c>
      <c r="N1416" t="s">
        <v>553</v>
      </c>
    </row>
    <row r="1417" spans="1:18" x14ac:dyDescent="0.2">
      <c r="A1417" t="s">
        <v>1099</v>
      </c>
      <c r="B1417" t="s">
        <v>32</v>
      </c>
      <c r="C1417">
        <v>68</v>
      </c>
      <c r="D1417">
        <v>3</v>
      </c>
      <c r="E1417">
        <v>66</v>
      </c>
      <c r="F1417">
        <v>67</v>
      </c>
      <c r="G1417">
        <v>3</v>
      </c>
      <c r="H1417">
        <v>65</v>
      </c>
      <c r="I1417">
        <v>0.1318</v>
      </c>
      <c r="J1417">
        <f t="shared" si="22"/>
        <v>1.1380880121396053</v>
      </c>
      <c r="K1417">
        <v>1.5E-3</v>
      </c>
      <c r="L1417" t="s">
        <v>17</v>
      </c>
      <c r="M1417">
        <v>296</v>
      </c>
      <c r="N1417" t="s">
        <v>553</v>
      </c>
    </row>
    <row r="1418" spans="1:18" x14ac:dyDescent="0.2">
      <c r="A1418" t="s">
        <v>1099</v>
      </c>
      <c r="B1418" t="s">
        <v>32</v>
      </c>
      <c r="C1418">
        <v>59</v>
      </c>
      <c r="D1418">
        <v>6</v>
      </c>
      <c r="E1418">
        <v>53</v>
      </c>
      <c r="F1418">
        <v>58</v>
      </c>
      <c r="G1418">
        <v>6</v>
      </c>
      <c r="H1418">
        <v>52</v>
      </c>
      <c r="I1418">
        <v>0.15440000000000001</v>
      </c>
      <c r="J1418">
        <f t="shared" si="22"/>
        <v>0.5181347150259068</v>
      </c>
      <c r="K1418">
        <v>8.0000000000000004E-4</v>
      </c>
      <c r="L1418" t="s">
        <v>17</v>
      </c>
      <c r="M1418">
        <v>296</v>
      </c>
      <c r="N1418" t="s">
        <v>553</v>
      </c>
    </row>
    <row r="1419" spans="1:18" x14ac:dyDescent="0.2">
      <c r="A1419" t="s">
        <v>1099</v>
      </c>
      <c r="B1419" t="s">
        <v>32</v>
      </c>
      <c r="C1419">
        <v>63</v>
      </c>
      <c r="D1419">
        <v>5</v>
      </c>
      <c r="E1419">
        <v>58</v>
      </c>
      <c r="F1419">
        <v>62</v>
      </c>
      <c r="G1419">
        <v>5</v>
      </c>
      <c r="H1419">
        <v>57</v>
      </c>
      <c r="I1419">
        <v>0.1459</v>
      </c>
      <c r="J1419">
        <f t="shared" si="22"/>
        <v>1.0281014393420151</v>
      </c>
      <c r="K1419">
        <v>1.5E-3</v>
      </c>
      <c r="L1419" t="s">
        <v>17</v>
      </c>
      <c r="M1419">
        <v>296</v>
      </c>
      <c r="N1419" t="s">
        <v>553</v>
      </c>
    </row>
    <row r="1420" spans="1:18" x14ac:dyDescent="0.2">
      <c r="A1420" t="s">
        <v>1099</v>
      </c>
      <c r="B1420" t="s">
        <v>32</v>
      </c>
      <c r="C1420">
        <v>64</v>
      </c>
      <c r="D1420">
        <v>7</v>
      </c>
      <c r="E1420">
        <v>58</v>
      </c>
      <c r="F1420">
        <v>63</v>
      </c>
      <c r="G1420">
        <v>7</v>
      </c>
      <c r="H1420">
        <v>57</v>
      </c>
      <c r="I1420">
        <v>0.16850000000000001</v>
      </c>
      <c r="J1420">
        <f t="shared" si="22"/>
        <v>1.1275964391691393</v>
      </c>
      <c r="K1420">
        <v>1.9E-3</v>
      </c>
      <c r="L1420" t="s">
        <v>17</v>
      </c>
      <c r="M1420">
        <v>296</v>
      </c>
      <c r="N1420" t="s">
        <v>553</v>
      </c>
    </row>
    <row r="1421" spans="1:18" x14ac:dyDescent="0.2">
      <c r="A1421" t="s">
        <v>1099</v>
      </c>
      <c r="B1421" t="s">
        <v>32</v>
      </c>
      <c r="C1421">
        <v>63</v>
      </c>
      <c r="D1421">
        <v>8</v>
      </c>
      <c r="E1421">
        <v>55</v>
      </c>
      <c r="F1421">
        <v>62</v>
      </c>
      <c r="G1421">
        <v>8</v>
      </c>
      <c r="H1421">
        <v>54</v>
      </c>
      <c r="I1421">
        <v>0.151</v>
      </c>
      <c r="J1421">
        <f t="shared" si="22"/>
        <v>0.99337748344370869</v>
      </c>
      <c r="K1421">
        <v>1.5E-3</v>
      </c>
      <c r="L1421" t="s">
        <v>17</v>
      </c>
      <c r="M1421">
        <v>296</v>
      </c>
      <c r="N1421" t="s">
        <v>553</v>
      </c>
    </row>
    <row r="1422" spans="1:18" x14ac:dyDescent="0.2">
      <c r="A1422" t="s">
        <v>1099</v>
      </c>
      <c r="B1422" t="s">
        <v>32</v>
      </c>
      <c r="C1422">
        <v>61</v>
      </c>
      <c r="D1422">
        <v>7</v>
      </c>
      <c r="E1422">
        <v>54</v>
      </c>
      <c r="F1422">
        <v>60</v>
      </c>
      <c r="G1422">
        <v>7</v>
      </c>
      <c r="H1422">
        <v>53</v>
      </c>
      <c r="I1422">
        <v>0.1464</v>
      </c>
      <c r="J1422">
        <f t="shared" si="22"/>
        <v>0.81967213114754089</v>
      </c>
      <c r="K1422">
        <v>1.1999999999999999E-3</v>
      </c>
      <c r="L1422" t="s">
        <v>17</v>
      </c>
      <c r="M1422">
        <v>296</v>
      </c>
      <c r="N1422" t="s">
        <v>553</v>
      </c>
    </row>
    <row r="1423" spans="1:18" x14ac:dyDescent="0.2">
      <c r="A1423" t="s">
        <v>1099</v>
      </c>
      <c r="B1423" t="s">
        <v>32</v>
      </c>
      <c r="C1423">
        <v>61</v>
      </c>
      <c r="D1423">
        <v>6</v>
      </c>
      <c r="E1423">
        <v>55</v>
      </c>
      <c r="F1423">
        <v>60</v>
      </c>
      <c r="G1423">
        <v>6</v>
      </c>
      <c r="H1423">
        <v>54</v>
      </c>
      <c r="I1423">
        <v>0.15440000000000001</v>
      </c>
      <c r="J1423">
        <f t="shared" si="22"/>
        <v>0.84196891191709833</v>
      </c>
      <c r="K1423">
        <v>1.2999999999999999E-3</v>
      </c>
      <c r="L1423" t="s">
        <v>17</v>
      </c>
      <c r="M1423">
        <v>296</v>
      </c>
      <c r="N1423" t="s">
        <v>553</v>
      </c>
    </row>
    <row r="1424" spans="1:18" ht="17" x14ac:dyDescent="0.25">
      <c r="A1424" t="s">
        <v>1099</v>
      </c>
      <c r="B1424" t="s">
        <v>32</v>
      </c>
      <c r="C1424" s="10">
        <v>46</v>
      </c>
      <c r="D1424">
        <v>2</v>
      </c>
      <c r="E1424">
        <v>45</v>
      </c>
      <c r="F1424">
        <v>47</v>
      </c>
      <c r="G1424">
        <v>2</v>
      </c>
      <c r="H1424">
        <v>46</v>
      </c>
      <c r="I1424">
        <v>0.1686</v>
      </c>
      <c r="J1424">
        <f t="shared" si="22"/>
        <v>1.0083036773428231</v>
      </c>
      <c r="K1424">
        <v>1.6999999999999999E-3</v>
      </c>
      <c r="L1424" t="s">
        <v>17</v>
      </c>
      <c r="M1424">
        <v>296</v>
      </c>
      <c r="N1424" t="s">
        <v>553</v>
      </c>
      <c r="R1424" s="10" t="s">
        <v>1105</v>
      </c>
    </row>
    <row r="1425" spans="1:14" ht="17" x14ac:dyDescent="0.25">
      <c r="A1425" t="s">
        <v>1099</v>
      </c>
      <c r="B1425" t="s">
        <v>32</v>
      </c>
      <c r="C1425" s="10">
        <v>44</v>
      </c>
      <c r="D1425">
        <v>3</v>
      </c>
      <c r="E1425">
        <v>42</v>
      </c>
      <c r="F1425">
        <v>45</v>
      </c>
      <c r="G1425">
        <v>3</v>
      </c>
      <c r="H1425">
        <v>43</v>
      </c>
      <c r="I1425">
        <v>0.1474</v>
      </c>
      <c r="J1425">
        <f t="shared" si="22"/>
        <v>1.085481682496608</v>
      </c>
      <c r="K1425">
        <v>1.6000000000000001E-3</v>
      </c>
      <c r="L1425" t="s">
        <v>17</v>
      </c>
      <c r="M1425">
        <v>296</v>
      </c>
      <c r="N1425" t="s">
        <v>553</v>
      </c>
    </row>
    <row r="1426" spans="1:14" ht="17" x14ac:dyDescent="0.25">
      <c r="A1426" t="s">
        <v>1099</v>
      </c>
      <c r="B1426" t="s">
        <v>32</v>
      </c>
      <c r="C1426" s="10">
        <v>41</v>
      </c>
      <c r="D1426">
        <v>1</v>
      </c>
      <c r="E1426">
        <v>40</v>
      </c>
      <c r="F1426">
        <v>42</v>
      </c>
      <c r="G1426">
        <v>1</v>
      </c>
      <c r="H1426">
        <v>41</v>
      </c>
      <c r="I1426">
        <v>0.14360000000000001</v>
      </c>
      <c r="J1426">
        <f t="shared" si="22"/>
        <v>0.83565459610027837</v>
      </c>
      <c r="K1426">
        <v>1.1999999999999999E-3</v>
      </c>
      <c r="L1426" t="s">
        <v>17</v>
      </c>
      <c r="M1426">
        <v>296</v>
      </c>
      <c r="N1426" t="s">
        <v>553</v>
      </c>
    </row>
    <row r="1427" spans="1:14" ht="17" x14ac:dyDescent="0.25">
      <c r="A1427" t="s">
        <v>1099</v>
      </c>
      <c r="B1427" t="s">
        <v>32</v>
      </c>
      <c r="C1427" s="10">
        <v>40</v>
      </c>
      <c r="D1427">
        <v>3</v>
      </c>
      <c r="E1427">
        <v>38</v>
      </c>
      <c r="F1427">
        <v>41</v>
      </c>
      <c r="G1427">
        <v>3</v>
      </c>
      <c r="H1427">
        <v>39</v>
      </c>
      <c r="I1427">
        <v>0.1724</v>
      </c>
      <c r="J1427">
        <f t="shared" si="22"/>
        <v>0.6960556844547563</v>
      </c>
      <c r="K1427">
        <v>1.1999999999999999E-3</v>
      </c>
      <c r="L1427" t="s">
        <v>17</v>
      </c>
      <c r="M1427">
        <v>296</v>
      </c>
      <c r="N1427" t="s">
        <v>553</v>
      </c>
    </row>
    <row r="1428" spans="1:14" ht="17" x14ac:dyDescent="0.25">
      <c r="A1428" t="s">
        <v>1099</v>
      </c>
      <c r="B1428" t="s">
        <v>32</v>
      </c>
      <c r="C1428" s="10">
        <v>38</v>
      </c>
      <c r="D1428">
        <v>4</v>
      </c>
      <c r="E1428">
        <v>35</v>
      </c>
      <c r="F1428">
        <v>39</v>
      </c>
      <c r="G1428">
        <v>4</v>
      </c>
      <c r="H1428">
        <v>36</v>
      </c>
      <c r="I1428">
        <v>0.14849999999999999</v>
      </c>
      <c r="J1428">
        <f t="shared" si="22"/>
        <v>1.2121212121212122</v>
      </c>
      <c r="K1428">
        <v>1.8E-3</v>
      </c>
      <c r="L1428" t="s">
        <v>17</v>
      </c>
      <c r="M1428">
        <v>296</v>
      </c>
      <c r="N1428" t="s">
        <v>553</v>
      </c>
    </row>
    <row r="1429" spans="1:14" ht="17" x14ac:dyDescent="0.25">
      <c r="A1429" t="s">
        <v>1099</v>
      </c>
      <c r="B1429" t="s">
        <v>32</v>
      </c>
      <c r="C1429" s="10">
        <v>37</v>
      </c>
      <c r="D1429">
        <v>6</v>
      </c>
      <c r="E1429">
        <v>31</v>
      </c>
      <c r="F1429">
        <v>38</v>
      </c>
      <c r="G1429">
        <v>6</v>
      </c>
      <c r="H1429">
        <v>32</v>
      </c>
      <c r="I1429">
        <v>0.15870000000000001</v>
      </c>
      <c r="J1429">
        <f t="shared" si="22"/>
        <v>0.81915563957151849</v>
      </c>
      <c r="K1429">
        <v>1.2999999999999999E-3</v>
      </c>
      <c r="L1429" t="s">
        <v>17</v>
      </c>
      <c r="M1429">
        <v>296</v>
      </c>
      <c r="N1429" t="s">
        <v>553</v>
      </c>
    </row>
    <row r="1430" spans="1:14" ht="17" x14ac:dyDescent="0.25">
      <c r="A1430" t="s">
        <v>1099</v>
      </c>
      <c r="B1430" t="s">
        <v>32</v>
      </c>
      <c r="C1430" s="10">
        <v>37</v>
      </c>
      <c r="D1430">
        <v>3</v>
      </c>
      <c r="E1430">
        <v>34</v>
      </c>
      <c r="F1430">
        <v>38</v>
      </c>
      <c r="G1430">
        <v>3</v>
      </c>
      <c r="H1430">
        <v>35</v>
      </c>
      <c r="I1430">
        <v>0.1588</v>
      </c>
      <c r="J1430">
        <f t="shared" si="22"/>
        <v>1.4483627204030227</v>
      </c>
      <c r="K1430">
        <v>2.3E-3</v>
      </c>
      <c r="L1430" t="s">
        <v>17</v>
      </c>
      <c r="M1430">
        <v>296</v>
      </c>
      <c r="N1430" t="s">
        <v>553</v>
      </c>
    </row>
    <row r="1431" spans="1:14" ht="17" x14ac:dyDescent="0.25">
      <c r="A1431" t="s">
        <v>1099</v>
      </c>
      <c r="B1431" t="s">
        <v>32</v>
      </c>
      <c r="C1431" s="10">
        <v>40</v>
      </c>
      <c r="D1431">
        <v>1</v>
      </c>
      <c r="E1431">
        <v>40</v>
      </c>
      <c r="F1431">
        <v>41</v>
      </c>
      <c r="G1431">
        <v>1</v>
      </c>
      <c r="H1431">
        <v>41</v>
      </c>
      <c r="I1431">
        <v>0.1178</v>
      </c>
      <c r="J1431">
        <f t="shared" si="22"/>
        <v>1.4431239388794566</v>
      </c>
      <c r="K1431">
        <v>1.6999999999999999E-3</v>
      </c>
      <c r="L1431" t="s">
        <v>17</v>
      </c>
      <c r="M1431">
        <v>296</v>
      </c>
      <c r="N1431" t="s">
        <v>553</v>
      </c>
    </row>
    <row r="1432" spans="1:14" ht="17" x14ac:dyDescent="0.25">
      <c r="A1432" t="s">
        <v>1099</v>
      </c>
      <c r="B1432" t="s">
        <v>32</v>
      </c>
      <c r="C1432" s="10">
        <v>36</v>
      </c>
      <c r="D1432">
        <v>7</v>
      </c>
      <c r="E1432">
        <v>30</v>
      </c>
      <c r="F1432">
        <v>37</v>
      </c>
      <c r="G1432">
        <v>7</v>
      </c>
      <c r="H1432">
        <v>31</v>
      </c>
      <c r="I1432">
        <v>0.18260000000000001</v>
      </c>
      <c r="J1432">
        <f t="shared" si="22"/>
        <v>1.095290251916758</v>
      </c>
      <c r="K1432">
        <v>2E-3</v>
      </c>
      <c r="L1432" t="s">
        <v>17</v>
      </c>
      <c r="M1432">
        <v>296</v>
      </c>
      <c r="N1432" t="s">
        <v>553</v>
      </c>
    </row>
    <row r="1433" spans="1:14" ht="17" x14ac:dyDescent="0.25">
      <c r="A1433" t="s">
        <v>1099</v>
      </c>
      <c r="B1433" t="s">
        <v>32</v>
      </c>
      <c r="C1433" s="10">
        <v>36</v>
      </c>
      <c r="D1433">
        <v>5</v>
      </c>
      <c r="E1433">
        <v>32</v>
      </c>
      <c r="F1433">
        <v>37</v>
      </c>
      <c r="G1433">
        <v>5</v>
      </c>
      <c r="H1433">
        <v>33</v>
      </c>
      <c r="I1433">
        <v>0.16420000000000001</v>
      </c>
      <c r="J1433">
        <f t="shared" si="22"/>
        <v>0.60901339829476242</v>
      </c>
      <c r="K1433">
        <v>1E-3</v>
      </c>
      <c r="L1433" t="s">
        <v>17</v>
      </c>
      <c r="M1433">
        <v>296</v>
      </c>
      <c r="N1433" t="s">
        <v>553</v>
      </c>
    </row>
    <row r="1434" spans="1:14" ht="17" x14ac:dyDescent="0.25">
      <c r="A1434" t="s">
        <v>1099</v>
      </c>
      <c r="B1434" t="s">
        <v>32</v>
      </c>
      <c r="C1434" s="10">
        <v>38</v>
      </c>
      <c r="D1434">
        <v>2</v>
      </c>
      <c r="E1434">
        <v>37</v>
      </c>
      <c r="F1434">
        <v>39</v>
      </c>
      <c r="G1434">
        <v>2</v>
      </c>
      <c r="H1434">
        <v>38</v>
      </c>
      <c r="I1434">
        <v>0.16250000000000001</v>
      </c>
      <c r="J1434">
        <f t="shared" si="22"/>
        <v>0.43076923076923074</v>
      </c>
      <c r="K1434">
        <v>6.9999999999999999E-4</v>
      </c>
      <c r="L1434" t="s">
        <v>17</v>
      </c>
      <c r="M1434">
        <v>296</v>
      </c>
      <c r="N1434" t="s">
        <v>553</v>
      </c>
    </row>
    <row r="1435" spans="1:14" ht="17" x14ac:dyDescent="0.25">
      <c r="A1435" t="s">
        <v>1099</v>
      </c>
      <c r="B1435" t="s">
        <v>32</v>
      </c>
      <c r="C1435" s="10">
        <v>35</v>
      </c>
      <c r="D1435">
        <v>4</v>
      </c>
      <c r="E1435">
        <v>31</v>
      </c>
      <c r="F1435">
        <v>36</v>
      </c>
      <c r="G1435">
        <v>4</v>
      </c>
      <c r="H1435">
        <v>32</v>
      </c>
      <c r="I1435">
        <v>0.1573</v>
      </c>
      <c r="J1435">
        <f t="shared" si="22"/>
        <v>0.57215511760966309</v>
      </c>
      <c r="K1435">
        <v>8.9999999999999998E-4</v>
      </c>
      <c r="L1435" t="s">
        <v>17</v>
      </c>
      <c r="M1435">
        <v>296</v>
      </c>
      <c r="N1435" t="s">
        <v>553</v>
      </c>
    </row>
    <row r="1436" spans="1:14" ht="17" x14ac:dyDescent="0.25">
      <c r="A1436" t="s">
        <v>1099</v>
      </c>
      <c r="B1436" t="s">
        <v>32</v>
      </c>
      <c r="C1436" s="10">
        <v>35</v>
      </c>
      <c r="D1436">
        <v>6</v>
      </c>
      <c r="E1436">
        <v>29</v>
      </c>
      <c r="F1436">
        <v>36</v>
      </c>
      <c r="G1436">
        <v>6</v>
      </c>
      <c r="H1436">
        <v>30</v>
      </c>
      <c r="I1436">
        <v>0.16500000000000001</v>
      </c>
      <c r="J1436">
        <f t="shared" si="22"/>
        <v>0.78787878787878773</v>
      </c>
      <c r="K1436">
        <v>1.2999999999999999E-3</v>
      </c>
      <c r="L1436" t="s">
        <v>17</v>
      </c>
      <c r="M1436">
        <v>296</v>
      </c>
      <c r="N1436" t="s">
        <v>553</v>
      </c>
    </row>
    <row r="1437" spans="1:14" ht="17" x14ac:dyDescent="0.25">
      <c r="A1437" t="s">
        <v>1099</v>
      </c>
      <c r="B1437" t="s">
        <v>32</v>
      </c>
      <c r="C1437" s="10">
        <v>35</v>
      </c>
      <c r="D1437">
        <v>3</v>
      </c>
      <c r="E1437">
        <v>32</v>
      </c>
      <c r="F1437">
        <v>36</v>
      </c>
      <c r="G1437">
        <v>3</v>
      </c>
      <c r="H1437">
        <v>33</v>
      </c>
      <c r="I1437">
        <v>0.1739</v>
      </c>
      <c r="J1437">
        <f t="shared" si="22"/>
        <v>0.80506037952846476</v>
      </c>
      <c r="K1437">
        <v>1.4E-3</v>
      </c>
      <c r="L1437" t="s">
        <v>17</v>
      </c>
      <c r="M1437">
        <v>296</v>
      </c>
      <c r="N1437" t="s">
        <v>553</v>
      </c>
    </row>
    <row r="1438" spans="1:14" ht="17" x14ac:dyDescent="0.25">
      <c r="A1438" t="s">
        <v>1099</v>
      </c>
      <c r="B1438" t="s">
        <v>32</v>
      </c>
      <c r="C1438" s="10">
        <v>36</v>
      </c>
      <c r="D1438">
        <v>3</v>
      </c>
      <c r="E1438">
        <v>34</v>
      </c>
      <c r="F1438">
        <v>37</v>
      </c>
      <c r="G1438">
        <v>3</v>
      </c>
      <c r="H1438">
        <v>35</v>
      </c>
      <c r="I1438">
        <v>0.16120000000000001</v>
      </c>
      <c r="J1438">
        <f t="shared" si="22"/>
        <v>0.68238213399503722</v>
      </c>
      <c r="K1438">
        <v>1.1000000000000001E-3</v>
      </c>
      <c r="L1438" t="s">
        <v>17</v>
      </c>
      <c r="M1438">
        <v>296</v>
      </c>
      <c r="N1438" t="s">
        <v>553</v>
      </c>
    </row>
    <row r="1439" spans="1:14" ht="17" x14ac:dyDescent="0.25">
      <c r="A1439" t="s">
        <v>1099</v>
      </c>
      <c r="B1439" t="s">
        <v>32</v>
      </c>
      <c r="C1439" s="10">
        <v>34</v>
      </c>
      <c r="D1439">
        <v>8</v>
      </c>
      <c r="E1439">
        <v>27</v>
      </c>
      <c r="F1439">
        <v>35</v>
      </c>
      <c r="G1439">
        <v>8</v>
      </c>
      <c r="H1439">
        <v>28</v>
      </c>
      <c r="I1439">
        <v>0.16139999999999999</v>
      </c>
      <c r="J1439">
        <f t="shared" si="22"/>
        <v>1.0532837670384139</v>
      </c>
      <c r="K1439">
        <v>1.6999999999999999E-3</v>
      </c>
      <c r="L1439" t="s">
        <v>17</v>
      </c>
      <c r="M1439">
        <v>296</v>
      </c>
      <c r="N1439" t="s">
        <v>553</v>
      </c>
    </row>
    <row r="1440" spans="1:14" ht="17" x14ac:dyDescent="0.25">
      <c r="A1440" t="s">
        <v>1099</v>
      </c>
      <c r="B1440" t="s">
        <v>32</v>
      </c>
      <c r="C1440" s="10">
        <v>34</v>
      </c>
      <c r="D1440">
        <v>7</v>
      </c>
      <c r="E1440">
        <v>28</v>
      </c>
      <c r="F1440">
        <v>35</v>
      </c>
      <c r="G1440">
        <v>7</v>
      </c>
      <c r="H1440">
        <v>29</v>
      </c>
      <c r="I1440">
        <v>0.17469999999999999</v>
      </c>
      <c r="J1440">
        <f t="shared" si="22"/>
        <v>0.7441327990841442</v>
      </c>
      <c r="K1440">
        <v>1.2999999999999999E-3</v>
      </c>
      <c r="L1440" t="s">
        <v>17</v>
      </c>
      <c r="M1440">
        <v>296</v>
      </c>
      <c r="N1440" t="s">
        <v>553</v>
      </c>
    </row>
    <row r="1441" spans="1:14" ht="17" x14ac:dyDescent="0.25">
      <c r="A1441" t="s">
        <v>1099</v>
      </c>
      <c r="B1441" t="s">
        <v>32</v>
      </c>
      <c r="C1441" s="10">
        <v>35</v>
      </c>
      <c r="D1441">
        <v>2</v>
      </c>
      <c r="E1441">
        <v>33</v>
      </c>
      <c r="F1441">
        <v>36</v>
      </c>
      <c r="G1441">
        <v>2</v>
      </c>
      <c r="H1441">
        <v>34</v>
      </c>
      <c r="I1441">
        <v>0.1545</v>
      </c>
      <c r="J1441">
        <f t="shared" si="22"/>
        <v>0.97087378640776711</v>
      </c>
      <c r="K1441">
        <v>1.5E-3</v>
      </c>
      <c r="L1441" t="s">
        <v>17</v>
      </c>
      <c r="M1441">
        <v>296</v>
      </c>
      <c r="N1441" t="s">
        <v>553</v>
      </c>
    </row>
    <row r="1442" spans="1:14" ht="17" x14ac:dyDescent="0.25">
      <c r="A1442" t="s">
        <v>1099</v>
      </c>
      <c r="B1442" t="s">
        <v>32</v>
      </c>
      <c r="C1442" s="10">
        <v>34</v>
      </c>
      <c r="D1442">
        <v>5</v>
      </c>
      <c r="E1442">
        <v>30</v>
      </c>
      <c r="F1442">
        <v>35</v>
      </c>
      <c r="G1442">
        <v>5</v>
      </c>
      <c r="H1442">
        <v>31</v>
      </c>
      <c r="I1442">
        <v>0.1497</v>
      </c>
      <c r="J1442">
        <f t="shared" si="22"/>
        <v>0.73480293921175688</v>
      </c>
      <c r="K1442">
        <v>1.1000000000000001E-3</v>
      </c>
      <c r="L1442" t="s">
        <v>17</v>
      </c>
      <c r="M1442">
        <v>296</v>
      </c>
      <c r="N1442" t="s">
        <v>553</v>
      </c>
    </row>
    <row r="1443" spans="1:14" ht="17" x14ac:dyDescent="0.25">
      <c r="A1443" t="s">
        <v>1099</v>
      </c>
      <c r="B1443" t="s">
        <v>32</v>
      </c>
      <c r="C1443" s="10">
        <v>33</v>
      </c>
      <c r="D1443">
        <v>6</v>
      </c>
      <c r="E1443">
        <v>27</v>
      </c>
      <c r="F1443">
        <v>34</v>
      </c>
      <c r="G1443">
        <v>6</v>
      </c>
      <c r="H1443">
        <v>28</v>
      </c>
      <c r="I1443">
        <v>0.16070000000000001</v>
      </c>
      <c r="J1443">
        <f t="shared" si="22"/>
        <v>0.99564405724953331</v>
      </c>
      <c r="K1443">
        <v>1.6000000000000001E-3</v>
      </c>
      <c r="L1443" t="s">
        <v>17</v>
      </c>
      <c r="M1443">
        <v>296</v>
      </c>
      <c r="N1443" t="s">
        <v>553</v>
      </c>
    </row>
    <row r="1444" spans="1:14" ht="17" x14ac:dyDescent="0.25">
      <c r="A1444" t="s">
        <v>1099</v>
      </c>
      <c r="B1444" t="s">
        <v>32</v>
      </c>
      <c r="C1444" s="10">
        <v>36</v>
      </c>
      <c r="D1444">
        <v>1</v>
      </c>
      <c r="E1444">
        <v>36</v>
      </c>
      <c r="F1444">
        <v>37</v>
      </c>
      <c r="G1444">
        <v>1</v>
      </c>
      <c r="H1444">
        <v>37</v>
      </c>
      <c r="I1444">
        <v>0.16439999999999999</v>
      </c>
      <c r="J1444">
        <f t="shared" si="22"/>
        <v>0.48661800486618007</v>
      </c>
      <c r="K1444">
        <v>8.0000000000000004E-4</v>
      </c>
      <c r="L1444" t="s">
        <v>17</v>
      </c>
      <c r="M1444">
        <v>296</v>
      </c>
      <c r="N1444" t="s">
        <v>553</v>
      </c>
    </row>
    <row r="1445" spans="1:14" ht="17" x14ac:dyDescent="0.25">
      <c r="A1445" t="s">
        <v>1099</v>
      </c>
      <c r="B1445" t="s">
        <v>32</v>
      </c>
      <c r="C1445" s="10">
        <v>35</v>
      </c>
      <c r="D1445">
        <v>1</v>
      </c>
      <c r="E1445">
        <v>34</v>
      </c>
      <c r="F1445">
        <v>36</v>
      </c>
      <c r="G1445">
        <v>1</v>
      </c>
      <c r="H1445">
        <v>35</v>
      </c>
      <c r="I1445">
        <v>0.17299999999999999</v>
      </c>
      <c r="J1445">
        <f t="shared" si="22"/>
        <v>0.40462427745664747</v>
      </c>
      <c r="K1445">
        <v>6.9999999999999999E-4</v>
      </c>
      <c r="L1445" t="s">
        <v>17</v>
      </c>
      <c r="M1445">
        <v>296</v>
      </c>
      <c r="N1445" t="s">
        <v>553</v>
      </c>
    </row>
    <row r="1446" spans="1:14" ht="17" x14ac:dyDescent="0.25">
      <c r="A1446" t="s">
        <v>1099</v>
      </c>
      <c r="B1446" t="s">
        <v>32</v>
      </c>
      <c r="C1446" s="10">
        <v>34</v>
      </c>
      <c r="D1446">
        <v>3</v>
      </c>
      <c r="E1446">
        <v>32</v>
      </c>
      <c r="F1446">
        <v>35</v>
      </c>
      <c r="G1446">
        <v>3</v>
      </c>
      <c r="H1446">
        <v>33</v>
      </c>
      <c r="I1446">
        <v>0.15160000000000001</v>
      </c>
      <c r="J1446">
        <f t="shared" si="22"/>
        <v>1.0554089709762533</v>
      </c>
      <c r="K1446">
        <v>1.6000000000000001E-3</v>
      </c>
      <c r="L1446" t="s">
        <v>17</v>
      </c>
      <c r="M1446">
        <v>296</v>
      </c>
      <c r="N1446" t="s">
        <v>553</v>
      </c>
    </row>
    <row r="1447" spans="1:14" ht="17" x14ac:dyDescent="0.25">
      <c r="A1447" t="s">
        <v>1099</v>
      </c>
      <c r="B1447" t="s">
        <v>32</v>
      </c>
      <c r="C1447" s="10">
        <v>33</v>
      </c>
      <c r="D1447">
        <v>2</v>
      </c>
      <c r="E1447">
        <v>31</v>
      </c>
      <c r="F1447">
        <v>34</v>
      </c>
      <c r="G1447">
        <v>2</v>
      </c>
      <c r="H1447">
        <v>32</v>
      </c>
      <c r="I1447">
        <v>0.15129999999999999</v>
      </c>
      <c r="J1447">
        <f t="shared" si="22"/>
        <v>0.59484467944481167</v>
      </c>
      <c r="K1447">
        <v>8.9999999999999998E-4</v>
      </c>
      <c r="L1447" t="s">
        <v>17</v>
      </c>
      <c r="M1447">
        <v>296</v>
      </c>
      <c r="N1447" t="s">
        <v>553</v>
      </c>
    </row>
    <row r="1448" spans="1:14" ht="17" x14ac:dyDescent="0.25">
      <c r="A1448" t="s">
        <v>1099</v>
      </c>
      <c r="B1448" t="s">
        <v>32</v>
      </c>
      <c r="C1448" s="10">
        <v>35</v>
      </c>
      <c r="D1448">
        <v>0</v>
      </c>
      <c r="E1448">
        <v>35</v>
      </c>
      <c r="F1448">
        <v>36</v>
      </c>
      <c r="G1448">
        <v>0</v>
      </c>
      <c r="H1448">
        <v>36</v>
      </c>
      <c r="I1448">
        <v>0.14749999999999999</v>
      </c>
      <c r="J1448">
        <f t="shared" si="22"/>
        <v>0.61016949152542377</v>
      </c>
      <c r="K1448">
        <v>8.9999999999999998E-4</v>
      </c>
      <c r="L1448" t="s">
        <v>17</v>
      </c>
      <c r="M1448">
        <v>296</v>
      </c>
      <c r="N1448" t="s">
        <v>553</v>
      </c>
    </row>
    <row r="1449" spans="1:14" ht="17" x14ac:dyDescent="0.25">
      <c r="A1449" t="s">
        <v>1099</v>
      </c>
      <c r="B1449" t="s">
        <v>32</v>
      </c>
      <c r="C1449" s="10">
        <v>31</v>
      </c>
      <c r="D1449">
        <v>9</v>
      </c>
      <c r="E1449">
        <v>22</v>
      </c>
      <c r="F1449">
        <v>32</v>
      </c>
      <c r="G1449">
        <v>9</v>
      </c>
      <c r="H1449">
        <v>23</v>
      </c>
      <c r="I1449">
        <v>0.19980000000000001</v>
      </c>
      <c r="J1449">
        <f t="shared" si="22"/>
        <v>1.0510510510510511</v>
      </c>
      <c r="K1449">
        <v>2.1000000000000003E-3</v>
      </c>
      <c r="L1449" t="s">
        <v>17</v>
      </c>
      <c r="M1449">
        <v>296</v>
      </c>
      <c r="N1449" t="s">
        <v>553</v>
      </c>
    </row>
    <row r="1450" spans="1:14" ht="17" x14ac:dyDescent="0.25">
      <c r="A1450" t="s">
        <v>1099</v>
      </c>
      <c r="B1450" t="s">
        <v>32</v>
      </c>
      <c r="C1450" s="10">
        <v>33</v>
      </c>
      <c r="D1450">
        <v>1</v>
      </c>
      <c r="E1450">
        <v>32</v>
      </c>
      <c r="F1450">
        <v>34</v>
      </c>
      <c r="G1450">
        <v>1</v>
      </c>
      <c r="H1450">
        <v>33</v>
      </c>
      <c r="I1450">
        <v>0.15090000000000001</v>
      </c>
      <c r="J1450">
        <f t="shared" si="22"/>
        <v>0.59642147117296218</v>
      </c>
      <c r="K1450">
        <v>8.9999999999999998E-4</v>
      </c>
      <c r="L1450" t="s">
        <v>17</v>
      </c>
      <c r="M1450">
        <v>296</v>
      </c>
      <c r="N1450" t="s">
        <v>553</v>
      </c>
    </row>
    <row r="1451" spans="1:14" ht="17" x14ac:dyDescent="0.25">
      <c r="A1451" t="s">
        <v>1099</v>
      </c>
      <c r="B1451" t="s">
        <v>32</v>
      </c>
      <c r="C1451" s="10">
        <v>31</v>
      </c>
      <c r="D1451">
        <v>6</v>
      </c>
      <c r="E1451">
        <v>25</v>
      </c>
      <c r="F1451">
        <v>32</v>
      </c>
      <c r="G1451">
        <v>6</v>
      </c>
      <c r="H1451">
        <v>26</v>
      </c>
      <c r="I1451">
        <v>0.15440000000000001</v>
      </c>
      <c r="J1451">
        <f t="shared" si="22"/>
        <v>0.84196891191709833</v>
      </c>
      <c r="K1451">
        <v>1.2999999999999999E-3</v>
      </c>
      <c r="L1451" t="s">
        <v>17</v>
      </c>
      <c r="M1451">
        <v>296</v>
      </c>
      <c r="N1451" t="s">
        <v>553</v>
      </c>
    </row>
    <row r="1452" spans="1:14" ht="17" x14ac:dyDescent="0.25">
      <c r="A1452" t="s">
        <v>1099</v>
      </c>
      <c r="B1452" t="s">
        <v>32</v>
      </c>
      <c r="C1452" s="10">
        <v>31</v>
      </c>
      <c r="D1452">
        <v>5</v>
      </c>
      <c r="E1452">
        <v>26</v>
      </c>
      <c r="F1452">
        <v>32</v>
      </c>
      <c r="G1452">
        <v>5</v>
      </c>
      <c r="H1452">
        <v>27</v>
      </c>
      <c r="I1452">
        <v>0.16170000000000001</v>
      </c>
      <c r="J1452">
        <f t="shared" si="22"/>
        <v>0.55658627087198509</v>
      </c>
      <c r="K1452">
        <v>8.9999999999999998E-4</v>
      </c>
      <c r="L1452" t="s">
        <v>17</v>
      </c>
      <c r="M1452">
        <v>296</v>
      </c>
      <c r="N1452" t="s">
        <v>553</v>
      </c>
    </row>
    <row r="1453" spans="1:14" ht="17" x14ac:dyDescent="0.25">
      <c r="A1453" t="s">
        <v>1099</v>
      </c>
      <c r="B1453" t="s">
        <v>32</v>
      </c>
      <c r="C1453" s="10">
        <v>30</v>
      </c>
      <c r="D1453">
        <v>9</v>
      </c>
      <c r="E1453">
        <v>22</v>
      </c>
      <c r="F1453">
        <v>31</v>
      </c>
      <c r="G1453">
        <v>9</v>
      </c>
      <c r="H1453">
        <v>23</v>
      </c>
      <c r="I1453">
        <v>0.16209999999999999</v>
      </c>
      <c r="J1453">
        <f t="shared" si="22"/>
        <v>0.80197409006785936</v>
      </c>
      <c r="K1453">
        <v>1.2999999999999999E-3</v>
      </c>
      <c r="L1453" t="s">
        <v>17</v>
      </c>
      <c r="M1453">
        <v>296</v>
      </c>
      <c r="N1453" t="s">
        <v>553</v>
      </c>
    </row>
    <row r="1454" spans="1:14" ht="17" x14ac:dyDescent="0.25">
      <c r="A1454" t="s">
        <v>1099</v>
      </c>
      <c r="B1454" t="s">
        <v>32</v>
      </c>
      <c r="C1454" s="10">
        <v>31</v>
      </c>
      <c r="D1454">
        <v>2</v>
      </c>
      <c r="E1454">
        <v>29</v>
      </c>
      <c r="F1454">
        <v>32</v>
      </c>
      <c r="G1454">
        <v>2</v>
      </c>
      <c r="H1454">
        <v>30</v>
      </c>
      <c r="I1454">
        <v>0.1714</v>
      </c>
      <c r="J1454">
        <f t="shared" si="22"/>
        <v>0.5250875145857643</v>
      </c>
      <c r="K1454">
        <v>8.9999999999999998E-4</v>
      </c>
      <c r="L1454" t="s">
        <v>17</v>
      </c>
      <c r="M1454">
        <v>296</v>
      </c>
      <c r="N1454" t="s">
        <v>553</v>
      </c>
    </row>
    <row r="1455" spans="1:14" ht="17" x14ac:dyDescent="0.25">
      <c r="A1455" t="s">
        <v>1099</v>
      </c>
      <c r="B1455" t="s">
        <v>32</v>
      </c>
      <c r="C1455" s="10">
        <v>33</v>
      </c>
      <c r="D1455">
        <v>0</v>
      </c>
      <c r="E1455">
        <v>33</v>
      </c>
      <c r="F1455">
        <v>34</v>
      </c>
      <c r="G1455">
        <v>0</v>
      </c>
      <c r="H1455">
        <v>34</v>
      </c>
      <c r="I1455">
        <v>0.17460000000000001</v>
      </c>
      <c r="J1455">
        <f t="shared" si="22"/>
        <v>0.51546391752577314</v>
      </c>
      <c r="K1455">
        <v>8.9999999999999998E-4</v>
      </c>
      <c r="L1455" t="s">
        <v>17</v>
      </c>
      <c r="M1455">
        <v>296</v>
      </c>
      <c r="N1455" t="s">
        <v>553</v>
      </c>
    </row>
    <row r="1456" spans="1:14" ht="17" x14ac:dyDescent="0.25">
      <c r="A1456" t="s">
        <v>1099</v>
      </c>
      <c r="B1456" t="s">
        <v>32</v>
      </c>
      <c r="C1456" s="10">
        <v>29</v>
      </c>
      <c r="D1456">
        <v>1</v>
      </c>
      <c r="E1456">
        <v>28</v>
      </c>
      <c r="F1456">
        <v>30</v>
      </c>
      <c r="G1456">
        <v>1</v>
      </c>
      <c r="H1456">
        <v>29</v>
      </c>
      <c r="I1456">
        <v>0.1502</v>
      </c>
      <c r="J1456">
        <f t="shared" si="22"/>
        <v>0.4660452729693742</v>
      </c>
      <c r="K1456">
        <v>6.9999999999999999E-4</v>
      </c>
      <c r="L1456" t="s">
        <v>17</v>
      </c>
      <c r="M1456">
        <v>296</v>
      </c>
      <c r="N1456" t="s">
        <v>553</v>
      </c>
    </row>
    <row r="1457" spans="1:14" ht="17" x14ac:dyDescent="0.25">
      <c r="A1457" t="s">
        <v>1099</v>
      </c>
      <c r="B1457" t="s">
        <v>32</v>
      </c>
      <c r="C1457" s="10">
        <v>27</v>
      </c>
      <c r="D1457">
        <v>7</v>
      </c>
      <c r="E1457">
        <v>20</v>
      </c>
      <c r="F1457">
        <v>28</v>
      </c>
      <c r="G1457">
        <v>7</v>
      </c>
      <c r="H1457">
        <v>21</v>
      </c>
      <c r="I1457">
        <v>0.16869999999999999</v>
      </c>
      <c r="J1457">
        <f t="shared" si="22"/>
        <v>0.53349140486069946</v>
      </c>
      <c r="K1457">
        <v>8.9999999999999998E-4</v>
      </c>
      <c r="L1457" t="s">
        <v>17</v>
      </c>
      <c r="M1457">
        <v>296</v>
      </c>
      <c r="N1457" t="s">
        <v>553</v>
      </c>
    </row>
    <row r="1458" spans="1:14" ht="17" x14ac:dyDescent="0.25">
      <c r="A1458" t="s">
        <v>1099</v>
      </c>
      <c r="B1458" t="s">
        <v>32</v>
      </c>
      <c r="C1458" s="10">
        <v>28</v>
      </c>
      <c r="D1458">
        <v>3</v>
      </c>
      <c r="E1458">
        <v>26</v>
      </c>
      <c r="F1458">
        <v>29</v>
      </c>
      <c r="G1458">
        <v>3</v>
      </c>
      <c r="H1458">
        <v>27</v>
      </c>
      <c r="I1458">
        <v>0.17080000000000001</v>
      </c>
      <c r="J1458">
        <f t="shared" si="22"/>
        <v>0.46838407494145201</v>
      </c>
      <c r="K1458">
        <v>8.0000000000000004E-4</v>
      </c>
      <c r="L1458" t="s">
        <v>17</v>
      </c>
      <c r="M1458">
        <v>296</v>
      </c>
      <c r="N1458" t="s">
        <v>553</v>
      </c>
    </row>
    <row r="1459" spans="1:14" ht="17" x14ac:dyDescent="0.25">
      <c r="A1459" t="s">
        <v>1099</v>
      </c>
      <c r="B1459" t="s">
        <v>32</v>
      </c>
      <c r="C1459" s="10">
        <v>27</v>
      </c>
      <c r="D1459">
        <v>3</v>
      </c>
      <c r="E1459">
        <v>24</v>
      </c>
      <c r="F1459">
        <v>28</v>
      </c>
      <c r="G1459">
        <v>3</v>
      </c>
      <c r="H1459">
        <v>25</v>
      </c>
      <c r="I1459">
        <v>0.16750000000000001</v>
      </c>
      <c r="J1459">
        <f t="shared" si="22"/>
        <v>0.53731343283582089</v>
      </c>
      <c r="K1459">
        <v>8.9999999999999998E-4</v>
      </c>
      <c r="L1459" t="s">
        <v>17</v>
      </c>
      <c r="M1459">
        <v>296</v>
      </c>
      <c r="N1459" t="s">
        <v>553</v>
      </c>
    </row>
    <row r="1460" spans="1:14" ht="17" x14ac:dyDescent="0.25">
      <c r="A1460" t="s">
        <v>1099</v>
      </c>
      <c r="B1460" t="s">
        <v>32</v>
      </c>
      <c r="C1460" s="10">
        <v>26</v>
      </c>
      <c r="D1460">
        <v>9</v>
      </c>
      <c r="E1460">
        <v>18</v>
      </c>
      <c r="F1460">
        <v>27</v>
      </c>
      <c r="G1460">
        <v>9</v>
      </c>
      <c r="H1460">
        <v>19</v>
      </c>
      <c r="I1460">
        <v>0.17599999999999999</v>
      </c>
      <c r="J1460">
        <f t="shared" si="22"/>
        <v>0.68181818181818177</v>
      </c>
      <c r="K1460">
        <v>1.1999999999999999E-3</v>
      </c>
      <c r="L1460" t="s">
        <v>17</v>
      </c>
      <c r="M1460">
        <v>296</v>
      </c>
      <c r="N1460" t="s">
        <v>553</v>
      </c>
    </row>
    <row r="1461" spans="1:14" ht="17" x14ac:dyDescent="0.25">
      <c r="A1461" t="s">
        <v>1099</v>
      </c>
      <c r="B1461" t="s">
        <v>32</v>
      </c>
      <c r="C1461" s="10">
        <v>28</v>
      </c>
      <c r="D1461">
        <v>2</v>
      </c>
      <c r="E1461">
        <v>27</v>
      </c>
      <c r="F1461">
        <v>29</v>
      </c>
      <c r="G1461">
        <v>2</v>
      </c>
      <c r="H1461">
        <v>28</v>
      </c>
      <c r="I1461">
        <v>0.1706</v>
      </c>
      <c r="J1461">
        <f t="shared" si="22"/>
        <v>0.52754982415005858</v>
      </c>
      <c r="K1461">
        <v>8.9999999999999998E-4</v>
      </c>
      <c r="L1461" t="s">
        <v>17</v>
      </c>
      <c r="M1461">
        <v>296</v>
      </c>
      <c r="N1461" t="s">
        <v>553</v>
      </c>
    </row>
    <row r="1462" spans="1:14" ht="17" x14ac:dyDescent="0.25">
      <c r="A1462" t="s">
        <v>1099</v>
      </c>
      <c r="B1462" t="s">
        <v>32</v>
      </c>
      <c r="C1462" s="10">
        <v>25</v>
      </c>
      <c r="D1462">
        <v>10</v>
      </c>
      <c r="E1462">
        <v>15</v>
      </c>
      <c r="F1462">
        <v>26</v>
      </c>
      <c r="G1462">
        <v>10</v>
      </c>
      <c r="H1462">
        <v>16</v>
      </c>
      <c r="I1462">
        <v>0.1807</v>
      </c>
      <c r="J1462">
        <f t="shared" si="22"/>
        <v>1.1068068622025458</v>
      </c>
      <c r="K1462">
        <v>2E-3</v>
      </c>
      <c r="L1462" t="s">
        <v>17</v>
      </c>
      <c r="M1462">
        <v>296</v>
      </c>
      <c r="N1462" t="s">
        <v>553</v>
      </c>
    </row>
    <row r="1463" spans="1:14" ht="17" x14ac:dyDescent="0.25">
      <c r="A1463" t="s">
        <v>1099</v>
      </c>
      <c r="B1463" t="s">
        <v>32</v>
      </c>
      <c r="C1463" s="10">
        <v>26</v>
      </c>
      <c r="D1463">
        <v>5</v>
      </c>
      <c r="E1463">
        <v>22</v>
      </c>
      <c r="F1463">
        <v>27</v>
      </c>
      <c r="G1463">
        <v>5</v>
      </c>
      <c r="H1463">
        <v>23</v>
      </c>
      <c r="I1463">
        <v>0.1676</v>
      </c>
      <c r="J1463">
        <f t="shared" si="22"/>
        <v>0.53699284009546533</v>
      </c>
      <c r="K1463">
        <v>8.9999999999999998E-4</v>
      </c>
      <c r="L1463" t="s">
        <v>17</v>
      </c>
      <c r="M1463">
        <v>296</v>
      </c>
      <c r="N1463" t="s">
        <v>553</v>
      </c>
    </row>
    <row r="1464" spans="1:14" ht="17" x14ac:dyDescent="0.25">
      <c r="A1464" t="s">
        <v>1099</v>
      </c>
      <c r="B1464" t="s">
        <v>32</v>
      </c>
      <c r="C1464" s="10">
        <v>25</v>
      </c>
      <c r="D1464">
        <v>5</v>
      </c>
      <c r="E1464">
        <v>20</v>
      </c>
      <c r="F1464">
        <v>26</v>
      </c>
      <c r="G1464">
        <v>5</v>
      </c>
      <c r="H1464">
        <v>21</v>
      </c>
      <c r="I1464">
        <v>0.18079999999999999</v>
      </c>
      <c r="J1464">
        <f t="shared" si="22"/>
        <v>0.60840707964601781</v>
      </c>
      <c r="K1464">
        <v>1.1000000000000001E-3</v>
      </c>
      <c r="L1464" t="s">
        <v>17</v>
      </c>
      <c r="M1464">
        <v>296</v>
      </c>
      <c r="N1464" t="s">
        <v>553</v>
      </c>
    </row>
    <row r="1465" spans="1:14" ht="17" x14ac:dyDescent="0.25">
      <c r="A1465" t="s">
        <v>1099</v>
      </c>
      <c r="B1465" t="s">
        <v>32</v>
      </c>
      <c r="C1465" s="10">
        <v>25</v>
      </c>
      <c r="D1465">
        <v>2</v>
      </c>
      <c r="E1465">
        <v>23</v>
      </c>
      <c r="F1465">
        <v>26</v>
      </c>
      <c r="G1465">
        <v>2</v>
      </c>
      <c r="H1465">
        <v>24</v>
      </c>
      <c r="I1465">
        <v>0.16900000000000001</v>
      </c>
      <c r="J1465">
        <f t="shared" si="22"/>
        <v>0.76923076923076916</v>
      </c>
      <c r="K1465">
        <v>1.2999999999999999E-3</v>
      </c>
      <c r="L1465" t="s">
        <v>17</v>
      </c>
      <c r="M1465">
        <v>296</v>
      </c>
      <c r="N1465" t="s">
        <v>553</v>
      </c>
    </row>
    <row r="1466" spans="1:14" ht="17" x14ac:dyDescent="0.25">
      <c r="A1466" t="s">
        <v>1099</v>
      </c>
      <c r="B1466" t="s">
        <v>32</v>
      </c>
      <c r="C1466" s="10">
        <v>27</v>
      </c>
      <c r="D1466">
        <v>0</v>
      </c>
      <c r="E1466">
        <v>27</v>
      </c>
      <c r="F1466">
        <v>28</v>
      </c>
      <c r="G1466">
        <v>0</v>
      </c>
      <c r="H1466">
        <v>28</v>
      </c>
      <c r="I1466">
        <v>0.15340000000000001</v>
      </c>
      <c r="J1466">
        <f t="shared" si="22"/>
        <v>0.39113428943937412</v>
      </c>
      <c r="K1466">
        <v>5.9999999999999995E-4</v>
      </c>
      <c r="L1466" t="s">
        <v>17</v>
      </c>
      <c r="M1466">
        <v>296</v>
      </c>
      <c r="N1466" t="s">
        <v>553</v>
      </c>
    </row>
    <row r="1467" spans="1:14" ht="17" x14ac:dyDescent="0.25">
      <c r="A1467" t="s">
        <v>1099</v>
      </c>
      <c r="B1467" t="s">
        <v>32</v>
      </c>
      <c r="C1467" s="10">
        <v>26</v>
      </c>
      <c r="D1467">
        <v>2</v>
      </c>
      <c r="E1467">
        <v>25</v>
      </c>
      <c r="F1467">
        <v>27</v>
      </c>
      <c r="G1467">
        <v>2</v>
      </c>
      <c r="H1467">
        <v>26</v>
      </c>
      <c r="I1467">
        <v>0.159</v>
      </c>
      <c r="J1467">
        <f t="shared" si="22"/>
        <v>0.56603773584905659</v>
      </c>
      <c r="K1467">
        <v>8.9999999999999998E-4</v>
      </c>
      <c r="L1467" t="s">
        <v>17</v>
      </c>
      <c r="M1467">
        <v>296</v>
      </c>
      <c r="N1467" t="s">
        <v>553</v>
      </c>
    </row>
    <row r="1468" spans="1:14" ht="17" x14ac:dyDescent="0.25">
      <c r="A1468" t="s">
        <v>1099</v>
      </c>
      <c r="B1468" t="s">
        <v>32</v>
      </c>
      <c r="C1468" s="10">
        <v>24</v>
      </c>
      <c r="D1468">
        <v>7</v>
      </c>
      <c r="E1468">
        <v>18</v>
      </c>
      <c r="F1468">
        <v>25</v>
      </c>
      <c r="G1468">
        <v>7</v>
      </c>
      <c r="H1468">
        <v>19</v>
      </c>
      <c r="I1468">
        <v>0.16389999999999999</v>
      </c>
      <c r="J1468">
        <f t="shared" si="22"/>
        <v>0.79316656497864546</v>
      </c>
      <c r="K1468">
        <v>1.2999999999999999E-3</v>
      </c>
      <c r="L1468" t="s">
        <v>17</v>
      </c>
      <c r="M1468">
        <v>296</v>
      </c>
      <c r="N1468" t="s">
        <v>553</v>
      </c>
    </row>
    <row r="1469" spans="1:14" ht="17" x14ac:dyDescent="0.25">
      <c r="A1469" t="s">
        <v>1099</v>
      </c>
      <c r="B1469" t="s">
        <v>32</v>
      </c>
      <c r="C1469" s="10">
        <v>25</v>
      </c>
      <c r="D1469">
        <v>1</v>
      </c>
      <c r="E1469">
        <v>24</v>
      </c>
      <c r="F1469">
        <v>26</v>
      </c>
      <c r="G1469">
        <v>1</v>
      </c>
      <c r="H1469">
        <v>25</v>
      </c>
      <c r="I1469">
        <v>0.16109999999999999</v>
      </c>
      <c r="J1469">
        <f t="shared" si="22"/>
        <v>0.68280571073867169</v>
      </c>
      <c r="K1469">
        <v>1.1000000000000001E-3</v>
      </c>
      <c r="L1469" t="s">
        <v>17</v>
      </c>
      <c r="M1469">
        <v>296</v>
      </c>
      <c r="N1469" t="s">
        <v>553</v>
      </c>
    </row>
    <row r="1470" spans="1:14" ht="17" x14ac:dyDescent="0.25">
      <c r="A1470" t="s">
        <v>1099</v>
      </c>
      <c r="B1470" t="s">
        <v>32</v>
      </c>
      <c r="C1470" s="10">
        <v>26</v>
      </c>
      <c r="D1470">
        <v>1</v>
      </c>
      <c r="E1470">
        <v>26</v>
      </c>
      <c r="F1470">
        <v>27</v>
      </c>
      <c r="G1470">
        <v>1</v>
      </c>
      <c r="H1470">
        <v>27</v>
      </c>
      <c r="I1470">
        <v>0.15570000000000001</v>
      </c>
      <c r="J1470">
        <f t="shared" si="22"/>
        <v>0.64226075786769421</v>
      </c>
      <c r="K1470">
        <v>1E-3</v>
      </c>
      <c r="L1470" t="s">
        <v>17</v>
      </c>
      <c r="M1470">
        <v>296</v>
      </c>
      <c r="N1470" t="s">
        <v>553</v>
      </c>
    </row>
    <row r="1471" spans="1:14" ht="17" x14ac:dyDescent="0.25">
      <c r="A1471" t="s">
        <v>1099</v>
      </c>
      <c r="B1471" t="s">
        <v>32</v>
      </c>
      <c r="C1471" s="10">
        <v>24</v>
      </c>
      <c r="D1471">
        <v>3</v>
      </c>
      <c r="E1471">
        <v>22</v>
      </c>
      <c r="F1471">
        <v>25</v>
      </c>
      <c r="G1471">
        <v>3</v>
      </c>
      <c r="H1471">
        <v>23</v>
      </c>
      <c r="I1471">
        <v>0.17080000000000001</v>
      </c>
      <c r="J1471">
        <f t="shared" si="22"/>
        <v>0.87822014051522246</v>
      </c>
      <c r="K1471">
        <v>1.5E-3</v>
      </c>
      <c r="L1471" t="s">
        <v>17</v>
      </c>
      <c r="M1471">
        <v>296</v>
      </c>
      <c r="N1471" t="s">
        <v>553</v>
      </c>
    </row>
    <row r="1472" spans="1:14" ht="17" x14ac:dyDescent="0.25">
      <c r="A1472" t="s">
        <v>1099</v>
      </c>
      <c r="B1472" t="s">
        <v>32</v>
      </c>
      <c r="C1472" s="10">
        <v>22</v>
      </c>
      <c r="D1472">
        <v>9</v>
      </c>
      <c r="E1472">
        <v>14</v>
      </c>
      <c r="F1472">
        <v>23</v>
      </c>
      <c r="G1472">
        <v>9</v>
      </c>
      <c r="H1472">
        <v>15</v>
      </c>
      <c r="I1472">
        <v>0.1401</v>
      </c>
      <c r="J1472">
        <f t="shared" ref="J1472:J1535" si="23">K1472/I1472*100</f>
        <v>0.85653104925053525</v>
      </c>
      <c r="K1472">
        <v>1.1999999999999999E-3</v>
      </c>
      <c r="L1472" t="s">
        <v>17</v>
      </c>
      <c r="M1472">
        <v>296</v>
      </c>
      <c r="N1472" t="s">
        <v>553</v>
      </c>
    </row>
    <row r="1473" spans="1:14" ht="17" x14ac:dyDescent="0.25">
      <c r="A1473" t="s">
        <v>1099</v>
      </c>
      <c r="B1473" t="s">
        <v>32</v>
      </c>
      <c r="C1473" s="10">
        <v>22</v>
      </c>
      <c r="D1473">
        <v>7</v>
      </c>
      <c r="E1473">
        <v>16</v>
      </c>
      <c r="F1473">
        <v>23</v>
      </c>
      <c r="G1473">
        <v>7</v>
      </c>
      <c r="H1473">
        <v>17</v>
      </c>
      <c r="I1473">
        <v>0.16789999999999999</v>
      </c>
      <c r="J1473">
        <f t="shared" si="23"/>
        <v>0.59559261465157831</v>
      </c>
      <c r="K1473">
        <v>1E-3</v>
      </c>
      <c r="L1473" t="s">
        <v>17</v>
      </c>
      <c r="M1473">
        <v>296</v>
      </c>
      <c r="N1473" t="s">
        <v>553</v>
      </c>
    </row>
    <row r="1474" spans="1:14" ht="17" x14ac:dyDescent="0.25">
      <c r="A1474" t="s">
        <v>1099</v>
      </c>
      <c r="B1474" t="s">
        <v>32</v>
      </c>
      <c r="C1474" s="10">
        <v>23</v>
      </c>
      <c r="D1474">
        <v>1</v>
      </c>
      <c r="E1474">
        <v>22</v>
      </c>
      <c r="F1474">
        <v>24</v>
      </c>
      <c r="G1474">
        <v>1</v>
      </c>
      <c r="H1474">
        <v>23</v>
      </c>
      <c r="I1474">
        <v>0.15690000000000001</v>
      </c>
      <c r="J1474">
        <f t="shared" si="23"/>
        <v>0.63734862970044615</v>
      </c>
      <c r="K1474">
        <v>1E-3</v>
      </c>
      <c r="L1474" t="s">
        <v>17</v>
      </c>
      <c r="M1474">
        <v>296</v>
      </c>
      <c r="N1474" t="s">
        <v>553</v>
      </c>
    </row>
    <row r="1475" spans="1:14" ht="17" x14ac:dyDescent="0.25">
      <c r="A1475" t="s">
        <v>1099</v>
      </c>
      <c r="B1475" t="s">
        <v>32</v>
      </c>
      <c r="C1475" s="10">
        <v>22</v>
      </c>
      <c r="D1475">
        <v>5</v>
      </c>
      <c r="E1475">
        <v>18</v>
      </c>
      <c r="F1475">
        <v>23</v>
      </c>
      <c r="G1475">
        <v>5</v>
      </c>
      <c r="H1475">
        <v>19</v>
      </c>
      <c r="I1475">
        <v>0.1847</v>
      </c>
      <c r="J1475">
        <f t="shared" si="23"/>
        <v>0.70384407146724415</v>
      </c>
      <c r="K1475">
        <v>1.2999999999999999E-3</v>
      </c>
      <c r="L1475" t="s">
        <v>17</v>
      </c>
      <c r="M1475">
        <v>296</v>
      </c>
      <c r="N1475" t="s">
        <v>553</v>
      </c>
    </row>
    <row r="1476" spans="1:14" ht="17" x14ac:dyDescent="0.25">
      <c r="A1476" t="s">
        <v>1099</v>
      </c>
      <c r="B1476" t="s">
        <v>32</v>
      </c>
      <c r="C1476" s="10">
        <v>24</v>
      </c>
      <c r="D1476">
        <v>1</v>
      </c>
      <c r="E1476">
        <v>24</v>
      </c>
      <c r="F1476">
        <v>25</v>
      </c>
      <c r="G1476">
        <v>1</v>
      </c>
      <c r="H1476">
        <v>25</v>
      </c>
      <c r="I1476">
        <v>0.1479</v>
      </c>
      <c r="J1476">
        <f t="shared" si="23"/>
        <v>0.40567951318458417</v>
      </c>
      <c r="K1476">
        <v>5.9999999999999995E-4</v>
      </c>
      <c r="L1476" t="s">
        <v>17</v>
      </c>
      <c r="M1476">
        <v>296</v>
      </c>
      <c r="N1476" t="s">
        <v>553</v>
      </c>
    </row>
    <row r="1477" spans="1:14" ht="17" x14ac:dyDescent="0.25">
      <c r="A1477" t="s">
        <v>1099</v>
      </c>
      <c r="B1477" t="s">
        <v>32</v>
      </c>
      <c r="C1477" s="10">
        <v>22</v>
      </c>
      <c r="D1477">
        <v>4</v>
      </c>
      <c r="E1477">
        <v>19</v>
      </c>
      <c r="F1477">
        <v>23</v>
      </c>
      <c r="G1477">
        <v>4</v>
      </c>
      <c r="H1477">
        <v>20</v>
      </c>
      <c r="I1477">
        <v>0.16700000000000001</v>
      </c>
      <c r="J1477">
        <f t="shared" si="23"/>
        <v>0.53892215568862267</v>
      </c>
      <c r="K1477">
        <v>8.9999999999999998E-4</v>
      </c>
      <c r="L1477" t="s">
        <v>17</v>
      </c>
      <c r="M1477">
        <v>296</v>
      </c>
      <c r="N1477" t="s">
        <v>553</v>
      </c>
    </row>
    <row r="1478" spans="1:14" ht="17" x14ac:dyDescent="0.25">
      <c r="A1478" t="s">
        <v>1099</v>
      </c>
      <c r="B1478" t="s">
        <v>32</v>
      </c>
      <c r="C1478" s="10">
        <v>20</v>
      </c>
      <c r="D1478">
        <v>9</v>
      </c>
      <c r="E1478">
        <v>12</v>
      </c>
      <c r="F1478">
        <v>21</v>
      </c>
      <c r="G1478">
        <v>9</v>
      </c>
      <c r="H1478">
        <v>13</v>
      </c>
      <c r="I1478">
        <v>0.1719</v>
      </c>
      <c r="J1478">
        <f t="shared" si="23"/>
        <v>0.58173356602675974</v>
      </c>
      <c r="K1478">
        <v>1E-3</v>
      </c>
      <c r="L1478" t="s">
        <v>17</v>
      </c>
      <c r="M1478">
        <v>296</v>
      </c>
      <c r="N1478" t="s">
        <v>553</v>
      </c>
    </row>
    <row r="1479" spans="1:14" ht="17" x14ac:dyDescent="0.25">
      <c r="A1479" t="s">
        <v>1099</v>
      </c>
      <c r="B1479" t="s">
        <v>32</v>
      </c>
      <c r="C1479" s="10">
        <v>21</v>
      </c>
      <c r="D1479">
        <v>6</v>
      </c>
      <c r="E1479">
        <v>15</v>
      </c>
      <c r="F1479">
        <v>22</v>
      </c>
      <c r="G1479">
        <v>6</v>
      </c>
      <c r="H1479">
        <v>16</v>
      </c>
      <c r="I1479">
        <v>0.1653</v>
      </c>
      <c r="J1479">
        <f t="shared" si="23"/>
        <v>0.42347247428917123</v>
      </c>
      <c r="K1479">
        <v>6.9999999999999999E-4</v>
      </c>
      <c r="L1479" t="s">
        <v>17</v>
      </c>
      <c r="M1479">
        <v>296</v>
      </c>
      <c r="N1479" t="s">
        <v>553</v>
      </c>
    </row>
    <row r="1480" spans="1:14" ht="17" x14ac:dyDescent="0.25">
      <c r="A1480" t="s">
        <v>1099</v>
      </c>
      <c r="B1480" t="s">
        <v>32</v>
      </c>
      <c r="C1480" s="10">
        <v>19</v>
      </c>
      <c r="D1480">
        <v>11</v>
      </c>
      <c r="E1480">
        <v>8</v>
      </c>
      <c r="F1480">
        <v>20</v>
      </c>
      <c r="G1480">
        <v>11</v>
      </c>
      <c r="H1480">
        <v>9</v>
      </c>
      <c r="I1480">
        <v>0.17810000000000001</v>
      </c>
      <c r="J1480">
        <f t="shared" si="23"/>
        <v>0.89837170129140942</v>
      </c>
      <c r="K1480">
        <v>1.6000000000000001E-3</v>
      </c>
      <c r="L1480" t="s">
        <v>17</v>
      </c>
      <c r="M1480">
        <v>296</v>
      </c>
      <c r="N1480" t="s">
        <v>553</v>
      </c>
    </row>
    <row r="1481" spans="1:14" ht="17" x14ac:dyDescent="0.25">
      <c r="A1481" t="s">
        <v>1099</v>
      </c>
      <c r="B1481" t="s">
        <v>32</v>
      </c>
      <c r="C1481" s="10">
        <v>20</v>
      </c>
      <c r="D1481">
        <v>7</v>
      </c>
      <c r="E1481">
        <v>14</v>
      </c>
      <c r="F1481">
        <v>21</v>
      </c>
      <c r="G1481">
        <v>7</v>
      </c>
      <c r="H1481">
        <v>15</v>
      </c>
      <c r="I1481">
        <v>0.16639999999999999</v>
      </c>
      <c r="J1481">
        <f t="shared" si="23"/>
        <v>0.48076923076923078</v>
      </c>
      <c r="K1481">
        <v>8.0000000000000004E-4</v>
      </c>
      <c r="L1481" t="s">
        <v>17</v>
      </c>
      <c r="M1481">
        <v>296</v>
      </c>
      <c r="N1481" t="s">
        <v>553</v>
      </c>
    </row>
    <row r="1482" spans="1:14" ht="17" x14ac:dyDescent="0.25">
      <c r="A1482" t="s">
        <v>1099</v>
      </c>
      <c r="B1482" t="s">
        <v>32</v>
      </c>
      <c r="C1482" s="10">
        <v>21</v>
      </c>
      <c r="D1482">
        <v>1</v>
      </c>
      <c r="E1482">
        <v>20</v>
      </c>
      <c r="F1482">
        <v>22</v>
      </c>
      <c r="G1482">
        <v>1</v>
      </c>
      <c r="H1482">
        <v>21</v>
      </c>
      <c r="I1482">
        <v>0.18210000000000001</v>
      </c>
      <c r="J1482">
        <f t="shared" si="23"/>
        <v>0.38440417353102685</v>
      </c>
      <c r="K1482">
        <v>6.9999999999999999E-4</v>
      </c>
      <c r="L1482" t="s">
        <v>17</v>
      </c>
      <c r="M1482">
        <v>296</v>
      </c>
      <c r="N1482" t="s">
        <v>553</v>
      </c>
    </row>
    <row r="1483" spans="1:14" ht="17" x14ac:dyDescent="0.25">
      <c r="A1483" t="s">
        <v>1099</v>
      </c>
      <c r="B1483" t="s">
        <v>32</v>
      </c>
      <c r="C1483" s="10">
        <v>22</v>
      </c>
      <c r="D1483">
        <v>1</v>
      </c>
      <c r="E1483">
        <v>22</v>
      </c>
      <c r="F1483">
        <v>23</v>
      </c>
      <c r="G1483">
        <v>1</v>
      </c>
      <c r="H1483">
        <v>23</v>
      </c>
      <c r="I1483">
        <v>0.14899999999999999</v>
      </c>
      <c r="J1483">
        <f t="shared" si="23"/>
        <v>0.33557046979865773</v>
      </c>
      <c r="K1483">
        <v>5.0000000000000001E-4</v>
      </c>
      <c r="L1483" t="s">
        <v>17</v>
      </c>
      <c r="M1483">
        <v>296</v>
      </c>
      <c r="N1483" t="s">
        <v>553</v>
      </c>
    </row>
    <row r="1484" spans="1:14" ht="17" x14ac:dyDescent="0.25">
      <c r="A1484" t="s">
        <v>1099</v>
      </c>
      <c r="B1484" t="s">
        <v>32</v>
      </c>
      <c r="C1484" s="10">
        <v>20</v>
      </c>
      <c r="D1484">
        <v>5</v>
      </c>
      <c r="E1484">
        <v>16</v>
      </c>
      <c r="F1484">
        <v>21</v>
      </c>
      <c r="G1484">
        <v>5</v>
      </c>
      <c r="H1484">
        <v>17</v>
      </c>
      <c r="I1484">
        <v>0.17499999999999999</v>
      </c>
      <c r="J1484">
        <f t="shared" si="23"/>
        <v>0.68571428571428572</v>
      </c>
      <c r="K1484">
        <v>1.1999999999999999E-3</v>
      </c>
      <c r="L1484" t="s">
        <v>17</v>
      </c>
      <c r="M1484">
        <v>296</v>
      </c>
      <c r="N1484" t="s">
        <v>553</v>
      </c>
    </row>
    <row r="1485" spans="1:14" ht="17" x14ac:dyDescent="0.25">
      <c r="A1485" t="s">
        <v>1099</v>
      </c>
      <c r="B1485" t="s">
        <v>32</v>
      </c>
      <c r="C1485" s="10">
        <v>19</v>
      </c>
      <c r="D1485">
        <v>8</v>
      </c>
      <c r="E1485">
        <v>11</v>
      </c>
      <c r="F1485">
        <v>20</v>
      </c>
      <c r="G1485">
        <v>8</v>
      </c>
      <c r="H1485">
        <v>12</v>
      </c>
      <c r="I1485">
        <v>0.15989999999999999</v>
      </c>
      <c r="J1485">
        <f t="shared" si="23"/>
        <v>0.56285178236397748</v>
      </c>
      <c r="K1485">
        <v>8.9999999999999998E-4</v>
      </c>
      <c r="L1485" t="s">
        <v>17</v>
      </c>
      <c r="M1485">
        <v>296</v>
      </c>
      <c r="N1485" t="s">
        <v>553</v>
      </c>
    </row>
    <row r="1486" spans="1:14" ht="17" x14ac:dyDescent="0.25">
      <c r="A1486" t="s">
        <v>1099</v>
      </c>
      <c r="B1486" t="s">
        <v>32</v>
      </c>
      <c r="C1486" s="10">
        <v>20</v>
      </c>
      <c r="D1486">
        <v>2</v>
      </c>
      <c r="E1486">
        <v>19</v>
      </c>
      <c r="F1486">
        <v>21</v>
      </c>
      <c r="G1486">
        <v>2</v>
      </c>
      <c r="H1486">
        <v>20</v>
      </c>
      <c r="I1486">
        <v>0.15529999999999999</v>
      </c>
      <c r="J1486">
        <f t="shared" si="23"/>
        <v>0.38634900193174498</v>
      </c>
      <c r="K1486">
        <v>5.9999999999999995E-4</v>
      </c>
      <c r="L1486" t="s">
        <v>17</v>
      </c>
      <c r="M1486">
        <v>296</v>
      </c>
      <c r="N1486" t="s">
        <v>553</v>
      </c>
    </row>
    <row r="1487" spans="1:14" ht="17" x14ac:dyDescent="0.25">
      <c r="A1487" t="s">
        <v>1099</v>
      </c>
      <c r="B1487" t="s">
        <v>32</v>
      </c>
      <c r="C1487" s="10">
        <v>19</v>
      </c>
      <c r="D1487">
        <v>2</v>
      </c>
      <c r="E1487">
        <v>17</v>
      </c>
      <c r="F1487">
        <v>20</v>
      </c>
      <c r="G1487">
        <v>2</v>
      </c>
      <c r="H1487">
        <v>18</v>
      </c>
      <c r="I1487">
        <v>0.18440000000000001</v>
      </c>
      <c r="J1487">
        <f t="shared" si="23"/>
        <v>0.37960954446854661</v>
      </c>
      <c r="K1487">
        <v>6.9999999999999999E-4</v>
      </c>
      <c r="L1487" t="s">
        <v>17</v>
      </c>
      <c r="M1487">
        <v>296</v>
      </c>
      <c r="N1487" t="s">
        <v>553</v>
      </c>
    </row>
    <row r="1488" spans="1:14" ht="17" x14ac:dyDescent="0.25">
      <c r="A1488" t="s">
        <v>1099</v>
      </c>
      <c r="B1488" t="s">
        <v>32</v>
      </c>
      <c r="C1488" s="10">
        <v>19</v>
      </c>
      <c r="D1488">
        <v>3</v>
      </c>
      <c r="E1488">
        <v>16</v>
      </c>
      <c r="F1488">
        <v>20</v>
      </c>
      <c r="G1488">
        <v>3</v>
      </c>
      <c r="H1488">
        <v>17</v>
      </c>
      <c r="I1488">
        <v>0.1789</v>
      </c>
      <c r="J1488">
        <f t="shared" si="23"/>
        <v>0.39128004471771938</v>
      </c>
      <c r="K1488">
        <v>6.9999999999999999E-4</v>
      </c>
      <c r="L1488" t="s">
        <v>17</v>
      </c>
      <c r="M1488">
        <v>296</v>
      </c>
      <c r="N1488" t="s">
        <v>553</v>
      </c>
    </row>
    <row r="1489" spans="1:14" ht="17" x14ac:dyDescent="0.25">
      <c r="A1489" t="s">
        <v>1099</v>
      </c>
      <c r="B1489" t="s">
        <v>32</v>
      </c>
      <c r="C1489" s="10">
        <v>18</v>
      </c>
      <c r="D1489">
        <v>7</v>
      </c>
      <c r="E1489">
        <v>12</v>
      </c>
      <c r="F1489">
        <v>19</v>
      </c>
      <c r="G1489">
        <v>7</v>
      </c>
      <c r="H1489">
        <v>13</v>
      </c>
      <c r="I1489">
        <v>0.1729</v>
      </c>
      <c r="J1489">
        <f t="shared" si="23"/>
        <v>0.63620589936379413</v>
      </c>
      <c r="K1489">
        <v>1.1000000000000001E-3</v>
      </c>
      <c r="L1489" t="s">
        <v>17</v>
      </c>
      <c r="M1489">
        <v>296</v>
      </c>
      <c r="N1489" t="s">
        <v>553</v>
      </c>
    </row>
    <row r="1490" spans="1:14" ht="17" x14ac:dyDescent="0.25">
      <c r="A1490" t="s">
        <v>1099</v>
      </c>
      <c r="B1490" t="s">
        <v>32</v>
      </c>
      <c r="C1490" s="10">
        <v>19</v>
      </c>
      <c r="D1490">
        <v>1</v>
      </c>
      <c r="E1490">
        <v>18</v>
      </c>
      <c r="F1490">
        <v>20</v>
      </c>
      <c r="G1490">
        <v>1</v>
      </c>
      <c r="H1490">
        <v>19</v>
      </c>
      <c r="I1490">
        <v>0.17710000000000001</v>
      </c>
      <c r="J1490">
        <f t="shared" si="23"/>
        <v>0.39525691699604742</v>
      </c>
      <c r="K1490">
        <v>6.9999999999999999E-4</v>
      </c>
      <c r="L1490" t="s">
        <v>17</v>
      </c>
      <c r="M1490">
        <v>296</v>
      </c>
      <c r="N1490" t="s">
        <v>553</v>
      </c>
    </row>
    <row r="1491" spans="1:14" ht="17" x14ac:dyDescent="0.25">
      <c r="A1491" t="s">
        <v>1099</v>
      </c>
      <c r="B1491" t="s">
        <v>32</v>
      </c>
      <c r="C1491" s="10">
        <v>20</v>
      </c>
      <c r="D1491">
        <v>1</v>
      </c>
      <c r="E1491">
        <v>20</v>
      </c>
      <c r="F1491">
        <v>21</v>
      </c>
      <c r="G1491">
        <v>1</v>
      </c>
      <c r="H1491">
        <v>21</v>
      </c>
      <c r="I1491">
        <v>0.15970000000000001</v>
      </c>
      <c r="J1491">
        <f t="shared" si="23"/>
        <v>0.56355666875391353</v>
      </c>
      <c r="K1491">
        <v>8.9999999999999998E-4</v>
      </c>
      <c r="L1491" t="s">
        <v>17</v>
      </c>
      <c r="M1491">
        <v>296</v>
      </c>
      <c r="N1491" t="s">
        <v>553</v>
      </c>
    </row>
    <row r="1492" spans="1:14" ht="17" x14ac:dyDescent="0.25">
      <c r="A1492" t="s">
        <v>1099</v>
      </c>
      <c r="B1492" t="s">
        <v>32</v>
      </c>
      <c r="C1492" s="10">
        <v>18</v>
      </c>
      <c r="D1492">
        <v>6</v>
      </c>
      <c r="E1492">
        <v>13</v>
      </c>
      <c r="F1492">
        <v>19</v>
      </c>
      <c r="G1492">
        <v>6</v>
      </c>
      <c r="H1492">
        <v>14</v>
      </c>
      <c r="I1492">
        <v>0.154</v>
      </c>
      <c r="J1492">
        <f t="shared" si="23"/>
        <v>0.8441558441558441</v>
      </c>
      <c r="K1492">
        <v>1.2999999999999999E-3</v>
      </c>
      <c r="L1492" t="s">
        <v>17</v>
      </c>
      <c r="M1492">
        <v>296</v>
      </c>
      <c r="N1492" t="s">
        <v>553</v>
      </c>
    </row>
    <row r="1493" spans="1:14" ht="17" x14ac:dyDescent="0.25">
      <c r="A1493" t="s">
        <v>1099</v>
      </c>
      <c r="B1493" t="s">
        <v>32</v>
      </c>
      <c r="C1493" s="10">
        <v>18</v>
      </c>
      <c r="D1493">
        <v>3</v>
      </c>
      <c r="E1493">
        <v>16</v>
      </c>
      <c r="F1493">
        <v>19</v>
      </c>
      <c r="G1493">
        <v>3</v>
      </c>
      <c r="H1493">
        <v>17</v>
      </c>
      <c r="I1493">
        <v>0.17449999999999999</v>
      </c>
      <c r="J1493">
        <f t="shared" si="23"/>
        <v>0.45845272206303733</v>
      </c>
      <c r="K1493">
        <v>8.0000000000000004E-4</v>
      </c>
      <c r="L1493" t="s">
        <v>17</v>
      </c>
      <c r="M1493">
        <v>296</v>
      </c>
      <c r="N1493" t="s">
        <v>553</v>
      </c>
    </row>
    <row r="1494" spans="1:14" ht="17" x14ac:dyDescent="0.25">
      <c r="A1494" t="s">
        <v>1099</v>
      </c>
      <c r="B1494" t="s">
        <v>32</v>
      </c>
      <c r="C1494" s="10">
        <v>17</v>
      </c>
      <c r="D1494">
        <v>6</v>
      </c>
      <c r="E1494">
        <v>11</v>
      </c>
      <c r="F1494">
        <v>18</v>
      </c>
      <c r="G1494">
        <v>6</v>
      </c>
      <c r="H1494">
        <v>12</v>
      </c>
      <c r="I1494">
        <v>0.16309999999999999</v>
      </c>
      <c r="J1494">
        <f t="shared" si="23"/>
        <v>0.55180870631514412</v>
      </c>
      <c r="K1494">
        <v>8.9999999999999998E-4</v>
      </c>
      <c r="L1494" t="s">
        <v>17</v>
      </c>
      <c r="M1494">
        <v>296</v>
      </c>
      <c r="N1494" t="s">
        <v>553</v>
      </c>
    </row>
    <row r="1495" spans="1:14" ht="17" x14ac:dyDescent="0.25">
      <c r="A1495" t="s">
        <v>1099</v>
      </c>
      <c r="B1495" t="s">
        <v>32</v>
      </c>
      <c r="C1495" s="10">
        <v>18</v>
      </c>
      <c r="D1495">
        <v>2</v>
      </c>
      <c r="E1495">
        <v>17</v>
      </c>
      <c r="F1495">
        <v>19</v>
      </c>
      <c r="G1495">
        <v>2</v>
      </c>
      <c r="H1495">
        <v>18</v>
      </c>
      <c r="I1495">
        <v>0.17929999999999999</v>
      </c>
      <c r="J1495">
        <f t="shared" si="23"/>
        <v>0.33463469046291128</v>
      </c>
      <c r="K1495">
        <v>5.9999999999999995E-4</v>
      </c>
      <c r="L1495" t="s">
        <v>17</v>
      </c>
      <c r="M1495">
        <v>296</v>
      </c>
      <c r="N1495" t="s">
        <v>553</v>
      </c>
    </row>
    <row r="1496" spans="1:14" ht="17" x14ac:dyDescent="0.25">
      <c r="A1496" t="s">
        <v>1099</v>
      </c>
      <c r="B1496" t="s">
        <v>32</v>
      </c>
      <c r="C1496" s="10">
        <v>17</v>
      </c>
      <c r="D1496">
        <v>3</v>
      </c>
      <c r="E1496">
        <v>14</v>
      </c>
      <c r="F1496">
        <v>18</v>
      </c>
      <c r="G1496">
        <v>3</v>
      </c>
      <c r="H1496">
        <v>15</v>
      </c>
      <c r="I1496">
        <v>0.17549999999999999</v>
      </c>
      <c r="J1496">
        <f t="shared" si="23"/>
        <v>0.4558404558404559</v>
      </c>
      <c r="K1496">
        <v>8.0000000000000004E-4</v>
      </c>
      <c r="L1496" t="s">
        <v>17</v>
      </c>
      <c r="M1496">
        <v>296</v>
      </c>
      <c r="N1496" t="s">
        <v>553</v>
      </c>
    </row>
    <row r="1497" spans="1:14" ht="17" x14ac:dyDescent="0.25">
      <c r="A1497" t="s">
        <v>1099</v>
      </c>
      <c r="B1497" t="s">
        <v>32</v>
      </c>
      <c r="C1497" s="10">
        <v>17</v>
      </c>
      <c r="D1497">
        <v>1</v>
      </c>
      <c r="E1497">
        <v>16</v>
      </c>
      <c r="F1497">
        <v>18</v>
      </c>
      <c r="G1497">
        <v>1</v>
      </c>
      <c r="H1497">
        <v>17</v>
      </c>
      <c r="I1497">
        <v>0.1789</v>
      </c>
      <c r="J1497">
        <f t="shared" si="23"/>
        <v>0.33538289547233086</v>
      </c>
      <c r="K1497">
        <v>5.9999999999999995E-4</v>
      </c>
      <c r="L1497" t="s">
        <v>17</v>
      </c>
      <c r="M1497">
        <v>296</v>
      </c>
      <c r="N1497" t="s">
        <v>553</v>
      </c>
    </row>
    <row r="1498" spans="1:14" ht="17" x14ac:dyDescent="0.25">
      <c r="A1498" t="s">
        <v>1099</v>
      </c>
      <c r="B1498" t="s">
        <v>32</v>
      </c>
      <c r="C1498" s="10">
        <v>15</v>
      </c>
      <c r="D1498">
        <v>9</v>
      </c>
      <c r="E1498">
        <v>6</v>
      </c>
      <c r="F1498">
        <v>16</v>
      </c>
      <c r="G1498">
        <v>9</v>
      </c>
      <c r="H1498">
        <v>7</v>
      </c>
      <c r="I1498">
        <v>0.17280000000000001</v>
      </c>
      <c r="J1498">
        <f t="shared" si="23"/>
        <v>0.86805555555555558</v>
      </c>
      <c r="K1498">
        <v>1.5E-3</v>
      </c>
      <c r="L1498" t="s">
        <v>17</v>
      </c>
      <c r="M1498">
        <v>296</v>
      </c>
      <c r="N1498" t="s">
        <v>553</v>
      </c>
    </row>
    <row r="1499" spans="1:14" ht="17" x14ac:dyDescent="0.25">
      <c r="A1499" t="s">
        <v>1099</v>
      </c>
      <c r="B1499" t="s">
        <v>32</v>
      </c>
      <c r="C1499" s="10">
        <v>16</v>
      </c>
      <c r="D1499">
        <v>6</v>
      </c>
      <c r="E1499">
        <v>11</v>
      </c>
      <c r="F1499">
        <v>17</v>
      </c>
      <c r="G1499">
        <v>6</v>
      </c>
      <c r="H1499">
        <v>12</v>
      </c>
      <c r="I1499">
        <v>0.15490000000000001</v>
      </c>
      <c r="J1499">
        <f t="shared" si="23"/>
        <v>0.58102001291155581</v>
      </c>
      <c r="K1499">
        <v>8.9999999999999998E-4</v>
      </c>
      <c r="L1499" t="s">
        <v>17</v>
      </c>
      <c r="M1499">
        <v>296</v>
      </c>
      <c r="N1499" t="s">
        <v>553</v>
      </c>
    </row>
    <row r="1500" spans="1:14" ht="17" x14ac:dyDescent="0.25">
      <c r="A1500" t="s">
        <v>1099</v>
      </c>
      <c r="B1500" t="s">
        <v>32</v>
      </c>
      <c r="C1500" s="10">
        <v>16</v>
      </c>
      <c r="D1500">
        <v>4</v>
      </c>
      <c r="E1500">
        <v>13</v>
      </c>
      <c r="F1500">
        <v>17</v>
      </c>
      <c r="G1500">
        <v>4</v>
      </c>
      <c r="H1500">
        <v>14</v>
      </c>
      <c r="I1500">
        <v>0.17330000000000001</v>
      </c>
      <c r="J1500">
        <f t="shared" si="23"/>
        <v>0.57703404500865541</v>
      </c>
      <c r="K1500">
        <v>1E-3</v>
      </c>
      <c r="L1500" t="s">
        <v>17</v>
      </c>
      <c r="M1500">
        <v>296</v>
      </c>
      <c r="N1500" t="s">
        <v>553</v>
      </c>
    </row>
    <row r="1501" spans="1:14" ht="17" x14ac:dyDescent="0.25">
      <c r="A1501" t="s">
        <v>1099</v>
      </c>
      <c r="B1501" t="s">
        <v>32</v>
      </c>
      <c r="C1501" s="10">
        <v>17</v>
      </c>
      <c r="D1501">
        <v>0</v>
      </c>
      <c r="E1501">
        <v>17</v>
      </c>
      <c r="F1501">
        <v>18</v>
      </c>
      <c r="G1501">
        <v>0</v>
      </c>
      <c r="H1501">
        <v>18</v>
      </c>
      <c r="I1501">
        <v>0.1517</v>
      </c>
      <c r="J1501">
        <f t="shared" si="23"/>
        <v>0.46143704680290049</v>
      </c>
      <c r="K1501">
        <v>6.9999999999999999E-4</v>
      </c>
      <c r="L1501" t="s">
        <v>17</v>
      </c>
      <c r="M1501">
        <v>296</v>
      </c>
      <c r="N1501" t="s">
        <v>553</v>
      </c>
    </row>
    <row r="1502" spans="1:14" ht="17" x14ac:dyDescent="0.25">
      <c r="A1502" t="s">
        <v>1099</v>
      </c>
      <c r="B1502" t="s">
        <v>32</v>
      </c>
      <c r="C1502" s="10">
        <v>15</v>
      </c>
      <c r="D1502">
        <v>5</v>
      </c>
      <c r="E1502">
        <v>10</v>
      </c>
      <c r="F1502">
        <v>16</v>
      </c>
      <c r="G1502">
        <v>5</v>
      </c>
      <c r="H1502">
        <v>11</v>
      </c>
      <c r="I1502">
        <v>0.17069999999999999</v>
      </c>
      <c r="J1502">
        <f t="shared" si="23"/>
        <v>0.58582308142940831</v>
      </c>
      <c r="K1502">
        <v>1E-3</v>
      </c>
      <c r="L1502" t="s">
        <v>17</v>
      </c>
      <c r="M1502">
        <v>296</v>
      </c>
      <c r="N1502" t="s">
        <v>553</v>
      </c>
    </row>
    <row r="1503" spans="1:14" ht="17" x14ac:dyDescent="0.25">
      <c r="A1503" t="s">
        <v>1099</v>
      </c>
      <c r="B1503" t="s">
        <v>32</v>
      </c>
      <c r="C1503" s="10">
        <v>14</v>
      </c>
      <c r="D1503">
        <v>8</v>
      </c>
      <c r="E1503">
        <v>7</v>
      </c>
      <c r="F1503">
        <v>15</v>
      </c>
      <c r="G1503">
        <v>8</v>
      </c>
      <c r="H1503">
        <v>8</v>
      </c>
      <c r="I1503">
        <v>0.15160000000000001</v>
      </c>
      <c r="J1503">
        <f t="shared" si="23"/>
        <v>1.3192612137203166</v>
      </c>
      <c r="K1503">
        <v>2E-3</v>
      </c>
      <c r="L1503" t="s">
        <v>17</v>
      </c>
      <c r="M1503">
        <v>296</v>
      </c>
      <c r="N1503" t="s">
        <v>553</v>
      </c>
    </row>
    <row r="1504" spans="1:14" ht="17" x14ac:dyDescent="0.25">
      <c r="A1504" t="s">
        <v>1099</v>
      </c>
      <c r="B1504" t="s">
        <v>32</v>
      </c>
      <c r="C1504" s="10">
        <v>15</v>
      </c>
      <c r="D1504">
        <v>4</v>
      </c>
      <c r="E1504">
        <v>11</v>
      </c>
      <c r="F1504">
        <v>16</v>
      </c>
      <c r="G1504">
        <v>4</v>
      </c>
      <c r="H1504">
        <v>12</v>
      </c>
      <c r="I1504">
        <v>0.1661</v>
      </c>
      <c r="J1504">
        <f t="shared" si="23"/>
        <v>0.54184226369656829</v>
      </c>
      <c r="K1504">
        <v>8.9999999999999998E-4</v>
      </c>
      <c r="L1504" t="s">
        <v>17</v>
      </c>
      <c r="M1504">
        <v>296</v>
      </c>
      <c r="N1504" t="s">
        <v>553</v>
      </c>
    </row>
    <row r="1505" spans="1:14" ht="17" x14ac:dyDescent="0.25">
      <c r="A1505" t="s">
        <v>1099</v>
      </c>
      <c r="B1505" t="s">
        <v>32</v>
      </c>
      <c r="C1505" s="10">
        <v>15</v>
      </c>
      <c r="D1505">
        <v>3</v>
      </c>
      <c r="E1505">
        <v>12</v>
      </c>
      <c r="F1505">
        <v>16</v>
      </c>
      <c r="G1505">
        <v>3</v>
      </c>
      <c r="H1505">
        <v>13</v>
      </c>
      <c r="I1505">
        <v>0.18590000000000001</v>
      </c>
      <c r="J1505">
        <f t="shared" si="23"/>
        <v>0.48413125336202256</v>
      </c>
      <c r="K1505">
        <v>8.9999999999999998E-4</v>
      </c>
      <c r="L1505" t="s">
        <v>17</v>
      </c>
      <c r="M1505">
        <v>296</v>
      </c>
      <c r="N1505" t="s">
        <v>553</v>
      </c>
    </row>
    <row r="1506" spans="1:14" ht="17" x14ac:dyDescent="0.25">
      <c r="A1506" t="s">
        <v>1099</v>
      </c>
      <c r="B1506" t="s">
        <v>32</v>
      </c>
      <c r="C1506" s="10">
        <v>16</v>
      </c>
      <c r="D1506">
        <v>1</v>
      </c>
      <c r="E1506">
        <v>16</v>
      </c>
      <c r="F1506">
        <v>17</v>
      </c>
      <c r="G1506">
        <v>1</v>
      </c>
      <c r="H1506">
        <v>17</v>
      </c>
      <c r="I1506">
        <v>0.16639999999999999</v>
      </c>
      <c r="J1506">
        <f t="shared" si="23"/>
        <v>0.30048076923076927</v>
      </c>
      <c r="K1506">
        <v>5.0000000000000001E-4</v>
      </c>
      <c r="L1506" t="s">
        <v>17</v>
      </c>
      <c r="M1506">
        <v>296</v>
      </c>
      <c r="N1506" t="s">
        <v>553</v>
      </c>
    </row>
    <row r="1507" spans="1:14" ht="17" x14ac:dyDescent="0.25">
      <c r="A1507" t="s">
        <v>1099</v>
      </c>
      <c r="B1507" t="s">
        <v>32</v>
      </c>
      <c r="C1507" s="10">
        <v>14</v>
      </c>
      <c r="D1507">
        <v>6</v>
      </c>
      <c r="E1507">
        <v>9</v>
      </c>
      <c r="F1507">
        <v>15</v>
      </c>
      <c r="G1507">
        <v>6</v>
      </c>
      <c r="H1507">
        <v>10</v>
      </c>
      <c r="I1507">
        <v>0.15540000000000001</v>
      </c>
      <c r="J1507">
        <f t="shared" si="23"/>
        <v>1.0296010296010296</v>
      </c>
      <c r="K1507">
        <v>1.6000000000000001E-3</v>
      </c>
      <c r="L1507" t="s">
        <v>17</v>
      </c>
      <c r="M1507">
        <v>296</v>
      </c>
      <c r="N1507" t="s">
        <v>553</v>
      </c>
    </row>
    <row r="1508" spans="1:14" ht="17" x14ac:dyDescent="0.25">
      <c r="A1508" t="s">
        <v>1099</v>
      </c>
      <c r="B1508" t="s">
        <v>32</v>
      </c>
      <c r="C1508" s="10">
        <v>14</v>
      </c>
      <c r="D1508">
        <v>4</v>
      </c>
      <c r="E1508">
        <v>11</v>
      </c>
      <c r="F1508">
        <v>15</v>
      </c>
      <c r="G1508">
        <v>4</v>
      </c>
      <c r="H1508">
        <v>12</v>
      </c>
      <c r="I1508">
        <v>0.1736</v>
      </c>
      <c r="J1508">
        <f t="shared" si="23"/>
        <v>0.34562211981566821</v>
      </c>
      <c r="K1508">
        <v>5.9999999999999995E-4</v>
      </c>
      <c r="L1508" t="s">
        <v>17</v>
      </c>
      <c r="M1508">
        <v>296</v>
      </c>
      <c r="N1508" t="s">
        <v>553</v>
      </c>
    </row>
    <row r="1509" spans="1:14" ht="17" x14ac:dyDescent="0.25">
      <c r="A1509" t="s">
        <v>1099</v>
      </c>
      <c r="B1509" t="s">
        <v>32</v>
      </c>
      <c r="C1509" s="10">
        <v>14</v>
      </c>
      <c r="D1509">
        <v>3</v>
      </c>
      <c r="E1509">
        <v>12</v>
      </c>
      <c r="F1509">
        <v>15</v>
      </c>
      <c r="G1509">
        <v>3</v>
      </c>
      <c r="H1509">
        <v>13</v>
      </c>
      <c r="I1509">
        <v>0.1802</v>
      </c>
      <c r="J1509">
        <f t="shared" si="23"/>
        <v>0.49944506104328518</v>
      </c>
      <c r="K1509">
        <v>8.9999999999999998E-4</v>
      </c>
      <c r="L1509" t="s">
        <v>17</v>
      </c>
      <c r="M1509">
        <v>296</v>
      </c>
      <c r="N1509" t="s">
        <v>553</v>
      </c>
    </row>
    <row r="1510" spans="1:14" ht="17" x14ac:dyDescent="0.25">
      <c r="A1510" t="s">
        <v>1099</v>
      </c>
      <c r="B1510" t="s">
        <v>32</v>
      </c>
      <c r="C1510" s="10">
        <v>14</v>
      </c>
      <c r="D1510">
        <v>2</v>
      </c>
      <c r="E1510">
        <v>13</v>
      </c>
      <c r="F1510">
        <v>15</v>
      </c>
      <c r="G1510">
        <v>2</v>
      </c>
      <c r="H1510">
        <v>14</v>
      </c>
      <c r="I1510">
        <v>0.18659999999999999</v>
      </c>
      <c r="J1510">
        <f t="shared" si="23"/>
        <v>0.37513397642015012</v>
      </c>
      <c r="K1510">
        <v>6.9999999999999999E-4</v>
      </c>
      <c r="L1510" t="s">
        <v>17</v>
      </c>
      <c r="M1510">
        <v>296</v>
      </c>
      <c r="N1510" t="s">
        <v>553</v>
      </c>
    </row>
    <row r="1511" spans="1:14" ht="17" x14ac:dyDescent="0.25">
      <c r="A1511" t="s">
        <v>1099</v>
      </c>
      <c r="B1511" t="s">
        <v>32</v>
      </c>
      <c r="C1511" s="10">
        <v>13</v>
      </c>
      <c r="D1511">
        <v>4</v>
      </c>
      <c r="E1511">
        <v>9</v>
      </c>
      <c r="F1511">
        <v>14</v>
      </c>
      <c r="G1511">
        <v>4</v>
      </c>
      <c r="H1511">
        <v>10</v>
      </c>
      <c r="I1511">
        <v>0.16259999999999999</v>
      </c>
      <c r="J1511">
        <f t="shared" si="23"/>
        <v>0.98400984009840098</v>
      </c>
      <c r="K1511">
        <v>1.6000000000000001E-3</v>
      </c>
      <c r="L1511" t="s">
        <v>17</v>
      </c>
      <c r="M1511">
        <v>296</v>
      </c>
      <c r="N1511" t="s">
        <v>553</v>
      </c>
    </row>
    <row r="1512" spans="1:14" ht="17" x14ac:dyDescent="0.25">
      <c r="A1512" t="s">
        <v>1099</v>
      </c>
      <c r="B1512" t="s">
        <v>32</v>
      </c>
      <c r="C1512" s="10">
        <v>13</v>
      </c>
      <c r="D1512">
        <v>3</v>
      </c>
      <c r="E1512">
        <v>10</v>
      </c>
      <c r="F1512">
        <v>14</v>
      </c>
      <c r="G1512">
        <v>3</v>
      </c>
      <c r="H1512">
        <v>11</v>
      </c>
      <c r="I1512">
        <v>0.1787</v>
      </c>
      <c r="J1512">
        <f t="shared" si="23"/>
        <v>0.61555679910464467</v>
      </c>
      <c r="K1512">
        <v>1.1000000000000001E-3</v>
      </c>
      <c r="L1512" t="s">
        <v>17</v>
      </c>
      <c r="M1512">
        <v>296</v>
      </c>
      <c r="N1512" t="s">
        <v>553</v>
      </c>
    </row>
    <row r="1513" spans="1:14" ht="17" x14ac:dyDescent="0.25">
      <c r="A1513" t="s">
        <v>1099</v>
      </c>
      <c r="B1513" t="s">
        <v>32</v>
      </c>
      <c r="C1513" s="10">
        <v>13</v>
      </c>
      <c r="D1513">
        <v>1</v>
      </c>
      <c r="E1513">
        <v>12</v>
      </c>
      <c r="F1513">
        <v>14</v>
      </c>
      <c r="G1513">
        <v>1</v>
      </c>
      <c r="H1513">
        <v>13</v>
      </c>
      <c r="I1513">
        <v>0.16850000000000001</v>
      </c>
      <c r="J1513">
        <f t="shared" si="23"/>
        <v>0.65281899109792285</v>
      </c>
      <c r="K1513">
        <v>1.1000000000000001E-3</v>
      </c>
      <c r="L1513" t="s">
        <v>17</v>
      </c>
      <c r="M1513">
        <v>296</v>
      </c>
      <c r="N1513" t="s">
        <v>553</v>
      </c>
    </row>
    <row r="1514" spans="1:14" ht="17" x14ac:dyDescent="0.25">
      <c r="A1514" t="s">
        <v>1099</v>
      </c>
      <c r="B1514" t="s">
        <v>32</v>
      </c>
      <c r="C1514" s="10">
        <v>12</v>
      </c>
      <c r="D1514">
        <v>3</v>
      </c>
      <c r="E1514">
        <v>10</v>
      </c>
      <c r="F1514">
        <v>13</v>
      </c>
      <c r="G1514">
        <v>3</v>
      </c>
      <c r="H1514">
        <v>11</v>
      </c>
      <c r="I1514">
        <v>0.18</v>
      </c>
      <c r="J1514">
        <f t="shared" si="23"/>
        <v>0.88888888888888884</v>
      </c>
      <c r="K1514">
        <v>1.6000000000000001E-3</v>
      </c>
      <c r="L1514" t="s">
        <v>17</v>
      </c>
      <c r="M1514">
        <v>296</v>
      </c>
      <c r="N1514" t="s">
        <v>553</v>
      </c>
    </row>
    <row r="1515" spans="1:14" ht="17" x14ac:dyDescent="0.25">
      <c r="A1515" t="s">
        <v>1099</v>
      </c>
      <c r="B1515" t="s">
        <v>32</v>
      </c>
      <c r="C1515" s="10">
        <v>11</v>
      </c>
      <c r="D1515">
        <v>7</v>
      </c>
      <c r="E1515">
        <v>4</v>
      </c>
      <c r="F1515">
        <v>12</v>
      </c>
      <c r="G1515">
        <v>7</v>
      </c>
      <c r="H1515">
        <v>5</v>
      </c>
      <c r="I1515">
        <v>0.1348</v>
      </c>
      <c r="J1515">
        <f t="shared" si="23"/>
        <v>1.3353115727002967</v>
      </c>
      <c r="K1515">
        <v>1.8E-3</v>
      </c>
      <c r="L1515" t="s">
        <v>17</v>
      </c>
      <c r="M1515">
        <v>296</v>
      </c>
      <c r="N1515" t="s">
        <v>553</v>
      </c>
    </row>
    <row r="1516" spans="1:14" ht="17" x14ac:dyDescent="0.25">
      <c r="A1516" t="s">
        <v>1099</v>
      </c>
      <c r="B1516" t="s">
        <v>32</v>
      </c>
      <c r="C1516" s="10">
        <v>12</v>
      </c>
      <c r="D1516">
        <v>2</v>
      </c>
      <c r="E1516">
        <v>11</v>
      </c>
      <c r="F1516">
        <v>13</v>
      </c>
      <c r="G1516">
        <v>2</v>
      </c>
      <c r="H1516">
        <v>12</v>
      </c>
      <c r="I1516">
        <v>0.19850000000000001</v>
      </c>
      <c r="J1516">
        <f t="shared" si="23"/>
        <v>0.3526448362720403</v>
      </c>
      <c r="K1516">
        <v>6.9999999999999999E-4</v>
      </c>
      <c r="L1516" t="s">
        <v>17</v>
      </c>
      <c r="M1516">
        <v>296</v>
      </c>
      <c r="N1516" t="s">
        <v>553</v>
      </c>
    </row>
    <row r="1517" spans="1:14" ht="17" x14ac:dyDescent="0.25">
      <c r="A1517" t="s">
        <v>1099</v>
      </c>
      <c r="B1517" t="s">
        <v>32</v>
      </c>
      <c r="C1517" s="10">
        <v>11</v>
      </c>
      <c r="D1517">
        <v>5</v>
      </c>
      <c r="E1517">
        <v>6</v>
      </c>
      <c r="F1517">
        <v>12</v>
      </c>
      <c r="G1517">
        <v>5</v>
      </c>
      <c r="H1517">
        <v>7</v>
      </c>
      <c r="I1517">
        <v>0.21310000000000001</v>
      </c>
      <c r="J1517">
        <f t="shared" si="23"/>
        <v>0.84467386203660244</v>
      </c>
      <c r="K1517">
        <v>1.8E-3</v>
      </c>
      <c r="L1517" t="s">
        <v>17</v>
      </c>
      <c r="M1517">
        <v>296</v>
      </c>
      <c r="N1517" t="s">
        <v>553</v>
      </c>
    </row>
    <row r="1518" spans="1:14" ht="17" x14ac:dyDescent="0.25">
      <c r="A1518" t="s">
        <v>1099</v>
      </c>
      <c r="B1518" t="s">
        <v>32</v>
      </c>
      <c r="C1518" s="10">
        <v>11</v>
      </c>
      <c r="D1518">
        <v>1</v>
      </c>
      <c r="E1518">
        <v>10</v>
      </c>
      <c r="F1518">
        <v>12</v>
      </c>
      <c r="G1518">
        <v>1</v>
      </c>
      <c r="H1518">
        <v>11</v>
      </c>
      <c r="I1518">
        <v>0.19070000000000001</v>
      </c>
      <c r="J1518">
        <f t="shared" si="23"/>
        <v>0.68169900367068692</v>
      </c>
      <c r="K1518">
        <v>1.2999999999999999E-3</v>
      </c>
      <c r="L1518" t="s">
        <v>17</v>
      </c>
      <c r="M1518">
        <v>296</v>
      </c>
      <c r="N1518" t="s">
        <v>553</v>
      </c>
    </row>
    <row r="1519" spans="1:14" ht="17" x14ac:dyDescent="0.25">
      <c r="A1519" t="s">
        <v>1099</v>
      </c>
      <c r="B1519" t="s">
        <v>32</v>
      </c>
      <c r="C1519" s="10">
        <v>11</v>
      </c>
      <c r="D1519">
        <v>0</v>
      </c>
      <c r="E1519">
        <v>11</v>
      </c>
      <c r="F1519">
        <v>12</v>
      </c>
      <c r="G1519">
        <v>0</v>
      </c>
      <c r="H1519">
        <v>12</v>
      </c>
      <c r="I1519">
        <v>0.18</v>
      </c>
      <c r="J1519">
        <f t="shared" si="23"/>
        <v>0.5</v>
      </c>
      <c r="K1519">
        <v>8.9999999999999998E-4</v>
      </c>
      <c r="L1519" t="s">
        <v>17</v>
      </c>
      <c r="M1519">
        <v>296</v>
      </c>
      <c r="N1519" t="s">
        <v>553</v>
      </c>
    </row>
    <row r="1520" spans="1:14" ht="17" x14ac:dyDescent="0.25">
      <c r="A1520" t="s">
        <v>1099</v>
      </c>
      <c r="B1520" t="s">
        <v>32</v>
      </c>
      <c r="C1520" s="10">
        <v>13</v>
      </c>
      <c r="D1520">
        <v>11</v>
      </c>
      <c r="E1520">
        <v>2</v>
      </c>
      <c r="F1520">
        <v>13</v>
      </c>
      <c r="G1520">
        <v>11</v>
      </c>
      <c r="H1520">
        <v>3</v>
      </c>
      <c r="I1520">
        <v>0.15870000000000001</v>
      </c>
      <c r="J1520">
        <f t="shared" si="23"/>
        <v>0.75614366729678628</v>
      </c>
      <c r="K1520">
        <v>1.1999999999999999E-3</v>
      </c>
      <c r="L1520" t="s">
        <v>17</v>
      </c>
      <c r="M1520">
        <v>296</v>
      </c>
      <c r="N1520" t="s">
        <v>553</v>
      </c>
    </row>
    <row r="1521" spans="1:14" ht="17" x14ac:dyDescent="0.25">
      <c r="A1521" t="s">
        <v>1099</v>
      </c>
      <c r="B1521" t="s">
        <v>32</v>
      </c>
      <c r="C1521" s="10">
        <v>13</v>
      </c>
      <c r="D1521">
        <v>6</v>
      </c>
      <c r="E1521">
        <v>7</v>
      </c>
      <c r="F1521">
        <v>12</v>
      </c>
      <c r="G1521">
        <v>6</v>
      </c>
      <c r="H1521">
        <v>6</v>
      </c>
      <c r="I1521">
        <v>0.18509999999999999</v>
      </c>
      <c r="J1521">
        <f t="shared" si="23"/>
        <v>0.75634792004321993</v>
      </c>
      <c r="K1521">
        <v>1.4E-3</v>
      </c>
      <c r="L1521" t="s">
        <v>17</v>
      </c>
      <c r="M1521">
        <v>296</v>
      </c>
      <c r="N1521" t="s">
        <v>553</v>
      </c>
    </row>
    <row r="1522" spans="1:14" ht="17" x14ac:dyDescent="0.25">
      <c r="A1522" t="s">
        <v>1099</v>
      </c>
      <c r="B1522" t="s">
        <v>32</v>
      </c>
      <c r="C1522" s="10">
        <v>13</v>
      </c>
      <c r="D1522">
        <v>0</v>
      </c>
      <c r="E1522">
        <v>13</v>
      </c>
      <c r="F1522">
        <v>12</v>
      </c>
      <c r="G1522">
        <v>0</v>
      </c>
      <c r="H1522">
        <v>12</v>
      </c>
      <c r="I1522">
        <v>0.18079999999999999</v>
      </c>
      <c r="J1522">
        <f t="shared" si="23"/>
        <v>0.55309734513274345</v>
      </c>
      <c r="K1522">
        <v>1E-3</v>
      </c>
      <c r="L1522" t="s">
        <v>17</v>
      </c>
      <c r="M1522">
        <v>296</v>
      </c>
      <c r="N1522" t="s">
        <v>553</v>
      </c>
    </row>
    <row r="1523" spans="1:14" ht="17" x14ac:dyDescent="0.25">
      <c r="A1523" t="s">
        <v>1099</v>
      </c>
      <c r="B1523" t="s">
        <v>32</v>
      </c>
      <c r="C1523" s="10">
        <v>13</v>
      </c>
      <c r="D1523">
        <v>4</v>
      </c>
      <c r="E1523">
        <v>9</v>
      </c>
      <c r="F1523">
        <v>12</v>
      </c>
      <c r="G1523">
        <v>4</v>
      </c>
      <c r="H1523">
        <v>8</v>
      </c>
      <c r="I1523">
        <v>0.1714</v>
      </c>
      <c r="J1523">
        <f t="shared" si="23"/>
        <v>0.35005834305717615</v>
      </c>
      <c r="K1523">
        <v>5.9999999999999995E-4</v>
      </c>
      <c r="L1523" t="s">
        <v>17</v>
      </c>
      <c r="M1523">
        <v>296</v>
      </c>
      <c r="N1523" t="s">
        <v>553</v>
      </c>
    </row>
    <row r="1524" spans="1:14" ht="17" x14ac:dyDescent="0.25">
      <c r="A1524" t="s">
        <v>1099</v>
      </c>
      <c r="B1524" t="s">
        <v>32</v>
      </c>
      <c r="C1524" s="10">
        <v>13</v>
      </c>
      <c r="D1524">
        <v>3</v>
      </c>
      <c r="E1524">
        <v>10</v>
      </c>
      <c r="F1524">
        <v>12</v>
      </c>
      <c r="G1524">
        <v>3</v>
      </c>
      <c r="H1524">
        <v>9</v>
      </c>
      <c r="I1524">
        <v>0.17849999999999999</v>
      </c>
      <c r="J1524">
        <f t="shared" si="23"/>
        <v>0.28011204481792717</v>
      </c>
      <c r="K1524">
        <v>5.0000000000000001E-4</v>
      </c>
      <c r="L1524" t="s">
        <v>17</v>
      </c>
      <c r="M1524">
        <v>296</v>
      </c>
      <c r="N1524" t="s">
        <v>553</v>
      </c>
    </row>
    <row r="1525" spans="1:14" ht="17" x14ac:dyDescent="0.25">
      <c r="A1525" t="s">
        <v>1099</v>
      </c>
      <c r="B1525" t="s">
        <v>32</v>
      </c>
      <c r="C1525" s="10">
        <v>14</v>
      </c>
      <c r="D1525">
        <v>6</v>
      </c>
      <c r="E1525">
        <v>9</v>
      </c>
      <c r="F1525">
        <v>13</v>
      </c>
      <c r="G1525">
        <v>6</v>
      </c>
      <c r="H1525">
        <v>8</v>
      </c>
      <c r="I1525">
        <v>0.17069999999999999</v>
      </c>
      <c r="J1525">
        <f t="shared" si="23"/>
        <v>0.23432923257176336</v>
      </c>
      <c r="K1525">
        <v>4.0000000000000002E-4</v>
      </c>
      <c r="L1525" t="s">
        <v>17</v>
      </c>
      <c r="M1525">
        <v>296</v>
      </c>
      <c r="N1525" t="s">
        <v>553</v>
      </c>
    </row>
    <row r="1526" spans="1:14" ht="17" x14ac:dyDescent="0.25">
      <c r="A1526" t="s">
        <v>1099</v>
      </c>
      <c r="B1526" t="s">
        <v>32</v>
      </c>
      <c r="C1526" s="10">
        <v>14</v>
      </c>
      <c r="D1526">
        <v>1</v>
      </c>
      <c r="E1526">
        <v>14</v>
      </c>
      <c r="F1526">
        <v>13</v>
      </c>
      <c r="G1526">
        <v>1</v>
      </c>
      <c r="H1526">
        <v>13</v>
      </c>
      <c r="I1526">
        <v>0.17399999999999999</v>
      </c>
      <c r="J1526">
        <f t="shared" si="23"/>
        <v>0.2873563218390805</v>
      </c>
      <c r="K1526">
        <v>5.0000000000000001E-4</v>
      </c>
      <c r="L1526" t="s">
        <v>17</v>
      </c>
      <c r="M1526">
        <v>296</v>
      </c>
      <c r="N1526" t="s">
        <v>553</v>
      </c>
    </row>
    <row r="1527" spans="1:14" ht="17" x14ac:dyDescent="0.25">
      <c r="A1527" t="s">
        <v>1099</v>
      </c>
      <c r="B1527" t="s">
        <v>32</v>
      </c>
      <c r="C1527" s="10">
        <v>14</v>
      </c>
      <c r="D1527">
        <v>5</v>
      </c>
      <c r="E1527">
        <v>10</v>
      </c>
      <c r="F1527">
        <v>13</v>
      </c>
      <c r="G1527">
        <v>5</v>
      </c>
      <c r="H1527">
        <v>9</v>
      </c>
      <c r="I1527">
        <v>0.16739999999999999</v>
      </c>
      <c r="J1527">
        <f t="shared" si="23"/>
        <v>0.29868578255675032</v>
      </c>
      <c r="K1527">
        <v>5.0000000000000001E-4</v>
      </c>
      <c r="L1527" t="s">
        <v>17</v>
      </c>
      <c r="M1527">
        <v>296</v>
      </c>
      <c r="N1527" t="s">
        <v>553</v>
      </c>
    </row>
    <row r="1528" spans="1:14" ht="17" x14ac:dyDescent="0.25">
      <c r="A1528" t="s">
        <v>1099</v>
      </c>
      <c r="B1528" t="s">
        <v>32</v>
      </c>
      <c r="C1528" s="10">
        <v>16</v>
      </c>
      <c r="D1528">
        <v>9</v>
      </c>
      <c r="E1528">
        <v>8</v>
      </c>
      <c r="F1528">
        <v>15</v>
      </c>
      <c r="G1528">
        <v>9</v>
      </c>
      <c r="H1528">
        <v>7</v>
      </c>
      <c r="I1528">
        <v>0.16689999999999999</v>
      </c>
      <c r="J1528">
        <f t="shared" si="23"/>
        <v>0.65907729179149199</v>
      </c>
      <c r="K1528">
        <v>1.1000000000000001E-3</v>
      </c>
      <c r="L1528" t="s">
        <v>17</v>
      </c>
      <c r="M1528">
        <v>296</v>
      </c>
      <c r="N1528" t="s">
        <v>553</v>
      </c>
    </row>
    <row r="1529" spans="1:14" ht="17" x14ac:dyDescent="0.25">
      <c r="A1529" t="s">
        <v>1099</v>
      </c>
      <c r="B1529" t="s">
        <v>32</v>
      </c>
      <c r="C1529" s="10">
        <v>15</v>
      </c>
      <c r="D1529">
        <v>7</v>
      </c>
      <c r="E1529">
        <v>8</v>
      </c>
      <c r="F1529">
        <v>14</v>
      </c>
      <c r="G1529">
        <v>7</v>
      </c>
      <c r="H1529">
        <v>7</v>
      </c>
      <c r="I1529">
        <v>0.17230000000000001</v>
      </c>
      <c r="J1529">
        <f t="shared" si="23"/>
        <v>0.34822983168891464</v>
      </c>
      <c r="K1529">
        <v>5.9999999999999995E-4</v>
      </c>
      <c r="L1529" t="s">
        <v>17</v>
      </c>
      <c r="M1529">
        <v>296</v>
      </c>
      <c r="N1529" t="s">
        <v>553</v>
      </c>
    </row>
    <row r="1530" spans="1:14" ht="17" x14ac:dyDescent="0.25">
      <c r="A1530" t="s">
        <v>1099</v>
      </c>
      <c r="B1530" t="s">
        <v>32</v>
      </c>
      <c r="C1530" s="10">
        <v>14</v>
      </c>
      <c r="D1530">
        <v>4</v>
      </c>
      <c r="E1530">
        <v>11</v>
      </c>
      <c r="F1530">
        <v>13</v>
      </c>
      <c r="G1530">
        <v>4</v>
      </c>
      <c r="H1530">
        <v>10</v>
      </c>
      <c r="I1530">
        <v>0.18229999999999999</v>
      </c>
      <c r="J1530">
        <f t="shared" si="23"/>
        <v>0.49369171695008229</v>
      </c>
      <c r="K1530">
        <v>8.9999999999999998E-4</v>
      </c>
      <c r="L1530" t="s">
        <v>17</v>
      </c>
      <c r="M1530">
        <v>296</v>
      </c>
      <c r="N1530" t="s">
        <v>553</v>
      </c>
    </row>
    <row r="1531" spans="1:14" ht="17" x14ac:dyDescent="0.25">
      <c r="A1531" t="s">
        <v>1099</v>
      </c>
      <c r="B1531" t="s">
        <v>32</v>
      </c>
      <c r="C1531" s="10">
        <v>14</v>
      </c>
      <c r="D1531">
        <v>3</v>
      </c>
      <c r="E1531">
        <v>12</v>
      </c>
      <c r="F1531">
        <v>13</v>
      </c>
      <c r="G1531">
        <v>3</v>
      </c>
      <c r="H1531">
        <v>11</v>
      </c>
      <c r="I1531">
        <v>0.1903</v>
      </c>
      <c r="J1531">
        <f t="shared" si="23"/>
        <v>0.21019442984760903</v>
      </c>
      <c r="K1531">
        <v>4.0000000000000002E-4</v>
      </c>
      <c r="L1531" t="s">
        <v>17</v>
      </c>
      <c r="M1531">
        <v>296</v>
      </c>
      <c r="N1531" t="s">
        <v>553</v>
      </c>
    </row>
    <row r="1532" spans="1:14" ht="17" x14ac:dyDescent="0.25">
      <c r="A1532" t="s">
        <v>1099</v>
      </c>
      <c r="B1532" t="s">
        <v>32</v>
      </c>
      <c r="C1532" s="10">
        <v>15</v>
      </c>
      <c r="D1532">
        <v>6</v>
      </c>
      <c r="E1532">
        <v>9</v>
      </c>
      <c r="F1532">
        <v>14</v>
      </c>
      <c r="G1532">
        <v>6</v>
      </c>
      <c r="H1532">
        <v>8</v>
      </c>
      <c r="I1532">
        <v>0.1711</v>
      </c>
      <c r="J1532">
        <f t="shared" si="23"/>
        <v>0.23378141437755701</v>
      </c>
      <c r="K1532">
        <v>4.0000000000000002E-4</v>
      </c>
      <c r="L1532" t="s">
        <v>17</v>
      </c>
      <c r="M1532">
        <v>296</v>
      </c>
      <c r="N1532" t="s">
        <v>553</v>
      </c>
    </row>
    <row r="1533" spans="1:14" ht="17" x14ac:dyDescent="0.25">
      <c r="A1533" t="s">
        <v>1099</v>
      </c>
      <c r="B1533" t="s">
        <v>32</v>
      </c>
      <c r="C1533" s="10">
        <v>16</v>
      </c>
      <c r="D1533">
        <v>8</v>
      </c>
      <c r="E1533">
        <v>9</v>
      </c>
      <c r="F1533">
        <v>15</v>
      </c>
      <c r="G1533">
        <v>8</v>
      </c>
      <c r="H1533">
        <v>8</v>
      </c>
      <c r="I1533">
        <v>0.17430000000000001</v>
      </c>
      <c r="J1533">
        <f t="shared" si="23"/>
        <v>0.86058519793459543</v>
      </c>
      <c r="K1533">
        <v>1.5E-3</v>
      </c>
      <c r="L1533" t="s">
        <v>17</v>
      </c>
      <c r="M1533">
        <v>296</v>
      </c>
      <c r="N1533" t="s">
        <v>553</v>
      </c>
    </row>
    <row r="1534" spans="1:14" ht="17" x14ac:dyDescent="0.25">
      <c r="A1534" t="s">
        <v>1099</v>
      </c>
      <c r="B1534" t="s">
        <v>32</v>
      </c>
      <c r="C1534" s="10">
        <v>18</v>
      </c>
      <c r="D1534">
        <v>11</v>
      </c>
      <c r="E1534">
        <v>8</v>
      </c>
      <c r="F1534">
        <v>17</v>
      </c>
      <c r="G1534">
        <v>11</v>
      </c>
      <c r="H1534">
        <v>7</v>
      </c>
      <c r="I1534">
        <v>0.16470000000000001</v>
      </c>
      <c r="J1534">
        <f t="shared" si="23"/>
        <v>0.48573163327261681</v>
      </c>
      <c r="K1534">
        <v>8.0000000000000004E-4</v>
      </c>
      <c r="L1534" t="s">
        <v>17</v>
      </c>
      <c r="M1534">
        <v>296</v>
      </c>
      <c r="N1534" t="s">
        <v>553</v>
      </c>
    </row>
    <row r="1535" spans="1:14" ht="17" x14ac:dyDescent="0.25">
      <c r="A1535" t="s">
        <v>1099</v>
      </c>
      <c r="B1535" t="s">
        <v>32</v>
      </c>
      <c r="C1535" s="10">
        <v>15</v>
      </c>
      <c r="D1535">
        <v>0</v>
      </c>
      <c r="E1535">
        <v>15</v>
      </c>
      <c r="F1535">
        <v>14</v>
      </c>
      <c r="G1535">
        <v>0</v>
      </c>
      <c r="H1535">
        <v>14</v>
      </c>
      <c r="I1535">
        <v>0.17219999999999999</v>
      </c>
      <c r="J1535">
        <f t="shared" si="23"/>
        <v>0.40650406504065045</v>
      </c>
      <c r="K1535">
        <v>6.9999999999999999E-4</v>
      </c>
      <c r="L1535" t="s">
        <v>17</v>
      </c>
      <c r="M1535">
        <v>296</v>
      </c>
      <c r="N1535" t="s">
        <v>553</v>
      </c>
    </row>
    <row r="1536" spans="1:14" ht="17" x14ac:dyDescent="0.25">
      <c r="A1536" t="s">
        <v>1099</v>
      </c>
      <c r="B1536" t="s">
        <v>32</v>
      </c>
      <c r="C1536" s="10">
        <v>15</v>
      </c>
      <c r="D1536">
        <v>5</v>
      </c>
      <c r="E1536">
        <v>10</v>
      </c>
      <c r="F1536">
        <v>14</v>
      </c>
      <c r="G1536">
        <v>5</v>
      </c>
      <c r="H1536">
        <v>9</v>
      </c>
      <c r="I1536">
        <v>0.1638</v>
      </c>
      <c r="J1536">
        <f t="shared" ref="J1536:J1599" si="24">K1536/I1536*100</f>
        <v>0.36630036630036628</v>
      </c>
      <c r="K1536">
        <v>5.9999999999999995E-4</v>
      </c>
      <c r="L1536" t="s">
        <v>17</v>
      </c>
      <c r="M1536">
        <v>296</v>
      </c>
      <c r="N1536" t="s">
        <v>553</v>
      </c>
    </row>
    <row r="1537" spans="1:14" ht="17" x14ac:dyDescent="0.25">
      <c r="A1537" t="s">
        <v>1099</v>
      </c>
      <c r="B1537" t="s">
        <v>32</v>
      </c>
      <c r="C1537" s="10">
        <v>16</v>
      </c>
      <c r="D1537">
        <v>7</v>
      </c>
      <c r="E1537">
        <v>10</v>
      </c>
      <c r="F1537">
        <v>15</v>
      </c>
      <c r="G1537">
        <v>7</v>
      </c>
      <c r="H1537">
        <v>9</v>
      </c>
      <c r="I1537">
        <v>0.16059999999999999</v>
      </c>
      <c r="J1537">
        <f t="shared" si="24"/>
        <v>0.37359900373599003</v>
      </c>
      <c r="K1537">
        <v>5.9999999999999995E-4</v>
      </c>
      <c r="L1537" t="s">
        <v>17</v>
      </c>
      <c r="M1537">
        <v>296</v>
      </c>
      <c r="N1537" t="s">
        <v>553</v>
      </c>
    </row>
    <row r="1538" spans="1:14" ht="17" x14ac:dyDescent="0.25">
      <c r="A1538" t="s">
        <v>1099</v>
      </c>
      <c r="B1538" t="s">
        <v>32</v>
      </c>
      <c r="C1538" s="10">
        <v>15</v>
      </c>
      <c r="D1538">
        <v>4</v>
      </c>
      <c r="E1538">
        <v>11</v>
      </c>
      <c r="F1538">
        <v>14</v>
      </c>
      <c r="G1538">
        <v>4</v>
      </c>
      <c r="H1538">
        <v>10</v>
      </c>
      <c r="I1538">
        <v>0.1696</v>
      </c>
      <c r="J1538">
        <f t="shared" si="24"/>
        <v>0.589622641509434</v>
      </c>
      <c r="K1538">
        <v>1E-3</v>
      </c>
      <c r="L1538" t="s">
        <v>17</v>
      </c>
      <c r="M1538">
        <v>296</v>
      </c>
      <c r="N1538" t="s">
        <v>553</v>
      </c>
    </row>
    <row r="1539" spans="1:14" ht="17" x14ac:dyDescent="0.25">
      <c r="A1539" t="s">
        <v>1099</v>
      </c>
      <c r="B1539" t="s">
        <v>32</v>
      </c>
      <c r="C1539" s="10">
        <v>18</v>
      </c>
      <c r="D1539">
        <v>10</v>
      </c>
      <c r="E1539">
        <v>9</v>
      </c>
      <c r="F1539">
        <v>17</v>
      </c>
      <c r="G1539">
        <v>10</v>
      </c>
      <c r="H1539">
        <v>8</v>
      </c>
      <c r="I1539">
        <v>0.16289999999999999</v>
      </c>
      <c r="J1539">
        <f t="shared" si="24"/>
        <v>0.5524861878453039</v>
      </c>
      <c r="K1539">
        <v>8.9999999999999998E-4</v>
      </c>
      <c r="L1539" t="s">
        <v>17</v>
      </c>
      <c r="M1539">
        <v>296</v>
      </c>
      <c r="N1539" t="s">
        <v>553</v>
      </c>
    </row>
    <row r="1540" spans="1:14" ht="17" x14ac:dyDescent="0.25">
      <c r="A1540" t="s">
        <v>1099</v>
      </c>
      <c r="B1540" t="s">
        <v>32</v>
      </c>
      <c r="C1540" s="10">
        <v>16</v>
      </c>
      <c r="D1540">
        <v>6</v>
      </c>
      <c r="E1540">
        <v>11</v>
      </c>
      <c r="F1540">
        <v>15</v>
      </c>
      <c r="G1540">
        <v>6</v>
      </c>
      <c r="H1540">
        <v>10</v>
      </c>
      <c r="I1540">
        <v>0.16500000000000001</v>
      </c>
      <c r="J1540">
        <f t="shared" si="24"/>
        <v>0.36363636363636359</v>
      </c>
      <c r="K1540">
        <v>5.9999999999999995E-4</v>
      </c>
      <c r="L1540" t="s">
        <v>17</v>
      </c>
      <c r="M1540">
        <v>296</v>
      </c>
      <c r="N1540" t="s">
        <v>553</v>
      </c>
    </row>
    <row r="1541" spans="1:14" ht="17" x14ac:dyDescent="0.25">
      <c r="A1541" t="s">
        <v>1099</v>
      </c>
      <c r="B1541" t="s">
        <v>32</v>
      </c>
      <c r="C1541" s="10">
        <v>15</v>
      </c>
      <c r="D1541">
        <v>3</v>
      </c>
      <c r="E1541">
        <v>12</v>
      </c>
      <c r="F1541">
        <v>14</v>
      </c>
      <c r="G1541">
        <v>3</v>
      </c>
      <c r="H1541">
        <v>11</v>
      </c>
      <c r="I1541">
        <v>0.1782</v>
      </c>
      <c r="J1541">
        <f t="shared" si="24"/>
        <v>0.33670033670033667</v>
      </c>
      <c r="K1541">
        <v>5.9999999999999995E-4</v>
      </c>
      <c r="L1541" t="s">
        <v>17</v>
      </c>
      <c r="M1541">
        <v>296</v>
      </c>
      <c r="N1541" t="s">
        <v>553</v>
      </c>
    </row>
    <row r="1542" spans="1:14" ht="17" x14ac:dyDescent="0.25">
      <c r="A1542" t="s">
        <v>1099</v>
      </c>
      <c r="B1542" t="s">
        <v>32</v>
      </c>
      <c r="C1542" s="10">
        <v>17</v>
      </c>
      <c r="D1542">
        <v>8</v>
      </c>
      <c r="E1542">
        <v>9</v>
      </c>
      <c r="F1542">
        <v>16</v>
      </c>
      <c r="G1542">
        <v>8</v>
      </c>
      <c r="H1542">
        <v>8</v>
      </c>
      <c r="I1542">
        <v>0.17549999999999999</v>
      </c>
      <c r="J1542">
        <f t="shared" si="24"/>
        <v>0.28490028490028491</v>
      </c>
      <c r="K1542">
        <v>5.0000000000000001E-4</v>
      </c>
      <c r="L1542" t="s">
        <v>17</v>
      </c>
      <c r="M1542">
        <v>296</v>
      </c>
      <c r="N1542" t="s">
        <v>553</v>
      </c>
    </row>
    <row r="1543" spans="1:14" ht="17" x14ac:dyDescent="0.25">
      <c r="A1543" t="s">
        <v>1099</v>
      </c>
      <c r="B1543" t="s">
        <v>32</v>
      </c>
      <c r="C1543" s="10">
        <v>16</v>
      </c>
      <c r="D1543">
        <v>1</v>
      </c>
      <c r="E1543">
        <v>16</v>
      </c>
      <c r="F1543">
        <v>15</v>
      </c>
      <c r="G1543">
        <v>1</v>
      </c>
      <c r="H1543">
        <v>15</v>
      </c>
      <c r="I1543">
        <v>0.16669999999999999</v>
      </c>
      <c r="J1543">
        <f t="shared" si="24"/>
        <v>0.29994001199760051</v>
      </c>
      <c r="K1543">
        <v>5.0000000000000001E-4</v>
      </c>
      <c r="L1543" t="s">
        <v>17</v>
      </c>
      <c r="M1543">
        <v>296</v>
      </c>
      <c r="N1543" t="s">
        <v>553</v>
      </c>
    </row>
    <row r="1544" spans="1:14" ht="17" x14ac:dyDescent="0.25">
      <c r="A1544" t="s">
        <v>1099</v>
      </c>
      <c r="B1544" t="s">
        <v>32</v>
      </c>
      <c r="C1544" s="10">
        <v>19</v>
      </c>
      <c r="D1544">
        <v>11</v>
      </c>
      <c r="E1544">
        <v>8</v>
      </c>
      <c r="F1544">
        <v>18</v>
      </c>
      <c r="G1544">
        <v>11</v>
      </c>
      <c r="H1544">
        <v>7</v>
      </c>
      <c r="I1544">
        <v>0.15890000000000001</v>
      </c>
      <c r="J1544">
        <f t="shared" si="24"/>
        <v>0.62932662051604771</v>
      </c>
      <c r="K1544">
        <v>1E-3</v>
      </c>
      <c r="L1544" t="s">
        <v>17</v>
      </c>
      <c r="M1544">
        <v>296</v>
      </c>
      <c r="N1544" t="s">
        <v>553</v>
      </c>
    </row>
    <row r="1545" spans="1:14" ht="17" x14ac:dyDescent="0.25">
      <c r="A1545" t="s">
        <v>1099</v>
      </c>
      <c r="B1545" t="s">
        <v>32</v>
      </c>
      <c r="C1545" s="10">
        <v>20</v>
      </c>
      <c r="D1545">
        <v>12</v>
      </c>
      <c r="E1545">
        <v>9</v>
      </c>
      <c r="F1545">
        <v>19</v>
      </c>
      <c r="G1545">
        <v>12</v>
      </c>
      <c r="H1545">
        <v>8</v>
      </c>
      <c r="I1545">
        <v>0.159</v>
      </c>
      <c r="J1545">
        <f t="shared" si="24"/>
        <v>0.62893081761006298</v>
      </c>
      <c r="K1545">
        <v>1E-3</v>
      </c>
      <c r="L1545" t="s">
        <v>17</v>
      </c>
      <c r="M1545">
        <v>296</v>
      </c>
      <c r="N1545" t="s">
        <v>553</v>
      </c>
    </row>
    <row r="1546" spans="1:14" ht="17" x14ac:dyDescent="0.25">
      <c r="A1546" t="s">
        <v>1099</v>
      </c>
      <c r="B1546" t="s">
        <v>32</v>
      </c>
      <c r="C1546" s="10">
        <v>15</v>
      </c>
      <c r="D1546">
        <v>2</v>
      </c>
      <c r="E1546">
        <v>13</v>
      </c>
      <c r="F1546">
        <v>14</v>
      </c>
      <c r="G1546">
        <v>2</v>
      </c>
      <c r="H1546">
        <v>12</v>
      </c>
      <c r="I1546">
        <v>0.1895</v>
      </c>
      <c r="J1546">
        <f t="shared" si="24"/>
        <v>0.31662269129287596</v>
      </c>
      <c r="K1546">
        <v>5.9999999999999995E-4</v>
      </c>
      <c r="L1546" t="s">
        <v>17</v>
      </c>
      <c r="M1546">
        <v>296</v>
      </c>
      <c r="N1546" t="s">
        <v>553</v>
      </c>
    </row>
    <row r="1547" spans="1:14" ht="17" x14ac:dyDescent="0.25">
      <c r="A1547" t="s">
        <v>1099</v>
      </c>
      <c r="B1547" t="s">
        <v>32</v>
      </c>
      <c r="C1547" s="10">
        <v>16</v>
      </c>
      <c r="D1547">
        <v>4</v>
      </c>
      <c r="E1547">
        <v>13</v>
      </c>
      <c r="F1547">
        <v>15</v>
      </c>
      <c r="G1547">
        <v>4</v>
      </c>
      <c r="H1547">
        <v>12</v>
      </c>
      <c r="I1547">
        <v>0.18129999999999999</v>
      </c>
      <c r="J1547">
        <f t="shared" si="24"/>
        <v>0.2757859900717044</v>
      </c>
      <c r="K1547">
        <v>5.0000000000000001E-4</v>
      </c>
      <c r="L1547" t="s">
        <v>17</v>
      </c>
      <c r="M1547">
        <v>296</v>
      </c>
      <c r="N1547" t="s">
        <v>553</v>
      </c>
    </row>
    <row r="1548" spans="1:14" ht="17" x14ac:dyDescent="0.25">
      <c r="A1548" t="s">
        <v>1099</v>
      </c>
      <c r="B1548" t="s">
        <v>32</v>
      </c>
      <c r="C1548" s="10">
        <v>16</v>
      </c>
      <c r="D1548">
        <v>2</v>
      </c>
      <c r="E1548">
        <v>15</v>
      </c>
      <c r="F1548">
        <v>15</v>
      </c>
      <c r="G1548">
        <v>2</v>
      </c>
      <c r="H1548">
        <v>14</v>
      </c>
      <c r="I1548">
        <v>0.1946</v>
      </c>
      <c r="J1548">
        <f t="shared" si="24"/>
        <v>0.46248715313463518</v>
      </c>
      <c r="K1548">
        <v>8.9999999999999998E-4</v>
      </c>
      <c r="L1548" t="s">
        <v>17</v>
      </c>
      <c r="M1548">
        <v>296</v>
      </c>
      <c r="N1548" t="s">
        <v>553</v>
      </c>
    </row>
    <row r="1549" spans="1:14" ht="17" x14ac:dyDescent="0.25">
      <c r="A1549" t="s">
        <v>1099</v>
      </c>
      <c r="B1549" t="s">
        <v>32</v>
      </c>
      <c r="C1549" s="10">
        <v>16</v>
      </c>
      <c r="D1549">
        <v>3</v>
      </c>
      <c r="E1549">
        <v>14</v>
      </c>
      <c r="F1549">
        <v>15</v>
      </c>
      <c r="G1549">
        <v>3</v>
      </c>
      <c r="H1549">
        <v>13</v>
      </c>
      <c r="I1549">
        <v>0.1782</v>
      </c>
      <c r="J1549">
        <f t="shared" si="24"/>
        <v>0.22446689113355783</v>
      </c>
      <c r="K1549">
        <v>4.0000000000000002E-4</v>
      </c>
      <c r="L1549" t="s">
        <v>17</v>
      </c>
      <c r="M1549">
        <v>296</v>
      </c>
      <c r="N1549" t="s">
        <v>553</v>
      </c>
    </row>
    <row r="1550" spans="1:14" ht="17" x14ac:dyDescent="0.25">
      <c r="A1550" t="s">
        <v>1099</v>
      </c>
      <c r="B1550" t="s">
        <v>32</v>
      </c>
      <c r="C1550" s="10">
        <v>17</v>
      </c>
      <c r="D1550">
        <v>6</v>
      </c>
      <c r="E1550">
        <v>11</v>
      </c>
      <c r="F1550">
        <v>16</v>
      </c>
      <c r="G1550">
        <v>6</v>
      </c>
      <c r="H1550">
        <v>10</v>
      </c>
      <c r="I1550">
        <v>0.1638</v>
      </c>
      <c r="J1550">
        <f t="shared" si="24"/>
        <v>0.30525030525030528</v>
      </c>
      <c r="K1550">
        <v>5.0000000000000001E-4</v>
      </c>
      <c r="L1550" t="s">
        <v>17</v>
      </c>
      <c r="M1550">
        <v>296</v>
      </c>
      <c r="N1550" t="s">
        <v>553</v>
      </c>
    </row>
    <row r="1551" spans="1:14" ht="17" x14ac:dyDescent="0.25">
      <c r="A1551" t="s">
        <v>1099</v>
      </c>
      <c r="B1551" t="s">
        <v>32</v>
      </c>
      <c r="C1551" s="10">
        <v>18</v>
      </c>
      <c r="D1551">
        <v>8</v>
      </c>
      <c r="E1551">
        <v>11</v>
      </c>
      <c r="F1551">
        <v>17</v>
      </c>
      <c r="G1551">
        <v>8</v>
      </c>
      <c r="H1551">
        <v>10</v>
      </c>
      <c r="I1551">
        <v>0.1648</v>
      </c>
      <c r="J1551">
        <f t="shared" si="24"/>
        <v>0.36407766990291257</v>
      </c>
      <c r="K1551">
        <v>5.9999999999999995E-4</v>
      </c>
      <c r="L1551" t="s">
        <v>17</v>
      </c>
      <c r="M1551">
        <v>296</v>
      </c>
      <c r="N1551" t="s">
        <v>553</v>
      </c>
    </row>
    <row r="1552" spans="1:14" ht="17" x14ac:dyDescent="0.25">
      <c r="A1552" t="s">
        <v>1099</v>
      </c>
      <c r="B1552" t="s">
        <v>32</v>
      </c>
      <c r="C1552" s="10">
        <v>17</v>
      </c>
      <c r="D1552">
        <v>0</v>
      </c>
      <c r="E1552">
        <v>17</v>
      </c>
      <c r="F1552">
        <v>16</v>
      </c>
      <c r="G1552">
        <v>0</v>
      </c>
      <c r="H1552">
        <v>16</v>
      </c>
      <c r="I1552">
        <v>0.16700000000000001</v>
      </c>
      <c r="J1552">
        <f t="shared" si="24"/>
        <v>0.23952095808383234</v>
      </c>
      <c r="K1552">
        <v>4.0000000000000002E-4</v>
      </c>
      <c r="L1552" t="s">
        <v>17</v>
      </c>
      <c r="M1552">
        <v>296</v>
      </c>
      <c r="N1552" t="s">
        <v>553</v>
      </c>
    </row>
    <row r="1553" spans="1:14" ht="17" x14ac:dyDescent="0.25">
      <c r="A1553" t="s">
        <v>1099</v>
      </c>
      <c r="B1553" t="s">
        <v>32</v>
      </c>
      <c r="C1553" s="10">
        <v>17</v>
      </c>
      <c r="D1553">
        <v>5</v>
      </c>
      <c r="E1553">
        <v>12</v>
      </c>
      <c r="F1553">
        <v>16</v>
      </c>
      <c r="G1553">
        <v>5</v>
      </c>
      <c r="H1553">
        <v>11</v>
      </c>
      <c r="I1553">
        <v>0.1676</v>
      </c>
      <c r="J1553">
        <f t="shared" si="24"/>
        <v>0.29832935560859186</v>
      </c>
      <c r="K1553">
        <v>5.0000000000000001E-4</v>
      </c>
      <c r="L1553" t="s">
        <v>17</v>
      </c>
      <c r="M1553">
        <v>296</v>
      </c>
      <c r="N1553" t="s">
        <v>553</v>
      </c>
    </row>
    <row r="1554" spans="1:14" ht="17" x14ac:dyDescent="0.25">
      <c r="A1554" t="s">
        <v>1099</v>
      </c>
      <c r="B1554" t="s">
        <v>32</v>
      </c>
      <c r="C1554" s="10">
        <v>21</v>
      </c>
      <c r="D1554">
        <v>12</v>
      </c>
      <c r="E1554">
        <v>9</v>
      </c>
      <c r="F1554">
        <v>20</v>
      </c>
      <c r="G1554">
        <v>12</v>
      </c>
      <c r="H1554">
        <v>8</v>
      </c>
      <c r="I1554">
        <v>0.16900000000000001</v>
      </c>
      <c r="J1554">
        <f t="shared" si="24"/>
        <v>0.94674556213017758</v>
      </c>
      <c r="K1554">
        <v>1.6000000000000001E-3</v>
      </c>
      <c r="L1554" t="s">
        <v>17</v>
      </c>
      <c r="M1554">
        <v>296</v>
      </c>
      <c r="N1554" t="s">
        <v>553</v>
      </c>
    </row>
    <row r="1555" spans="1:14" ht="17" x14ac:dyDescent="0.25">
      <c r="A1555" t="s">
        <v>1099</v>
      </c>
      <c r="B1555" t="s">
        <v>32</v>
      </c>
      <c r="C1555" s="10">
        <v>19</v>
      </c>
      <c r="D1555">
        <v>9</v>
      </c>
      <c r="E1555">
        <v>10</v>
      </c>
      <c r="F1555">
        <v>18</v>
      </c>
      <c r="G1555">
        <v>9</v>
      </c>
      <c r="H1555">
        <v>9</v>
      </c>
      <c r="I1555">
        <v>0.16070000000000001</v>
      </c>
      <c r="J1555">
        <f t="shared" si="24"/>
        <v>0.49782202862476665</v>
      </c>
      <c r="K1555">
        <v>8.0000000000000004E-4</v>
      </c>
      <c r="L1555" t="s">
        <v>17</v>
      </c>
      <c r="M1555">
        <v>296</v>
      </c>
      <c r="N1555" t="s">
        <v>553</v>
      </c>
    </row>
    <row r="1556" spans="1:14" ht="17" x14ac:dyDescent="0.25">
      <c r="A1556" t="s">
        <v>1099</v>
      </c>
      <c r="B1556" t="s">
        <v>32</v>
      </c>
      <c r="C1556" s="10">
        <v>22</v>
      </c>
      <c r="D1556">
        <v>13</v>
      </c>
      <c r="E1556">
        <v>10</v>
      </c>
      <c r="F1556">
        <v>21</v>
      </c>
      <c r="G1556">
        <v>13</v>
      </c>
      <c r="H1556">
        <v>9</v>
      </c>
      <c r="I1556">
        <v>0.1739</v>
      </c>
      <c r="J1556">
        <f t="shared" si="24"/>
        <v>0.97757331799884983</v>
      </c>
      <c r="K1556">
        <v>1.6999999999999999E-3</v>
      </c>
      <c r="L1556" t="s">
        <v>17</v>
      </c>
      <c r="M1556">
        <v>296</v>
      </c>
      <c r="N1556" t="s">
        <v>553</v>
      </c>
    </row>
    <row r="1557" spans="1:14" ht="17" x14ac:dyDescent="0.25">
      <c r="A1557" t="s">
        <v>1099</v>
      </c>
      <c r="B1557" t="s">
        <v>32</v>
      </c>
      <c r="C1557" s="10">
        <v>18</v>
      </c>
      <c r="D1557">
        <v>1</v>
      </c>
      <c r="E1557">
        <v>18</v>
      </c>
      <c r="F1557">
        <v>17</v>
      </c>
      <c r="G1557">
        <v>1</v>
      </c>
      <c r="H1557">
        <v>17</v>
      </c>
      <c r="I1557">
        <v>0.1628</v>
      </c>
      <c r="J1557">
        <f t="shared" si="24"/>
        <v>0.18427518427518427</v>
      </c>
      <c r="K1557">
        <v>2.9999999999999997E-4</v>
      </c>
      <c r="L1557" t="s">
        <v>17</v>
      </c>
      <c r="M1557">
        <v>296</v>
      </c>
      <c r="N1557" t="s">
        <v>553</v>
      </c>
    </row>
    <row r="1558" spans="1:14" ht="17" x14ac:dyDescent="0.25">
      <c r="A1558" t="s">
        <v>1099</v>
      </c>
      <c r="B1558" t="s">
        <v>32</v>
      </c>
      <c r="C1558" s="10">
        <v>18</v>
      </c>
      <c r="D1558">
        <v>6</v>
      </c>
      <c r="E1558">
        <v>13</v>
      </c>
      <c r="F1558">
        <v>17</v>
      </c>
      <c r="G1558">
        <v>6</v>
      </c>
      <c r="H1558">
        <v>12</v>
      </c>
      <c r="I1558">
        <v>0.1704</v>
      </c>
      <c r="J1558">
        <f t="shared" si="24"/>
        <v>0.23474178403755869</v>
      </c>
      <c r="K1558">
        <v>4.0000000000000002E-4</v>
      </c>
      <c r="L1558" t="s">
        <v>17</v>
      </c>
      <c r="M1558">
        <v>296</v>
      </c>
      <c r="N1558" t="s">
        <v>553</v>
      </c>
    </row>
    <row r="1559" spans="1:14" ht="17" x14ac:dyDescent="0.25">
      <c r="A1559" t="s">
        <v>1099</v>
      </c>
      <c r="B1559" t="s">
        <v>32</v>
      </c>
      <c r="C1559" s="10">
        <v>19</v>
      </c>
      <c r="D1559">
        <v>8</v>
      </c>
      <c r="E1559">
        <v>11</v>
      </c>
      <c r="F1559">
        <v>18</v>
      </c>
      <c r="G1559">
        <v>8</v>
      </c>
      <c r="H1559">
        <v>10</v>
      </c>
      <c r="I1559">
        <v>0.17499999999999999</v>
      </c>
      <c r="J1559">
        <f t="shared" si="24"/>
        <v>0.34285714285714286</v>
      </c>
      <c r="K1559">
        <v>5.9999999999999995E-4</v>
      </c>
      <c r="L1559" t="s">
        <v>17</v>
      </c>
      <c r="M1559">
        <v>296</v>
      </c>
      <c r="N1559" t="s">
        <v>553</v>
      </c>
    </row>
    <row r="1560" spans="1:14" ht="17" x14ac:dyDescent="0.25">
      <c r="A1560" t="s">
        <v>1099</v>
      </c>
      <c r="B1560" t="s">
        <v>32</v>
      </c>
      <c r="C1560" s="10">
        <v>17</v>
      </c>
      <c r="D1560">
        <v>3</v>
      </c>
      <c r="E1560">
        <v>14</v>
      </c>
      <c r="F1560">
        <v>16</v>
      </c>
      <c r="G1560">
        <v>3</v>
      </c>
      <c r="H1560">
        <v>13</v>
      </c>
      <c r="I1560">
        <v>0.17829999999999999</v>
      </c>
      <c r="J1560">
        <f t="shared" si="24"/>
        <v>0.16825574873808188</v>
      </c>
      <c r="K1560">
        <v>2.9999999999999997E-4</v>
      </c>
      <c r="L1560" t="s">
        <v>17</v>
      </c>
      <c r="M1560">
        <v>296</v>
      </c>
      <c r="N1560" t="s">
        <v>553</v>
      </c>
    </row>
    <row r="1561" spans="1:14" ht="17" x14ac:dyDescent="0.25">
      <c r="A1561" t="s">
        <v>1099</v>
      </c>
      <c r="B1561" t="s">
        <v>32</v>
      </c>
      <c r="C1561" s="10">
        <v>21</v>
      </c>
      <c r="D1561">
        <v>11</v>
      </c>
      <c r="E1561">
        <v>10</v>
      </c>
      <c r="F1561">
        <v>20</v>
      </c>
      <c r="G1561">
        <v>11</v>
      </c>
      <c r="H1561">
        <v>9</v>
      </c>
      <c r="I1561">
        <v>0.1666</v>
      </c>
      <c r="J1561">
        <f t="shared" si="24"/>
        <v>0.60024009603841544</v>
      </c>
      <c r="K1561">
        <v>1E-3</v>
      </c>
      <c r="L1561" t="s">
        <v>17</v>
      </c>
      <c r="M1561">
        <v>296</v>
      </c>
      <c r="N1561" t="s">
        <v>553</v>
      </c>
    </row>
    <row r="1562" spans="1:14" ht="17" x14ac:dyDescent="0.25">
      <c r="A1562" t="s">
        <v>1099</v>
      </c>
      <c r="B1562" t="s">
        <v>32</v>
      </c>
      <c r="C1562" s="10">
        <v>17</v>
      </c>
      <c r="D1562">
        <v>1</v>
      </c>
      <c r="E1562">
        <v>16</v>
      </c>
      <c r="F1562">
        <v>16</v>
      </c>
      <c r="G1562">
        <v>1</v>
      </c>
      <c r="H1562">
        <v>15</v>
      </c>
      <c r="I1562">
        <v>0.18049999999999999</v>
      </c>
      <c r="J1562">
        <f t="shared" si="24"/>
        <v>0.2770083102493075</v>
      </c>
      <c r="K1562">
        <v>5.0000000000000001E-4</v>
      </c>
      <c r="L1562" t="s">
        <v>17</v>
      </c>
      <c r="M1562">
        <v>296</v>
      </c>
      <c r="N1562" t="s">
        <v>553</v>
      </c>
    </row>
    <row r="1563" spans="1:14" ht="17" x14ac:dyDescent="0.25">
      <c r="A1563" t="s">
        <v>1099</v>
      </c>
      <c r="B1563" t="s">
        <v>32</v>
      </c>
      <c r="C1563" s="10">
        <v>18</v>
      </c>
      <c r="D1563">
        <v>5</v>
      </c>
      <c r="E1563">
        <v>14</v>
      </c>
      <c r="F1563">
        <v>17</v>
      </c>
      <c r="G1563">
        <v>5</v>
      </c>
      <c r="H1563">
        <v>13</v>
      </c>
      <c r="I1563">
        <v>0.17699999999999999</v>
      </c>
      <c r="J1563">
        <f t="shared" si="24"/>
        <v>0.16949152542372881</v>
      </c>
      <c r="K1563">
        <v>2.9999999999999997E-4</v>
      </c>
      <c r="L1563" t="s">
        <v>17</v>
      </c>
      <c r="M1563">
        <v>296</v>
      </c>
      <c r="N1563" t="s">
        <v>553</v>
      </c>
    </row>
    <row r="1564" spans="1:14" ht="17" x14ac:dyDescent="0.25">
      <c r="A1564" t="s">
        <v>1099</v>
      </c>
      <c r="B1564" t="s">
        <v>32</v>
      </c>
      <c r="C1564" s="10">
        <v>22</v>
      </c>
      <c r="D1564">
        <v>12</v>
      </c>
      <c r="E1564">
        <v>11</v>
      </c>
      <c r="F1564">
        <v>21</v>
      </c>
      <c r="G1564">
        <v>12</v>
      </c>
      <c r="H1564">
        <v>10</v>
      </c>
      <c r="I1564">
        <v>0.14649999999999999</v>
      </c>
      <c r="J1564">
        <f t="shared" si="24"/>
        <v>0.68259385665529015</v>
      </c>
      <c r="K1564">
        <v>1E-3</v>
      </c>
      <c r="L1564" t="s">
        <v>17</v>
      </c>
      <c r="M1564">
        <v>296</v>
      </c>
      <c r="N1564" t="s">
        <v>553</v>
      </c>
    </row>
    <row r="1565" spans="1:14" ht="17" x14ac:dyDescent="0.25">
      <c r="A1565" t="s">
        <v>1099</v>
      </c>
      <c r="B1565" t="s">
        <v>32</v>
      </c>
      <c r="C1565" s="10">
        <v>20</v>
      </c>
      <c r="D1565">
        <v>9</v>
      </c>
      <c r="E1565">
        <v>12</v>
      </c>
      <c r="F1565">
        <v>19</v>
      </c>
      <c r="G1565">
        <v>9</v>
      </c>
      <c r="H1565">
        <v>11</v>
      </c>
      <c r="I1565">
        <v>0.1777</v>
      </c>
      <c r="J1565">
        <f t="shared" si="24"/>
        <v>0.39392234102419804</v>
      </c>
      <c r="K1565">
        <v>6.9999999999999999E-4</v>
      </c>
      <c r="L1565" t="s">
        <v>17</v>
      </c>
      <c r="M1565">
        <v>296</v>
      </c>
      <c r="N1565" t="s">
        <v>553</v>
      </c>
    </row>
    <row r="1566" spans="1:14" ht="17" x14ac:dyDescent="0.25">
      <c r="A1566" t="s">
        <v>1099</v>
      </c>
      <c r="B1566" t="s">
        <v>32</v>
      </c>
      <c r="C1566" s="10">
        <v>18</v>
      </c>
      <c r="D1566">
        <v>2</v>
      </c>
      <c r="E1566">
        <v>17</v>
      </c>
      <c r="F1566">
        <v>17</v>
      </c>
      <c r="G1566">
        <v>2</v>
      </c>
      <c r="H1566">
        <v>16</v>
      </c>
      <c r="I1566">
        <v>0.1694</v>
      </c>
      <c r="J1566">
        <f t="shared" si="24"/>
        <v>0.64935064935064934</v>
      </c>
      <c r="K1566">
        <v>1.1000000000000001E-3</v>
      </c>
      <c r="L1566" t="s">
        <v>17</v>
      </c>
      <c r="M1566">
        <v>296</v>
      </c>
      <c r="N1566" t="s">
        <v>553</v>
      </c>
    </row>
    <row r="1567" spans="1:14" ht="17" x14ac:dyDescent="0.25">
      <c r="A1567" t="s">
        <v>1099</v>
      </c>
      <c r="B1567" t="s">
        <v>32</v>
      </c>
      <c r="C1567" s="10">
        <v>17</v>
      </c>
      <c r="D1567">
        <v>2</v>
      </c>
      <c r="E1567">
        <v>15</v>
      </c>
      <c r="F1567">
        <v>16</v>
      </c>
      <c r="G1567">
        <v>2</v>
      </c>
      <c r="H1567">
        <v>14</v>
      </c>
      <c r="I1567">
        <v>0.1855</v>
      </c>
      <c r="J1567">
        <f t="shared" si="24"/>
        <v>0.37735849056603776</v>
      </c>
      <c r="K1567">
        <v>6.9999999999999999E-4</v>
      </c>
      <c r="L1567" t="s">
        <v>17</v>
      </c>
      <c r="M1567">
        <v>296</v>
      </c>
      <c r="N1567" t="s">
        <v>553</v>
      </c>
    </row>
    <row r="1568" spans="1:14" ht="17" x14ac:dyDescent="0.25">
      <c r="A1568" t="s">
        <v>1099</v>
      </c>
      <c r="B1568" t="s">
        <v>32</v>
      </c>
      <c r="C1568" s="10">
        <v>18</v>
      </c>
      <c r="D1568">
        <v>4</v>
      </c>
      <c r="E1568">
        <v>15</v>
      </c>
      <c r="F1568">
        <v>17</v>
      </c>
      <c r="G1568">
        <v>4</v>
      </c>
      <c r="H1568">
        <v>14</v>
      </c>
      <c r="I1568">
        <v>0.17199999999999999</v>
      </c>
      <c r="J1568">
        <f t="shared" si="24"/>
        <v>0.23255813953488377</v>
      </c>
      <c r="K1568">
        <v>4.0000000000000002E-4</v>
      </c>
      <c r="L1568" t="s">
        <v>17</v>
      </c>
      <c r="M1568">
        <v>296</v>
      </c>
      <c r="N1568" t="s">
        <v>553</v>
      </c>
    </row>
    <row r="1569" spans="1:14" ht="17" x14ac:dyDescent="0.25">
      <c r="A1569" t="s">
        <v>1099</v>
      </c>
      <c r="B1569" t="s">
        <v>32</v>
      </c>
      <c r="C1569" s="10">
        <v>21</v>
      </c>
      <c r="D1569">
        <v>10</v>
      </c>
      <c r="E1569">
        <v>11</v>
      </c>
      <c r="F1569">
        <v>20</v>
      </c>
      <c r="G1569">
        <v>10</v>
      </c>
      <c r="H1569">
        <v>10</v>
      </c>
      <c r="I1569">
        <v>0.17499999999999999</v>
      </c>
      <c r="J1569">
        <f t="shared" si="24"/>
        <v>0.51428571428571435</v>
      </c>
      <c r="K1569">
        <v>8.9999999999999998E-4</v>
      </c>
      <c r="L1569" t="s">
        <v>17</v>
      </c>
      <c r="M1569">
        <v>296</v>
      </c>
      <c r="N1569" t="s">
        <v>553</v>
      </c>
    </row>
    <row r="1570" spans="1:14" ht="17" x14ac:dyDescent="0.25">
      <c r="A1570" t="s">
        <v>1099</v>
      </c>
      <c r="B1570" t="s">
        <v>32</v>
      </c>
      <c r="C1570" s="10">
        <v>18</v>
      </c>
      <c r="D1570">
        <v>3</v>
      </c>
      <c r="E1570">
        <v>16</v>
      </c>
      <c r="F1570">
        <v>17</v>
      </c>
      <c r="G1570">
        <v>3</v>
      </c>
      <c r="H1570">
        <v>15</v>
      </c>
      <c r="I1570">
        <v>0.17799999999999999</v>
      </c>
      <c r="J1570">
        <f t="shared" si="24"/>
        <v>0.2808988764044944</v>
      </c>
      <c r="K1570">
        <v>5.0000000000000001E-4</v>
      </c>
      <c r="L1570" t="s">
        <v>17</v>
      </c>
      <c r="M1570">
        <v>296</v>
      </c>
      <c r="N1570" t="s">
        <v>553</v>
      </c>
    </row>
    <row r="1571" spans="1:14" ht="17" x14ac:dyDescent="0.25">
      <c r="A1571" t="s">
        <v>1099</v>
      </c>
      <c r="B1571" t="s">
        <v>32</v>
      </c>
      <c r="C1571" s="10">
        <v>19</v>
      </c>
      <c r="D1571">
        <v>0</v>
      </c>
      <c r="E1571">
        <v>19</v>
      </c>
      <c r="F1571">
        <v>18</v>
      </c>
      <c r="G1571">
        <v>0</v>
      </c>
      <c r="H1571">
        <v>18</v>
      </c>
      <c r="I1571">
        <v>0.16819999999999999</v>
      </c>
      <c r="J1571">
        <f t="shared" si="24"/>
        <v>0.178359096313912</v>
      </c>
      <c r="K1571">
        <v>2.9999999999999997E-4</v>
      </c>
      <c r="L1571" t="s">
        <v>17</v>
      </c>
      <c r="M1571">
        <v>296</v>
      </c>
      <c r="N1571" t="s">
        <v>553</v>
      </c>
    </row>
    <row r="1572" spans="1:14" ht="17" x14ac:dyDescent="0.25">
      <c r="A1572" t="s">
        <v>1099</v>
      </c>
      <c r="B1572" t="s">
        <v>32</v>
      </c>
      <c r="C1572" s="10">
        <v>19</v>
      </c>
      <c r="D1572">
        <v>6</v>
      </c>
      <c r="E1572">
        <v>13</v>
      </c>
      <c r="F1572">
        <v>18</v>
      </c>
      <c r="G1572">
        <v>6</v>
      </c>
      <c r="H1572">
        <v>12</v>
      </c>
      <c r="I1572">
        <v>0.1648</v>
      </c>
      <c r="J1572">
        <f t="shared" si="24"/>
        <v>0.30339805825242716</v>
      </c>
      <c r="K1572">
        <v>5.0000000000000001E-4</v>
      </c>
      <c r="L1572" t="s">
        <v>17</v>
      </c>
      <c r="M1572">
        <v>296</v>
      </c>
      <c r="N1572" t="s">
        <v>553</v>
      </c>
    </row>
    <row r="1573" spans="1:14" ht="17" x14ac:dyDescent="0.25">
      <c r="A1573" t="s">
        <v>1099</v>
      </c>
      <c r="B1573" t="s">
        <v>32</v>
      </c>
      <c r="C1573" s="10">
        <v>20</v>
      </c>
      <c r="D1573">
        <v>8</v>
      </c>
      <c r="E1573">
        <v>13</v>
      </c>
      <c r="F1573">
        <v>19</v>
      </c>
      <c r="G1573">
        <v>8</v>
      </c>
      <c r="H1573">
        <v>12</v>
      </c>
      <c r="I1573">
        <v>0.16839999999999999</v>
      </c>
      <c r="J1573">
        <f t="shared" si="24"/>
        <v>0.29691211401425183</v>
      </c>
      <c r="K1573">
        <v>5.0000000000000001E-4</v>
      </c>
      <c r="L1573" t="s">
        <v>17</v>
      </c>
      <c r="M1573">
        <v>296</v>
      </c>
      <c r="N1573" t="s">
        <v>553</v>
      </c>
    </row>
    <row r="1574" spans="1:14" ht="17" x14ac:dyDescent="0.25">
      <c r="A1574" t="s">
        <v>1099</v>
      </c>
      <c r="B1574" t="s">
        <v>32</v>
      </c>
      <c r="C1574" s="10">
        <v>19</v>
      </c>
      <c r="D1574">
        <v>5</v>
      </c>
      <c r="E1574">
        <v>14</v>
      </c>
      <c r="F1574">
        <v>18</v>
      </c>
      <c r="G1574">
        <v>5</v>
      </c>
      <c r="H1574">
        <v>13</v>
      </c>
      <c r="I1574">
        <v>0.16969999999999999</v>
      </c>
      <c r="J1574">
        <f t="shared" si="24"/>
        <v>0.35356511490866233</v>
      </c>
      <c r="K1574">
        <v>5.9999999999999995E-4</v>
      </c>
      <c r="L1574" t="s">
        <v>17</v>
      </c>
      <c r="M1574">
        <v>296</v>
      </c>
      <c r="N1574" t="s">
        <v>553</v>
      </c>
    </row>
    <row r="1575" spans="1:14" ht="17" x14ac:dyDescent="0.25">
      <c r="A1575" t="s">
        <v>1099</v>
      </c>
      <c r="B1575" t="s">
        <v>32</v>
      </c>
      <c r="C1575" s="10">
        <v>21</v>
      </c>
      <c r="D1575">
        <v>9</v>
      </c>
      <c r="E1575">
        <v>12</v>
      </c>
      <c r="F1575">
        <v>20</v>
      </c>
      <c r="G1575">
        <v>9</v>
      </c>
      <c r="H1575">
        <v>11</v>
      </c>
      <c r="I1575">
        <v>0.17519999999999999</v>
      </c>
      <c r="J1575">
        <f t="shared" si="24"/>
        <v>0.45662100456621013</v>
      </c>
      <c r="K1575">
        <v>8.0000000000000004E-4</v>
      </c>
      <c r="L1575" t="s">
        <v>17</v>
      </c>
      <c r="M1575">
        <v>296</v>
      </c>
      <c r="N1575" t="s">
        <v>553</v>
      </c>
    </row>
    <row r="1576" spans="1:14" ht="17" x14ac:dyDescent="0.25">
      <c r="A1576" t="s">
        <v>1099</v>
      </c>
      <c r="B1576" t="s">
        <v>32</v>
      </c>
      <c r="C1576" s="10">
        <v>20</v>
      </c>
      <c r="D1576">
        <v>1</v>
      </c>
      <c r="E1576">
        <v>20</v>
      </c>
      <c r="F1576">
        <v>19</v>
      </c>
      <c r="G1576">
        <v>1</v>
      </c>
      <c r="H1576">
        <v>19</v>
      </c>
      <c r="I1576">
        <v>0.16350000000000001</v>
      </c>
      <c r="J1576">
        <f t="shared" si="24"/>
        <v>0.18348623853211005</v>
      </c>
      <c r="K1576">
        <v>2.9999999999999997E-4</v>
      </c>
      <c r="L1576" t="s">
        <v>17</v>
      </c>
      <c r="M1576">
        <v>296</v>
      </c>
      <c r="N1576" t="s">
        <v>553</v>
      </c>
    </row>
    <row r="1577" spans="1:14" ht="17" x14ac:dyDescent="0.25">
      <c r="A1577" t="s">
        <v>1099</v>
      </c>
      <c r="B1577" t="s">
        <v>32</v>
      </c>
      <c r="C1577" s="10">
        <v>19</v>
      </c>
      <c r="D1577">
        <v>4</v>
      </c>
      <c r="E1577">
        <v>15</v>
      </c>
      <c r="F1577">
        <v>18</v>
      </c>
      <c r="G1577">
        <v>4</v>
      </c>
      <c r="H1577">
        <v>14</v>
      </c>
      <c r="I1577">
        <v>0.17460000000000001</v>
      </c>
      <c r="J1577">
        <f t="shared" si="24"/>
        <v>0.22909507445589922</v>
      </c>
      <c r="K1577">
        <v>4.0000000000000002E-4</v>
      </c>
      <c r="L1577" t="s">
        <v>17</v>
      </c>
      <c r="M1577">
        <v>296</v>
      </c>
      <c r="N1577" t="s">
        <v>553</v>
      </c>
    </row>
    <row r="1578" spans="1:14" ht="17" x14ac:dyDescent="0.25">
      <c r="A1578" t="s">
        <v>1099</v>
      </c>
      <c r="B1578" t="s">
        <v>32</v>
      </c>
      <c r="C1578" s="10">
        <v>22</v>
      </c>
      <c r="D1578">
        <v>10</v>
      </c>
      <c r="E1578">
        <v>13</v>
      </c>
      <c r="F1578">
        <v>21</v>
      </c>
      <c r="G1578">
        <v>10</v>
      </c>
      <c r="H1578">
        <v>12</v>
      </c>
      <c r="I1578">
        <v>0.16039999999999999</v>
      </c>
      <c r="J1578">
        <f t="shared" si="24"/>
        <v>0.56109725685785539</v>
      </c>
      <c r="K1578">
        <v>8.9999999999999998E-4</v>
      </c>
      <c r="L1578" t="s">
        <v>17</v>
      </c>
      <c r="M1578">
        <v>296</v>
      </c>
      <c r="N1578" t="s">
        <v>553</v>
      </c>
    </row>
    <row r="1579" spans="1:14" ht="17" x14ac:dyDescent="0.25">
      <c r="A1579" t="s">
        <v>1099</v>
      </c>
      <c r="B1579" t="s">
        <v>32</v>
      </c>
      <c r="C1579" s="10">
        <v>20</v>
      </c>
      <c r="D1579">
        <v>6</v>
      </c>
      <c r="E1579">
        <v>15</v>
      </c>
      <c r="F1579">
        <v>19</v>
      </c>
      <c r="G1579">
        <v>6</v>
      </c>
      <c r="H1579">
        <v>14</v>
      </c>
      <c r="I1579">
        <v>0.16830000000000001</v>
      </c>
      <c r="J1579">
        <f t="shared" si="24"/>
        <v>0.53475935828876997</v>
      </c>
      <c r="K1579">
        <v>8.9999999999999998E-4</v>
      </c>
      <c r="L1579" t="s">
        <v>17</v>
      </c>
      <c r="M1579">
        <v>296</v>
      </c>
      <c r="N1579" t="s">
        <v>553</v>
      </c>
    </row>
    <row r="1580" spans="1:14" ht="17" x14ac:dyDescent="0.25">
      <c r="A1580" t="s">
        <v>1099</v>
      </c>
      <c r="B1580" t="s">
        <v>32</v>
      </c>
      <c r="C1580" s="10">
        <v>21</v>
      </c>
      <c r="D1580">
        <v>8</v>
      </c>
      <c r="E1580">
        <v>13</v>
      </c>
      <c r="F1580">
        <v>20</v>
      </c>
      <c r="G1580">
        <v>8</v>
      </c>
      <c r="H1580">
        <v>12</v>
      </c>
      <c r="I1580">
        <v>0.1807</v>
      </c>
      <c r="J1580">
        <f t="shared" si="24"/>
        <v>0.94078583287216389</v>
      </c>
      <c r="K1580">
        <v>1.6999999999999999E-3</v>
      </c>
      <c r="L1580" t="s">
        <v>17</v>
      </c>
      <c r="M1580">
        <v>296</v>
      </c>
      <c r="N1580" t="s">
        <v>553</v>
      </c>
    </row>
    <row r="1581" spans="1:14" ht="17" x14ac:dyDescent="0.25">
      <c r="A1581" t="s">
        <v>1099</v>
      </c>
      <c r="B1581" t="s">
        <v>32</v>
      </c>
      <c r="C1581" s="10">
        <v>19</v>
      </c>
      <c r="D1581">
        <v>1</v>
      </c>
      <c r="E1581">
        <v>18</v>
      </c>
      <c r="F1581">
        <v>18</v>
      </c>
      <c r="G1581">
        <v>1</v>
      </c>
      <c r="H1581">
        <v>17</v>
      </c>
      <c r="I1581">
        <v>0.17810000000000001</v>
      </c>
      <c r="J1581">
        <f t="shared" si="24"/>
        <v>0.50533408197641771</v>
      </c>
      <c r="K1581">
        <v>8.9999999999999998E-4</v>
      </c>
      <c r="L1581" t="s">
        <v>17</v>
      </c>
      <c r="M1581">
        <v>296</v>
      </c>
      <c r="N1581" t="s">
        <v>553</v>
      </c>
    </row>
    <row r="1582" spans="1:14" ht="17" x14ac:dyDescent="0.25">
      <c r="A1582" t="s">
        <v>1099</v>
      </c>
      <c r="B1582" t="s">
        <v>32</v>
      </c>
      <c r="C1582" s="10">
        <v>23</v>
      </c>
      <c r="D1582">
        <v>11</v>
      </c>
      <c r="E1582">
        <v>12</v>
      </c>
      <c r="F1582">
        <v>22</v>
      </c>
      <c r="G1582">
        <v>11</v>
      </c>
      <c r="H1582">
        <v>11</v>
      </c>
      <c r="I1582">
        <v>0.14699999999999999</v>
      </c>
      <c r="J1582">
        <f t="shared" si="24"/>
        <v>0.6802721088435375</v>
      </c>
      <c r="K1582">
        <v>1E-3</v>
      </c>
      <c r="L1582" t="s">
        <v>17</v>
      </c>
      <c r="M1582">
        <v>296</v>
      </c>
      <c r="N1582" t="s">
        <v>553</v>
      </c>
    </row>
    <row r="1583" spans="1:14" ht="17" x14ac:dyDescent="0.25">
      <c r="A1583" t="s">
        <v>1099</v>
      </c>
      <c r="B1583" t="s">
        <v>32</v>
      </c>
      <c r="C1583" s="10">
        <v>19</v>
      </c>
      <c r="D1583">
        <v>3</v>
      </c>
      <c r="E1583">
        <v>16</v>
      </c>
      <c r="F1583">
        <v>18</v>
      </c>
      <c r="G1583">
        <v>3</v>
      </c>
      <c r="H1583">
        <v>15</v>
      </c>
      <c r="I1583">
        <v>0.1835</v>
      </c>
      <c r="J1583">
        <f t="shared" si="24"/>
        <v>0.326975476839237</v>
      </c>
      <c r="K1583">
        <v>5.9999999999999995E-4</v>
      </c>
      <c r="L1583" t="s">
        <v>17</v>
      </c>
      <c r="M1583">
        <v>296</v>
      </c>
      <c r="N1583" t="s">
        <v>553</v>
      </c>
    </row>
    <row r="1584" spans="1:14" ht="17" x14ac:dyDescent="0.25">
      <c r="A1584" t="s">
        <v>1099</v>
      </c>
      <c r="B1584" t="s">
        <v>32</v>
      </c>
      <c r="C1584" s="10">
        <v>20</v>
      </c>
      <c r="D1584">
        <v>5</v>
      </c>
      <c r="E1584">
        <v>16</v>
      </c>
      <c r="F1584">
        <v>19</v>
      </c>
      <c r="G1584">
        <v>5</v>
      </c>
      <c r="H1584">
        <v>15</v>
      </c>
      <c r="I1584">
        <v>0.1797</v>
      </c>
      <c r="J1584">
        <f t="shared" si="24"/>
        <v>0.22259321090706735</v>
      </c>
      <c r="K1584">
        <v>4.0000000000000002E-4</v>
      </c>
      <c r="L1584" t="s">
        <v>17</v>
      </c>
      <c r="M1584">
        <v>296</v>
      </c>
      <c r="N1584" t="s">
        <v>553</v>
      </c>
    </row>
    <row r="1585" spans="1:14" ht="17" x14ac:dyDescent="0.25">
      <c r="A1585" t="s">
        <v>1099</v>
      </c>
      <c r="B1585" t="s">
        <v>32</v>
      </c>
      <c r="C1585" s="10">
        <v>21</v>
      </c>
      <c r="D1585">
        <v>7</v>
      </c>
      <c r="E1585">
        <v>14</v>
      </c>
      <c r="F1585">
        <v>20</v>
      </c>
      <c r="G1585">
        <v>7</v>
      </c>
      <c r="H1585">
        <v>13</v>
      </c>
      <c r="I1585">
        <v>0.1696</v>
      </c>
      <c r="J1585">
        <f t="shared" si="24"/>
        <v>0.41273584905660377</v>
      </c>
      <c r="K1585">
        <v>6.9999999999999999E-4</v>
      </c>
      <c r="L1585" t="s">
        <v>17</v>
      </c>
      <c r="M1585">
        <v>296</v>
      </c>
      <c r="N1585" t="s">
        <v>553</v>
      </c>
    </row>
    <row r="1586" spans="1:14" ht="17" x14ac:dyDescent="0.25">
      <c r="A1586" t="s">
        <v>1099</v>
      </c>
      <c r="B1586" t="s">
        <v>32</v>
      </c>
      <c r="C1586" s="10">
        <v>21</v>
      </c>
      <c r="D1586">
        <v>0</v>
      </c>
      <c r="E1586">
        <v>21</v>
      </c>
      <c r="F1586">
        <v>20</v>
      </c>
      <c r="G1586">
        <v>0</v>
      </c>
      <c r="H1586">
        <v>20</v>
      </c>
      <c r="I1586">
        <v>0.15590000000000001</v>
      </c>
      <c r="J1586">
        <f t="shared" si="24"/>
        <v>0.32071840923669015</v>
      </c>
      <c r="K1586">
        <v>5.0000000000000001E-4</v>
      </c>
      <c r="L1586" t="s">
        <v>17</v>
      </c>
      <c r="M1586">
        <v>296</v>
      </c>
      <c r="N1586" t="s">
        <v>553</v>
      </c>
    </row>
    <row r="1587" spans="1:14" ht="17" x14ac:dyDescent="0.25">
      <c r="A1587" t="s">
        <v>1099</v>
      </c>
      <c r="B1587" t="s">
        <v>32</v>
      </c>
      <c r="C1587" s="10">
        <v>20</v>
      </c>
      <c r="D1587">
        <v>4</v>
      </c>
      <c r="E1587">
        <v>17</v>
      </c>
      <c r="F1587">
        <v>19</v>
      </c>
      <c r="G1587">
        <v>4</v>
      </c>
      <c r="H1587">
        <v>16</v>
      </c>
      <c r="I1587">
        <v>0.1777</v>
      </c>
      <c r="J1587">
        <f t="shared" si="24"/>
        <v>0.45019696117051211</v>
      </c>
      <c r="K1587">
        <v>8.0000000000000004E-4</v>
      </c>
      <c r="L1587" t="s">
        <v>17</v>
      </c>
      <c r="M1587">
        <v>296</v>
      </c>
      <c r="N1587" t="s">
        <v>553</v>
      </c>
    </row>
    <row r="1588" spans="1:14" ht="17" x14ac:dyDescent="0.25">
      <c r="A1588" t="s">
        <v>1099</v>
      </c>
      <c r="B1588" t="s">
        <v>32</v>
      </c>
      <c r="C1588" s="10">
        <v>19</v>
      </c>
      <c r="D1588">
        <v>2</v>
      </c>
      <c r="E1588">
        <v>17</v>
      </c>
      <c r="F1588">
        <v>18</v>
      </c>
      <c r="G1588">
        <v>2</v>
      </c>
      <c r="H1588">
        <v>16</v>
      </c>
      <c r="I1588">
        <v>0.20569999999999999</v>
      </c>
      <c r="J1588">
        <f t="shared" si="24"/>
        <v>0.38891589693728734</v>
      </c>
      <c r="K1588">
        <v>8.0000000000000004E-4</v>
      </c>
      <c r="L1588" t="s">
        <v>17</v>
      </c>
      <c r="M1588">
        <v>296</v>
      </c>
      <c r="N1588" t="s">
        <v>553</v>
      </c>
    </row>
    <row r="1589" spans="1:14" ht="17" x14ac:dyDescent="0.25">
      <c r="A1589" t="s">
        <v>1099</v>
      </c>
      <c r="B1589" t="s">
        <v>32</v>
      </c>
      <c r="C1589" s="10">
        <v>20</v>
      </c>
      <c r="D1589">
        <v>3</v>
      </c>
      <c r="E1589">
        <v>18</v>
      </c>
      <c r="F1589">
        <v>19</v>
      </c>
      <c r="G1589">
        <v>3</v>
      </c>
      <c r="H1589">
        <v>17</v>
      </c>
      <c r="I1589">
        <v>0.1779</v>
      </c>
      <c r="J1589">
        <f t="shared" si="24"/>
        <v>0.44969083754918493</v>
      </c>
      <c r="K1589">
        <v>8.0000000000000004E-4</v>
      </c>
      <c r="L1589" t="s">
        <v>17</v>
      </c>
      <c r="M1589">
        <v>296</v>
      </c>
      <c r="N1589" t="s">
        <v>553</v>
      </c>
    </row>
    <row r="1590" spans="1:14" ht="17" x14ac:dyDescent="0.25">
      <c r="A1590" t="s">
        <v>1099</v>
      </c>
      <c r="B1590" t="s">
        <v>32</v>
      </c>
      <c r="C1590" s="10">
        <v>21</v>
      </c>
      <c r="D1590">
        <v>6</v>
      </c>
      <c r="E1590">
        <v>15</v>
      </c>
      <c r="F1590">
        <v>20</v>
      </c>
      <c r="G1590">
        <v>6</v>
      </c>
      <c r="H1590">
        <v>14</v>
      </c>
      <c r="I1590">
        <v>0.15679999999999999</v>
      </c>
      <c r="J1590">
        <f t="shared" si="24"/>
        <v>0.4464285714285714</v>
      </c>
      <c r="K1590">
        <v>6.9999999999999999E-4</v>
      </c>
      <c r="L1590" t="s">
        <v>17</v>
      </c>
      <c r="M1590">
        <v>296</v>
      </c>
      <c r="N1590" t="s">
        <v>553</v>
      </c>
    </row>
    <row r="1591" spans="1:14" ht="17" x14ac:dyDescent="0.25">
      <c r="A1591" t="s">
        <v>1099</v>
      </c>
      <c r="B1591" t="s">
        <v>32</v>
      </c>
      <c r="C1591" s="10">
        <v>22</v>
      </c>
      <c r="D1591">
        <v>8</v>
      </c>
      <c r="E1591">
        <v>15</v>
      </c>
      <c r="F1591">
        <v>21</v>
      </c>
      <c r="G1591">
        <v>8</v>
      </c>
      <c r="H1591">
        <v>14</v>
      </c>
      <c r="I1591">
        <v>0.16189999999999999</v>
      </c>
      <c r="J1591">
        <f t="shared" si="24"/>
        <v>0.61766522544780733</v>
      </c>
      <c r="K1591">
        <v>1E-3</v>
      </c>
      <c r="L1591" t="s">
        <v>17</v>
      </c>
      <c r="M1591">
        <v>296</v>
      </c>
      <c r="N1591" t="s">
        <v>553</v>
      </c>
    </row>
    <row r="1592" spans="1:14" ht="17" x14ac:dyDescent="0.25">
      <c r="A1592" t="s">
        <v>1099</v>
      </c>
      <c r="B1592" t="s">
        <v>32</v>
      </c>
      <c r="C1592" s="10">
        <v>24</v>
      </c>
      <c r="D1592">
        <v>11</v>
      </c>
      <c r="E1592">
        <v>14</v>
      </c>
      <c r="F1592">
        <v>23</v>
      </c>
      <c r="G1592">
        <v>11</v>
      </c>
      <c r="H1592">
        <v>13</v>
      </c>
      <c r="I1592">
        <v>0.16239999999999999</v>
      </c>
      <c r="J1592">
        <f t="shared" si="24"/>
        <v>0.98522167487684742</v>
      </c>
      <c r="K1592">
        <v>1.6000000000000001E-3</v>
      </c>
      <c r="L1592" t="s">
        <v>17</v>
      </c>
      <c r="M1592">
        <v>296</v>
      </c>
      <c r="N1592" t="s">
        <v>553</v>
      </c>
    </row>
    <row r="1593" spans="1:14" ht="17" x14ac:dyDescent="0.25">
      <c r="A1593" t="s">
        <v>1099</v>
      </c>
      <c r="B1593" t="s">
        <v>32</v>
      </c>
      <c r="C1593" s="10">
        <v>21</v>
      </c>
      <c r="D1593">
        <v>5</v>
      </c>
      <c r="E1593">
        <v>16</v>
      </c>
      <c r="F1593">
        <v>20</v>
      </c>
      <c r="G1593">
        <v>5</v>
      </c>
      <c r="H1593">
        <v>15</v>
      </c>
      <c r="I1593">
        <v>0.16719999999999999</v>
      </c>
      <c r="J1593">
        <f t="shared" si="24"/>
        <v>0.598086124401914</v>
      </c>
      <c r="K1593">
        <v>1E-3</v>
      </c>
      <c r="L1593" t="s">
        <v>17</v>
      </c>
      <c r="M1593">
        <v>296</v>
      </c>
      <c r="N1593" t="s">
        <v>553</v>
      </c>
    </row>
    <row r="1594" spans="1:14" ht="17" x14ac:dyDescent="0.25">
      <c r="A1594" t="s">
        <v>1099</v>
      </c>
      <c r="B1594" t="s">
        <v>32</v>
      </c>
      <c r="C1594" s="10">
        <v>24</v>
      </c>
      <c r="D1594">
        <v>10</v>
      </c>
      <c r="E1594">
        <v>15</v>
      </c>
      <c r="F1594">
        <v>23</v>
      </c>
      <c r="G1594">
        <v>10</v>
      </c>
      <c r="H1594">
        <v>14</v>
      </c>
      <c r="I1594">
        <v>0.183</v>
      </c>
      <c r="J1594">
        <f t="shared" si="24"/>
        <v>0.49180327868852453</v>
      </c>
      <c r="K1594">
        <v>8.9999999999999998E-4</v>
      </c>
      <c r="L1594" t="s">
        <v>17</v>
      </c>
      <c r="M1594">
        <v>296</v>
      </c>
      <c r="N1594" t="s">
        <v>553</v>
      </c>
    </row>
    <row r="1595" spans="1:14" ht="17" x14ac:dyDescent="0.25">
      <c r="A1595" t="s">
        <v>1099</v>
      </c>
      <c r="B1595" t="s">
        <v>32</v>
      </c>
      <c r="C1595" s="10">
        <v>21</v>
      </c>
      <c r="D1595">
        <v>4</v>
      </c>
      <c r="E1595">
        <v>17</v>
      </c>
      <c r="F1595">
        <v>20</v>
      </c>
      <c r="G1595">
        <v>4</v>
      </c>
      <c r="H1595">
        <v>16</v>
      </c>
      <c r="I1595">
        <v>0.17130000000000001</v>
      </c>
      <c r="J1595">
        <f t="shared" si="24"/>
        <v>0.23350846468184472</v>
      </c>
      <c r="K1595">
        <v>4.0000000000000002E-4</v>
      </c>
      <c r="L1595" t="s">
        <v>17</v>
      </c>
      <c r="M1595">
        <v>296</v>
      </c>
      <c r="N1595" t="s">
        <v>553</v>
      </c>
    </row>
    <row r="1596" spans="1:14" ht="17" x14ac:dyDescent="0.25">
      <c r="A1596" t="s">
        <v>1099</v>
      </c>
      <c r="B1596" t="s">
        <v>32</v>
      </c>
      <c r="C1596" s="10">
        <v>21</v>
      </c>
      <c r="D1596">
        <v>1</v>
      </c>
      <c r="E1596">
        <v>20</v>
      </c>
      <c r="F1596">
        <v>20</v>
      </c>
      <c r="G1596">
        <v>1</v>
      </c>
      <c r="H1596">
        <v>19</v>
      </c>
      <c r="I1596">
        <v>0.1741</v>
      </c>
      <c r="J1596">
        <f t="shared" si="24"/>
        <v>0.22975301550832855</v>
      </c>
      <c r="K1596">
        <v>4.0000000000000002E-4</v>
      </c>
      <c r="L1596" t="s">
        <v>17</v>
      </c>
      <c r="M1596">
        <v>296</v>
      </c>
      <c r="N1596" t="s">
        <v>553</v>
      </c>
    </row>
    <row r="1597" spans="1:14" ht="17" x14ac:dyDescent="0.25">
      <c r="A1597" t="s">
        <v>1099</v>
      </c>
      <c r="B1597" t="s">
        <v>32</v>
      </c>
      <c r="C1597" s="10">
        <v>22</v>
      </c>
      <c r="D1597">
        <v>2</v>
      </c>
      <c r="E1597">
        <v>21</v>
      </c>
      <c r="F1597">
        <v>21</v>
      </c>
      <c r="G1597">
        <v>2</v>
      </c>
      <c r="H1597">
        <v>20</v>
      </c>
      <c r="I1597">
        <v>0.16450000000000001</v>
      </c>
      <c r="J1597">
        <f t="shared" si="24"/>
        <v>0.36474164133738596</v>
      </c>
      <c r="K1597">
        <v>5.9999999999999995E-4</v>
      </c>
      <c r="L1597" t="s">
        <v>17</v>
      </c>
      <c r="M1597">
        <v>296</v>
      </c>
      <c r="N1597" t="s">
        <v>553</v>
      </c>
    </row>
    <row r="1598" spans="1:14" ht="17" x14ac:dyDescent="0.25">
      <c r="A1598" t="s">
        <v>1099</v>
      </c>
      <c r="B1598" t="s">
        <v>32</v>
      </c>
      <c r="C1598" s="10">
        <v>23</v>
      </c>
      <c r="D1598">
        <v>0</v>
      </c>
      <c r="E1598">
        <v>23</v>
      </c>
      <c r="F1598">
        <v>22</v>
      </c>
      <c r="G1598">
        <v>0</v>
      </c>
      <c r="H1598">
        <v>22</v>
      </c>
      <c r="I1598">
        <v>0.1525</v>
      </c>
      <c r="J1598">
        <f t="shared" si="24"/>
        <v>0.19672131147540983</v>
      </c>
      <c r="K1598">
        <v>2.9999999999999997E-4</v>
      </c>
      <c r="L1598" t="s">
        <v>17</v>
      </c>
      <c r="M1598">
        <v>296</v>
      </c>
      <c r="N1598" t="s">
        <v>553</v>
      </c>
    </row>
    <row r="1599" spans="1:14" ht="17" x14ac:dyDescent="0.25">
      <c r="A1599" t="s">
        <v>1099</v>
      </c>
      <c r="B1599" t="s">
        <v>32</v>
      </c>
      <c r="C1599" s="10">
        <v>21</v>
      </c>
      <c r="D1599">
        <v>3</v>
      </c>
      <c r="E1599">
        <v>18</v>
      </c>
      <c r="F1599">
        <v>20</v>
      </c>
      <c r="G1599">
        <v>3</v>
      </c>
      <c r="H1599">
        <v>17</v>
      </c>
      <c r="I1599">
        <v>0.17299999999999999</v>
      </c>
      <c r="J1599">
        <f t="shared" si="24"/>
        <v>0.23121387283236997</v>
      </c>
      <c r="K1599">
        <v>4.0000000000000002E-4</v>
      </c>
      <c r="L1599" t="s">
        <v>17</v>
      </c>
      <c r="M1599">
        <v>296</v>
      </c>
      <c r="N1599" t="s">
        <v>553</v>
      </c>
    </row>
    <row r="1600" spans="1:14" ht="17" x14ac:dyDescent="0.25">
      <c r="A1600" t="s">
        <v>1099</v>
      </c>
      <c r="B1600" t="s">
        <v>32</v>
      </c>
      <c r="C1600" s="10">
        <v>23</v>
      </c>
      <c r="D1600">
        <v>7</v>
      </c>
      <c r="E1600">
        <v>16</v>
      </c>
      <c r="F1600">
        <v>22</v>
      </c>
      <c r="G1600">
        <v>7</v>
      </c>
      <c r="H1600">
        <v>15</v>
      </c>
      <c r="I1600">
        <v>0.16200000000000001</v>
      </c>
      <c r="J1600">
        <f t="shared" ref="J1600:J1663" si="25">K1600/I1600*100</f>
        <v>0.37037037037037035</v>
      </c>
      <c r="K1600">
        <v>5.9999999999999995E-4</v>
      </c>
      <c r="L1600" t="s">
        <v>17</v>
      </c>
      <c r="M1600">
        <v>296</v>
      </c>
      <c r="N1600" t="s">
        <v>553</v>
      </c>
    </row>
    <row r="1601" spans="1:14" ht="17" x14ac:dyDescent="0.25">
      <c r="A1601" t="s">
        <v>1099</v>
      </c>
      <c r="B1601" t="s">
        <v>32</v>
      </c>
      <c r="C1601" s="10">
        <v>22</v>
      </c>
      <c r="D1601">
        <v>3</v>
      </c>
      <c r="E1601">
        <v>20</v>
      </c>
      <c r="F1601">
        <v>21</v>
      </c>
      <c r="G1601">
        <v>3</v>
      </c>
      <c r="H1601">
        <v>19</v>
      </c>
      <c r="I1601">
        <v>0.16830000000000001</v>
      </c>
      <c r="J1601">
        <f t="shared" si="25"/>
        <v>0.23767082590612004</v>
      </c>
      <c r="K1601">
        <v>4.0000000000000002E-4</v>
      </c>
      <c r="L1601" t="s">
        <v>17</v>
      </c>
      <c r="M1601">
        <v>296</v>
      </c>
      <c r="N1601" t="s">
        <v>553</v>
      </c>
    </row>
    <row r="1602" spans="1:14" ht="17" x14ac:dyDescent="0.25">
      <c r="A1602" t="s">
        <v>1099</v>
      </c>
      <c r="B1602" t="s">
        <v>32</v>
      </c>
      <c r="C1602" s="10">
        <v>25</v>
      </c>
      <c r="D1602">
        <v>9</v>
      </c>
      <c r="E1602">
        <v>16</v>
      </c>
      <c r="F1602">
        <v>24</v>
      </c>
      <c r="G1602">
        <v>9</v>
      </c>
      <c r="H1602">
        <v>15</v>
      </c>
      <c r="I1602">
        <v>0.16639999999999999</v>
      </c>
      <c r="J1602">
        <f t="shared" si="25"/>
        <v>0.54086538461538458</v>
      </c>
      <c r="K1602">
        <v>8.9999999999999998E-4</v>
      </c>
      <c r="L1602" t="s">
        <v>17</v>
      </c>
      <c r="M1602">
        <v>296</v>
      </c>
      <c r="N1602" t="s">
        <v>553</v>
      </c>
    </row>
    <row r="1603" spans="1:14" ht="17" x14ac:dyDescent="0.25">
      <c r="A1603" t="s">
        <v>1099</v>
      </c>
      <c r="B1603" t="s">
        <v>32</v>
      </c>
      <c r="C1603" s="10">
        <v>23</v>
      </c>
      <c r="D1603">
        <v>1</v>
      </c>
      <c r="E1603">
        <v>22</v>
      </c>
      <c r="F1603">
        <v>22</v>
      </c>
      <c r="G1603">
        <v>1</v>
      </c>
      <c r="H1603">
        <v>21</v>
      </c>
      <c r="I1603">
        <v>0.16669999999999999</v>
      </c>
      <c r="J1603">
        <f t="shared" si="25"/>
        <v>0.4199160167966407</v>
      </c>
      <c r="K1603">
        <v>6.9999999999999999E-4</v>
      </c>
      <c r="L1603" t="s">
        <v>17</v>
      </c>
      <c r="M1603">
        <v>296</v>
      </c>
      <c r="N1603" t="s">
        <v>553</v>
      </c>
    </row>
    <row r="1604" spans="1:14" ht="17" x14ac:dyDescent="0.25">
      <c r="A1604" t="s">
        <v>1099</v>
      </c>
      <c r="B1604" t="s">
        <v>32</v>
      </c>
      <c r="C1604" s="10">
        <v>25</v>
      </c>
      <c r="D1604">
        <v>8</v>
      </c>
      <c r="E1604">
        <v>17</v>
      </c>
      <c r="F1604">
        <v>24</v>
      </c>
      <c r="G1604">
        <v>8</v>
      </c>
      <c r="H1604">
        <v>16</v>
      </c>
      <c r="I1604">
        <v>0.16220000000000001</v>
      </c>
      <c r="J1604">
        <f t="shared" si="25"/>
        <v>0.49321824907521578</v>
      </c>
      <c r="K1604">
        <v>8.0000000000000004E-4</v>
      </c>
      <c r="L1604" t="s">
        <v>17</v>
      </c>
      <c r="M1604">
        <v>296</v>
      </c>
      <c r="N1604" t="s">
        <v>553</v>
      </c>
    </row>
    <row r="1605" spans="1:14" ht="17" x14ac:dyDescent="0.25">
      <c r="A1605" t="s">
        <v>1099</v>
      </c>
      <c r="B1605" t="s">
        <v>32</v>
      </c>
      <c r="C1605" s="10">
        <v>24</v>
      </c>
      <c r="D1605">
        <v>6</v>
      </c>
      <c r="E1605">
        <v>19</v>
      </c>
      <c r="F1605">
        <v>23</v>
      </c>
      <c r="G1605">
        <v>6</v>
      </c>
      <c r="H1605">
        <v>18</v>
      </c>
      <c r="I1605">
        <v>0.17069999999999999</v>
      </c>
      <c r="J1605">
        <f t="shared" si="25"/>
        <v>0.29291154071470415</v>
      </c>
      <c r="K1605">
        <v>5.0000000000000001E-4</v>
      </c>
      <c r="L1605" t="s">
        <v>17</v>
      </c>
      <c r="M1605">
        <v>296</v>
      </c>
      <c r="N1605" t="s">
        <v>553</v>
      </c>
    </row>
    <row r="1606" spans="1:14" ht="17" x14ac:dyDescent="0.25">
      <c r="A1606" t="s">
        <v>1099</v>
      </c>
      <c r="B1606" t="s">
        <v>32</v>
      </c>
      <c r="C1606" s="10">
        <v>26</v>
      </c>
      <c r="D1606">
        <v>9</v>
      </c>
      <c r="E1606">
        <v>18</v>
      </c>
      <c r="F1606">
        <v>25</v>
      </c>
      <c r="G1606">
        <v>9</v>
      </c>
      <c r="H1606">
        <v>17</v>
      </c>
      <c r="I1606">
        <v>0.1673</v>
      </c>
      <c r="J1606">
        <f t="shared" si="25"/>
        <v>0.89659294680215185</v>
      </c>
      <c r="K1606">
        <v>1.5E-3</v>
      </c>
      <c r="L1606" t="s">
        <v>17</v>
      </c>
      <c r="M1606">
        <v>296</v>
      </c>
      <c r="N1606" t="s">
        <v>553</v>
      </c>
    </row>
    <row r="1607" spans="1:14" ht="17" x14ac:dyDescent="0.25">
      <c r="A1607" t="s">
        <v>1099</v>
      </c>
      <c r="B1607" t="s">
        <v>32</v>
      </c>
      <c r="C1607" s="10">
        <v>24</v>
      </c>
      <c r="D1607">
        <v>5</v>
      </c>
      <c r="E1607">
        <v>20</v>
      </c>
      <c r="F1607">
        <v>23</v>
      </c>
      <c r="G1607">
        <v>5</v>
      </c>
      <c r="H1607">
        <v>19</v>
      </c>
      <c r="I1607">
        <v>0.16489999999999999</v>
      </c>
      <c r="J1607">
        <f t="shared" si="25"/>
        <v>0.66707095209217715</v>
      </c>
      <c r="K1607">
        <v>1.1000000000000001E-3</v>
      </c>
      <c r="L1607" t="s">
        <v>17</v>
      </c>
      <c r="M1607">
        <v>296</v>
      </c>
      <c r="N1607" t="s">
        <v>553</v>
      </c>
    </row>
    <row r="1608" spans="1:14" ht="17" x14ac:dyDescent="0.25">
      <c r="A1608" t="s">
        <v>1099</v>
      </c>
      <c r="B1608" t="s">
        <v>32</v>
      </c>
      <c r="C1608" s="10">
        <v>23</v>
      </c>
      <c r="D1608">
        <v>2</v>
      </c>
      <c r="E1608">
        <v>21</v>
      </c>
      <c r="F1608">
        <v>22</v>
      </c>
      <c r="G1608">
        <v>2</v>
      </c>
      <c r="H1608">
        <v>20</v>
      </c>
      <c r="I1608">
        <v>0.19389999999999999</v>
      </c>
      <c r="J1608">
        <f t="shared" si="25"/>
        <v>0.67044868488911813</v>
      </c>
      <c r="K1608">
        <v>1.2999999999999999E-3</v>
      </c>
      <c r="L1608" t="s">
        <v>17</v>
      </c>
      <c r="M1608">
        <v>296</v>
      </c>
      <c r="N1608" t="s">
        <v>553</v>
      </c>
    </row>
    <row r="1609" spans="1:14" ht="17" x14ac:dyDescent="0.25">
      <c r="A1609" t="s">
        <v>1099</v>
      </c>
      <c r="B1609" t="s">
        <v>32</v>
      </c>
      <c r="C1609" s="10">
        <v>25</v>
      </c>
      <c r="D1609">
        <v>6</v>
      </c>
      <c r="E1609">
        <v>19</v>
      </c>
      <c r="F1609">
        <v>24</v>
      </c>
      <c r="G1609">
        <v>6</v>
      </c>
      <c r="H1609">
        <v>18</v>
      </c>
      <c r="I1609">
        <v>0.17330000000000001</v>
      </c>
      <c r="J1609">
        <f t="shared" si="25"/>
        <v>0.4616272360069244</v>
      </c>
      <c r="K1609">
        <v>8.0000000000000004E-4</v>
      </c>
      <c r="L1609" t="s">
        <v>17</v>
      </c>
      <c r="M1609">
        <v>296</v>
      </c>
      <c r="N1609" t="s">
        <v>553</v>
      </c>
    </row>
    <row r="1610" spans="1:14" ht="17" x14ac:dyDescent="0.25">
      <c r="A1610" t="s">
        <v>1099</v>
      </c>
      <c r="B1610" t="s">
        <v>32</v>
      </c>
      <c r="C1610" s="10">
        <v>29</v>
      </c>
      <c r="D1610">
        <v>12</v>
      </c>
      <c r="E1610">
        <v>17</v>
      </c>
      <c r="F1610">
        <v>28</v>
      </c>
      <c r="G1610">
        <v>12</v>
      </c>
      <c r="H1610">
        <v>16</v>
      </c>
      <c r="I1610">
        <v>0.13880000000000001</v>
      </c>
      <c r="J1610">
        <f t="shared" si="25"/>
        <v>1.1527377521613833</v>
      </c>
      <c r="K1610">
        <v>1.6000000000000001E-3</v>
      </c>
      <c r="L1610" t="s">
        <v>17</v>
      </c>
      <c r="M1610">
        <v>296</v>
      </c>
      <c r="N1610" t="s">
        <v>553</v>
      </c>
    </row>
    <row r="1611" spans="1:14" ht="17" x14ac:dyDescent="0.25">
      <c r="A1611" t="s">
        <v>1099</v>
      </c>
      <c r="B1611" t="s">
        <v>32</v>
      </c>
      <c r="C1611" s="10">
        <v>26</v>
      </c>
      <c r="D1611">
        <v>1</v>
      </c>
      <c r="E1611">
        <v>26</v>
      </c>
      <c r="F1611">
        <v>25</v>
      </c>
      <c r="G1611">
        <v>1</v>
      </c>
      <c r="H1611">
        <v>25</v>
      </c>
      <c r="I1611">
        <v>0.15110000000000001</v>
      </c>
      <c r="J1611">
        <f t="shared" si="25"/>
        <v>0.46326935804103242</v>
      </c>
      <c r="K1611">
        <v>6.9999999999999999E-4</v>
      </c>
      <c r="L1611" t="s">
        <v>17</v>
      </c>
      <c r="M1611">
        <v>296</v>
      </c>
      <c r="N1611" t="s">
        <v>553</v>
      </c>
    </row>
    <row r="1612" spans="1:14" ht="17" x14ac:dyDescent="0.25">
      <c r="A1612" t="s">
        <v>1099</v>
      </c>
      <c r="B1612" t="s">
        <v>32</v>
      </c>
      <c r="C1612" s="10">
        <v>27</v>
      </c>
      <c r="D1612">
        <v>9</v>
      </c>
      <c r="E1612">
        <v>18</v>
      </c>
      <c r="F1612">
        <v>26</v>
      </c>
      <c r="G1612">
        <v>9</v>
      </c>
      <c r="H1612">
        <v>17</v>
      </c>
      <c r="I1612">
        <v>0.15290000000000001</v>
      </c>
      <c r="J1612">
        <f t="shared" si="25"/>
        <v>0.52321778940483976</v>
      </c>
      <c r="K1612">
        <v>8.0000000000000004E-4</v>
      </c>
      <c r="L1612" t="s">
        <v>17</v>
      </c>
      <c r="M1612">
        <v>296</v>
      </c>
      <c r="N1612" t="s">
        <v>553</v>
      </c>
    </row>
    <row r="1613" spans="1:14" ht="17" x14ac:dyDescent="0.25">
      <c r="A1613" t="s">
        <v>1099</v>
      </c>
      <c r="B1613" t="s">
        <v>32</v>
      </c>
      <c r="C1613" s="10">
        <v>25</v>
      </c>
      <c r="D1613">
        <v>1</v>
      </c>
      <c r="E1613">
        <v>24</v>
      </c>
      <c r="F1613">
        <v>24</v>
      </c>
      <c r="G1613">
        <v>1</v>
      </c>
      <c r="H1613">
        <v>23</v>
      </c>
      <c r="I1613">
        <v>0.16669999999999999</v>
      </c>
      <c r="J1613">
        <f t="shared" si="25"/>
        <v>0.53989202159568084</v>
      </c>
      <c r="K1613">
        <v>8.9999999999999998E-4</v>
      </c>
      <c r="L1613" t="s">
        <v>17</v>
      </c>
      <c r="M1613">
        <v>296</v>
      </c>
      <c r="N1613" t="s">
        <v>553</v>
      </c>
    </row>
    <row r="1614" spans="1:14" ht="17" x14ac:dyDescent="0.25">
      <c r="A1614" t="s">
        <v>1099</v>
      </c>
      <c r="B1614" t="s">
        <v>32</v>
      </c>
      <c r="C1614" s="10">
        <v>25</v>
      </c>
      <c r="D1614">
        <v>5</v>
      </c>
      <c r="E1614">
        <v>20</v>
      </c>
      <c r="F1614">
        <v>24</v>
      </c>
      <c r="G1614">
        <v>5</v>
      </c>
      <c r="H1614">
        <v>19</v>
      </c>
      <c r="I1614">
        <v>0.16900000000000001</v>
      </c>
      <c r="J1614">
        <f t="shared" si="25"/>
        <v>0.65088757396449703</v>
      </c>
      <c r="K1614">
        <v>1.1000000000000001E-3</v>
      </c>
      <c r="L1614" t="s">
        <v>17</v>
      </c>
      <c r="M1614">
        <v>296</v>
      </c>
      <c r="N1614" t="s">
        <v>553</v>
      </c>
    </row>
    <row r="1615" spans="1:14" ht="17" x14ac:dyDescent="0.25">
      <c r="A1615" t="s">
        <v>1099</v>
      </c>
      <c r="B1615" t="s">
        <v>32</v>
      </c>
      <c r="C1615" s="10">
        <v>26</v>
      </c>
      <c r="D1615">
        <v>7</v>
      </c>
      <c r="E1615">
        <v>20</v>
      </c>
      <c r="F1615">
        <v>25</v>
      </c>
      <c r="G1615">
        <v>7</v>
      </c>
      <c r="H1615">
        <v>19</v>
      </c>
      <c r="I1615">
        <v>0.16650000000000001</v>
      </c>
      <c r="J1615">
        <f t="shared" si="25"/>
        <v>0.54054054054054046</v>
      </c>
      <c r="K1615">
        <v>8.9999999999999998E-4</v>
      </c>
      <c r="L1615" t="s">
        <v>17</v>
      </c>
      <c r="M1615">
        <v>296</v>
      </c>
      <c r="N1615" t="s">
        <v>553</v>
      </c>
    </row>
    <row r="1616" spans="1:14" ht="17" x14ac:dyDescent="0.25">
      <c r="A1616" t="s">
        <v>1099</v>
      </c>
      <c r="B1616" t="s">
        <v>32</v>
      </c>
      <c r="C1616" s="10">
        <v>28</v>
      </c>
      <c r="D1616">
        <v>10</v>
      </c>
      <c r="E1616">
        <v>19</v>
      </c>
      <c r="F1616">
        <v>27</v>
      </c>
      <c r="G1616">
        <v>10</v>
      </c>
      <c r="H1616">
        <v>18</v>
      </c>
      <c r="I1616">
        <v>0.14080000000000001</v>
      </c>
      <c r="J1616">
        <f t="shared" si="25"/>
        <v>1.1363636363636365</v>
      </c>
      <c r="K1616">
        <v>1.6000000000000001E-3</v>
      </c>
      <c r="L1616" t="s">
        <v>17</v>
      </c>
      <c r="M1616">
        <v>296</v>
      </c>
      <c r="N1616" t="s">
        <v>553</v>
      </c>
    </row>
    <row r="1617" spans="1:14" ht="17" x14ac:dyDescent="0.25">
      <c r="A1617" t="s">
        <v>1099</v>
      </c>
      <c r="B1617" t="s">
        <v>32</v>
      </c>
      <c r="C1617" s="10">
        <v>29</v>
      </c>
      <c r="D1617">
        <v>11</v>
      </c>
      <c r="E1617">
        <v>18</v>
      </c>
      <c r="F1617">
        <v>28</v>
      </c>
      <c r="G1617">
        <v>11</v>
      </c>
      <c r="H1617">
        <v>17</v>
      </c>
      <c r="I1617">
        <v>0.1585</v>
      </c>
      <c r="J1617">
        <f t="shared" si="25"/>
        <v>1.1356466876971609</v>
      </c>
      <c r="K1617">
        <v>1.8E-3</v>
      </c>
      <c r="L1617" t="s">
        <v>17</v>
      </c>
      <c r="M1617">
        <v>296</v>
      </c>
      <c r="N1617" t="s">
        <v>553</v>
      </c>
    </row>
    <row r="1618" spans="1:14" ht="17" x14ac:dyDescent="0.25">
      <c r="A1618" t="s">
        <v>1099</v>
      </c>
      <c r="B1618" t="s">
        <v>32</v>
      </c>
      <c r="C1618" s="10">
        <v>27</v>
      </c>
      <c r="D1618">
        <v>0</v>
      </c>
      <c r="E1618">
        <v>27</v>
      </c>
      <c r="F1618">
        <v>26</v>
      </c>
      <c r="G1618">
        <v>0</v>
      </c>
      <c r="H1618">
        <v>26</v>
      </c>
      <c r="I1618">
        <v>0.14269999999999999</v>
      </c>
      <c r="J1618">
        <f t="shared" si="25"/>
        <v>0.63069376313945347</v>
      </c>
      <c r="K1618">
        <v>8.9999999999999998E-4</v>
      </c>
      <c r="L1618" t="s">
        <v>17</v>
      </c>
      <c r="M1618">
        <v>296</v>
      </c>
      <c r="N1618" t="s">
        <v>553</v>
      </c>
    </row>
    <row r="1619" spans="1:14" ht="17" x14ac:dyDescent="0.25">
      <c r="A1619" t="s">
        <v>1099</v>
      </c>
      <c r="B1619" t="s">
        <v>32</v>
      </c>
      <c r="C1619" s="10">
        <v>28</v>
      </c>
      <c r="D1619">
        <v>9</v>
      </c>
      <c r="E1619">
        <v>20</v>
      </c>
      <c r="F1619">
        <v>27</v>
      </c>
      <c r="G1619">
        <v>9</v>
      </c>
      <c r="H1619">
        <v>19</v>
      </c>
      <c r="I1619">
        <v>0.1764</v>
      </c>
      <c r="J1619">
        <f t="shared" si="25"/>
        <v>1.2471655328798186</v>
      </c>
      <c r="K1619">
        <v>2.2000000000000001E-3</v>
      </c>
      <c r="L1619" t="s">
        <v>17</v>
      </c>
      <c r="M1619">
        <v>296</v>
      </c>
      <c r="N1619" t="s">
        <v>553</v>
      </c>
    </row>
    <row r="1620" spans="1:14" ht="17" x14ac:dyDescent="0.25">
      <c r="A1620" t="s">
        <v>1099</v>
      </c>
      <c r="B1620" t="s">
        <v>32</v>
      </c>
      <c r="C1620" s="10">
        <v>26</v>
      </c>
      <c r="D1620">
        <v>5</v>
      </c>
      <c r="E1620">
        <v>22</v>
      </c>
      <c r="F1620">
        <v>25</v>
      </c>
      <c r="G1620">
        <v>5</v>
      </c>
      <c r="H1620">
        <v>21</v>
      </c>
      <c r="I1620">
        <v>0.18290000000000001</v>
      </c>
      <c r="J1620">
        <f t="shared" si="25"/>
        <v>0.4373974849644614</v>
      </c>
      <c r="K1620">
        <v>8.0000000000000004E-4</v>
      </c>
      <c r="L1620" t="s">
        <v>17</v>
      </c>
      <c r="M1620">
        <v>296</v>
      </c>
      <c r="N1620" t="s">
        <v>553</v>
      </c>
    </row>
    <row r="1621" spans="1:14" ht="17" x14ac:dyDescent="0.25">
      <c r="A1621" t="s">
        <v>1099</v>
      </c>
      <c r="B1621" t="s">
        <v>32</v>
      </c>
      <c r="C1621" s="10">
        <v>29</v>
      </c>
      <c r="D1621">
        <v>9</v>
      </c>
      <c r="E1621">
        <v>20</v>
      </c>
      <c r="F1621">
        <v>28</v>
      </c>
      <c r="G1621">
        <v>9</v>
      </c>
      <c r="H1621">
        <v>19</v>
      </c>
      <c r="I1621">
        <v>0.15029999999999999</v>
      </c>
      <c r="J1621">
        <f t="shared" si="25"/>
        <v>0.5988023952095809</v>
      </c>
      <c r="K1621">
        <v>8.9999999999999998E-4</v>
      </c>
      <c r="L1621" t="s">
        <v>17</v>
      </c>
      <c r="M1621">
        <v>296</v>
      </c>
      <c r="N1621" t="s">
        <v>553</v>
      </c>
    </row>
    <row r="1622" spans="1:14" ht="17" x14ac:dyDescent="0.25">
      <c r="A1622" t="s">
        <v>1099</v>
      </c>
      <c r="B1622" t="s">
        <v>32</v>
      </c>
      <c r="C1622" s="10">
        <v>28</v>
      </c>
      <c r="D1622">
        <v>7</v>
      </c>
      <c r="E1622">
        <v>22</v>
      </c>
      <c r="F1622">
        <v>27</v>
      </c>
      <c r="G1622">
        <v>7</v>
      </c>
      <c r="H1622">
        <v>21</v>
      </c>
      <c r="I1622">
        <v>0.15989999999999999</v>
      </c>
      <c r="J1622">
        <f t="shared" si="25"/>
        <v>0.43777360850531583</v>
      </c>
      <c r="K1622">
        <v>6.9999999999999999E-4</v>
      </c>
      <c r="L1622" t="s">
        <v>17</v>
      </c>
      <c r="M1622">
        <v>296</v>
      </c>
      <c r="N1622" t="s">
        <v>553</v>
      </c>
    </row>
    <row r="1623" spans="1:14" ht="17" x14ac:dyDescent="0.25">
      <c r="A1623" t="s">
        <v>1099</v>
      </c>
      <c r="B1623" t="s">
        <v>32</v>
      </c>
      <c r="C1623" s="10">
        <v>30</v>
      </c>
      <c r="D1623">
        <v>10</v>
      </c>
      <c r="E1623">
        <v>21</v>
      </c>
      <c r="F1623">
        <v>29</v>
      </c>
      <c r="G1623">
        <v>10</v>
      </c>
      <c r="H1623">
        <v>20</v>
      </c>
      <c r="I1623">
        <v>0.15790000000000001</v>
      </c>
      <c r="J1623">
        <f t="shared" si="25"/>
        <v>0.69664344521849275</v>
      </c>
      <c r="K1623">
        <v>1.1000000000000001E-3</v>
      </c>
      <c r="L1623" t="s">
        <v>17</v>
      </c>
      <c r="M1623">
        <v>296</v>
      </c>
      <c r="N1623" t="s">
        <v>553</v>
      </c>
    </row>
    <row r="1624" spans="1:14" ht="17" x14ac:dyDescent="0.25">
      <c r="A1624" t="s">
        <v>1099</v>
      </c>
      <c r="B1624" t="s">
        <v>32</v>
      </c>
      <c r="C1624" s="10">
        <v>29</v>
      </c>
      <c r="D1624">
        <v>0</v>
      </c>
      <c r="E1624">
        <v>29</v>
      </c>
      <c r="F1624">
        <v>28</v>
      </c>
      <c r="G1624">
        <v>0</v>
      </c>
      <c r="H1624">
        <v>28</v>
      </c>
      <c r="I1624">
        <v>0.1477</v>
      </c>
      <c r="J1624">
        <f t="shared" si="25"/>
        <v>0.33852403520649971</v>
      </c>
      <c r="K1624">
        <v>5.0000000000000001E-4</v>
      </c>
      <c r="L1624" t="s">
        <v>17</v>
      </c>
      <c r="M1624">
        <v>296</v>
      </c>
      <c r="N1624" t="s">
        <v>553</v>
      </c>
    </row>
    <row r="1625" spans="1:14" ht="17" x14ac:dyDescent="0.25">
      <c r="A1625" t="s">
        <v>1099</v>
      </c>
      <c r="B1625" t="s">
        <v>32</v>
      </c>
      <c r="C1625" s="10">
        <v>31</v>
      </c>
      <c r="D1625">
        <v>11</v>
      </c>
      <c r="E1625">
        <v>20</v>
      </c>
      <c r="F1625">
        <v>30</v>
      </c>
      <c r="G1625">
        <v>11</v>
      </c>
      <c r="H1625">
        <v>19</v>
      </c>
      <c r="I1625">
        <v>0.16250000000000001</v>
      </c>
      <c r="J1625">
        <f t="shared" si="25"/>
        <v>1.1692307692307691</v>
      </c>
      <c r="K1625">
        <v>1.9E-3</v>
      </c>
      <c r="L1625" t="s">
        <v>17</v>
      </c>
      <c r="M1625">
        <v>296</v>
      </c>
      <c r="N1625" t="s">
        <v>553</v>
      </c>
    </row>
    <row r="1626" spans="1:14" ht="17" x14ac:dyDescent="0.25">
      <c r="A1626" t="s">
        <v>1099</v>
      </c>
      <c r="B1626" t="s">
        <v>32</v>
      </c>
      <c r="C1626" s="10">
        <v>28</v>
      </c>
      <c r="D1626">
        <v>2</v>
      </c>
      <c r="E1626">
        <v>27</v>
      </c>
      <c r="F1626">
        <v>27</v>
      </c>
      <c r="G1626">
        <v>2</v>
      </c>
      <c r="H1626">
        <v>26</v>
      </c>
      <c r="I1626">
        <v>0.15659999999999999</v>
      </c>
      <c r="J1626">
        <f t="shared" si="25"/>
        <v>0.38314176245210724</v>
      </c>
      <c r="K1626">
        <v>5.9999999999999995E-4</v>
      </c>
      <c r="L1626" t="s">
        <v>17</v>
      </c>
      <c r="M1626">
        <v>296</v>
      </c>
      <c r="N1626" t="s">
        <v>553</v>
      </c>
    </row>
    <row r="1627" spans="1:14" ht="17" x14ac:dyDescent="0.25">
      <c r="A1627" t="s">
        <v>1099</v>
      </c>
      <c r="B1627" t="s">
        <v>32</v>
      </c>
      <c r="C1627" s="10">
        <v>29</v>
      </c>
      <c r="D1627">
        <v>8</v>
      </c>
      <c r="E1627">
        <v>21</v>
      </c>
      <c r="F1627">
        <v>28</v>
      </c>
      <c r="G1627">
        <v>8</v>
      </c>
      <c r="H1627">
        <v>20</v>
      </c>
      <c r="I1627">
        <v>0.1731</v>
      </c>
      <c r="J1627">
        <f t="shared" si="25"/>
        <v>0.6932409012131715</v>
      </c>
      <c r="K1627">
        <v>1.1999999999999999E-3</v>
      </c>
      <c r="L1627" t="s">
        <v>17</v>
      </c>
      <c r="M1627">
        <v>296</v>
      </c>
      <c r="N1627" t="s">
        <v>553</v>
      </c>
    </row>
    <row r="1628" spans="1:14" ht="17" x14ac:dyDescent="0.25">
      <c r="A1628" t="s">
        <v>1099</v>
      </c>
      <c r="B1628" t="s">
        <v>32</v>
      </c>
      <c r="C1628" s="10">
        <v>27</v>
      </c>
      <c r="D1628">
        <v>4</v>
      </c>
      <c r="E1628">
        <v>23</v>
      </c>
      <c r="F1628">
        <v>26</v>
      </c>
      <c r="G1628">
        <v>4</v>
      </c>
      <c r="H1628">
        <v>22</v>
      </c>
      <c r="I1628">
        <v>0.16470000000000001</v>
      </c>
      <c r="J1628">
        <f t="shared" si="25"/>
        <v>0.48573163327261681</v>
      </c>
      <c r="K1628">
        <v>8.0000000000000004E-4</v>
      </c>
      <c r="L1628" t="s">
        <v>17</v>
      </c>
      <c r="M1628">
        <v>296</v>
      </c>
      <c r="N1628" t="s">
        <v>553</v>
      </c>
    </row>
    <row r="1629" spans="1:14" ht="17" x14ac:dyDescent="0.25">
      <c r="A1629" t="s">
        <v>1099</v>
      </c>
      <c r="B1629" t="s">
        <v>32</v>
      </c>
      <c r="C1629" s="10">
        <v>27</v>
      </c>
      <c r="D1629">
        <v>2</v>
      </c>
      <c r="E1629">
        <v>25</v>
      </c>
      <c r="F1629">
        <v>26</v>
      </c>
      <c r="G1629">
        <v>2</v>
      </c>
      <c r="H1629">
        <v>24</v>
      </c>
      <c r="I1629">
        <v>0.20150000000000001</v>
      </c>
      <c r="J1629">
        <f t="shared" si="25"/>
        <v>0.4466501240694789</v>
      </c>
      <c r="K1629">
        <v>8.9999999999999998E-4</v>
      </c>
      <c r="L1629" t="s">
        <v>17</v>
      </c>
      <c r="M1629">
        <v>296</v>
      </c>
      <c r="N1629" t="s">
        <v>553</v>
      </c>
    </row>
    <row r="1630" spans="1:14" ht="17" x14ac:dyDescent="0.25">
      <c r="A1630" t="s">
        <v>1099</v>
      </c>
      <c r="B1630" t="s">
        <v>32</v>
      </c>
      <c r="C1630" s="10">
        <v>30</v>
      </c>
      <c r="D1630">
        <v>1</v>
      </c>
      <c r="E1630">
        <v>30</v>
      </c>
      <c r="F1630">
        <v>29</v>
      </c>
      <c r="G1630">
        <v>1</v>
      </c>
      <c r="H1630">
        <v>29</v>
      </c>
      <c r="I1630">
        <v>0.1474</v>
      </c>
      <c r="J1630">
        <f t="shared" si="25"/>
        <v>0.47489823609226595</v>
      </c>
      <c r="K1630">
        <v>6.9999999999999999E-4</v>
      </c>
      <c r="L1630" t="s">
        <v>17</v>
      </c>
      <c r="M1630">
        <v>296</v>
      </c>
      <c r="N1630" t="s">
        <v>553</v>
      </c>
    </row>
    <row r="1631" spans="1:14" ht="17" x14ac:dyDescent="0.25">
      <c r="A1631" t="s">
        <v>1099</v>
      </c>
      <c r="B1631" t="s">
        <v>32</v>
      </c>
      <c r="C1631" s="10">
        <v>29</v>
      </c>
      <c r="D1631">
        <v>1</v>
      </c>
      <c r="E1631">
        <v>28</v>
      </c>
      <c r="F1631">
        <v>28</v>
      </c>
      <c r="G1631">
        <v>1</v>
      </c>
      <c r="H1631">
        <v>27</v>
      </c>
      <c r="I1631">
        <v>0.1636</v>
      </c>
      <c r="J1631">
        <f t="shared" si="25"/>
        <v>0.91687041564792182</v>
      </c>
      <c r="K1631">
        <v>1.5E-3</v>
      </c>
      <c r="L1631" t="s">
        <v>17</v>
      </c>
      <c r="M1631">
        <v>296</v>
      </c>
      <c r="N1631" t="s">
        <v>553</v>
      </c>
    </row>
    <row r="1632" spans="1:14" ht="17" x14ac:dyDescent="0.25">
      <c r="A1632" t="s">
        <v>1099</v>
      </c>
      <c r="B1632" t="s">
        <v>32</v>
      </c>
      <c r="C1632" s="10">
        <v>30</v>
      </c>
      <c r="D1632">
        <v>8</v>
      </c>
      <c r="E1632">
        <v>23</v>
      </c>
      <c r="F1632">
        <v>29</v>
      </c>
      <c r="G1632">
        <v>8</v>
      </c>
      <c r="H1632">
        <v>22</v>
      </c>
      <c r="I1632">
        <v>0.16950000000000001</v>
      </c>
      <c r="J1632">
        <f t="shared" si="25"/>
        <v>0.76696165191740406</v>
      </c>
      <c r="K1632">
        <v>1.2999999999999999E-3</v>
      </c>
      <c r="L1632" t="s">
        <v>17</v>
      </c>
      <c r="M1632">
        <v>296</v>
      </c>
      <c r="N1632" t="s">
        <v>553</v>
      </c>
    </row>
    <row r="1633" spans="1:14" ht="17" x14ac:dyDescent="0.25">
      <c r="A1633" t="s">
        <v>1099</v>
      </c>
      <c r="B1633" t="s">
        <v>32</v>
      </c>
      <c r="C1633" s="10">
        <v>27</v>
      </c>
      <c r="D1633">
        <v>3</v>
      </c>
      <c r="E1633">
        <v>24</v>
      </c>
      <c r="F1633">
        <v>26</v>
      </c>
      <c r="G1633">
        <v>3</v>
      </c>
      <c r="H1633">
        <v>23</v>
      </c>
      <c r="I1633">
        <v>0.17319999999999999</v>
      </c>
      <c r="J1633">
        <f t="shared" si="25"/>
        <v>0.40415704387990764</v>
      </c>
      <c r="K1633">
        <v>6.9999999999999999E-4</v>
      </c>
      <c r="L1633" t="s">
        <v>17</v>
      </c>
      <c r="M1633">
        <v>296</v>
      </c>
      <c r="N1633" t="s">
        <v>553</v>
      </c>
    </row>
    <row r="1634" spans="1:14" ht="17" x14ac:dyDescent="0.25">
      <c r="A1634" t="s">
        <v>1099</v>
      </c>
      <c r="B1634" t="s">
        <v>32</v>
      </c>
      <c r="C1634" s="10">
        <v>30</v>
      </c>
      <c r="D1634">
        <v>2</v>
      </c>
      <c r="E1634">
        <v>29</v>
      </c>
      <c r="F1634">
        <v>29</v>
      </c>
      <c r="G1634">
        <v>2</v>
      </c>
      <c r="H1634">
        <v>28</v>
      </c>
      <c r="I1634">
        <v>0.1535</v>
      </c>
      <c r="J1634">
        <f t="shared" si="25"/>
        <v>0.39087947882736152</v>
      </c>
      <c r="K1634">
        <v>5.9999999999999995E-4</v>
      </c>
      <c r="L1634" t="s">
        <v>17</v>
      </c>
      <c r="M1634">
        <v>296</v>
      </c>
      <c r="N1634" t="s">
        <v>553</v>
      </c>
    </row>
    <row r="1635" spans="1:14" ht="17" x14ac:dyDescent="0.25">
      <c r="A1635" t="s">
        <v>1099</v>
      </c>
      <c r="B1635" t="s">
        <v>32</v>
      </c>
      <c r="C1635" s="10">
        <v>31</v>
      </c>
      <c r="D1635">
        <v>8</v>
      </c>
      <c r="E1635">
        <v>23</v>
      </c>
      <c r="F1635">
        <v>30</v>
      </c>
      <c r="G1635">
        <v>8</v>
      </c>
      <c r="H1635">
        <v>22</v>
      </c>
      <c r="I1635">
        <v>0.1774</v>
      </c>
      <c r="J1635">
        <f t="shared" si="25"/>
        <v>0.50732807215332576</v>
      </c>
      <c r="K1635">
        <v>8.9999999999999998E-4</v>
      </c>
      <c r="L1635" t="s">
        <v>17</v>
      </c>
      <c r="M1635">
        <v>296</v>
      </c>
      <c r="N1635" t="s">
        <v>553</v>
      </c>
    </row>
    <row r="1636" spans="1:14" ht="17" x14ac:dyDescent="0.25">
      <c r="A1636" t="s">
        <v>1099</v>
      </c>
      <c r="B1636" t="s">
        <v>32</v>
      </c>
      <c r="C1636" s="10">
        <v>30</v>
      </c>
      <c r="D1636">
        <v>6</v>
      </c>
      <c r="E1636">
        <v>25</v>
      </c>
      <c r="F1636">
        <v>29</v>
      </c>
      <c r="G1636">
        <v>6</v>
      </c>
      <c r="H1636">
        <v>24</v>
      </c>
      <c r="I1636">
        <v>0.1552</v>
      </c>
      <c r="J1636">
        <f t="shared" si="25"/>
        <v>0.70876288659793818</v>
      </c>
      <c r="K1636">
        <v>1.1000000000000001E-3</v>
      </c>
      <c r="L1636" t="s">
        <v>17</v>
      </c>
      <c r="M1636">
        <v>296</v>
      </c>
      <c r="N1636" t="s">
        <v>553</v>
      </c>
    </row>
    <row r="1637" spans="1:14" ht="17" x14ac:dyDescent="0.25">
      <c r="A1637" t="s">
        <v>1099</v>
      </c>
      <c r="B1637" t="s">
        <v>32</v>
      </c>
      <c r="C1637" s="10">
        <v>30</v>
      </c>
      <c r="D1637">
        <v>4</v>
      </c>
      <c r="E1637">
        <v>27</v>
      </c>
      <c r="F1637">
        <v>29</v>
      </c>
      <c r="G1637">
        <v>4</v>
      </c>
      <c r="H1637">
        <v>26</v>
      </c>
      <c r="I1637">
        <v>0.16930000000000001</v>
      </c>
      <c r="J1637">
        <f t="shared" si="25"/>
        <v>0.47253396337861786</v>
      </c>
      <c r="K1637">
        <v>8.0000000000000004E-4</v>
      </c>
      <c r="L1637" t="s">
        <v>17</v>
      </c>
      <c r="M1637">
        <v>296</v>
      </c>
      <c r="N1637" t="s">
        <v>553</v>
      </c>
    </row>
    <row r="1638" spans="1:14" ht="17" x14ac:dyDescent="0.25">
      <c r="A1638" t="s">
        <v>1099</v>
      </c>
      <c r="B1638" t="s">
        <v>32</v>
      </c>
      <c r="C1638" s="10">
        <v>33</v>
      </c>
      <c r="D1638">
        <v>9</v>
      </c>
      <c r="E1638">
        <v>24</v>
      </c>
      <c r="F1638">
        <v>32</v>
      </c>
      <c r="G1638">
        <v>9</v>
      </c>
      <c r="H1638">
        <v>23</v>
      </c>
      <c r="I1638">
        <v>0.15190000000000001</v>
      </c>
      <c r="J1638">
        <f t="shared" si="25"/>
        <v>1.1191573403554969</v>
      </c>
      <c r="K1638">
        <v>1.6999999999999999E-3</v>
      </c>
      <c r="L1638" t="s">
        <v>17</v>
      </c>
      <c r="M1638">
        <v>296</v>
      </c>
      <c r="N1638" t="s">
        <v>553</v>
      </c>
    </row>
    <row r="1639" spans="1:14" ht="17" x14ac:dyDescent="0.25">
      <c r="A1639" t="s">
        <v>1099</v>
      </c>
      <c r="B1639" t="s">
        <v>32</v>
      </c>
      <c r="C1639" s="10">
        <v>33</v>
      </c>
      <c r="D1639">
        <v>0</v>
      </c>
      <c r="E1639">
        <v>33</v>
      </c>
      <c r="F1639">
        <v>32</v>
      </c>
      <c r="G1639">
        <v>0</v>
      </c>
      <c r="H1639">
        <v>32</v>
      </c>
      <c r="I1639">
        <v>0.151</v>
      </c>
      <c r="J1639">
        <f t="shared" si="25"/>
        <v>0.79470198675496684</v>
      </c>
      <c r="K1639">
        <v>1.1999999999999999E-3</v>
      </c>
      <c r="L1639" t="s">
        <v>17</v>
      </c>
      <c r="M1639">
        <v>296</v>
      </c>
      <c r="N1639" t="s">
        <v>553</v>
      </c>
    </row>
    <row r="1640" spans="1:14" ht="17" x14ac:dyDescent="0.25">
      <c r="A1640" t="s">
        <v>1099</v>
      </c>
      <c r="B1640" t="s">
        <v>32</v>
      </c>
      <c r="C1640" s="10">
        <v>31</v>
      </c>
      <c r="D1640">
        <v>5</v>
      </c>
      <c r="E1640">
        <v>26</v>
      </c>
      <c r="F1640">
        <v>30</v>
      </c>
      <c r="G1640">
        <v>5</v>
      </c>
      <c r="H1640">
        <v>25</v>
      </c>
      <c r="I1640">
        <v>0.1678</v>
      </c>
      <c r="J1640">
        <f t="shared" si="25"/>
        <v>0.53635280095351601</v>
      </c>
      <c r="K1640">
        <v>8.9999999999999998E-4</v>
      </c>
      <c r="L1640" t="s">
        <v>17</v>
      </c>
      <c r="M1640">
        <v>296</v>
      </c>
      <c r="N1640" t="s">
        <v>553</v>
      </c>
    </row>
    <row r="1641" spans="1:14" ht="17" x14ac:dyDescent="0.25">
      <c r="A1641" t="s">
        <v>1099</v>
      </c>
      <c r="B1641" t="s">
        <v>32</v>
      </c>
      <c r="C1641" s="10">
        <v>31</v>
      </c>
      <c r="D1641">
        <v>2</v>
      </c>
      <c r="E1641">
        <v>29</v>
      </c>
      <c r="F1641">
        <v>30</v>
      </c>
      <c r="G1641">
        <v>2</v>
      </c>
      <c r="H1641">
        <v>28</v>
      </c>
      <c r="I1641">
        <v>0.1762</v>
      </c>
      <c r="J1641">
        <f t="shared" si="25"/>
        <v>0.34052213393870601</v>
      </c>
      <c r="K1641">
        <v>5.9999999999999995E-4</v>
      </c>
      <c r="L1641" t="s">
        <v>17</v>
      </c>
      <c r="M1641">
        <v>296</v>
      </c>
      <c r="N1641" t="s">
        <v>553</v>
      </c>
    </row>
    <row r="1642" spans="1:14" ht="17" x14ac:dyDescent="0.25">
      <c r="A1642" t="s">
        <v>1099</v>
      </c>
      <c r="B1642" t="s">
        <v>32</v>
      </c>
      <c r="C1642" s="10">
        <v>32</v>
      </c>
      <c r="D1642">
        <v>6</v>
      </c>
      <c r="E1642">
        <v>27</v>
      </c>
      <c r="F1642">
        <v>31</v>
      </c>
      <c r="G1642">
        <v>6</v>
      </c>
      <c r="H1642">
        <v>26</v>
      </c>
      <c r="I1642">
        <v>0.1714</v>
      </c>
      <c r="J1642">
        <f t="shared" si="25"/>
        <v>0.46674445740956833</v>
      </c>
      <c r="K1642">
        <v>8.0000000000000004E-4</v>
      </c>
      <c r="L1642" t="s">
        <v>17</v>
      </c>
      <c r="M1642">
        <v>296</v>
      </c>
      <c r="N1642" t="s">
        <v>553</v>
      </c>
    </row>
    <row r="1643" spans="1:14" ht="17" x14ac:dyDescent="0.25">
      <c r="A1643" t="s">
        <v>1099</v>
      </c>
      <c r="B1643" t="s">
        <v>32</v>
      </c>
      <c r="C1643" s="10">
        <v>34</v>
      </c>
      <c r="D1643">
        <v>1</v>
      </c>
      <c r="E1643">
        <v>34</v>
      </c>
      <c r="F1643">
        <v>33</v>
      </c>
      <c r="G1643">
        <v>1</v>
      </c>
      <c r="H1643">
        <v>33</v>
      </c>
      <c r="I1643">
        <v>0.15740000000000001</v>
      </c>
      <c r="J1643">
        <f t="shared" si="25"/>
        <v>0.38119440914866576</v>
      </c>
      <c r="K1643">
        <v>5.9999999999999995E-4</v>
      </c>
      <c r="L1643" t="s">
        <v>17</v>
      </c>
      <c r="M1643">
        <v>296</v>
      </c>
      <c r="N1643" t="s">
        <v>553</v>
      </c>
    </row>
    <row r="1644" spans="1:14" ht="17" x14ac:dyDescent="0.25">
      <c r="A1644" t="s">
        <v>1099</v>
      </c>
      <c r="B1644" t="s">
        <v>32</v>
      </c>
      <c r="C1644" s="10">
        <v>33</v>
      </c>
      <c r="D1644">
        <v>1</v>
      </c>
      <c r="E1644">
        <v>32</v>
      </c>
      <c r="F1644">
        <v>32</v>
      </c>
      <c r="G1644">
        <v>1</v>
      </c>
      <c r="H1644">
        <v>31</v>
      </c>
      <c r="I1644">
        <v>0.15459999999999999</v>
      </c>
      <c r="J1644">
        <f t="shared" si="25"/>
        <v>0.38809831824062097</v>
      </c>
      <c r="K1644">
        <v>5.9999999999999995E-4</v>
      </c>
      <c r="L1644" t="s">
        <v>17</v>
      </c>
      <c r="M1644">
        <v>296</v>
      </c>
      <c r="N1644" t="s">
        <v>553</v>
      </c>
    </row>
    <row r="1645" spans="1:14" ht="17" x14ac:dyDescent="0.25">
      <c r="A1645" t="s">
        <v>1099</v>
      </c>
      <c r="B1645" t="s">
        <v>32</v>
      </c>
      <c r="C1645" s="10">
        <v>33</v>
      </c>
      <c r="D1645">
        <v>7</v>
      </c>
      <c r="E1645">
        <v>26</v>
      </c>
      <c r="F1645">
        <v>32</v>
      </c>
      <c r="G1645">
        <v>7</v>
      </c>
      <c r="H1645">
        <v>25</v>
      </c>
      <c r="I1645">
        <v>0.19409999999999999</v>
      </c>
      <c r="J1645">
        <f t="shared" si="25"/>
        <v>0.77279752704791349</v>
      </c>
      <c r="K1645">
        <v>1.5E-3</v>
      </c>
      <c r="L1645" t="s">
        <v>17</v>
      </c>
      <c r="M1645">
        <v>296</v>
      </c>
      <c r="N1645" t="s">
        <v>553</v>
      </c>
    </row>
    <row r="1646" spans="1:14" ht="17" x14ac:dyDescent="0.25">
      <c r="A1646" t="s">
        <v>1099</v>
      </c>
      <c r="B1646" t="s">
        <v>32</v>
      </c>
      <c r="C1646" s="10">
        <v>32</v>
      </c>
      <c r="D1646">
        <v>5</v>
      </c>
      <c r="E1646">
        <v>28</v>
      </c>
      <c r="F1646">
        <v>31</v>
      </c>
      <c r="G1646">
        <v>5</v>
      </c>
      <c r="H1646">
        <v>27</v>
      </c>
      <c r="I1646">
        <v>0.17580000000000001</v>
      </c>
      <c r="J1646">
        <f t="shared" si="25"/>
        <v>0.73947667804323092</v>
      </c>
      <c r="K1646">
        <v>1.2999999999999999E-3</v>
      </c>
      <c r="L1646" t="s">
        <v>17</v>
      </c>
      <c r="M1646">
        <v>296</v>
      </c>
      <c r="N1646" t="s">
        <v>553</v>
      </c>
    </row>
    <row r="1647" spans="1:14" ht="17" x14ac:dyDescent="0.25">
      <c r="A1647" t="s">
        <v>1099</v>
      </c>
      <c r="B1647" t="s">
        <v>32</v>
      </c>
      <c r="C1647" s="10">
        <v>32</v>
      </c>
      <c r="D1647">
        <v>4</v>
      </c>
      <c r="E1647">
        <v>29</v>
      </c>
      <c r="F1647">
        <v>31</v>
      </c>
      <c r="G1647">
        <v>4</v>
      </c>
      <c r="H1647">
        <v>28</v>
      </c>
      <c r="I1647">
        <v>0.16889999999999999</v>
      </c>
      <c r="J1647">
        <f t="shared" si="25"/>
        <v>0.53285968028419184</v>
      </c>
      <c r="K1647">
        <v>8.9999999999999998E-4</v>
      </c>
      <c r="L1647" t="s">
        <v>17</v>
      </c>
      <c r="M1647">
        <v>296</v>
      </c>
      <c r="N1647" t="s">
        <v>553</v>
      </c>
    </row>
    <row r="1648" spans="1:14" ht="17" x14ac:dyDescent="0.25">
      <c r="A1648" t="s">
        <v>1099</v>
      </c>
      <c r="B1648" t="s">
        <v>32</v>
      </c>
      <c r="C1648" s="10">
        <v>31</v>
      </c>
      <c r="D1648">
        <v>4</v>
      </c>
      <c r="E1648">
        <v>27</v>
      </c>
      <c r="F1648">
        <v>30</v>
      </c>
      <c r="G1648">
        <v>4</v>
      </c>
      <c r="H1648">
        <v>26</v>
      </c>
      <c r="I1648">
        <v>0.15490000000000001</v>
      </c>
      <c r="J1648">
        <f t="shared" si="25"/>
        <v>0.64557779212395094</v>
      </c>
      <c r="K1648">
        <v>1E-3</v>
      </c>
      <c r="L1648" t="s">
        <v>17</v>
      </c>
      <c r="M1648">
        <v>296</v>
      </c>
      <c r="N1648" t="s">
        <v>553</v>
      </c>
    </row>
    <row r="1649" spans="1:14" ht="17" x14ac:dyDescent="0.25">
      <c r="A1649" t="s">
        <v>1099</v>
      </c>
      <c r="B1649" t="s">
        <v>32</v>
      </c>
      <c r="C1649" s="10">
        <v>35</v>
      </c>
      <c r="D1649">
        <v>0</v>
      </c>
      <c r="E1649">
        <v>35</v>
      </c>
      <c r="F1649">
        <v>34</v>
      </c>
      <c r="G1649">
        <v>0</v>
      </c>
      <c r="H1649">
        <v>34</v>
      </c>
      <c r="I1649">
        <v>0.14330000000000001</v>
      </c>
      <c r="J1649">
        <f t="shared" si="25"/>
        <v>0.62805303558967196</v>
      </c>
      <c r="K1649">
        <v>8.9999999999999998E-4</v>
      </c>
      <c r="L1649" t="s">
        <v>17</v>
      </c>
      <c r="M1649">
        <v>296</v>
      </c>
      <c r="N1649" t="s">
        <v>553</v>
      </c>
    </row>
    <row r="1650" spans="1:14" ht="17" x14ac:dyDescent="0.25">
      <c r="A1650" t="s">
        <v>1099</v>
      </c>
      <c r="B1650" t="s">
        <v>32</v>
      </c>
      <c r="C1650" s="10">
        <v>36</v>
      </c>
      <c r="D1650">
        <v>1</v>
      </c>
      <c r="E1650">
        <v>36</v>
      </c>
      <c r="F1650">
        <v>35</v>
      </c>
      <c r="G1650">
        <v>1</v>
      </c>
      <c r="H1650">
        <v>35</v>
      </c>
      <c r="I1650">
        <v>0.14369999999999999</v>
      </c>
      <c r="J1650">
        <f t="shared" si="25"/>
        <v>0.7654836464857343</v>
      </c>
      <c r="K1650">
        <v>1.1000000000000001E-3</v>
      </c>
      <c r="L1650" t="s">
        <v>17</v>
      </c>
      <c r="M1650">
        <v>296</v>
      </c>
      <c r="N1650" t="s">
        <v>553</v>
      </c>
    </row>
    <row r="1651" spans="1:14" ht="17" x14ac:dyDescent="0.25">
      <c r="A1651" t="s">
        <v>1099</v>
      </c>
      <c r="B1651" t="s">
        <v>32</v>
      </c>
      <c r="C1651" s="10">
        <v>34</v>
      </c>
      <c r="D1651">
        <v>3</v>
      </c>
      <c r="E1651">
        <v>32</v>
      </c>
      <c r="F1651">
        <v>33</v>
      </c>
      <c r="G1651">
        <v>3</v>
      </c>
      <c r="H1651">
        <v>31</v>
      </c>
      <c r="I1651">
        <v>0.1477</v>
      </c>
      <c r="J1651">
        <f t="shared" si="25"/>
        <v>0.54163845633039953</v>
      </c>
      <c r="K1651">
        <v>8.0000000000000004E-4</v>
      </c>
      <c r="L1651" t="s">
        <v>17</v>
      </c>
      <c r="M1651">
        <v>296</v>
      </c>
      <c r="N1651" t="s">
        <v>553</v>
      </c>
    </row>
    <row r="1652" spans="1:14" ht="17" x14ac:dyDescent="0.25">
      <c r="A1652" t="s">
        <v>1099</v>
      </c>
      <c r="B1652" t="s">
        <v>32</v>
      </c>
      <c r="C1652" s="10">
        <v>34</v>
      </c>
      <c r="D1652">
        <v>6</v>
      </c>
      <c r="E1652">
        <v>29</v>
      </c>
      <c r="F1652">
        <v>33</v>
      </c>
      <c r="G1652">
        <v>6</v>
      </c>
      <c r="H1652">
        <v>28</v>
      </c>
      <c r="I1652">
        <v>0.16930000000000001</v>
      </c>
      <c r="J1652">
        <f t="shared" si="25"/>
        <v>0.53160070880094501</v>
      </c>
      <c r="K1652">
        <v>8.9999999999999998E-4</v>
      </c>
      <c r="L1652" t="s">
        <v>17</v>
      </c>
      <c r="M1652">
        <v>296</v>
      </c>
      <c r="N1652" t="s">
        <v>553</v>
      </c>
    </row>
    <row r="1653" spans="1:14" ht="17" x14ac:dyDescent="0.25">
      <c r="A1653" t="s">
        <v>1099</v>
      </c>
      <c r="B1653" t="s">
        <v>32</v>
      </c>
      <c r="C1653" s="10">
        <v>37</v>
      </c>
      <c r="D1653">
        <v>0</v>
      </c>
      <c r="E1653">
        <v>37</v>
      </c>
      <c r="F1653">
        <v>36</v>
      </c>
      <c r="G1653">
        <v>0</v>
      </c>
      <c r="H1653">
        <v>36</v>
      </c>
      <c r="I1653">
        <v>0.14879999999999999</v>
      </c>
      <c r="J1653">
        <f t="shared" si="25"/>
        <v>0.40322580645161288</v>
      </c>
      <c r="K1653">
        <v>5.9999999999999995E-4</v>
      </c>
      <c r="L1653" t="s">
        <v>17</v>
      </c>
      <c r="M1653">
        <v>296</v>
      </c>
      <c r="N1653" t="s">
        <v>553</v>
      </c>
    </row>
    <row r="1654" spans="1:14" ht="17" x14ac:dyDescent="0.25">
      <c r="A1654" t="s">
        <v>1099</v>
      </c>
      <c r="B1654" t="s">
        <v>32</v>
      </c>
      <c r="C1654" s="10">
        <v>36</v>
      </c>
      <c r="D1654">
        <v>2</v>
      </c>
      <c r="E1654">
        <v>35</v>
      </c>
      <c r="F1654">
        <v>35</v>
      </c>
      <c r="G1654">
        <v>2</v>
      </c>
      <c r="H1654">
        <v>34</v>
      </c>
      <c r="I1654">
        <v>0.1537</v>
      </c>
      <c r="J1654">
        <f t="shared" si="25"/>
        <v>0.52049446974625901</v>
      </c>
      <c r="K1654">
        <v>8.0000000000000004E-4</v>
      </c>
      <c r="L1654" t="s">
        <v>17</v>
      </c>
      <c r="M1654">
        <v>296</v>
      </c>
      <c r="N1654" t="s">
        <v>553</v>
      </c>
    </row>
    <row r="1655" spans="1:14" ht="17" x14ac:dyDescent="0.25">
      <c r="A1655" t="s">
        <v>1099</v>
      </c>
      <c r="B1655" t="s">
        <v>32</v>
      </c>
      <c r="C1655" s="10">
        <v>36</v>
      </c>
      <c r="D1655">
        <v>8</v>
      </c>
      <c r="E1655">
        <v>29</v>
      </c>
      <c r="F1655">
        <v>35</v>
      </c>
      <c r="G1655">
        <v>8</v>
      </c>
      <c r="H1655">
        <v>28</v>
      </c>
      <c r="I1655">
        <v>0.16439999999999999</v>
      </c>
      <c r="J1655">
        <f t="shared" si="25"/>
        <v>0.85158150851581504</v>
      </c>
      <c r="K1655">
        <v>1.4E-3</v>
      </c>
      <c r="L1655" t="s">
        <v>17</v>
      </c>
      <c r="M1655">
        <v>296</v>
      </c>
      <c r="N1655" t="s">
        <v>553</v>
      </c>
    </row>
    <row r="1656" spans="1:14" ht="17" x14ac:dyDescent="0.25">
      <c r="A1656" t="s">
        <v>1099</v>
      </c>
      <c r="B1656" t="s">
        <v>32</v>
      </c>
      <c r="C1656" s="10">
        <v>33</v>
      </c>
      <c r="D1656">
        <v>4</v>
      </c>
      <c r="E1656">
        <v>29</v>
      </c>
      <c r="F1656">
        <v>32</v>
      </c>
      <c r="G1656">
        <v>4</v>
      </c>
      <c r="H1656">
        <v>28</v>
      </c>
      <c r="I1656">
        <v>0.16589999999999999</v>
      </c>
      <c r="J1656">
        <f t="shared" si="25"/>
        <v>0.36166365280289331</v>
      </c>
      <c r="K1656">
        <v>5.9999999999999995E-4</v>
      </c>
      <c r="L1656" t="s">
        <v>17</v>
      </c>
      <c r="M1656">
        <v>296</v>
      </c>
      <c r="N1656" t="s">
        <v>553</v>
      </c>
    </row>
    <row r="1657" spans="1:14" ht="17" x14ac:dyDescent="0.25">
      <c r="A1657" t="s">
        <v>1099</v>
      </c>
      <c r="B1657" t="s">
        <v>32</v>
      </c>
      <c r="C1657" s="10">
        <v>33</v>
      </c>
      <c r="D1657">
        <v>3</v>
      </c>
      <c r="E1657">
        <v>30</v>
      </c>
      <c r="F1657">
        <v>32</v>
      </c>
      <c r="G1657">
        <v>3</v>
      </c>
      <c r="H1657">
        <v>29</v>
      </c>
      <c r="I1657">
        <v>0.16889999999999999</v>
      </c>
      <c r="J1657">
        <f t="shared" si="25"/>
        <v>0.47365304914150391</v>
      </c>
      <c r="K1657">
        <v>8.0000000000000004E-4</v>
      </c>
      <c r="L1657" t="s">
        <v>17</v>
      </c>
      <c r="M1657">
        <v>296</v>
      </c>
      <c r="N1657" t="s">
        <v>553</v>
      </c>
    </row>
    <row r="1658" spans="1:14" ht="17" x14ac:dyDescent="0.25">
      <c r="A1658" t="s">
        <v>1099</v>
      </c>
      <c r="B1658" t="s">
        <v>32</v>
      </c>
      <c r="C1658" s="10">
        <v>36</v>
      </c>
      <c r="D1658">
        <v>7</v>
      </c>
      <c r="E1658">
        <v>30</v>
      </c>
      <c r="F1658">
        <v>35</v>
      </c>
      <c r="G1658">
        <v>7</v>
      </c>
      <c r="H1658">
        <v>29</v>
      </c>
      <c r="I1658">
        <v>0.1575</v>
      </c>
      <c r="J1658">
        <f t="shared" si="25"/>
        <v>1.2063492063492063</v>
      </c>
      <c r="K1658">
        <v>1.9E-3</v>
      </c>
      <c r="L1658" t="s">
        <v>17</v>
      </c>
      <c r="M1658">
        <v>296</v>
      </c>
      <c r="N1658" t="s">
        <v>553</v>
      </c>
    </row>
    <row r="1659" spans="1:14" ht="17" x14ac:dyDescent="0.25">
      <c r="A1659" t="s">
        <v>1099</v>
      </c>
      <c r="B1659" t="s">
        <v>32</v>
      </c>
      <c r="C1659" s="10">
        <v>37</v>
      </c>
      <c r="D1659">
        <v>1</v>
      </c>
      <c r="E1659">
        <v>36</v>
      </c>
      <c r="F1659">
        <v>36</v>
      </c>
      <c r="G1659">
        <v>1</v>
      </c>
      <c r="H1659">
        <v>35</v>
      </c>
      <c r="I1659">
        <v>0.14269999999999999</v>
      </c>
      <c r="J1659">
        <f t="shared" si="25"/>
        <v>1.0511562718990892</v>
      </c>
      <c r="K1659">
        <v>1.5E-3</v>
      </c>
      <c r="L1659" t="s">
        <v>17</v>
      </c>
      <c r="M1659">
        <v>296</v>
      </c>
      <c r="N1659" t="s">
        <v>553</v>
      </c>
    </row>
    <row r="1660" spans="1:14" ht="17" x14ac:dyDescent="0.25">
      <c r="A1660" t="s">
        <v>1099</v>
      </c>
      <c r="B1660" t="s">
        <v>32</v>
      </c>
      <c r="C1660" s="10">
        <v>36</v>
      </c>
      <c r="D1660">
        <v>4</v>
      </c>
      <c r="E1660">
        <v>33</v>
      </c>
      <c r="F1660">
        <v>35</v>
      </c>
      <c r="G1660">
        <v>4</v>
      </c>
      <c r="H1660">
        <v>32</v>
      </c>
      <c r="I1660">
        <v>0.1583</v>
      </c>
      <c r="J1660">
        <f t="shared" si="25"/>
        <v>0.4421983575489577</v>
      </c>
      <c r="K1660">
        <v>6.9999999999999999E-4</v>
      </c>
      <c r="L1660" t="s">
        <v>17</v>
      </c>
      <c r="M1660">
        <v>296</v>
      </c>
      <c r="N1660" t="s">
        <v>553</v>
      </c>
    </row>
    <row r="1661" spans="1:14" ht="17" x14ac:dyDescent="0.25">
      <c r="A1661" t="s">
        <v>1099</v>
      </c>
      <c r="B1661" t="s">
        <v>32</v>
      </c>
      <c r="C1661" s="10">
        <v>37</v>
      </c>
      <c r="D1661">
        <v>7</v>
      </c>
      <c r="E1661">
        <v>30</v>
      </c>
      <c r="F1661">
        <v>36</v>
      </c>
      <c r="G1661">
        <v>7</v>
      </c>
      <c r="H1661">
        <v>29</v>
      </c>
      <c r="I1661">
        <v>0.1628</v>
      </c>
      <c r="J1661">
        <f t="shared" si="25"/>
        <v>0.73710073710073709</v>
      </c>
      <c r="K1661">
        <v>1.1999999999999999E-3</v>
      </c>
      <c r="L1661" t="s">
        <v>17</v>
      </c>
      <c r="M1661">
        <v>296</v>
      </c>
      <c r="N1661" t="s">
        <v>553</v>
      </c>
    </row>
    <row r="1662" spans="1:14" ht="17" x14ac:dyDescent="0.25">
      <c r="A1662" t="s">
        <v>1099</v>
      </c>
      <c r="B1662" t="s">
        <v>32</v>
      </c>
      <c r="C1662" s="10">
        <v>38</v>
      </c>
      <c r="D1662">
        <v>2</v>
      </c>
      <c r="E1662">
        <v>37</v>
      </c>
      <c r="F1662">
        <v>37</v>
      </c>
      <c r="G1662">
        <v>2</v>
      </c>
      <c r="H1662">
        <v>36</v>
      </c>
      <c r="I1662">
        <v>0.1462</v>
      </c>
      <c r="J1662">
        <f t="shared" si="25"/>
        <v>0.47879616963064298</v>
      </c>
      <c r="K1662">
        <v>6.9999999999999999E-4</v>
      </c>
      <c r="L1662" t="s">
        <v>17</v>
      </c>
      <c r="M1662">
        <v>296</v>
      </c>
      <c r="N1662" t="s">
        <v>553</v>
      </c>
    </row>
    <row r="1663" spans="1:14" ht="17" x14ac:dyDescent="0.25">
      <c r="A1663" t="s">
        <v>1099</v>
      </c>
      <c r="B1663" t="s">
        <v>32</v>
      </c>
      <c r="C1663" s="10">
        <v>36</v>
      </c>
      <c r="D1663">
        <v>5</v>
      </c>
      <c r="E1663">
        <v>32</v>
      </c>
      <c r="F1663">
        <v>35</v>
      </c>
      <c r="G1663">
        <v>5</v>
      </c>
      <c r="H1663">
        <v>31</v>
      </c>
      <c r="I1663">
        <v>0.16489999999999999</v>
      </c>
      <c r="J1663">
        <f t="shared" si="25"/>
        <v>0.60642813826561559</v>
      </c>
      <c r="K1663">
        <v>1E-3</v>
      </c>
      <c r="L1663" t="s">
        <v>17</v>
      </c>
      <c r="M1663">
        <v>296</v>
      </c>
      <c r="N1663" t="s">
        <v>553</v>
      </c>
    </row>
    <row r="1664" spans="1:14" ht="17" x14ac:dyDescent="0.25">
      <c r="A1664" t="s">
        <v>1099</v>
      </c>
      <c r="B1664" t="s">
        <v>32</v>
      </c>
      <c r="C1664" s="10">
        <v>39</v>
      </c>
      <c r="D1664">
        <v>9</v>
      </c>
      <c r="E1664">
        <v>30</v>
      </c>
      <c r="F1664">
        <v>38</v>
      </c>
      <c r="G1664">
        <v>9</v>
      </c>
      <c r="H1664">
        <v>29</v>
      </c>
      <c r="I1664">
        <v>0.1686</v>
      </c>
      <c r="J1664">
        <f t="shared" ref="J1664:J1724" si="26">K1664/I1664*100</f>
        <v>1.1269276393831553</v>
      </c>
      <c r="K1664">
        <v>1.9E-3</v>
      </c>
      <c r="L1664" t="s">
        <v>17</v>
      </c>
      <c r="M1664">
        <v>296</v>
      </c>
      <c r="N1664" t="s">
        <v>553</v>
      </c>
    </row>
    <row r="1665" spans="1:18" ht="17" x14ac:dyDescent="0.25">
      <c r="A1665" t="s">
        <v>1099</v>
      </c>
      <c r="B1665" t="s">
        <v>32</v>
      </c>
      <c r="C1665" s="10">
        <v>35</v>
      </c>
      <c r="D1665">
        <v>4</v>
      </c>
      <c r="E1665">
        <v>31</v>
      </c>
      <c r="F1665">
        <v>34</v>
      </c>
      <c r="G1665">
        <v>4</v>
      </c>
      <c r="H1665">
        <v>30</v>
      </c>
      <c r="I1665">
        <v>0.17419999999999999</v>
      </c>
      <c r="J1665">
        <f t="shared" si="26"/>
        <v>0.68886337543053955</v>
      </c>
      <c r="K1665">
        <v>1.1999999999999999E-3</v>
      </c>
      <c r="L1665" t="s">
        <v>17</v>
      </c>
      <c r="M1665">
        <v>296</v>
      </c>
      <c r="N1665" t="s">
        <v>553</v>
      </c>
    </row>
    <row r="1666" spans="1:18" ht="17" x14ac:dyDescent="0.25">
      <c r="A1666" t="s">
        <v>1099</v>
      </c>
      <c r="B1666" t="s">
        <v>32</v>
      </c>
      <c r="C1666" s="10">
        <v>39</v>
      </c>
      <c r="D1666">
        <v>1</v>
      </c>
      <c r="E1666">
        <v>38</v>
      </c>
      <c r="F1666">
        <v>38</v>
      </c>
      <c r="G1666">
        <v>1</v>
      </c>
      <c r="H1666">
        <v>37</v>
      </c>
      <c r="I1666">
        <v>0.14360000000000001</v>
      </c>
      <c r="J1666">
        <f t="shared" si="26"/>
        <v>0.62674094707520889</v>
      </c>
      <c r="K1666">
        <v>8.9999999999999998E-4</v>
      </c>
      <c r="L1666" t="s">
        <v>17</v>
      </c>
      <c r="M1666">
        <v>296</v>
      </c>
      <c r="N1666" t="s">
        <v>553</v>
      </c>
    </row>
    <row r="1667" spans="1:18" ht="17" x14ac:dyDescent="0.25">
      <c r="A1667" t="s">
        <v>1099</v>
      </c>
      <c r="B1667" t="s">
        <v>32</v>
      </c>
      <c r="C1667" s="10">
        <v>38</v>
      </c>
      <c r="D1667">
        <v>7</v>
      </c>
      <c r="E1667">
        <v>32</v>
      </c>
      <c r="F1667">
        <v>37</v>
      </c>
      <c r="G1667">
        <v>7</v>
      </c>
      <c r="H1667">
        <v>31</v>
      </c>
      <c r="I1667">
        <v>0.17780000000000001</v>
      </c>
      <c r="J1667">
        <f t="shared" si="26"/>
        <v>0.95613048368953857</v>
      </c>
      <c r="K1667">
        <v>1.6999999999999999E-3</v>
      </c>
      <c r="L1667" t="s">
        <v>17</v>
      </c>
      <c r="M1667">
        <v>296</v>
      </c>
      <c r="N1667" t="s">
        <v>553</v>
      </c>
    </row>
    <row r="1668" spans="1:18" ht="17" x14ac:dyDescent="0.25">
      <c r="A1668" t="s">
        <v>1099</v>
      </c>
      <c r="B1668" t="s">
        <v>32</v>
      </c>
      <c r="C1668" s="10">
        <v>40</v>
      </c>
      <c r="D1668">
        <v>2</v>
      </c>
      <c r="E1668">
        <v>39</v>
      </c>
      <c r="F1668">
        <v>39</v>
      </c>
      <c r="G1668">
        <v>2</v>
      </c>
      <c r="H1668">
        <v>38</v>
      </c>
      <c r="I1668">
        <v>0.16350000000000001</v>
      </c>
      <c r="J1668">
        <f t="shared" si="26"/>
        <v>0.672782874617737</v>
      </c>
      <c r="K1668">
        <v>1.1000000000000001E-3</v>
      </c>
      <c r="L1668" t="s">
        <v>17</v>
      </c>
      <c r="M1668">
        <v>296</v>
      </c>
      <c r="N1668" t="s">
        <v>553</v>
      </c>
    </row>
    <row r="1669" spans="1:18" ht="17" x14ac:dyDescent="0.25">
      <c r="A1669" t="s">
        <v>1099</v>
      </c>
      <c r="B1669" t="s">
        <v>32</v>
      </c>
      <c r="C1669" s="10">
        <v>37</v>
      </c>
      <c r="D1669">
        <v>4</v>
      </c>
      <c r="E1669">
        <v>33</v>
      </c>
      <c r="F1669">
        <v>36</v>
      </c>
      <c r="G1669">
        <v>4</v>
      </c>
      <c r="H1669">
        <v>32</v>
      </c>
      <c r="I1669">
        <v>0.1583</v>
      </c>
      <c r="J1669">
        <f t="shared" si="26"/>
        <v>0.6948831332912192</v>
      </c>
      <c r="K1669">
        <v>1.1000000000000001E-3</v>
      </c>
      <c r="L1669" t="s">
        <v>17</v>
      </c>
      <c r="M1669">
        <v>296</v>
      </c>
      <c r="N1669" t="s">
        <v>553</v>
      </c>
    </row>
    <row r="1670" spans="1:18" ht="17" x14ac:dyDescent="0.25">
      <c r="A1670" t="s">
        <v>1099</v>
      </c>
      <c r="B1670" t="s">
        <v>32</v>
      </c>
      <c r="C1670" s="10">
        <v>40</v>
      </c>
      <c r="D1670">
        <v>7</v>
      </c>
      <c r="E1670">
        <v>34</v>
      </c>
      <c r="F1670">
        <v>39</v>
      </c>
      <c r="G1670">
        <v>7</v>
      </c>
      <c r="H1670">
        <v>33</v>
      </c>
      <c r="I1670">
        <v>0.16420000000000001</v>
      </c>
      <c r="J1670">
        <f t="shared" si="26"/>
        <v>1.0962241169305724</v>
      </c>
      <c r="K1670">
        <v>1.8E-3</v>
      </c>
      <c r="L1670" t="s">
        <v>17</v>
      </c>
      <c r="M1670">
        <v>296</v>
      </c>
      <c r="N1670" t="s">
        <v>553</v>
      </c>
    </row>
    <row r="1671" spans="1:18" ht="17" x14ac:dyDescent="0.25">
      <c r="A1671" t="s">
        <v>1099</v>
      </c>
      <c r="B1671" t="s">
        <v>32</v>
      </c>
      <c r="C1671" s="10">
        <v>42</v>
      </c>
      <c r="D1671">
        <v>2</v>
      </c>
      <c r="E1671">
        <v>41</v>
      </c>
      <c r="F1671">
        <v>41</v>
      </c>
      <c r="G1671">
        <v>2</v>
      </c>
      <c r="H1671">
        <v>40</v>
      </c>
      <c r="I1671">
        <v>0.16159999999999999</v>
      </c>
      <c r="J1671">
        <f t="shared" si="26"/>
        <v>0.74257425742574257</v>
      </c>
      <c r="K1671">
        <v>1.1999999999999999E-3</v>
      </c>
      <c r="L1671" t="s">
        <v>17</v>
      </c>
      <c r="M1671">
        <v>296</v>
      </c>
      <c r="N1671" t="s">
        <v>553</v>
      </c>
    </row>
    <row r="1672" spans="1:18" ht="17" x14ac:dyDescent="0.25">
      <c r="A1672" t="s">
        <v>1099</v>
      </c>
      <c r="B1672" t="s">
        <v>32</v>
      </c>
      <c r="C1672" s="10">
        <v>45</v>
      </c>
      <c r="D1672">
        <v>0</v>
      </c>
      <c r="E1672">
        <v>45</v>
      </c>
      <c r="F1672">
        <v>44</v>
      </c>
      <c r="G1672">
        <v>0</v>
      </c>
      <c r="H1672">
        <v>44</v>
      </c>
      <c r="I1672">
        <v>0.14460000000000001</v>
      </c>
      <c r="J1672">
        <f t="shared" si="26"/>
        <v>1.1756569847856153</v>
      </c>
      <c r="K1672">
        <v>1.6999999999999999E-3</v>
      </c>
      <c r="L1672" t="s">
        <v>17</v>
      </c>
      <c r="M1672">
        <v>296</v>
      </c>
      <c r="N1672" t="s">
        <v>553</v>
      </c>
    </row>
    <row r="1673" spans="1:18" ht="17" x14ac:dyDescent="0.25">
      <c r="A1673" t="s">
        <v>1099</v>
      </c>
      <c r="B1673" t="s">
        <v>32</v>
      </c>
      <c r="C1673" s="10">
        <v>44</v>
      </c>
      <c r="D1673">
        <v>2</v>
      </c>
      <c r="E1673">
        <v>43</v>
      </c>
      <c r="F1673">
        <v>43</v>
      </c>
      <c r="G1673">
        <v>2</v>
      </c>
      <c r="H1673">
        <v>42</v>
      </c>
      <c r="I1673">
        <v>0.1522</v>
      </c>
      <c r="J1673">
        <f t="shared" si="26"/>
        <v>1.2483574244415243</v>
      </c>
      <c r="K1673">
        <v>1.9E-3</v>
      </c>
      <c r="L1673" t="s">
        <v>17</v>
      </c>
      <c r="M1673">
        <v>296</v>
      </c>
      <c r="N1673" t="s">
        <v>553</v>
      </c>
    </row>
    <row r="1674" spans="1:18" ht="17" x14ac:dyDescent="0.25">
      <c r="A1674" t="s">
        <v>1099</v>
      </c>
      <c r="B1674" t="s">
        <v>32</v>
      </c>
      <c r="C1674" s="10">
        <v>43</v>
      </c>
      <c r="D1674">
        <v>8</v>
      </c>
      <c r="E1674">
        <v>35</v>
      </c>
      <c r="F1674">
        <v>42</v>
      </c>
      <c r="G1674">
        <v>8</v>
      </c>
      <c r="H1674">
        <v>34</v>
      </c>
      <c r="I1674">
        <v>0.17549999999999999</v>
      </c>
      <c r="J1674">
        <f t="shared" si="26"/>
        <v>1.1396011396011396</v>
      </c>
      <c r="K1674">
        <v>2E-3</v>
      </c>
      <c r="L1674" t="s">
        <v>17</v>
      </c>
      <c r="M1674">
        <v>296</v>
      </c>
      <c r="N1674" t="s">
        <v>553</v>
      </c>
    </row>
    <row r="1675" spans="1:18" ht="17" x14ac:dyDescent="0.25">
      <c r="A1675" t="s">
        <v>1099</v>
      </c>
      <c r="B1675" t="s">
        <v>32</v>
      </c>
      <c r="C1675" s="10">
        <v>43</v>
      </c>
      <c r="D1675">
        <v>2</v>
      </c>
      <c r="E1675">
        <v>41</v>
      </c>
      <c r="F1675">
        <v>42</v>
      </c>
      <c r="G1675">
        <v>2</v>
      </c>
      <c r="H1675">
        <v>40</v>
      </c>
      <c r="I1675">
        <v>0.1482</v>
      </c>
      <c r="J1675">
        <f t="shared" si="26"/>
        <v>0.67476383265856954</v>
      </c>
      <c r="K1675">
        <v>1E-3</v>
      </c>
      <c r="L1675" t="s">
        <v>17</v>
      </c>
      <c r="M1675">
        <v>296</v>
      </c>
      <c r="N1675" t="s">
        <v>553</v>
      </c>
    </row>
    <row r="1676" spans="1:18" ht="17" x14ac:dyDescent="0.25">
      <c r="A1676" t="s">
        <v>1099</v>
      </c>
      <c r="B1676" t="s">
        <v>32</v>
      </c>
      <c r="C1676" s="10">
        <v>44</v>
      </c>
      <c r="D1676">
        <v>5</v>
      </c>
      <c r="E1676">
        <v>40</v>
      </c>
      <c r="F1676">
        <v>43</v>
      </c>
      <c r="G1676">
        <v>5</v>
      </c>
      <c r="H1676">
        <v>39</v>
      </c>
      <c r="I1676">
        <v>0.15640000000000001</v>
      </c>
      <c r="J1676">
        <f t="shared" si="26"/>
        <v>1.0230179028132991</v>
      </c>
      <c r="K1676">
        <v>1.6000000000000001E-3</v>
      </c>
      <c r="L1676" t="s">
        <v>17</v>
      </c>
      <c r="M1676">
        <v>296</v>
      </c>
      <c r="N1676" t="s">
        <v>553</v>
      </c>
    </row>
    <row r="1677" spans="1:18" ht="17" x14ac:dyDescent="0.25">
      <c r="A1677" t="s">
        <v>1099</v>
      </c>
      <c r="B1677" t="s">
        <v>32</v>
      </c>
      <c r="C1677" s="10">
        <v>46</v>
      </c>
      <c r="D1677">
        <v>6</v>
      </c>
      <c r="E1677">
        <v>41</v>
      </c>
      <c r="F1677">
        <v>45</v>
      </c>
      <c r="G1677">
        <v>6</v>
      </c>
      <c r="H1677">
        <v>40</v>
      </c>
      <c r="I1677">
        <v>0.1552</v>
      </c>
      <c r="J1677">
        <f t="shared" si="26"/>
        <v>1.0953608247422679</v>
      </c>
      <c r="K1677">
        <v>1.6999999999999999E-3</v>
      </c>
      <c r="L1677" t="s">
        <v>17</v>
      </c>
      <c r="M1677">
        <v>296</v>
      </c>
      <c r="N1677" t="s">
        <v>553</v>
      </c>
    </row>
    <row r="1678" spans="1:18" ht="17" x14ac:dyDescent="0.25">
      <c r="A1678" t="s">
        <v>1099</v>
      </c>
      <c r="B1678" t="s">
        <v>32</v>
      </c>
      <c r="C1678" s="10">
        <v>33</v>
      </c>
      <c r="D1678">
        <v>5</v>
      </c>
      <c r="E1678">
        <v>28</v>
      </c>
      <c r="F1678">
        <v>34</v>
      </c>
      <c r="G1678">
        <v>5</v>
      </c>
      <c r="H1678">
        <v>29</v>
      </c>
      <c r="I1678">
        <v>0.18770000000000001</v>
      </c>
      <c r="J1678">
        <f t="shared" si="26"/>
        <v>0.69259456579648371</v>
      </c>
      <c r="K1678">
        <v>1.2999999999999999E-3</v>
      </c>
      <c r="L1678" t="s">
        <v>17</v>
      </c>
      <c r="M1678">
        <v>296</v>
      </c>
      <c r="N1678" t="s">
        <v>553</v>
      </c>
      <c r="R1678" s="10" t="s">
        <v>1106</v>
      </c>
    </row>
    <row r="1679" spans="1:18" ht="17" x14ac:dyDescent="0.25">
      <c r="A1679" t="s">
        <v>1099</v>
      </c>
      <c r="B1679" t="s">
        <v>32</v>
      </c>
      <c r="C1679" s="10">
        <v>33</v>
      </c>
      <c r="D1679">
        <v>6</v>
      </c>
      <c r="E1679">
        <v>27</v>
      </c>
      <c r="F1679">
        <v>34</v>
      </c>
      <c r="G1679">
        <v>6</v>
      </c>
      <c r="H1679">
        <v>28</v>
      </c>
      <c r="I1679">
        <v>0.1767</v>
      </c>
      <c r="J1679">
        <f t="shared" si="26"/>
        <v>0.84889643463497455</v>
      </c>
      <c r="K1679">
        <v>1.5E-3</v>
      </c>
      <c r="L1679" t="s">
        <v>17</v>
      </c>
      <c r="M1679">
        <v>296</v>
      </c>
      <c r="N1679" t="s">
        <v>553</v>
      </c>
    </row>
    <row r="1680" spans="1:18" ht="17" x14ac:dyDescent="0.25">
      <c r="A1680" t="s">
        <v>1099</v>
      </c>
      <c r="B1680" t="s">
        <v>32</v>
      </c>
      <c r="C1680" s="10">
        <v>33</v>
      </c>
      <c r="D1680">
        <v>3</v>
      </c>
      <c r="E1680">
        <v>30</v>
      </c>
      <c r="F1680">
        <v>34</v>
      </c>
      <c r="G1680">
        <v>3</v>
      </c>
      <c r="H1680">
        <v>31</v>
      </c>
      <c r="I1680">
        <v>0.17730000000000001</v>
      </c>
      <c r="J1680">
        <f t="shared" si="26"/>
        <v>0.78962210941906363</v>
      </c>
      <c r="K1680">
        <v>1.4E-3</v>
      </c>
      <c r="L1680" t="s">
        <v>17</v>
      </c>
      <c r="M1680">
        <v>296</v>
      </c>
      <c r="N1680" t="s">
        <v>553</v>
      </c>
    </row>
    <row r="1681" spans="1:14" ht="17" x14ac:dyDescent="0.25">
      <c r="A1681" t="s">
        <v>1099</v>
      </c>
      <c r="B1681" t="s">
        <v>32</v>
      </c>
      <c r="C1681" s="10">
        <v>35</v>
      </c>
      <c r="D1681">
        <v>1</v>
      </c>
      <c r="E1681">
        <v>34</v>
      </c>
      <c r="F1681">
        <v>36</v>
      </c>
      <c r="G1681">
        <v>1</v>
      </c>
      <c r="H1681">
        <v>35</v>
      </c>
      <c r="I1681">
        <v>0.16880000000000001</v>
      </c>
      <c r="J1681">
        <f t="shared" si="26"/>
        <v>0.59241706161137442</v>
      </c>
      <c r="K1681">
        <v>1E-3</v>
      </c>
      <c r="L1681" t="s">
        <v>17</v>
      </c>
      <c r="M1681">
        <v>296</v>
      </c>
      <c r="N1681" t="s">
        <v>553</v>
      </c>
    </row>
    <row r="1682" spans="1:14" ht="17" x14ac:dyDescent="0.25">
      <c r="A1682" t="s">
        <v>1099</v>
      </c>
      <c r="B1682" t="s">
        <v>32</v>
      </c>
      <c r="C1682" s="10">
        <v>34</v>
      </c>
      <c r="D1682">
        <v>3</v>
      </c>
      <c r="E1682">
        <v>32</v>
      </c>
      <c r="F1682">
        <v>35</v>
      </c>
      <c r="G1682">
        <v>3</v>
      </c>
      <c r="H1682">
        <v>33</v>
      </c>
      <c r="I1682">
        <v>0.1583</v>
      </c>
      <c r="J1682">
        <f t="shared" si="26"/>
        <v>0.75805432722678456</v>
      </c>
      <c r="K1682">
        <v>1.1999999999999999E-3</v>
      </c>
      <c r="L1682" t="s">
        <v>17</v>
      </c>
      <c r="M1682">
        <v>296</v>
      </c>
      <c r="N1682" t="s">
        <v>553</v>
      </c>
    </row>
    <row r="1683" spans="1:14" ht="17" x14ac:dyDescent="0.25">
      <c r="A1683" t="s">
        <v>1099</v>
      </c>
      <c r="B1683" t="s">
        <v>32</v>
      </c>
      <c r="C1683" s="10">
        <v>32</v>
      </c>
      <c r="D1683">
        <v>5</v>
      </c>
      <c r="E1683">
        <v>28</v>
      </c>
      <c r="F1683">
        <v>33</v>
      </c>
      <c r="G1683">
        <v>5</v>
      </c>
      <c r="H1683">
        <v>29</v>
      </c>
      <c r="I1683">
        <v>0.17730000000000001</v>
      </c>
      <c r="J1683">
        <f t="shared" si="26"/>
        <v>0.73322053017484479</v>
      </c>
      <c r="K1683">
        <v>1.2999999999999999E-3</v>
      </c>
      <c r="L1683" t="s">
        <v>17</v>
      </c>
      <c r="M1683">
        <v>296</v>
      </c>
      <c r="N1683" t="s">
        <v>553</v>
      </c>
    </row>
    <row r="1684" spans="1:14" ht="17" x14ac:dyDescent="0.25">
      <c r="A1684" t="s">
        <v>1099</v>
      </c>
      <c r="B1684" t="s">
        <v>32</v>
      </c>
      <c r="C1684" s="10">
        <v>32</v>
      </c>
      <c r="D1684">
        <v>4</v>
      </c>
      <c r="E1684">
        <v>29</v>
      </c>
      <c r="F1684">
        <v>33</v>
      </c>
      <c r="G1684">
        <v>4</v>
      </c>
      <c r="H1684">
        <v>30</v>
      </c>
      <c r="I1684">
        <v>0.1855</v>
      </c>
      <c r="J1684">
        <f t="shared" si="26"/>
        <v>0.80862533692722371</v>
      </c>
      <c r="K1684">
        <v>1.5E-3</v>
      </c>
      <c r="L1684" t="s">
        <v>17</v>
      </c>
      <c r="M1684">
        <v>296</v>
      </c>
      <c r="N1684" t="s">
        <v>553</v>
      </c>
    </row>
    <row r="1685" spans="1:14" ht="17" x14ac:dyDescent="0.25">
      <c r="A1685" t="s">
        <v>1099</v>
      </c>
      <c r="B1685" t="s">
        <v>32</v>
      </c>
      <c r="C1685" s="10">
        <v>31</v>
      </c>
      <c r="D1685">
        <v>4</v>
      </c>
      <c r="E1685">
        <v>27</v>
      </c>
      <c r="F1685">
        <v>32</v>
      </c>
      <c r="G1685">
        <v>4</v>
      </c>
      <c r="H1685">
        <v>28</v>
      </c>
      <c r="I1685">
        <v>0.1709</v>
      </c>
      <c r="J1685">
        <f t="shared" si="26"/>
        <v>0.58513750731421887</v>
      </c>
      <c r="K1685">
        <v>1E-3</v>
      </c>
      <c r="L1685" t="s">
        <v>17</v>
      </c>
      <c r="M1685">
        <v>296</v>
      </c>
      <c r="N1685" t="s">
        <v>553</v>
      </c>
    </row>
    <row r="1686" spans="1:14" ht="17" x14ac:dyDescent="0.25">
      <c r="A1686" t="s">
        <v>1099</v>
      </c>
      <c r="B1686" t="s">
        <v>32</v>
      </c>
      <c r="C1686" s="10">
        <v>31</v>
      </c>
      <c r="D1686">
        <v>5</v>
      </c>
      <c r="E1686">
        <v>26</v>
      </c>
      <c r="F1686">
        <v>32</v>
      </c>
      <c r="G1686">
        <v>5</v>
      </c>
      <c r="H1686">
        <v>27</v>
      </c>
      <c r="I1686">
        <v>0.1598</v>
      </c>
      <c r="J1686">
        <f t="shared" si="26"/>
        <v>1.0012515644555695</v>
      </c>
      <c r="K1686">
        <v>1.6000000000000001E-3</v>
      </c>
      <c r="L1686" t="s">
        <v>17</v>
      </c>
      <c r="M1686">
        <v>296</v>
      </c>
      <c r="N1686" t="s">
        <v>553</v>
      </c>
    </row>
    <row r="1687" spans="1:14" ht="17" x14ac:dyDescent="0.25">
      <c r="A1687" t="s">
        <v>1099</v>
      </c>
      <c r="B1687" t="s">
        <v>32</v>
      </c>
      <c r="C1687" s="10">
        <v>33</v>
      </c>
      <c r="D1687">
        <v>1</v>
      </c>
      <c r="E1687">
        <v>32</v>
      </c>
      <c r="F1687">
        <v>34</v>
      </c>
      <c r="G1687">
        <v>1</v>
      </c>
      <c r="H1687">
        <v>33</v>
      </c>
      <c r="I1687">
        <v>0.14960000000000001</v>
      </c>
      <c r="J1687">
        <f t="shared" si="26"/>
        <v>0.73529411764705876</v>
      </c>
      <c r="K1687">
        <v>1.1000000000000001E-3</v>
      </c>
      <c r="L1687" t="s">
        <v>17</v>
      </c>
      <c r="M1687">
        <v>296</v>
      </c>
      <c r="N1687" t="s">
        <v>553</v>
      </c>
    </row>
    <row r="1688" spans="1:14" ht="17" x14ac:dyDescent="0.25">
      <c r="A1688" t="s">
        <v>1099</v>
      </c>
      <c r="B1688" t="s">
        <v>32</v>
      </c>
      <c r="C1688" s="10">
        <v>31</v>
      </c>
      <c r="D1688">
        <v>2</v>
      </c>
      <c r="E1688">
        <v>29</v>
      </c>
      <c r="F1688">
        <v>32</v>
      </c>
      <c r="G1688">
        <v>2</v>
      </c>
      <c r="H1688">
        <v>30</v>
      </c>
      <c r="I1688">
        <v>0.1673</v>
      </c>
      <c r="J1688">
        <f t="shared" si="26"/>
        <v>0.65750149432157801</v>
      </c>
      <c r="K1688">
        <v>1.1000000000000001E-3</v>
      </c>
      <c r="L1688" t="s">
        <v>17</v>
      </c>
      <c r="M1688">
        <v>296</v>
      </c>
      <c r="N1688" t="s">
        <v>553</v>
      </c>
    </row>
    <row r="1689" spans="1:14" ht="17" x14ac:dyDescent="0.25">
      <c r="A1689" t="s">
        <v>1099</v>
      </c>
      <c r="B1689" t="s">
        <v>32</v>
      </c>
      <c r="C1689" s="10">
        <v>33</v>
      </c>
      <c r="D1689">
        <v>0</v>
      </c>
      <c r="E1689">
        <v>33</v>
      </c>
      <c r="F1689">
        <v>34</v>
      </c>
      <c r="G1689">
        <v>0</v>
      </c>
      <c r="H1689">
        <v>34</v>
      </c>
      <c r="I1689">
        <v>0.1646</v>
      </c>
      <c r="J1689">
        <f t="shared" si="26"/>
        <v>0.66828675577156749</v>
      </c>
      <c r="K1689">
        <v>1.1000000000000001E-3</v>
      </c>
      <c r="L1689" t="s">
        <v>17</v>
      </c>
      <c r="M1689">
        <v>296</v>
      </c>
      <c r="N1689" t="s">
        <v>553</v>
      </c>
    </row>
    <row r="1690" spans="1:14" ht="17" x14ac:dyDescent="0.25">
      <c r="A1690" t="s">
        <v>1099</v>
      </c>
      <c r="B1690" t="s">
        <v>32</v>
      </c>
      <c r="C1690" s="10">
        <v>30</v>
      </c>
      <c r="D1690">
        <v>4</v>
      </c>
      <c r="E1690">
        <v>27</v>
      </c>
      <c r="F1690">
        <v>31</v>
      </c>
      <c r="G1690">
        <v>4</v>
      </c>
      <c r="H1690">
        <v>28</v>
      </c>
      <c r="I1690">
        <v>0.1716</v>
      </c>
      <c r="J1690">
        <f t="shared" si="26"/>
        <v>0.75757575757575746</v>
      </c>
      <c r="K1690">
        <v>1.2999999999999999E-3</v>
      </c>
      <c r="L1690" t="s">
        <v>17</v>
      </c>
      <c r="M1690">
        <v>296</v>
      </c>
      <c r="N1690" t="s">
        <v>553</v>
      </c>
    </row>
    <row r="1691" spans="1:14" ht="17" x14ac:dyDescent="0.25">
      <c r="A1691" t="s">
        <v>1099</v>
      </c>
      <c r="B1691" t="s">
        <v>32</v>
      </c>
      <c r="C1691" s="10">
        <v>29</v>
      </c>
      <c r="D1691">
        <v>3</v>
      </c>
      <c r="E1691">
        <v>26</v>
      </c>
      <c r="F1691">
        <v>30</v>
      </c>
      <c r="G1691">
        <v>3</v>
      </c>
      <c r="H1691">
        <v>27</v>
      </c>
      <c r="I1691">
        <v>0.1845</v>
      </c>
      <c r="J1691">
        <f t="shared" si="26"/>
        <v>0.65040650406504052</v>
      </c>
      <c r="K1691">
        <v>1.1999999999999999E-3</v>
      </c>
      <c r="L1691" t="s">
        <v>17</v>
      </c>
      <c r="M1691">
        <v>296</v>
      </c>
      <c r="N1691" t="s">
        <v>553</v>
      </c>
    </row>
    <row r="1692" spans="1:14" ht="17" x14ac:dyDescent="0.25">
      <c r="A1692" t="s">
        <v>1099</v>
      </c>
      <c r="B1692" t="s">
        <v>32</v>
      </c>
      <c r="C1692" s="10">
        <v>29</v>
      </c>
      <c r="D1692">
        <v>5</v>
      </c>
      <c r="E1692">
        <v>24</v>
      </c>
      <c r="F1692">
        <v>30</v>
      </c>
      <c r="G1692">
        <v>5</v>
      </c>
      <c r="H1692">
        <v>25</v>
      </c>
      <c r="I1692">
        <v>0.16689999999999999</v>
      </c>
      <c r="J1692">
        <f t="shared" si="26"/>
        <v>0.77890952666267221</v>
      </c>
      <c r="K1692">
        <v>1.2999999999999999E-3</v>
      </c>
      <c r="L1692" t="s">
        <v>17</v>
      </c>
      <c r="M1692">
        <v>296</v>
      </c>
      <c r="N1692" t="s">
        <v>553</v>
      </c>
    </row>
    <row r="1693" spans="1:14" ht="17" x14ac:dyDescent="0.25">
      <c r="A1693" t="s">
        <v>1099</v>
      </c>
      <c r="B1693" t="s">
        <v>32</v>
      </c>
      <c r="C1693" s="10">
        <v>28</v>
      </c>
      <c r="D1693">
        <v>9</v>
      </c>
      <c r="E1693">
        <v>20</v>
      </c>
      <c r="F1693">
        <v>29</v>
      </c>
      <c r="G1693">
        <v>9</v>
      </c>
      <c r="H1693">
        <v>21</v>
      </c>
      <c r="I1693">
        <v>0.17030000000000001</v>
      </c>
      <c r="J1693">
        <f t="shared" si="26"/>
        <v>0.70463887257780378</v>
      </c>
      <c r="K1693">
        <v>1.1999999999999999E-3</v>
      </c>
      <c r="L1693" t="s">
        <v>17</v>
      </c>
      <c r="M1693">
        <v>296</v>
      </c>
      <c r="N1693" t="s">
        <v>553</v>
      </c>
    </row>
    <row r="1694" spans="1:14" ht="17" x14ac:dyDescent="0.25">
      <c r="A1694" t="s">
        <v>1099</v>
      </c>
      <c r="B1694" t="s">
        <v>32</v>
      </c>
      <c r="C1694" s="10">
        <v>29</v>
      </c>
      <c r="D1694">
        <v>2</v>
      </c>
      <c r="E1694">
        <v>27</v>
      </c>
      <c r="F1694">
        <v>30</v>
      </c>
      <c r="G1694">
        <v>2</v>
      </c>
      <c r="H1694">
        <v>28</v>
      </c>
      <c r="I1694">
        <v>0.16739999999999999</v>
      </c>
      <c r="J1694">
        <f t="shared" si="26"/>
        <v>0.65710872162485079</v>
      </c>
      <c r="K1694">
        <v>1.1000000000000001E-3</v>
      </c>
      <c r="L1694" t="s">
        <v>17</v>
      </c>
      <c r="M1694">
        <v>296</v>
      </c>
      <c r="N1694" t="s">
        <v>553</v>
      </c>
    </row>
    <row r="1695" spans="1:14" ht="17" x14ac:dyDescent="0.25">
      <c r="A1695" t="s">
        <v>1099</v>
      </c>
      <c r="B1695" t="s">
        <v>32</v>
      </c>
      <c r="C1695" s="10">
        <v>28</v>
      </c>
      <c r="D1695">
        <v>7</v>
      </c>
      <c r="E1695">
        <v>22</v>
      </c>
      <c r="F1695">
        <v>29</v>
      </c>
      <c r="G1695">
        <v>7</v>
      </c>
      <c r="H1695">
        <v>23</v>
      </c>
      <c r="I1695">
        <v>0.19370000000000001</v>
      </c>
      <c r="J1695">
        <f t="shared" si="26"/>
        <v>0.98089829633453784</v>
      </c>
      <c r="K1695">
        <v>1.9E-3</v>
      </c>
      <c r="L1695" t="s">
        <v>17</v>
      </c>
      <c r="M1695">
        <v>296</v>
      </c>
      <c r="N1695" t="s">
        <v>553</v>
      </c>
    </row>
    <row r="1696" spans="1:14" ht="17" x14ac:dyDescent="0.25">
      <c r="A1696" t="s">
        <v>1099</v>
      </c>
      <c r="B1696" t="s">
        <v>32</v>
      </c>
      <c r="C1696" s="10">
        <v>30</v>
      </c>
      <c r="D1696">
        <v>2</v>
      </c>
      <c r="E1696">
        <v>29</v>
      </c>
      <c r="F1696">
        <v>31</v>
      </c>
      <c r="G1696">
        <v>2</v>
      </c>
      <c r="H1696">
        <v>30</v>
      </c>
      <c r="I1696">
        <v>0.1777</v>
      </c>
      <c r="J1696">
        <f t="shared" si="26"/>
        <v>0.45019696117051211</v>
      </c>
      <c r="K1696">
        <v>8.0000000000000004E-4</v>
      </c>
      <c r="L1696" t="s">
        <v>17</v>
      </c>
      <c r="M1696">
        <v>296</v>
      </c>
      <c r="N1696" t="s">
        <v>553</v>
      </c>
    </row>
    <row r="1697" spans="1:14" ht="17" x14ac:dyDescent="0.25">
      <c r="A1697" t="s">
        <v>1099</v>
      </c>
      <c r="B1697" t="s">
        <v>32</v>
      </c>
      <c r="C1697" s="10">
        <v>28</v>
      </c>
      <c r="D1697">
        <v>5</v>
      </c>
      <c r="E1697">
        <v>24</v>
      </c>
      <c r="F1697">
        <v>29</v>
      </c>
      <c r="G1697">
        <v>5</v>
      </c>
      <c r="H1697">
        <v>25</v>
      </c>
      <c r="I1697">
        <v>0.17</v>
      </c>
      <c r="J1697">
        <f t="shared" si="26"/>
        <v>0.58823529411764708</v>
      </c>
      <c r="K1697">
        <v>1E-3</v>
      </c>
      <c r="L1697" t="s">
        <v>17</v>
      </c>
      <c r="M1697">
        <v>296</v>
      </c>
      <c r="N1697" t="s">
        <v>553</v>
      </c>
    </row>
    <row r="1698" spans="1:14" ht="17" x14ac:dyDescent="0.25">
      <c r="A1698" t="s">
        <v>1099</v>
      </c>
      <c r="B1698" t="s">
        <v>32</v>
      </c>
      <c r="C1698" s="10">
        <v>28</v>
      </c>
      <c r="D1698">
        <v>4</v>
      </c>
      <c r="E1698">
        <v>25</v>
      </c>
      <c r="F1698">
        <v>29</v>
      </c>
      <c r="G1698">
        <v>4</v>
      </c>
      <c r="H1698">
        <v>26</v>
      </c>
      <c r="I1698">
        <v>0.16719999999999999</v>
      </c>
      <c r="J1698">
        <f t="shared" si="26"/>
        <v>0.41866028708133973</v>
      </c>
      <c r="K1698">
        <v>6.9999999999999999E-4</v>
      </c>
      <c r="L1698" t="s">
        <v>17</v>
      </c>
      <c r="M1698">
        <v>296</v>
      </c>
      <c r="N1698" t="s">
        <v>553</v>
      </c>
    </row>
    <row r="1699" spans="1:14" ht="17" x14ac:dyDescent="0.25">
      <c r="A1699" t="s">
        <v>1099</v>
      </c>
      <c r="B1699" t="s">
        <v>32</v>
      </c>
      <c r="C1699" s="10">
        <v>30</v>
      </c>
      <c r="D1699">
        <v>1</v>
      </c>
      <c r="E1699">
        <v>30</v>
      </c>
      <c r="F1699">
        <v>31</v>
      </c>
      <c r="G1699">
        <v>1</v>
      </c>
      <c r="H1699">
        <v>31</v>
      </c>
      <c r="I1699">
        <v>0.14319999999999999</v>
      </c>
      <c r="J1699">
        <f t="shared" si="26"/>
        <v>0.55865921787709494</v>
      </c>
      <c r="K1699">
        <v>8.0000000000000004E-4</v>
      </c>
      <c r="L1699" t="s">
        <v>17</v>
      </c>
      <c r="M1699">
        <v>296</v>
      </c>
      <c r="N1699" t="s">
        <v>553</v>
      </c>
    </row>
    <row r="1700" spans="1:14" ht="17" x14ac:dyDescent="0.25">
      <c r="A1700" t="s">
        <v>1099</v>
      </c>
      <c r="B1700" t="s">
        <v>32</v>
      </c>
      <c r="C1700" s="10">
        <v>29</v>
      </c>
      <c r="D1700">
        <v>1</v>
      </c>
      <c r="E1700">
        <v>28</v>
      </c>
      <c r="F1700">
        <v>30</v>
      </c>
      <c r="G1700">
        <v>1</v>
      </c>
      <c r="H1700">
        <v>29</v>
      </c>
      <c r="I1700">
        <v>0.15240000000000001</v>
      </c>
      <c r="J1700">
        <f t="shared" si="26"/>
        <v>0.65616797900262469</v>
      </c>
      <c r="K1700">
        <v>1E-3</v>
      </c>
      <c r="L1700" t="s">
        <v>17</v>
      </c>
      <c r="M1700">
        <v>296</v>
      </c>
      <c r="N1700" t="s">
        <v>553</v>
      </c>
    </row>
    <row r="1701" spans="1:14" ht="17" x14ac:dyDescent="0.25">
      <c r="A1701" t="s">
        <v>1099</v>
      </c>
      <c r="B1701" t="s">
        <v>32</v>
      </c>
      <c r="C1701" s="10">
        <v>27</v>
      </c>
      <c r="D1701">
        <v>3</v>
      </c>
      <c r="E1701">
        <v>24</v>
      </c>
      <c r="F1701">
        <v>28</v>
      </c>
      <c r="G1701">
        <v>3</v>
      </c>
      <c r="H1701">
        <v>25</v>
      </c>
      <c r="I1701">
        <v>0.16400000000000001</v>
      </c>
      <c r="J1701">
        <f t="shared" si="26"/>
        <v>0.42682926829268286</v>
      </c>
      <c r="K1701">
        <v>6.9999999999999999E-4</v>
      </c>
      <c r="L1701" t="s">
        <v>17</v>
      </c>
      <c r="M1701">
        <v>296</v>
      </c>
      <c r="N1701" t="s">
        <v>553</v>
      </c>
    </row>
    <row r="1702" spans="1:14" ht="17" x14ac:dyDescent="0.25">
      <c r="A1702" t="s">
        <v>1099</v>
      </c>
      <c r="B1702" t="s">
        <v>32</v>
      </c>
      <c r="C1702" s="10">
        <v>27</v>
      </c>
      <c r="D1702">
        <v>4</v>
      </c>
      <c r="E1702">
        <v>23</v>
      </c>
      <c r="F1702">
        <v>28</v>
      </c>
      <c r="G1702">
        <v>4</v>
      </c>
      <c r="H1702">
        <v>24</v>
      </c>
      <c r="I1702">
        <v>0.16789999999999999</v>
      </c>
      <c r="J1702">
        <f t="shared" si="26"/>
        <v>0.53603335318642042</v>
      </c>
      <c r="K1702">
        <v>8.9999999999999998E-4</v>
      </c>
      <c r="L1702" t="s">
        <v>17</v>
      </c>
      <c r="M1702">
        <v>296</v>
      </c>
      <c r="N1702" t="s">
        <v>553</v>
      </c>
    </row>
    <row r="1703" spans="1:14" ht="17" x14ac:dyDescent="0.25">
      <c r="A1703" t="s">
        <v>1099</v>
      </c>
      <c r="B1703" t="s">
        <v>32</v>
      </c>
      <c r="C1703" s="10">
        <v>27</v>
      </c>
      <c r="D1703">
        <v>6</v>
      </c>
      <c r="E1703">
        <v>21</v>
      </c>
      <c r="F1703">
        <v>28</v>
      </c>
      <c r="G1703">
        <v>6</v>
      </c>
      <c r="H1703">
        <v>22</v>
      </c>
      <c r="I1703">
        <v>0.16300000000000001</v>
      </c>
      <c r="J1703">
        <f t="shared" si="26"/>
        <v>0.5521472392638036</v>
      </c>
      <c r="K1703">
        <v>8.9999999999999998E-4</v>
      </c>
      <c r="L1703" t="s">
        <v>17</v>
      </c>
      <c r="M1703">
        <v>296</v>
      </c>
      <c r="N1703" t="s">
        <v>553</v>
      </c>
    </row>
    <row r="1704" spans="1:14" ht="17" x14ac:dyDescent="0.25">
      <c r="A1704" t="s">
        <v>1099</v>
      </c>
      <c r="B1704" t="s">
        <v>32</v>
      </c>
      <c r="C1704" s="10">
        <v>27</v>
      </c>
      <c r="D1704">
        <v>5</v>
      </c>
      <c r="E1704">
        <v>22</v>
      </c>
      <c r="F1704">
        <v>28</v>
      </c>
      <c r="G1704">
        <v>5</v>
      </c>
      <c r="H1704">
        <v>23</v>
      </c>
      <c r="I1704">
        <v>0.16289999999999999</v>
      </c>
      <c r="J1704">
        <f t="shared" si="26"/>
        <v>0.5524861878453039</v>
      </c>
      <c r="K1704">
        <v>8.9999999999999998E-4</v>
      </c>
      <c r="L1704" t="s">
        <v>17</v>
      </c>
      <c r="M1704">
        <v>296</v>
      </c>
      <c r="N1704" t="s">
        <v>553</v>
      </c>
    </row>
    <row r="1705" spans="1:14" ht="17" x14ac:dyDescent="0.25">
      <c r="A1705" t="s">
        <v>1099</v>
      </c>
      <c r="B1705" t="s">
        <v>32</v>
      </c>
      <c r="C1705" s="10">
        <v>26</v>
      </c>
      <c r="D1705">
        <v>9</v>
      </c>
      <c r="E1705">
        <v>18</v>
      </c>
      <c r="F1705">
        <v>27</v>
      </c>
      <c r="G1705">
        <v>9</v>
      </c>
      <c r="H1705">
        <v>19</v>
      </c>
      <c r="I1705">
        <v>0.15909999999999999</v>
      </c>
      <c r="J1705">
        <f t="shared" si="26"/>
        <v>0.87994971715901948</v>
      </c>
      <c r="K1705">
        <v>1.4E-3</v>
      </c>
      <c r="L1705" t="s">
        <v>17</v>
      </c>
      <c r="M1705">
        <v>296</v>
      </c>
      <c r="N1705" t="s">
        <v>553</v>
      </c>
    </row>
    <row r="1706" spans="1:14" ht="17" x14ac:dyDescent="0.25">
      <c r="A1706" t="s">
        <v>1099</v>
      </c>
      <c r="B1706" t="s">
        <v>32</v>
      </c>
      <c r="C1706" s="10">
        <v>29</v>
      </c>
      <c r="D1706">
        <v>0</v>
      </c>
      <c r="E1706">
        <v>29</v>
      </c>
      <c r="F1706">
        <v>30</v>
      </c>
      <c r="G1706">
        <v>0</v>
      </c>
      <c r="H1706">
        <v>30</v>
      </c>
      <c r="I1706">
        <v>0.14960000000000001</v>
      </c>
      <c r="J1706">
        <f t="shared" si="26"/>
        <v>0.53475935828876997</v>
      </c>
      <c r="K1706">
        <v>8.0000000000000004E-4</v>
      </c>
      <c r="L1706" t="s">
        <v>17</v>
      </c>
      <c r="M1706">
        <v>296</v>
      </c>
      <c r="N1706" t="s">
        <v>553</v>
      </c>
    </row>
    <row r="1707" spans="1:14" ht="17" x14ac:dyDescent="0.25">
      <c r="A1707" t="s">
        <v>1099</v>
      </c>
      <c r="B1707" t="s">
        <v>32</v>
      </c>
      <c r="C1707" s="10">
        <v>26</v>
      </c>
      <c r="D1707">
        <v>7</v>
      </c>
      <c r="E1707">
        <v>20</v>
      </c>
      <c r="F1707">
        <v>27</v>
      </c>
      <c r="G1707">
        <v>7</v>
      </c>
      <c r="H1707">
        <v>21</v>
      </c>
      <c r="I1707">
        <v>0.20230000000000001</v>
      </c>
      <c r="J1707">
        <f t="shared" si="26"/>
        <v>0.6426099851705388</v>
      </c>
      <c r="K1707">
        <v>1.2999999999999999E-3</v>
      </c>
      <c r="L1707" t="s">
        <v>17</v>
      </c>
      <c r="M1707">
        <v>296</v>
      </c>
      <c r="N1707" t="s">
        <v>553</v>
      </c>
    </row>
    <row r="1708" spans="1:14" ht="17" x14ac:dyDescent="0.25">
      <c r="A1708" t="s">
        <v>1099</v>
      </c>
      <c r="B1708" t="s">
        <v>32</v>
      </c>
      <c r="C1708" s="10">
        <v>26</v>
      </c>
      <c r="D1708">
        <v>6</v>
      </c>
      <c r="E1708">
        <v>21</v>
      </c>
      <c r="F1708">
        <v>27</v>
      </c>
      <c r="G1708">
        <v>6</v>
      </c>
      <c r="H1708">
        <v>22</v>
      </c>
      <c r="I1708">
        <v>0.17349999999999999</v>
      </c>
      <c r="J1708">
        <f t="shared" si="26"/>
        <v>0.80691642651296835</v>
      </c>
      <c r="K1708">
        <v>1.4E-3</v>
      </c>
      <c r="L1708" t="s">
        <v>17</v>
      </c>
      <c r="M1708">
        <v>296</v>
      </c>
      <c r="N1708" t="s">
        <v>553</v>
      </c>
    </row>
    <row r="1709" spans="1:14" ht="17" x14ac:dyDescent="0.25">
      <c r="A1709" t="s">
        <v>1099</v>
      </c>
      <c r="B1709" t="s">
        <v>32</v>
      </c>
      <c r="C1709" s="10">
        <v>26</v>
      </c>
      <c r="D1709">
        <v>5</v>
      </c>
      <c r="E1709">
        <v>22</v>
      </c>
      <c r="F1709">
        <v>27</v>
      </c>
      <c r="G1709">
        <v>5</v>
      </c>
      <c r="H1709">
        <v>23</v>
      </c>
      <c r="I1709">
        <v>0.1772</v>
      </c>
      <c r="J1709">
        <f t="shared" si="26"/>
        <v>0.73363431151241532</v>
      </c>
      <c r="K1709">
        <v>1.2999999999999999E-3</v>
      </c>
      <c r="L1709" t="s">
        <v>17</v>
      </c>
      <c r="M1709">
        <v>296</v>
      </c>
      <c r="N1709" t="s">
        <v>553</v>
      </c>
    </row>
    <row r="1710" spans="1:14" ht="17" x14ac:dyDescent="0.25">
      <c r="A1710" t="s">
        <v>1099</v>
      </c>
      <c r="B1710" t="s">
        <v>32</v>
      </c>
      <c r="C1710" s="10">
        <v>27</v>
      </c>
      <c r="D1710">
        <v>1</v>
      </c>
      <c r="E1710">
        <v>26</v>
      </c>
      <c r="F1710">
        <v>28</v>
      </c>
      <c r="G1710">
        <v>1</v>
      </c>
      <c r="H1710">
        <v>27</v>
      </c>
      <c r="I1710">
        <v>0.1681</v>
      </c>
      <c r="J1710">
        <f t="shared" si="26"/>
        <v>0.53539559785841762</v>
      </c>
      <c r="K1710">
        <v>8.9999999999999998E-4</v>
      </c>
      <c r="L1710" t="s">
        <v>17</v>
      </c>
      <c r="M1710">
        <v>296</v>
      </c>
      <c r="N1710" t="s">
        <v>553</v>
      </c>
    </row>
    <row r="1711" spans="1:14" ht="17" x14ac:dyDescent="0.25">
      <c r="A1711" t="s">
        <v>1099</v>
      </c>
      <c r="B1711" t="s">
        <v>32</v>
      </c>
      <c r="C1711" s="10">
        <v>28</v>
      </c>
      <c r="D1711">
        <v>1</v>
      </c>
      <c r="E1711">
        <v>28</v>
      </c>
      <c r="F1711">
        <v>29</v>
      </c>
      <c r="G1711">
        <v>1</v>
      </c>
      <c r="H1711">
        <v>29</v>
      </c>
      <c r="I1711">
        <v>0.15609999999999999</v>
      </c>
      <c r="J1711">
        <f t="shared" si="26"/>
        <v>0.64061499039077519</v>
      </c>
      <c r="K1711">
        <v>1E-3</v>
      </c>
      <c r="L1711" t="s">
        <v>17</v>
      </c>
      <c r="M1711">
        <v>296</v>
      </c>
      <c r="N1711" t="s">
        <v>553</v>
      </c>
    </row>
    <row r="1712" spans="1:14" ht="17" x14ac:dyDescent="0.25">
      <c r="A1712" t="s">
        <v>1099</v>
      </c>
      <c r="B1712" t="s">
        <v>32</v>
      </c>
      <c r="C1712" s="10">
        <v>25</v>
      </c>
      <c r="D1712">
        <v>7</v>
      </c>
      <c r="E1712">
        <v>18</v>
      </c>
      <c r="F1712">
        <v>26</v>
      </c>
      <c r="G1712">
        <v>7</v>
      </c>
      <c r="H1712">
        <v>19</v>
      </c>
      <c r="I1712">
        <v>0.17730000000000001</v>
      </c>
      <c r="J1712">
        <f t="shared" si="26"/>
        <v>0.84602368866328259</v>
      </c>
      <c r="K1712">
        <v>1.5E-3</v>
      </c>
      <c r="L1712" t="s">
        <v>17</v>
      </c>
      <c r="M1712">
        <v>296</v>
      </c>
      <c r="N1712" t="s">
        <v>553</v>
      </c>
    </row>
    <row r="1713" spans="1:14" ht="17" x14ac:dyDescent="0.25">
      <c r="A1713" t="s">
        <v>1099</v>
      </c>
      <c r="B1713" t="s">
        <v>32</v>
      </c>
      <c r="C1713" s="10">
        <v>25</v>
      </c>
      <c r="D1713">
        <v>3</v>
      </c>
      <c r="E1713">
        <v>22</v>
      </c>
      <c r="F1713">
        <v>26</v>
      </c>
      <c r="G1713">
        <v>3</v>
      </c>
      <c r="H1713">
        <v>23</v>
      </c>
      <c r="I1713">
        <v>0.1807</v>
      </c>
      <c r="J1713">
        <f t="shared" si="26"/>
        <v>0.49806308799114551</v>
      </c>
      <c r="K1713">
        <v>8.9999999999999998E-4</v>
      </c>
      <c r="L1713" t="s">
        <v>17</v>
      </c>
      <c r="M1713">
        <v>296</v>
      </c>
      <c r="N1713" t="s">
        <v>553</v>
      </c>
    </row>
    <row r="1714" spans="1:14" ht="17" x14ac:dyDescent="0.25">
      <c r="A1714" t="s">
        <v>1099</v>
      </c>
      <c r="B1714" t="s">
        <v>32</v>
      </c>
      <c r="C1714" s="10">
        <v>25</v>
      </c>
      <c r="D1714">
        <v>6</v>
      </c>
      <c r="E1714">
        <v>19</v>
      </c>
      <c r="F1714">
        <v>26</v>
      </c>
      <c r="G1714">
        <v>6</v>
      </c>
      <c r="H1714">
        <v>20</v>
      </c>
      <c r="I1714">
        <v>0.1895</v>
      </c>
      <c r="J1714">
        <f t="shared" si="26"/>
        <v>0.73878627968337729</v>
      </c>
      <c r="K1714">
        <v>1.4E-3</v>
      </c>
      <c r="L1714" t="s">
        <v>17</v>
      </c>
      <c r="M1714">
        <v>296</v>
      </c>
      <c r="N1714" t="s">
        <v>553</v>
      </c>
    </row>
    <row r="1715" spans="1:14" ht="17" x14ac:dyDescent="0.25">
      <c r="A1715" t="s">
        <v>1099</v>
      </c>
      <c r="B1715" t="s">
        <v>32</v>
      </c>
      <c r="C1715" s="10">
        <v>25</v>
      </c>
      <c r="D1715">
        <v>4</v>
      </c>
      <c r="E1715">
        <v>21</v>
      </c>
      <c r="F1715">
        <v>26</v>
      </c>
      <c r="G1715">
        <v>4</v>
      </c>
      <c r="H1715">
        <v>22</v>
      </c>
      <c r="I1715">
        <v>0.1817</v>
      </c>
      <c r="J1715">
        <f t="shared" si="26"/>
        <v>0.66042927903137039</v>
      </c>
      <c r="K1715">
        <v>1.1999999999999999E-3</v>
      </c>
      <c r="L1715" t="s">
        <v>17</v>
      </c>
      <c r="M1715">
        <v>296</v>
      </c>
      <c r="N1715" t="s">
        <v>553</v>
      </c>
    </row>
    <row r="1716" spans="1:14" ht="17" x14ac:dyDescent="0.25">
      <c r="A1716" t="s">
        <v>1099</v>
      </c>
      <c r="B1716" t="s">
        <v>32</v>
      </c>
      <c r="C1716" s="10">
        <v>24</v>
      </c>
      <c r="D1716">
        <v>9</v>
      </c>
      <c r="E1716">
        <v>16</v>
      </c>
      <c r="F1716">
        <v>25</v>
      </c>
      <c r="G1716">
        <v>9</v>
      </c>
      <c r="H1716">
        <v>17</v>
      </c>
      <c r="I1716">
        <v>0.14810000000000001</v>
      </c>
      <c r="J1716">
        <f t="shared" si="26"/>
        <v>1.1478730587440917</v>
      </c>
      <c r="K1716">
        <v>1.6999999999999999E-3</v>
      </c>
      <c r="L1716" t="s">
        <v>17</v>
      </c>
      <c r="M1716">
        <v>296</v>
      </c>
      <c r="N1716" t="s">
        <v>553</v>
      </c>
    </row>
    <row r="1717" spans="1:14" ht="17" x14ac:dyDescent="0.25">
      <c r="A1717" t="s">
        <v>1099</v>
      </c>
      <c r="B1717" t="s">
        <v>32</v>
      </c>
      <c r="C1717" s="10">
        <v>25</v>
      </c>
      <c r="D1717">
        <v>2</v>
      </c>
      <c r="E1717">
        <v>23</v>
      </c>
      <c r="F1717">
        <v>26</v>
      </c>
      <c r="G1717">
        <v>2</v>
      </c>
      <c r="H1717">
        <v>24</v>
      </c>
      <c r="I1717">
        <v>0.1686</v>
      </c>
      <c r="J1717">
        <f t="shared" si="26"/>
        <v>0.59311981020166071</v>
      </c>
      <c r="K1717">
        <v>1E-3</v>
      </c>
      <c r="L1717" t="s">
        <v>17</v>
      </c>
      <c r="M1717">
        <v>296</v>
      </c>
      <c r="N1717" t="s">
        <v>553</v>
      </c>
    </row>
    <row r="1718" spans="1:14" ht="17" x14ac:dyDescent="0.25">
      <c r="A1718" t="s">
        <v>1099</v>
      </c>
      <c r="B1718" t="s">
        <v>32</v>
      </c>
      <c r="C1718" s="10">
        <v>23</v>
      </c>
      <c r="D1718">
        <v>10</v>
      </c>
      <c r="E1718">
        <v>13</v>
      </c>
      <c r="F1718">
        <v>24</v>
      </c>
      <c r="G1718">
        <v>10</v>
      </c>
      <c r="H1718">
        <v>14</v>
      </c>
      <c r="I1718">
        <v>0.17699999999999999</v>
      </c>
      <c r="J1718">
        <f t="shared" si="26"/>
        <v>1.129943502824859</v>
      </c>
      <c r="K1718">
        <v>2E-3</v>
      </c>
      <c r="L1718" t="s">
        <v>17</v>
      </c>
      <c r="M1718">
        <v>296</v>
      </c>
      <c r="N1718" t="s">
        <v>553</v>
      </c>
    </row>
    <row r="1719" spans="1:14" ht="17" x14ac:dyDescent="0.25">
      <c r="A1719" t="s">
        <v>1099</v>
      </c>
      <c r="B1719" t="s">
        <v>32</v>
      </c>
      <c r="C1719" s="10">
        <v>24</v>
      </c>
      <c r="D1719">
        <v>7</v>
      </c>
      <c r="E1719">
        <v>18</v>
      </c>
      <c r="F1719">
        <v>25</v>
      </c>
      <c r="G1719">
        <v>7</v>
      </c>
      <c r="H1719">
        <v>19</v>
      </c>
      <c r="I1719">
        <v>0.18410000000000001</v>
      </c>
      <c r="J1719">
        <f t="shared" si="26"/>
        <v>0.6518196632265072</v>
      </c>
      <c r="K1719">
        <v>1.1999999999999999E-3</v>
      </c>
      <c r="L1719" t="s">
        <v>17</v>
      </c>
      <c r="M1719">
        <v>296</v>
      </c>
      <c r="N1719" t="s">
        <v>553</v>
      </c>
    </row>
    <row r="1720" spans="1:14" ht="17" x14ac:dyDescent="0.25">
      <c r="A1720" t="s">
        <v>1099</v>
      </c>
      <c r="B1720" t="s">
        <v>32</v>
      </c>
      <c r="C1720" s="10">
        <v>24</v>
      </c>
      <c r="D1720">
        <v>6</v>
      </c>
      <c r="E1720">
        <v>19</v>
      </c>
      <c r="F1720">
        <v>25</v>
      </c>
      <c r="G1720">
        <v>6</v>
      </c>
      <c r="H1720">
        <v>20</v>
      </c>
      <c r="I1720">
        <v>0.17979999999999999</v>
      </c>
      <c r="J1720">
        <f t="shared" si="26"/>
        <v>0.44493882091212467</v>
      </c>
      <c r="K1720">
        <v>8.0000000000000004E-4</v>
      </c>
      <c r="L1720" t="s">
        <v>17</v>
      </c>
      <c r="M1720">
        <v>296</v>
      </c>
      <c r="N1720" t="s">
        <v>553</v>
      </c>
    </row>
    <row r="1721" spans="1:14" ht="17" x14ac:dyDescent="0.25">
      <c r="A1721" t="s">
        <v>1099</v>
      </c>
      <c r="B1721" t="s">
        <v>32</v>
      </c>
      <c r="C1721" s="10">
        <v>23</v>
      </c>
      <c r="D1721">
        <v>9</v>
      </c>
      <c r="E1721">
        <v>14</v>
      </c>
      <c r="F1721">
        <v>24</v>
      </c>
      <c r="G1721">
        <v>9</v>
      </c>
      <c r="H1721">
        <v>15</v>
      </c>
      <c r="I1721">
        <v>0.18240000000000001</v>
      </c>
      <c r="J1721">
        <f t="shared" si="26"/>
        <v>0.82236842105263153</v>
      </c>
      <c r="K1721">
        <v>1.5E-3</v>
      </c>
      <c r="L1721" t="s">
        <v>17</v>
      </c>
      <c r="M1721">
        <v>296</v>
      </c>
      <c r="N1721" t="s">
        <v>553</v>
      </c>
    </row>
    <row r="1722" spans="1:14" ht="17" x14ac:dyDescent="0.25">
      <c r="A1722" t="s">
        <v>1099</v>
      </c>
      <c r="B1722" t="s">
        <v>32</v>
      </c>
      <c r="C1722" s="10">
        <v>24</v>
      </c>
      <c r="D1722">
        <v>5</v>
      </c>
      <c r="E1722">
        <v>20</v>
      </c>
      <c r="F1722">
        <v>25</v>
      </c>
      <c r="G1722">
        <v>5</v>
      </c>
      <c r="H1722">
        <v>21</v>
      </c>
      <c r="I1722">
        <v>0.17430000000000001</v>
      </c>
      <c r="J1722">
        <f t="shared" si="26"/>
        <v>0.45897877223178424</v>
      </c>
      <c r="K1722">
        <v>8.0000000000000004E-4</v>
      </c>
      <c r="L1722" t="s">
        <v>17</v>
      </c>
      <c r="M1722">
        <v>296</v>
      </c>
      <c r="N1722" t="s">
        <v>553</v>
      </c>
    </row>
    <row r="1723" spans="1:14" ht="17" x14ac:dyDescent="0.25">
      <c r="A1723" t="s">
        <v>1099</v>
      </c>
      <c r="B1723" t="s">
        <v>32</v>
      </c>
      <c r="C1723" s="10">
        <v>23</v>
      </c>
      <c r="D1723">
        <v>3</v>
      </c>
      <c r="E1723">
        <v>20</v>
      </c>
      <c r="F1723">
        <v>24</v>
      </c>
      <c r="G1723">
        <v>3</v>
      </c>
      <c r="H1723">
        <v>21</v>
      </c>
      <c r="I1723">
        <v>0.18579999999999999</v>
      </c>
      <c r="J1723">
        <f t="shared" si="26"/>
        <v>0.48439181916038754</v>
      </c>
      <c r="K1723">
        <v>8.9999999999999998E-4</v>
      </c>
      <c r="L1723" t="s">
        <v>17</v>
      </c>
      <c r="M1723">
        <v>296</v>
      </c>
      <c r="N1723" t="s">
        <v>553</v>
      </c>
    </row>
    <row r="1724" spans="1:14" ht="17" x14ac:dyDescent="0.25">
      <c r="A1724" t="s">
        <v>1099</v>
      </c>
      <c r="B1724" t="s">
        <v>32</v>
      </c>
      <c r="C1724" s="10">
        <v>23</v>
      </c>
      <c r="D1724">
        <v>6</v>
      </c>
      <c r="E1724">
        <v>17</v>
      </c>
      <c r="F1724">
        <v>24</v>
      </c>
      <c r="G1724">
        <v>6</v>
      </c>
      <c r="H1724">
        <v>18</v>
      </c>
      <c r="I1724">
        <v>0.1623</v>
      </c>
      <c r="J1724">
        <f t="shared" si="26"/>
        <v>0.49291435613062234</v>
      </c>
      <c r="K1724">
        <v>8.0000000000000004E-4</v>
      </c>
      <c r="L1724" t="s">
        <v>17</v>
      </c>
      <c r="M1724">
        <v>296</v>
      </c>
      <c r="N1724" t="s">
        <v>553</v>
      </c>
    </row>
    <row r="1725" spans="1:14" ht="17" x14ac:dyDescent="0.25">
      <c r="A1725" t="s">
        <v>1099</v>
      </c>
      <c r="B1725" t="s">
        <v>32</v>
      </c>
      <c r="C1725" s="10">
        <v>25</v>
      </c>
      <c r="D1725">
        <v>0</v>
      </c>
      <c r="E1725">
        <v>25</v>
      </c>
      <c r="F1725">
        <v>26</v>
      </c>
      <c r="G1725">
        <v>0</v>
      </c>
      <c r="H1725">
        <v>26</v>
      </c>
      <c r="I1725">
        <v>0.15559999999999999</v>
      </c>
      <c r="J1725">
        <f t="shared" ref="J1725:J1788" si="27">K1725/I1725*100</f>
        <v>0.51413881748071988</v>
      </c>
      <c r="K1725">
        <v>8.0000000000000004E-4</v>
      </c>
      <c r="L1725" t="s">
        <v>17</v>
      </c>
      <c r="M1725">
        <v>296</v>
      </c>
      <c r="N1725" t="s">
        <v>553</v>
      </c>
    </row>
    <row r="1726" spans="1:14" ht="17" x14ac:dyDescent="0.25">
      <c r="A1726" t="s">
        <v>1099</v>
      </c>
      <c r="B1726" t="s">
        <v>32</v>
      </c>
      <c r="C1726" s="10">
        <v>24</v>
      </c>
      <c r="D1726">
        <v>2</v>
      </c>
      <c r="E1726">
        <v>23</v>
      </c>
      <c r="F1726">
        <v>25</v>
      </c>
      <c r="G1726">
        <v>2</v>
      </c>
      <c r="H1726">
        <v>24</v>
      </c>
      <c r="I1726">
        <v>0.16539999999999999</v>
      </c>
      <c r="J1726">
        <f t="shared" si="27"/>
        <v>0.42321644498186217</v>
      </c>
      <c r="K1726">
        <v>6.9999999999999999E-4</v>
      </c>
      <c r="L1726" t="s">
        <v>17</v>
      </c>
      <c r="M1726">
        <v>296</v>
      </c>
      <c r="N1726" t="s">
        <v>553</v>
      </c>
    </row>
    <row r="1727" spans="1:14" ht="17" x14ac:dyDescent="0.25">
      <c r="A1727" t="s">
        <v>1099</v>
      </c>
      <c r="B1727" t="s">
        <v>32</v>
      </c>
      <c r="C1727" s="10">
        <v>22</v>
      </c>
      <c r="D1727">
        <v>8</v>
      </c>
      <c r="E1727">
        <v>15</v>
      </c>
      <c r="F1727">
        <v>23</v>
      </c>
      <c r="G1727">
        <v>8</v>
      </c>
      <c r="H1727">
        <v>16</v>
      </c>
      <c r="I1727">
        <v>0.17069999999999999</v>
      </c>
      <c r="J1727">
        <f t="shared" si="27"/>
        <v>0.58582308142940831</v>
      </c>
      <c r="K1727">
        <v>1E-3</v>
      </c>
      <c r="L1727" t="s">
        <v>17</v>
      </c>
      <c r="M1727">
        <v>296</v>
      </c>
      <c r="N1727" t="s">
        <v>553</v>
      </c>
    </row>
    <row r="1728" spans="1:14" ht="17" x14ac:dyDescent="0.25">
      <c r="A1728" t="s">
        <v>1099</v>
      </c>
      <c r="B1728" t="s">
        <v>32</v>
      </c>
      <c r="C1728" s="10">
        <v>21</v>
      </c>
      <c r="D1728">
        <v>10</v>
      </c>
      <c r="E1728">
        <v>11</v>
      </c>
      <c r="F1728">
        <v>22</v>
      </c>
      <c r="G1728">
        <v>10</v>
      </c>
      <c r="H1728">
        <v>12</v>
      </c>
      <c r="I1728">
        <v>0.1651</v>
      </c>
      <c r="J1728">
        <f t="shared" si="27"/>
        <v>1.029678982434888</v>
      </c>
      <c r="K1728">
        <v>1.6999999999999999E-3</v>
      </c>
      <c r="L1728" t="s">
        <v>17</v>
      </c>
      <c r="M1728">
        <v>296</v>
      </c>
      <c r="N1728" t="s">
        <v>553</v>
      </c>
    </row>
    <row r="1729" spans="1:14" ht="17" x14ac:dyDescent="0.25">
      <c r="A1729" t="s">
        <v>1099</v>
      </c>
      <c r="B1729" t="s">
        <v>32</v>
      </c>
      <c r="C1729" s="10">
        <v>22</v>
      </c>
      <c r="D1729">
        <v>6</v>
      </c>
      <c r="E1729">
        <v>17</v>
      </c>
      <c r="F1729">
        <v>23</v>
      </c>
      <c r="G1729">
        <v>6</v>
      </c>
      <c r="H1729">
        <v>18</v>
      </c>
      <c r="I1729">
        <v>0.16250000000000001</v>
      </c>
      <c r="J1729">
        <f t="shared" si="27"/>
        <v>0.49230769230769234</v>
      </c>
      <c r="K1729">
        <v>8.0000000000000004E-4</v>
      </c>
      <c r="L1729" t="s">
        <v>17</v>
      </c>
      <c r="M1729">
        <v>296</v>
      </c>
      <c r="N1729" t="s">
        <v>553</v>
      </c>
    </row>
    <row r="1730" spans="1:14" ht="17" x14ac:dyDescent="0.25">
      <c r="A1730" t="s">
        <v>1099</v>
      </c>
      <c r="B1730" t="s">
        <v>32</v>
      </c>
      <c r="C1730" s="10">
        <v>21</v>
      </c>
      <c r="D1730">
        <v>9</v>
      </c>
      <c r="E1730">
        <v>12</v>
      </c>
      <c r="F1730">
        <v>22</v>
      </c>
      <c r="G1730">
        <v>9</v>
      </c>
      <c r="H1730">
        <v>13</v>
      </c>
      <c r="I1730">
        <v>0.16639999999999999</v>
      </c>
      <c r="J1730">
        <f t="shared" si="27"/>
        <v>0.6610576923076924</v>
      </c>
      <c r="K1730">
        <v>1.1000000000000001E-3</v>
      </c>
      <c r="L1730" t="s">
        <v>17</v>
      </c>
      <c r="M1730">
        <v>296</v>
      </c>
      <c r="N1730" t="s">
        <v>553</v>
      </c>
    </row>
    <row r="1731" spans="1:14" ht="17" x14ac:dyDescent="0.25">
      <c r="A1731" t="s">
        <v>1099</v>
      </c>
      <c r="B1731" t="s">
        <v>32</v>
      </c>
      <c r="C1731" s="10">
        <v>24</v>
      </c>
      <c r="D1731">
        <v>1</v>
      </c>
      <c r="E1731">
        <v>24</v>
      </c>
      <c r="F1731">
        <v>25</v>
      </c>
      <c r="G1731">
        <v>1</v>
      </c>
      <c r="H1731">
        <v>25</v>
      </c>
      <c r="I1731">
        <v>0.1527</v>
      </c>
      <c r="J1731">
        <f t="shared" si="27"/>
        <v>0.26195153896529144</v>
      </c>
      <c r="K1731">
        <v>4.0000000000000002E-4</v>
      </c>
      <c r="L1731" t="s">
        <v>17</v>
      </c>
      <c r="M1731">
        <v>296</v>
      </c>
      <c r="N1731" t="s">
        <v>553</v>
      </c>
    </row>
    <row r="1732" spans="1:14" ht="17" x14ac:dyDescent="0.25">
      <c r="A1732" t="s">
        <v>1099</v>
      </c>
      <c r="B1732" t="s">
        <v>32</v>
      </c>
      <c r="C1732" s="10">
        <v>20</v>
      </c>
      <c r="D1732">
        <v>10</v>
      </c>
      <c r="E1732">
        <v>11</v>
      </c>
      <c r="F1732">
        <v>21</v>
      </c>
      <c r="G1732">
        <v>10</v>
      </c>
      <c r="H1732">
        <v>12</v>
      </c>
      <c r="I1732">
        <v>0.1764</v>
      </c>
      <c r="J1732">
        <f t="shared" si="27"/>
        <v>0.90702947845804993</v>
      </c>
      <c r="K1732">
        <v>1.6000000000000001E-3</v>
      </c>
      <c r="L1732" t="s">
        <v>17</v>
      </c>
      <c r="M1732">
        <v>296</v>
      </c>
      <c r="N1732" t="s">
        <v>553</v>
      </c>
    </row>
    <row r="1733" spans="1:14" ht="17" x14ac:dyDescent="0.25">
      <c r="A1733" t="s">
        <v>1099</v>
      </c>
      <c r="B1733" t="s">
        <v>32</v>
      </c>
      <c r="C1733" s="10">
        <v>22</v>
      </c>
      <c r="D1733">
        <v>3</v>
      </c>
      <c r="E1733">
        <v>20</v>
      </c>
      <c r="F1733">
        <v>23</v>
      </c>
      <c r="G1733">
        <v>3</v>
      </c>
      <c r="H1733">
        <v>21</v>
      </c>
      <c r="I1733">
        <v>0.16719999999999999</v>
      </c>
      <c r="J1733">
        <f t="shared" si="27"/>
        <v>0.47846889952153115</v>
      </c>
      <c r="K1733">
        <v>8.0000000000000004E-4</v>
      </c>
      <c r="L1733" t="s">
        <v>17</v>
      </c>
      <c r="M1733">
        <v>296</v>
      </c>
      <c r="N1733" t="s">
        <v>553</v>
      </c>
    </row>
    <row r="1734" spans="1:14" ht="17" x14ac:dyDescent="0.25">
      <c r="A1734" t="s">
        <v>1099</v>
      </c>
      <c r="B1734" t="s">
        <v>32</v>
      </c>
      <c r="C1734" s="10">
        <v>21</v>
      </c>
      <c r="D1734">
        <v>7</v>
      </c>
      <c r="E1734">
        <v>14</v>
      </c>
      <c r="F1734">
        <v>22</v>
      </c>
      <c r="G1734">
        <v>7</v>
      </c>
      <c r="H1734">
        <v>15</v>
      </c>
      <c r="I1734">
        <v>0.16950000000000001</v>
      </c>
      <c r="J1734">
        <f t="shared" si="27"/>
        <v>0.76696165191740406</v>
      </c>
      <c r="K1734">
        <v>1.2999999999999999E-3</v>
      </c>
      <c r="L1734" t="s">
        <v>17</v>
      </c>
      <c r="M1734">
        <v>296</v>
      </c>
      <c r="N1734" t="s">
        <v>553</v>
      </c>
    </row>
    <row r="1735" spans="1:14" ht="17" x14ac:dyDescent="0.25">
      <c r="A1735" t="s">
        <v>1099</v>
      </c>
      <c r="B1735" t="s">
        <v>32</v>
      </c>
      <c r="C1735" s="10">
        <v>21</v>
      </c>
      <c r="D1735">
        <v>6</v>
      </c>
      <c r="E1735">
        <v>15</v>
      </c>
      <c r="F1735">
        <v>22</v>
      </c>
      <c r="G1735">
        <v>6</v>
      </c>
      <c r="H1735">
        <v>16</v>
      </c>
      <c r="I1735">
        <v>0.1782</v>
      </c>
      <c r="J1735">
        <f t="shared" si="27"/>
        <v>0.5611672278338945</v>
      </c>
      <c r="K1735">
        <v>1E-3</v>
      </c>
      <c r="L1735" t="s">
        <v>17</v>
      </c>
      <c r="M1735">
        <v>296</v>
      </c>
      <c r="N1735" t="s">
        <v>553</v>
      </c>
    </row>
    <row r="1736" spans="1:14" ht="17" x14ac:dyDescent="0.25">
      <c r="A1736" t="s">
        <v>1099</v>
      </c>
      <c r="B1736" t="s">
        <v>32</v>
      </c>
      <c r="C1736" s="10">
        <v>20</v>
      </c>
      <c r="D1736">
        <v>9</v>
      </c>
      <c r="E1736">
        <v>12</v>
      </c>
      <c r="F1736">
        <v>21</v>
      </c>
      <c r="G1736">
        <v>9</v>
      </c>
      <c r="H1736">
        <v>13</v>
      </c>
      <c r="I1736">
        <v>0.16800000000000001</v>
      </c>
      <c r="J1736">
        <f t="shared" si="27"/>
        <v>0.89285714285714279</v>
      </c>
      <c r="K1736">
        <v>1.5E-3</v>
      </c>
      <c r="L1736" t="s">
        <v>17</v>
      </c>
      <c r="M1736">
        <v>296</v>
      </c>
      <c r="N1736" t="s">
        <v>553</v>
      </c>
    </row>
    <row r="1737" spans="1:14" ht="17" x14ac:dyDescent="0.25">
      <c r="A1737" t="s">
        <v>1099</v>
      </c>
      <c r="B1737" t="s">
        <v>32</v>
      </c>
      <c r="C1737" s="10">
        <v>21</v>
      </c>
      <c r="D1737">
        <v>3</v>
      </c>
      <c r="E1737">
        <v>18</v>
      </c>
      <c r="F1737">
        <v>22</v>
      </c>
      <c r="G1737">
        <v>3</v>
      </c>
      <c r="H1737">
        <v>19</v>
      </c>
      <c r="I1737">
        <v>0.1716</v>
      </c>
      <c r="J1737">
        <f t="shared" si="27"/>
        <v>0.52447552447552448</v>
      </c>
      <c r="K1737">
        <v>8.9999999999999998E-4</v>
      </c>
      <c r="L1737" t="s">
        <v>17</v>
      </c>
      <c r="M1737">
        <v>296</v>
      </c>
      <c r="N1737" t="s">
        <v>553</v>
      </c>
    </row>
    <row r="1738" spans="1:14" ht="17" x14ac:dyDescent="0.25">
      <c r="A1738" t="s">
        <v>1099</v>
      </c>
      <c r="B1738" t="s">
        <v>32</v>
      </c>
      <c r="C1738" s="10">
        <v>21</v>
      </c>
      <c r="D1738">
        <v>4</v>
      </c>
      <c r="E1738">
        <v>17</v>
      </c>
      <c r="F1738">
        <v>22</v>
      </c>
      <c r="G1738">
        <v>4</v>
      </c>
      <c r="H1738">
        <v>18</v>
      </c>
      <c r="I1738">
        <v>0.1792</v>
      </c>
      <c r="J1738">
        <f t="shared" si="27"/>
        <v>0.50223214285714279</v>
      </c>
      <c r="K1738">
        <v>8.9999999999999998E-4</v>
      </c>
      <c r="L1738" t="s">
        <v>17</v>
      </c>
      <c r="M1738">
        <v>296</v>
      </c>
      <c r="N1738" t="s">
        <v>553</v>
      </c>
    </row>
    <row r="1739" spans="1:14" ht="17" x14ac:dyDescent="0.25">
      <c r="A1739" t="s">
        <v>1099</v>
      </c>
      <c r="B1739" t="s">
        <v>32</v>
      </c>
      <c r="C1739" s="10">
        <v>22</v>
      </c>
      <c r="D1739">
        <v>2</v>
      </c>
      <c r="E1739">
        <v>21</v>
      </c>
      <c r="F1739">
        <v>23</v>
      </c>
      <c r="G1739">
        <v>2</v>
      </c>
      <c r="H1739">
        <v>22</v>
      </c>
      <c r="I1739">
        <v>0.17050000000000001</v>
      </c>
      <c r="J1739">
        <f t="shared" si="27"/>
        <v>0.41055718475073316</v>
      </c>
      <c r="K1739">
        <v>6.9999999999999999E-4</v>
      </c>
      <c r="L1739" t="s">
        <v>17</v>
      </c>
      <c r="M1739">
        <v>296</v>
      </c>
      <c r="N1739" t="s">
        <v>553</v>
      </c>
    </row>
    <row r="1740" spans="1:14" ht="17" x14ac:dyDescent="0.25">
      <c r="A1740" t="s">
        <v>1099</v>
      </c>
      <c r="B1740" t="s">
        <v>32</v>
      </c>
      <c r="C1740" s="10">
        <v>20</v>
      </c>
      <c r="D1740">
        <v>7</v>
      </c>
      <c r="E1740">
        <v>14</v>
      </c>
      <c r="F1740">
        <v>21</v>
      </c>
      <c r="G1740">
        <v>7</v>
      </c>
      <c r="H1740">
        <v>15</v>
      </c>
      <c r="I1740">
        <v>0.16830000000000001</v>
      </c>
      <c r="J1740">
        <f t="shared" si="27"/>
        <v>0.53475935828876997</v>
      </c>
      <c r="K1740">
        <v>8.9999999999999998E-4</v>
      </c>
      <c r="L1740" t="s">
        <v>17</v>
      </c>
      <c r="M1740">
        <v>296</v>
      </c>
      <c r="N1740" t="s">
        <v>553</v>
      </c>
    </row>
    <row r="1741" spans="1:14" ht="17" x14ac:dyDescent="0.25">
      <c r="A1741" t="s">
        <v>1099</v>
      </c>
      <c r="B1741" t="s">
        <v>32</v>
      </c>
      <c r="C1741" s="10">
        <v>22</v>
      </c>
      <c r="D1741">
        <v>1</v>
      </c>
      <c r="E1741">
        <v>22</v>
      </c>
      <c r="F1741">
        <v>23</v>
      </c>
      <c r="G1741">
        <v>1</v>
      </c>
      <c r="H1741">
        <v>23</v>
      </c>
      <c r="I1741">
        <v>0.15559999999999999</v>
      </c>
      <c r="J1741">
        <f t="shared" si="27"/>
        <v>0.32133676092544988</v>
      </c>
      <c r="K1741">
        <v>5.0000000000000001E-4</v>
      </c>
      <c r="L1741" t="s">
        <v>17</v>
      </c>
      <c r="M1741">
        <v>296</v>
      </c>
      <c r="N1741" t="s">
        <v>553</v>
      </c>
    </row>
    <row r="1742" spans="1:14" ht="17" x14ac:dyDescent="0.25">
      <c r="A1742" t="s">
        <v>1099</v>
      </c>
      <c r="B1742" t="s">
        <v>32</v>
      </c>
      <c r="C1742" s="10">
        <v>20</v>
      </c>
      <c r="D1742">
        <v>5</v>
      </c>
      <c r="E1742">
        <v>16</v>
      </c>
      <c r="F1742">
        <v>21</v>
      </c>
      <c r="G1742">
        <v>5</v>
      </c>
      <c r="H1742">
        <v>17</v>
      </c>
      <c r="I1742">
        <v>0.1676</v>
      </c>
      <c r="J1742">
        <f t="shared" si="27"/>
        <v>0.53699284009546533</v>
      </c>
      <c r="K1742">
        <v>8.9999999999999998E-4</v>
      </c>
      <c r="L1742" t="s">
        <v>17</v>
      </c>
      <c r="M1742">
        <v>296</v>
      </c>
      <c r="N1742" t="s">
        <v>553</v>
      </c>
    </row>
    <row r="1743" spans="1:14" ht="17" x14ac:dyDescent="0.25">
      <c r="A1743" t="s">
        <v>1099</v>
      </c>
      <c r="B1743" t="s">
        <v>32</v>
      </c>
      <c r="C1743" s="10">
        <v>20</v>
      </c>
      <c r="D1743">
        <v>4</v>
      </c>
      <c r="E1743">
        <v>17</v>
      </c>
      <c r="F1743">
        <v>21</v>
      </c>
      <c r="G1743">
        <v>4</v>
      </c>
      <c r="H1743">
        <v>18</v>
      </c>
      <c r="I1743">
        <v>0.18590000000000001</v>
      </c>
      <c r="J1743">
        <f t="shared" si="27"/>
        <v>0.48413125336202256</v>
      </c>
      <c r="K1743">
        <v>8.9999999999999998E-4</v>
      </c>
      <c r="L1743" t="s">
        <v>17</v>
      </c>
      <c r="M1743">
        <v>296</v>
      </c>
      <c r="N1743" t="s">
        <v>553</v>
      </c>
    </row>
    <row r="1744" spans="1:14" ht="17" x14ac:dyDescent="0.25">
      <c r="A1744" t="s">
        <v>1099</v>
      </c>
      <c r="B1744" t="s">
        <v>32</v>
      </c>
      <c r="C1744" s="10">
        <v>20</v>
      </c>
      <c r="D1744">
        <v>3</v>
      </c>
      <c r="E1744">
        <v>18</v>
      </c>
      <c r="F1744">
        <v>21</v>
      </c>
      <c r="G1744">
        <v>3</v>
      </c>
      <c r="H1744">
        <v>19</v>
      </c>
      <c r="I1744">
        <v>0.16719999999999999</v>
      </c>
      <c r="J1744">
        <f t="shared" si="27"/>
        <v>0.598086124401914</v>
      </c>
      <c r="K1744">
        <v>1E-3</v>
      </c>
      <c r="L1744" t="s">
        <v>17</v>
      </c>
      <c r="M1744">
        <v>296</v>
      </c>
      <c r="N1744" t="s">
        <v>553</v>
      </c>
    </row>
    <row r="1745" spans="1:14" ht="17" x14ac:dyDescent="0.25">
      <c r="A1745" t="s">
        <v>1099</v>
      </c>
      <c r="B1745" t="s">
        <v>32</v>
      </c>
      <c r="C1745" s="10">
        <v>21</v>
      </c>
      <c r="D1745">
        <v>0</v>
      </c>
      <c r="E1745">
        <v>21</v>
      </c>
      <c r="F1745">
        <v>22</v>
      </c>
      <c r="G1745">
        <v>0</v>
      </c>
      <c r="H1745">
        <v>22</v>
      </c>
      <c r="I1745">
        <v>0.15240000000000001</v>
      </c>
      <c r="J1745">
        <f t="shared" si="27"/>
        <v>0.45931758530183725</v>
      </c>
      <c r="K1745">
        <v>6.9999999999999999E-4</v>
      </c>
      <c r="L1745" t="s">
        <v>17</v>
      </c>
      <c r="M1745">
        <v>296</v>
      </c>
      <c r="N1745" t="s">
        <v>553</v>
      </c>
    </row>
    <row r="1746" spans="1:14" ht="17" x14ac:dyDescent="0.25">
      <c r="A1746" t="s">
        <v>1099</v>
      </c>
      <c r="B1746" t="s">
        <v>32</v>
      </c>
      <c r="C1746" s="10">
        <v>19</v>
      </c>
      <c r="D1746">
        <v>3</v>
      </c>
      <c r="E1746">
        <v>16</v>
      </c>
      <c r="F1746">
        <v>20</v>
      </c>
      <c r="G1746">
        <v>3</v>
      </c>
      <c r="H1746">
        <v>17</v>
      </c>
      <c r="I1746">
        <v>0.21260000000000001</v>
      </c>
      <c r="J1746">
        <f t="shared" si="27"/>
        <v>0.84666039510818436</v>
      </c>
      <c r="K1746">
        <v>1.8E-3</v>
      </c>
      <c r="L1746" t="s">
        <v>17</v>
      </c>
      <c r="M1746">
        <v>296</v>
      </c>
      <c r="N1746" t="s">
        <v>553</v>
      </c>
    </row>
    <row r="1747" spans="1:14" ht="17" x14ac:dyDescent="0.25">
      <c r="A1747" t="s">
        <v>1099</v>
      </c>
      <c r="B1747" t="s">
        <v>32</v>
      </c>
      <c r="C1747" s="10">
        <v>19</v>
      </c>
      <c r="D1747">
        <v>5</v>
      </c>
      <c r="E1747">
        <v>14</v>
      </c>
      <c r="F1747">
        <v>20</v>
      </c>
      <c r="G1747">
        <v>5</v>
      </c>
      <c r="H1747">
        <v>15</v>
      </c>
      <c r="I1747">
        <v>0.18379999999999999</v>
      </c>
      <c r="J1747">
        <f t="shared" si="27"/>
        <v>0.59847660500544075</v>
      </c>
      <c r="K1747">
        <v>1.1000000000000001E-3</v>
      </c>
      <c r="L1747" t="s">
        <v>17</v>
      </c>
      <c r="M1747">
        <v>296</v>
      </c>
      <c r="N1747" t="s">
        <v>553</v>
      </c>
    </row>
    <row r="1748" spans="1:14" ht="17" x14ac:dyDescent="0.25">
      <c r="A1748" t="s">
        <v>1099</v>
      </c>
      <c r="B1748" t="s">
        <v>32</v>
      </c>
      <c r="C1748" s="10">
        <v>19</v>
      </c>
      <c r="D1748">
        <v>4</v>
      </c>
      <c r="E1748">
        <v>15</v>
      </c>
      <c r="F1748">
        <v>20</v>
      </c>
      <c r="G1748">
        <v>4</v>
      </c>
      <c r="H1748">
        <v>16</v>
      </c>
      <c r="I1748">
        <v>0.1774</v>
      </c>
      <c r="J1748">
        <f t="shared" si="27"/>
        <v>0.56369785794813976</v>
      </c>
      <c r="K1748">
        <v>1E-3</v>
      </c>
      <c r="L1748" t="s">
        <v>17</v>
      </c>
      <c r="M1748">
        <v>296</v>
      </c>
      <c r="N1748" t="s">
        <v>553</v>
      </c>
    </row>
    <row r="1749" spans="1:14" ht="17" x14ac:dyDescent="0.25">
      <c r="A1749" t="s">
        <v>1099</v>
      </c>
      <c r="B1749" t="s">
        <v>32</v>
      </c>
      <c r="C1749" s="10">
        <v>18</v>
      </c>
      <c r="D1749">
        <v>7</v>
      </c>
      <c r="E1749">
        <v>12</v>
      </c>
      <c r="F1749">
        <v>19</v>
      </c>
      <c r="G1749">
        <v>7</v>
      </c>
      <c r="H1749">
        <v>13</v>
      </c>
      <c r="I1749">
        <v>0.155</v>
      </c>
      <c r="J1749">
        <f t="shared" si="27"/>
        <v>0.90322580645161277</v>
      </c>
      <c r="K1749">
        <v>1.4E-3</v>
      </c>
      <c r="L1749" t="s">
        <v>17</v>
      </c>
      <c r="M1749">
        <v>296</v>
      </c>
      <c r="N1749" t="s">
        <v>553</v>
      </c>
    </row>
    <row r="1750" spans="1:14" ht="17" x14ac:dyDescent="0.25">
      <c r="A1750" t="s">
        <v>1099</v>
      </c>
      <c r="B1750" t="s">
        <v>32</v>
      </c>
      <c r="C1750" s="10">
        <v>19</v>
      </c>
      <c r="D1750">
        <v>1</v>
      </c>
      <c r="E1750">
        <v>18</v>
      </c>
      <c r="F1750">
        <v>20</v>
      </c>
      <c r="G1750">
        <v>1</v>
      </c>
      <c r="H1750">
        <v>19</v>
      </c>
      <c r="I1750">
        <v>0.17960000000000001</v>
      </c>
      <c r="J1750">
        <f t="shared" si="27"/>
        <v>0.44543429844097993</v>
      </c>
      <c r="K1750">
        <v>8.0000000000000004E-4</v>
      </c>
      <c r="L1750" t="s">
        <v>17</v>
      </c>
      <c r="M1750">
        <v>296</v>
      </c>
      <c r="N1750" t="s">
        <v>553</v>
      </c>
    </row>
    <row r="1751" spans="1:14" ht="17" x14ac:dyDescent="0.25">
      <c r="A1751" t="s">
        <v>1099</v>
      </c>
      <c r="B1751" t="s">
        <v>32</v>
      </c>
      <c r="C1751" s="10">
        <v>20</v>
      </c>
      <c r="D1751">
        <v>1</v>
      </c>
      <c r="E1751">
        <v>20</v>
      </c>
      <c r="F1751">
        <v>21</v>
      </c>
      <c r="G1751">
        <v>1</v>
      </c>
      <c r="H1751">
        <v>21</v>
      </c>
      <c r="I1751">
        <v>0.1547</v>
      </c>
      <c r="J1751">
        <f t="shared" si="27"/>
        <v>0.3232062055591467</v>
      </c>
      <c r="K1751">
        <v>5.0000000000000001E-4</v>
      </c>
      <c r="L1751" t="s">
        <v>17</v>
      </c>
      <c r="M1751">
        <v>296</v>
      </c>
      <c r="N1751" t="s">
        <v>553</v>
      </c>
    </row>
    <row r="1752" spans="1:14" ht="17" x14ac:dyDescent="0.25">
      <c r="A1752" t="s">
        <v>1099</v>
      </c>
      <c r="B1752" t="s">
        <v>32</v>
      </c>
      <c r="C1752" s="10">
        <v>17</v>
      </c>
      <c r="D1752">
        <v>8</v>
      </c>
      <c r="E1752">
        <v>9</v>
      </c>
      <c r="F1752">
        <v>18</v>
      </c>
      <c r="G1752">
        <v>8</v>
      </c>
      <c r="H1752">
        <v>10</v>
      </c>
      <c r="I1752">
        <v>0.1535</v>
      </c>
      <c r="J1752">
        <f t="shared" si="27"/>
        <v>0.97719869706840401</v>
      </c>
      <c r="K1752">
        <v>1.5E-3</v>
      </c>
      <c r="L1752" t="s">
        <v>17</v>
      </c>
      <c r="M1752">
        <v>296</v>
      </c>
      <c r="N1752" t="s">
        <v>553</v>
      </c>
    </row>
    <row r="1753" spans="1:14" ht="17" x14ac:dyDescent="0.25">
      <c r="A1753" t="s">
        <v>1099</v>
      </c>
      <c r="B1753" t="s">
        <v>32</v>
      </c>
      <c r="C1753" s="10">
        <v>18</v>
      </c>
      <c r="D1753">
        <v>4</v>
      </c>
      <c r="E1753">
        <v>15</v>
      </c>
      <c r="F1753">
        <v>19</v>
      </c>
      <c r="G1753">
        <v>4</v>
      </c>
      <c r="H1753">
        <v>16</v>
      </c>
      <c r="I1753">
        <v>0.19020000000000001</v>
      </c>
      <c r="J1753">
        <f t="shared" si="27"/>
        <v>0.52576235541535232</v>
      </c>
      <c r="K1753">
        <v>1E-3</v>
      </c>
      <c r="L1753" t="s">
        <v>17</v>
      </c>
      <c r="M1753">
        <v>296</v>
      </c>
      <c r="N1753" t="s">
        <v>553</v>
      </c>
    </row>
    <row r="1754" spans="1:14" ht="17" x14ac:dyDescent="0.25">
      <c r="A1754" t="s">
        <v>1099</v>
      </c>
      <c r="B1754" t="s">
        <v>32</v>
      </c>
      <c r="C1754" s="10">
        <v>17</v>
      </c>
      <c r="D1754">
        <v>7</v>
      </c>
      <c r="E1754">
        <v>10</v>
      </c>
      <c r="F1754">
        <v>18</v>
      </c>
      <c r="G1754">
        <v>7</v>
      </c>
      <c r="H1754">
        <v>11</v>
      </c>
      <c r="I1754">
        <v>0.18010000000000001</v>
      </c>
      <c r="J1754">
        <f t="shared" si="27"/>
        <v>0.77734591893392546</v>
      </c>
      <c r="K1754">
        <v>1.4E-3</v>
      </c>
      <c r="L1754" t="s">
        <v>17</v>
      </c>
      <c r="M1754">
        <v>296</v>
      </c>
      <c r="N1754" t="s">
        <v>553</v>
      </c>
    </row>
    <row r="1755" spans="1:14" ht="17" x14ac:dyDescent="0.25">
      <c r="A1755" t="s">
        <v>1099</v>
      </c>
      <c r="B1755" t="s">
        <v>32</v>
      </c>
      <c r="C1755" s="10">
        <v>18</v>
      </c>
      <c r="D1755">
        <v>2</v>
      </c>
      <c r="E1755">
        <v>17</v>
      </c>
      <c r="F1755">
        <v>19</v>
      </c>
      <c r="G1755">
        <v>2</v>
      </c>
      <c r="H1755">
        <v>18</v>
      </c>
      <c r="I1755">
        <v>0.16889999999999999</v>
      </c>
      <c r="J1755">
        <f t="shared" si="27"/>
        <v>0.71047957371225567</v>
      </c>
      <c r="K1755">
        <v>1.1999999999999999E-3</v>
      </c>
      <c r="L1755" t="s">
        <v>17</v>
      </c>
      <c r="M1755">
        <v>296</v>
      </c>
      <c r="N1755" t="s">
        <v>553</v>
      </c>
    </row>
    <row r="1756" spans="1:14" ht="17" x14ac:dyDescent="0.25">
      <c r="A1756" t="s">
        <v>1099</v>
      </c>
      <c r="B1756" t="s">
        <v>32</v>
      </c>
      <c r="C1756" s="10">
        <v>17</v>
      </c>
      <c r="D1756">
        <v>3</v>
      </c>
      <c r="E1756">
        <v>14</v>
      </c>
      <c r="F1756">
        <v>18</v>
      </c>
      <c r="G1756">
        <v>3</v>
      </c>
      <c r="H1756">
        <v>15</v>
      </c>
      <c r="I1756">
        <v>0.17480000000000001</v>
      </c>
      <c r="J1756">
        <f t="shared" si="27"/>
        <v>0.8009153318077803</v>
      </c>
      <c r="K1756">
        <v>1.4E-3</v>
      </c>
      <c r="L1756" t="s">
        <v>17</v>
      </c>
      <c r="M1756">
        <v>296</v>
      </c>
      <c r="N1756" t="s">
        <v>553</v>
      </c>
    </row>
    <row r="1757" spans="1:14" ht="17" x14ac:dyDescent="0.25">
      <c r="A1757" t="s">
        <v>1099</v>
      </c>
      <c r="B1757" t="s">
        <v>32</v>
      </c>
      <c r="C1757" s="10">
        <v>16</v>
      </c>
      <c r="D1757">
        <v>7</v>
      </c>
      <c r="E1757">
        <v>10</v>
      </c>
      <c r="F1757">
        <v>17</v>
      </c>
      <c r="G1757">
        <v>7</v>
      </c>
      <c r="H1757">
        <v>11</v>
      </c>
      <c r="I1757">
        <v>0.1716</v>
      </c>
      <c r="J1757">
        <f t="shared" si="27"/>
        <v>0.52447552447552448</v>
      </c>
      <c r="K1757">
        <v>8.9999999999999998E-4</v>
      </c>
      <c r="L1757" t="s">
        <v>17</v>
      </c>
      <c r="M1757">
        <v>296</v>
      </c>
      <c r="N1757" t="s">
        <v>553</v>
      </c>
    </row>
    <row r="1758" spans="1:14" ht="17" x14ac:dyDescent="0.25">
      <c r="A1758" t="s">
        <v>1099</v>
      </c>
      <c r="B1758" t="s">
        <v>32</v>
      </c>
      <c r="C1758" s="10">
        <v>17</v>
      </c>
      <c r="D1758">
        <v>1</v>
      </c>
      <c r="E1758">
        <v>16</v>
      </c>
      <c r="F1758">
        <v>18</v>
      </c>
      <c r="G1758">
        <v>1</v>
      </c>
      <c r="H1758">
        <v>17</v>
      </c>
      <c r="I1758">
        <v>0.18709999999999999</v>
      </c>
      <c r="J1758">
        <f t="shared" si="27"/>
        <v>0.58792089791555324</v>
      </c>
      <c r="K1758">
        <v>1.1000000000000001E-3</v>
      </c>
      <c r="L1758" t="s">
        <v>17</v>
      </c>
      <c r="M1758">
        <v>296</v>
      </c>
      <c r="N1758" t="s">
        <v>553</v>
      </c>
    </row>
    <row r="1759" spans="1:14" ht="17" x14ac:dyDescent="0.25">
      <c r="A1759" t="s">
        <v>1099</v>
      </c>
      <c r="B1759" t="s">
        <v>32</v>
      </c>
      <c r="C1759" s="10">
        <v>16</v>
      </c>
      <c r="D1759">
        <v>3</v>
      </c>
      <c r="E1759">
        <v>14</v>
      </c>
      <c r="F1759">
        <v>17</v>
      </c>
      <c r="G1759">
        <v>3</v>
      </c>
      <c r="H1759">
        <v>15</v>
      </c>
      <c r="I1759">
        <v>0.1794</v>
      </c>
      <c r="J1759">
        <f t="shared" si="27"/>
        <v>0.50167224080267558</v>
      </c>
      <c r="K1759">
        <v>8.9999999999999998E-4</v>
      </c>
      <c r="L1759" t="s">
        <v>17</v>
      </c>
      <c r="M1759">
        <v>296</v>
      </c>
      <c r="N1759" t="s">
        <v>553</v>
      </c>
    </row>
    <row r="1760" spans="1:14" ht="17" x14ac:dyDescent="0.25">
      <c r="A1760" t="s">
        <v>1099</v>
      </c>
      <c r="B1760" t="s">
        <v>32</v>
      </c>
      <c r="C1760" s="10">
        <v>17</v>
      </c>
      <c r="D1760">
        <v>0</v>
      </c>
      <c r="E1760">
        <v>17</v>
      </c>
      <c r="F1760">
        <v>18</v>
      </c>
      <c r="G1760">
        <v>0</v>
      </c>
      <c r="H1760">
        <v>18</v>
      </c>
      <c r="I1760">
        <v>0.16389999999999999</v>
      </c>
      <c r="J1760">
        <f t="shared" si="27"/>
        <v>0.61012812690665041</v>
      </c>
      <c r="K1760">
        <v>1E-3</v>
      </c>
      <c r="L1760" t="s">
        <v>17</v>
      </c>
      <c r="M1760">
        <v>296</v>
      </c>
      <c r="N1760" t="s">
        <v>553</v>
      </c>
    </row>
    <row r="1761" spans="1:14" ht="17" x14ac:dyDescent="0.25">
      <c r="A1761" t="s">
        <v>1099</v>
      </c>
      <c r="B1761" t="s">
        <v>32</v>
      </c>
      <c r="C1761" s="10">
        <v>15</v>
      </c>
      <c r="D1761">
        <v>2</v>
      </c>
      <c r="E1761">
        <v>13</v>
      </c>
      <c r="F1761">
        <v>16</v>
      </c>
      <c r="G1761">
        <v>2</v>
      </c>
      <c r="H1761">
        <v>14</v>
      </c>
      <c r="I1761">
        <v>0.20930000000000001</v>
      </c>
      <c r="J1761">
        <f t="shared" si="27"/>
        <v>0.52556139512661249</v>
      </c>
      <c r="K1761">
        <v>1.1000000000000001E-3</v>
      </c>
      <c r="L1761" t="s">
        <v>17</v>
      </c>
      <c r="M1761">
        <v>296</v>
      </c>
      <c r="N1761" t="s">
        <v>553</v>
      </c>
    </row>
    <row r="1762" spans="1:14" ht="17" x14ac:dyDescent="0.25">
      <c r="A1762" t="s">
        <v>1099</v>
      </c>
      <c r="B1762" t="s">
        <v>32</v>
      </c>
      <c r="C1762" s="10">
        <v>15</v>
      </c>
      <c r="D1762">
        <v>1</v>
      </c>
      <c r="E1762">
        <v>14</v>
      </c>
      <c r="F1762">
        <v>16</v>
      </c>
      <c r="G1762">
        <v>1</v>
      </c>
      <c r="H1762">
        <v>15</v>
      </c>
      <c r="I1762">
        <v>0.18479999999999999</v>
      </c>
      <c r="J1762">
        <f t="shared" si="27"/>
        <v>0.37878787878787878</v>
      </c>
      <c r="K1762">
        <v>6.9999999999999999E-4</v>
      </c>
      <c r="L1762" t="s">
        <v>17</v>
      </c>
      <c r="M1762">
        <v>296</v>
      </c>
      <c r="N1762" t="s">
        <v>553</v>
      </c>
    </row>
    <row r="1763" spans="1:14" ht="17" x14ac:dyDescent="0.25">
      <c r="A1763" t="s">
        <v>1099</v>
      </c>
      <c r="B1763" t="s">
        <v>32</v>
      </c>
      <c r="C1763" s="10">
        <v>14</v>
      </c>
      <c r="D1763">
        <v>3</v>
      </c>
      <c r="E1763">
        <v>12</v>
      </c>
      <c r="F1763">
        <v>15</v>
      </c>
      <c r="G1763">
        <v>3</v>
      </c>
      <c r="H1763">
        <v>13</v>
      </c>
      <c r="I1763">
        <v>0.1731</v>
      </c>
      <c r="J1763">
        <f t="shared" si="27"/>
        <v>0.75101097631426916</v>
      </c>
      <c r="K1763">
        <v>1.2999999999999999E-3</v>
      </c>
      <c r="L1763" t="s">
        <v>17</v>
      </c>
      <c r="M1763">
        <v>296</v>
      </c>
      <c r="N1763" t="s">
        <v>553</v>
      </c>
    </row>
    <row r="1764" spans="1:14" ht="17" x14ac:dyDescent="0.25">
      <c r="A1764" t="s">
        <v>1099</v>
      </c>
      <c r="B1764" t="s">
        <v>32</v>
      </c>
      <c r="C1764" s="10">
        <v>14</v>
      </c>
      <c r="D1764">
        <v>2</v>
      </c>
      <c r="E1764">
        <v>13</v>
      </c>
      <c r="F1764">
        <v>15</v>
      </c>
      <c r="G1764">
        <v>2</v>
      </c>
      <c r="H1764">
        <v>14</v>
      </c>
      <c r="I1764">
        <v>0.18740000000000001</v>
      </c>
      <c r="J1764">
        <f t="shared" si="27"/>
        <v>0.90715048025613654</v>
      </c>
      <c r="K1764">
        <v>1.6999999999999999E-3</v>
      </c>
      <c r="L1764" t="s">
        <v>17</v>
      </c>
      <c r="M1764">
        <v>296</v>
      </c>
      <c r="N1764" t="s">
        <v>553</v>
      </c>
    </row>
    <row r="1765" spans="1:14" ht="17" x14ac:dyDescent="0.25">
      <c r="A1765" t="s">
        <v>1099</v>
      </c>
      <c r="B1765" t="s">
        <v>32</v>
      </c>
      <c r="C1765" s="10">
        <v>13</v>
      </c>
      <c r="D1765">
        <v>5</v>
      </c>
      <c r="E1765">
        <v>8</v>
      </c>
      <c r="F1765">
        <v>14</v>
      </c>
      <c r="G1765">
        <v>5</v>
      </c>
      <c r="H1765">
        <v>9</v>
      </c>
      <c r="I1765">
        <v>0.1726</v>
      </c>
      <c r="J1765">
        <f t="shared" si="27"/>
        <v>0.81112398609501735</v>
      </c>
      <c r="K1765">
        <v>1.4E-3</v>
      </c>
      <c r="L1765" t="s">
        <v>17</v>
      </c>
      <c r="M1765">
        <v>296</v>
      </c>
      <c r="N1765" t="s">
        <v>553</v>
      </c>
    </row>
    <row r="1766" spans="1:14" ht="17" x14ac:dyDescent="0.25">
      <c r="A1766" t="s">
        <v>1099</v>
      </c>
      <c r="B1766" t="s">
        <v>32</v>
      </c>
      <c r="C1766" s="10">
        <v>13</v>
      </c>
      <c r="D1766">
        <v>3</v>
      </c>
      <c r="E1766">
        <v>10</v>
      </c>
      <c r="F1766">
        <v>14</v>
      </c>
      <c r="G1766">
        <v>3</v>
      </c>
      <c r="H1766">
        <v>11</v>
      </c>
      <c r="I1766">
        <v>0.1807</v>
      </c>
      <c r="J1766">
        <f t="shared" si="27"/>
        <v>0.49806308799114551</v>
      </c>
      <c r="K1766">
        <v>8.9999999999999998E-4</v>
      </c>
      <c r="L1766" t="s">
        <v>17</v>
      </c>
      <c r="M1766">
        <v>296</v>
      </c>
      <c r="N1766" t="s">
        <v>553</v>
      </c>
    </row>
    <row r="1767" spans="1:14" ht="17" x14ac:dyDescent="0.25">
      <c r="A1767" t="s">
        <v>1099</v>
      </c>
      <c r="B1767" t="s">
        <v>32</v>
      </c>
      <c r="C1767" s="10">
        <v>13</v>
      </c>
      <c r="D1767">
        <v>1</v>
      </c>
      <c r="E1767">
        <v>12</v>
      </c>
      <c r="F1767">
        <v>14</v>
      </c>
      <c r="G1767">
        <v>1</v>
      </c>
      <c r="H1767">
        <v>13</v>
      </c>
      <c r="I1767">
        <v>0.19700000000000001</v>
      </c>
      <c r="J1767">
        <f t="shared" si="27"/>
        <v>0.76142131979695427</v>
      </c>
      <c r="K1767">
        <v>1.5E-3</v>
      </c>
      <c r="L1767" t="s">
        <v>17</v>
      </c>
      <c r="M1767">
        <v>296</v>
      </c>
      <c r="N1767" t="s">
        <v>553</v>
      </c>
    </row>
    <row r="1768" spans="1:14" ht="17" x14ac:dyDescent="0.25">
      <c r="A1768" t="s">
        <v>1099</v>
      </c>
      <c r="B1768" t="s">
        <v>32</v>
      </c>
      <c r="C1768" s="10">
        <v>12</v>
      </c>
      <c r="D1768">
        <v>2</v>
      </c>
      <c r="E1768">
        <v>11</v>
      </c>
      <c r="F1768">
        <v>13</v>
      </c>
      <c r="G1768">
        <v>2</v>
      </c>
      <c r="H1768">
        <v>12</v>
      </c>
      <c r="I1768">
        <v>0.1739</v>
      </c>
      <c r="J1768">
        <f t="shared" si="27"/>
        <v>0.74755606670500285</v>
      </c>
      <c r="K1768">
        <v>1.2999999999999999E-3</v>
      </c>
      <c r="L1768" t="s">
        <v>17</v>
      </c>
      <c r="M1768">
        <v>296</v>
      </c>
      <c r="N1768" t="s">
        <v>553</v>
      </c>
    </row>
    <row r="1769" spans="1:14" ht="17" x14ac:dyDescent="0.25">
      <c r="A1769" t="s">
        <v>1099</v>
      </c>
      <c r="B1769" t="s">
        <v>32</v>
      </c>
      <c r="C1769" s="10">
        <v>11</v>
      </c>
      <c r="D1769">
        <v>5</v>
      </c>
      <c r="E1769">
        <v>6</v>
      </c>
      <c r="F1769">
        <v>12</v>
      </c>
      <c r="G1769">
        <v>5</v>
      </c>
      <c r="H1769">
        <v>7</v>
      </c>
      <c r="I1769">
        <v>0.17929999999999999</v>
      </c>
      <c r="J1769">
        <f t="shared" si="27"/>
        <v>0.89235917456776359</v>
      </c>
      <c r="K1769">
        <v>1.6000000000000001E-3</v>
      </c>
      <c r="L1769" t="s">
        <v>17</v>
      </c>
      <c r="M1769">
        <v>296</v>
      </c>
      <c r="N1769" t="s">
        <v>553</v>
      </c>
    </row>
    <row r="1770" spans="1:14" ht="17" x14ac:dyDescent="0.25">
      <c r="A1770" t="s">
        <v>1099</v>
      </c>
      <c r="B1770" t="s">
        <v>32</v>
      </c>
      <c r="C1770" s="10">
        <v>11</v>
      </c>
      <c r="D1770">
        <v>3</v>
      </c>
      <c r="E1770">
        <v>8</v>
      </c>
      <c r="F1770">
        <v>12</v>
      </c>
      <c r="G1770">
        <v>3</v>
      </c>
      <c r="H1770">
        <v>9</v>
      </c>
      <c r="I1770">
        <v>0.18079999999999999</v>
      </c>
      <c r="J1770">
        <f t="shared" si="27"/>
        <v>0.82964601769911517</v>
      </c>
      <c r="K1770">
        <v>1.5E-3</v>
      </c>
      <c r="L1770" t="s">
        <v>17</v>
      </c>
      <c r="M1770">
        <v>296</v>
      </c>
      <c r="N1770" t="s">
        <v>553</v>
      </c>
    </row>
    <row r="1771" spans="1:14" ht="17" x14ac:dyDescent="0.25">
      <c r="A1771" t="s">
        <v>1099</v>
      </c>
      <c r="B1771" t="s">
        <v>32</v>
      </c>
      <c r="C1771" s="10">
        <v>10</v>
      </c>
      <c r="D1771">
        <v>3</v>
      </c>
      <c r="E1771">
        <v>8</v>
      </c>
      <c r="F1771">
        <v>11</v>
      </c>
      <c r="G1771">
        <v>3</v>
      </c>
      <c r="H1771">
        <v>9</v>
      </c>
      <c r="I1771">
        <v>0.20050000000000001</v>
      </c>
      <c r="J1771">
        <f t="shared" si="27"/>
        <v>0.79800498753117199</v>
      </c>
      <c r="K1771">
        <v>1.6000000000000001E-3</v>
      </c>
      <c r="L1771" t="s">
        <v>17</v>
      </c>
      <c r="M1771">
        <v>296</v>
      </c>
      <c r="N1771" t="s">
        <v>553</v>
      </c>
    </row>
    <row r="1772" spans="1:14" ht="17" x14ac:dyDescent="0.25">
      <c r="A1772" t="s">
        <v>1099</v>
      </c>
      <c r="B1772" t="s">
        <v>32</v>
      </c>
      <c r="C1772" s="10">
        <v>9</v>
      </c>
      <c r="D1772">
        <v>2</v>
      </c>
      <c r="E1772">
        <v>7</v>
      </c>
      <c r="F1772">
        <v>10</v>
      </c>
      <c r="G1772">
        <v>2</v>
      </c>
      <c r="H1772">
        <v>8</v>
      </c>
      <c r="I1772">
        <v>0.16320000000000001</v>
      </c>
      <c r="J1772">
        <f t="shared" si="27"/>
        <v>0.79656862745098034</v>
      </c>
      <c r="K1772">
        <v>1.2999999999999999E-3</v>
      </c>
      <c r="L1772" t="s">
        <v>17</v>
      </c>
      <c r="M1772">
        <v>296</v>
      </c>
      <c r="N1772" t="s">
        <v>553</v>
      </c>
    </row>
    <row r="1773" spans="1:14" ht="17" x14ac:dyDescent="0.25">
      <c r="A1773" t="s">
        <v>1099</v>
      </c>
      <c r="B1773" t="s">
        <v>32</v>
      </c>
      <c r="C1773" s="10">
        <v>9</v>
      </c>
      <c r="D1773">
        <v>3</v>
      </c>
      <c r="E1773">
        <v>6</v>
      </c>
      <c r="F1773">
        <v>10</v>
      </c>
      <c r="G1773">
        <v>3</v>
      </c>
      <c r="H1773">
        <v>7</v>
      </c>
      <c r="I1773">
        <v>0.1832</v>
      </c>
      <c r="J1773">
        <f t="shared" si="27"/>
        <v>0.76419213973799127</v>
      </c>
      <c r="K1773">
        <v>1.4E-3</v>
      </c>
      <c r="L1773" t="s">
        <v>17</v>
      </c>
      <c r="M1773">
        <v>296</v>
      </c>
      <c r="N1773" t="s">
        <v>553</v>
      </c>
    </row>
    <row r="1774" spans="1:14" ht="17" x14ac:dyDescent="0.25">
      <c r="A1774" t="s">
        <v>1099</v>
      </c>
      <c r="B1774" t="s">
        <v>32</v>
      </c>
      <c r="C1774" s="10">
        <v>14</v>
      </c>
      <c r="D1774">
        <v>13</v>
      </c>
      <c r="E1774">
        <v>2</v>
      </c>
      <c r="F1774">
        <v>14</v>
      </c>
      <c r="G1774">
        <v>13</v>
      </c>
      <c r="H1774">
        <v>1</v>
      </c>
      <c r="I1774">
        <v>0.15770000000000001</v>
      </c>
      <c r="J1774">
        <f t="shared" si="27"/>
        <v>1.0779961953075459</v>
      </c>
      <c r="K1774">
        <v>1.6999999999999999E-3</v>
      </c>
      <c r="L1774" t="s">
        <v>17</v>
      </c>
      <c r="M1774">
        <v>296</v>
      </c>
      <c r="N1774" t="s">
        <v>553</v>
      </c>
    </row>
    <row r="1775" spans="1:14" ht="17" x14ac:dyDescent="0.25">
      <c r="A1775" t="s">
        <v>1099</v>
      </c>
      <c r="B1775" t="s">
        <v>32</v>
      </c>
      <c r="C1775" s="10">
        <v>8</v>
      </c>
      <c r="D1775">
        <v>8</v>
      </c>
      <c r="E1775">
        <v>1</v>
      </c>
      <c r="F1775">
        <v>8</v>
      </c>
      <c r="G1775">
        <v>8</v>
      </c>
      <c r="H1775">
        <v>0</v>
      </c>
      <c r="I1775">
        <v>0.16930000000000001</v>
      </c>
      <c r="J1775">
        <f t="shared" si="27"/>
        <v>0.88600118133490835</v>
      </c>
      <c r="K1775">
        <v>1.5E-3</v>
      </c>
      <c r="L1775" t="s">
        <v>17</v>
      </c>
      <c r="M1775">
        <v>296</v>
      </c>
      <c r="N1775" t="s">
        <v>553</v>
      </c>
    </row>
    <row r="1776" spans="1:14" ht="17" x14ac:dyDescent="0.25">
      <c r="A1776" t="s">
        <v>1099</v>
      </c>
      <c r="B1776" t="s">
        <v>32</v>
      </c>
      <c r="C1776" s="10">
        <v>4</v>
      </c>
      <c r="D1776">
        <v>4</v>
      </c>
      <c r="E1776">
        <v>1</v>
      </c>
      <c r="F1776">
        <v>4</v>
      </c>
      <c r="G1776">
        <v>4</v>
      </c>
      <c r="H1776">
        <v>0</v>
      </c>
      <c r="I1776">
        <v>0.14399999999999999</v>
      </c>
      <c r="J1776">
        <f t="shared" si="27"/>
        <v>1.1805555555555556</v>
      </c>
      <c r="K1776">
        <v>1.6999999999999999E-3</v>
      </c>
      <c r="L1776" t="s">
        <v>17</v>
      </c>
      <c r="M1776">
        <v>296</v>
      </c>
      <c r="N1776" t="s">
        <v>553</v>
      </c>
    </row>
    <row r="1777" spans="1:14" ht="17" x14ac:dyDescent="0.25">
      <c r="A1777" t="s">
        <v>1099</v>
      </c>
      <c r="B1777" t="s">
        <v>32</v>
      </c>
      <c r="C1777" s="10">
        <v>10</v>
      </c>
      <c r="D1777">
        <v>1</v>
      </c>
      <c r="E1777">
        <v>10</v>
      </c>
      <c r="F1777">
        <v>9</v>
      </c>
      <c r="G1777">
        <v>1</v>
      </c>
      <c r="H1777">
        <v>9</v>
      </c>
      <c r="I1777">
        <v>0.1666</v>
      </c>
      <c r="J1777">
        <f t="shared" si="27"/>
        <v>0.84033613445378152</v>
      </c>
      <c r="K1777">
        <v>1.4E-3</v>
      </c>
      <c r="L1777" t="s">
        <v>17</v>
      </c>
      <c r="M1777">
        <v>296</v>
      </c>
      <c r="N1777" t="s">
        <v>553</v>
      </c>
    </row>
    <row r="1778" spans="1:14" ht="17" x14ac:dyDescent="0.25">
      <c r="A1778" t="s">
        <v>1099</v>
      </c>
      <c r="B1778" t="s">
        <v>32</v>
      </c>
      <c r="C1778" s="10">
        <v>10</v>
      </c>
      <c r="D1778">
        <v>2</v>
      </c>
      <c r="E1778">
        <v>9</v>
      </c>
      <c r="F1778">
        <v>9</v>
      </c>
      <c r="G1778">
        <v>2</v>
      </c>
      <c r="H1778">
        <v>8</v>
      </c>
      <c r="I1778">
        <v>0.16139999999999999</v>
      </c>
      <c r="J1778">
        <f t="shared" si="27"/>
        <v>0.99132589838909557</v>
      </c>
      <c r="K1778">
        <v>1.6000000000000001E-3</v>
      </c>
      <c r="L1778" t="s">
        <v>17</v>
      </c>
      <c r="M1778">
        <v>296</v>
      </c>
      <c r="N1778" t="s">
        <v>553</v>
      </c>
    </row>
    <row r="1779" spans="1:14" ht="17" x14ac:dyDescent="0.25">
      <c r="A1779" t="s">
        <v>1099</v>
      </c>
      <c r="B1779" t="s">
        <v>32</v>
      </c>
      <c r="C1779" s="10">
        <v>11</v>
      </c>
      <c r="D1779">
        <v>4</v>
      </c>
      <c r="E1779">
        <v>7</v>
      </c>
      <c r="F1779">
        <v>10</v>
      </c>
      <c r="G1779">
        <v>4</v>
      </c>
      <c r="H1779">
        <v>6</v>
      </c>
      <c r="I1779">
        <v>0.15840000000000001</v>
      </c>
      <c r="J1779">
        <f t="shared" si="27"/>
        <v>1.0732323232323231</v>
      </c>
      <c r="K1779">
        <v>1.6999999999999999E-3</v>
      </c>
      <c r="L1779" t="s">
        <v>17</v>
      </c>
      <c r="M1779">
        <v>296</v>
      </c>
      <c r="N1779" t="s">
        <v>553</v>
      </c>
    </row>
    <row r="1780" spans="1:14" ht="17" x14ac:dyDescent="0.25">
      <c r="A1780" t="s">
        <v>1099</v>
      </c>
      <c r="B1780" t="s">
        <v>32</v>
      </c>
      <c r="C1780" s="10">
        <v>12</v>
      </c>
      <c r="D1780">
        <v>6</v>
      </c>
      <c r="E1780">
        <v>7</v>
      </c>
      <c r="F1780">
        <v>11</v>
      </c>
      <c r="G1780">
        <v>6</v>
      </c>
      <c r="H1780">
        <v>6</v>
      </c>
      <c r="I1780">
        <v>0.1825</v>
      </c>
      <c r="J1780">
        <f t="shared" si="27"/>
        <v>1.3150684931506849</v>
      </c>
      <c r="K1780">
        <v>2.3999999999999998E-3</v>
      </c>
      <c r="L1780" t="s">
        <v>17</v>
      </c>
      <c r="M1780">
        <v>296</v>
      </c>
      <c r="N1780" t="s">
        <v>553</v>
      </c>
    </row>
    <row r="1781" spans="1:14" ht="17" x14ac:dyDescent="0.25">
      <c r="A1781" t="s">
        <v>1099</v>
      </c>
      <c r="B1781" t="s">
        <v>32</v>
      </c>
      <c r="C1781" s="10">
        <v>14</v>
      </c>
      <c r="D1781">
        <v>3</v>
      </c>
      <c r="E1781">
        <v>12</v>
      </c>
      <c r="F1781">
        <v>13</v>
      </c>
      <c r="G1781">
        <v>3</v>
      </c>
      <c r="H1781">
        <v>11</v>
      </c>
      <c r="I1781">
        <v>0.22670000000000001</v>
      </c>
      <c r="J1781">
        <f t="shared" si="27"/>
        <v>1.1027790030877811</v>
      </c>
      <c r="K1781">
        <v>2.5000000000000001E-3</v>
      </c>
      <c r="L1781" t="s">
        <v>17</v>
      </c>
      <c r="M1781">
        <v>296</v>
      </c>
      <c r="N1781" t="s">
        <v>553</v>
      </c>
    </row>
    <row r="1782" spans="1:14" ht="17" x14ac:dyDescent="0.25">
      <c r="A1782" t="s">
        <v>1099</v>
      </c>
      <c r="B1782" t="s">
        <v>32</v>
      </c>
      <c r="C1782" s="10">
        <v>15</v>
      </c>
      <c r="D1782">
        <v>0</v>
      </c>
      <c r="E1782">
        <v>15</v>
      </c>
      <c r="F1782">
        <v>14</v>
      </c>
      <c r="G1782">
        <v>0</v>
      </c>
      <c r="H1782">
        <v>14</v>
      </c>
      <c r="I1782">
        <v>0.16689999999999999</v>
      </c>
      <c r="J1782">
        <f t="shared" si="27"/>
        <v>0.89874176153385255</v>
      </c>
      <c r="K1782">
        <v>1.5E-3</v>
      </c>
      <c r="L1782" t="s">
        <v>17</v>
      </c>
      <c r="M1782">
        <v>296</v>
      </c>
      <c r="N1782" t="s">
        <v>553</v>
      </c>
    </row>
    <row r="1783" spans="1:14" ht="17" x14ac:dyDescent="0.25">
      <c r="A1783" t="s">
        <v>1099</v>
      </c>
      <c r="B1783" t="s">
        <v>32</v>
      </c>
      <c r="C1783" s="10">
        <v>15</v>
      </c>
      <c r="D1783">
        <v>1</v>
      </c>
      <c r="E1783">
        <v>14</v>
      </c>
      <c r="F1783">
        <v>14</v>
      </c>
      <c r="G1783">
        <v>1</v>
      </c>
      <c r="H1783">
        <v>13</v>
      </c>
      <c r="I1783">
        <v>0.1946</v>
      </c>
      <c r="J1783">
        <f t="shared" si="27"/>
        <v>0.66803699897225077</v>
      </c>
      <c r="K1783">
        <v>1.2999999999999999E-3</v>
      </c>
      <c r="L1783" t="s">
        <v>17</v>
      </c>
      <c r="M1783">
        <v>296</v>
      </c>
      <c r="N1783" t="s">
        <v>553</v>
      </c>
    </row>
    <row r="1784" spans="1:14" ht="17" x14ac:dyDescent="0.25">
      <c r="A1784" t="s">
        <v>1099</v>
      </c>
      <c r="B1784" t="s">
        <v>32</v>
      </c>
      <c r="C1784" s="10">
        <v>15</v>
      </c>
      <c r="D1784">
        <v>2</v>
      </c>
      <c r="E1784">
        <v>13</v>
      </c>
      <c r="F1784">
        <v>14</v>
      </c>
      <c r="G1784">
        <v>2</v>
      </c>
      <c r="H1784">
        <v>12</v>
      </c>
      <c r="I1784">
        <v>0.1797</v>
      </c>
      <c r="J1784">
        <f t="shared" si="27"/>
        <v>0.89037284362826941</v>
      </c>
      <c r="K1784">
        <v>1.6000000000000001E-3</v>
      </c>
      <c r="L1784" t="s">
        <v>17</v>
      </c>
      <c r="M1784">
        <v>296</v>
      </c>
      <c r="N1784" t="s">
        <v>553</v>
      </c>
    </row>
    <row r="1785" spans="1:14" ht="17" x14ac:dyDescent="0.25">
      <c r="A1785" t="s">
        <v>1099</v>
      </c>
      <c r="B1785" t="s">
        <v>32</v>
      </c>
      <c r="C1785" s="10">
        <v>17</v>
      </c>
      <c r="D1785">
        <v>0</v>
      </c>
      <c r="E1785">
        <v>17</v>
      </c>
      <c r="F1785">
        <v>16</v>
      </c>
      <c r="G1785">
        <v>0</v>
      </c>
      <c r="H1785">
        <v>16</v>
      </c>
      <c r="I1785">
        <v>0.16120000000000001</v>
      </c>
      <c r="J1785">
        <f t="shared" si="27"/>
        <v>0.6203473945409429</v>
      </c>
      <c r="K1785">
        <v>1E-3</v>
      </c>
      <c r="L1785" t="s">
        <v>17</v>
      </c>
      <c r="M1785">
        <v>296</v>
      </c>
      <c r="N1785" t="s">
        <v>553</v>
      </c>
    </row>
    <row r="1786" spans="1:14" ht="17" x14ac:dyDescent="0.25">
      <c r="A1786" t="s">
        <v>1099</v>
      </c>
      <c r="B1786" t="s">
        <v>32</v>
      </c>
      <c r="C1786" s="10">
        <v>17</v>
      </c>
      <c r="D1786">
        <v>4</v>
      </c>
      <c r="E1786">
        <v>13</v>
      </c>
      <c r="F1786">
        <v>16</v>
      </c>
      <c r="G1786">
        <v>4</v>
      </c>
      <c r="H1786">
        <v>12</v>
      </c>
      <c r="I1786">
        <v>0.17130000000000001</v>
      </c>
      <c r="J1786">
        <f t="shared" si="27"/>
        <v>1.0507880910683012</v>
      </c>
      <c r="K1786">
        <v>1.8E-3</v>
      </c>
      <c r="L1786" t="s">
        <v>17</v>
      </c>
      <c r="M1786">
        <v>296</v>
      </c>
      <c r="N1786" t="s">
        <v>553</v>
      </c>
    </row>
    <row r="1787" spans="1:14" ht="17" x14ac:dyDescent="0.25">
      <c r="A1787" t="s">
        <v>1099</v>
      </c>
      <c r="B1787" t="s">
        <v>32</v>
      </c>
      <c r="C1787" s="10">
        <v>18</v>
      </c>
      <c r="D1787">
        <v>1</v>
      </c>
      <c r="E1787">
        <v>18</v>
      </c>
      <c r="F1787">
        <v>17</v>
      </c>
      <c r="G1787">
        <v>1</v>
      </c>
      <c r="H1787">
        <v>17</v>
      </c>
      <c r="I1787">
        <v>0.16819999999999999</v>
      </c>
      <c r="J1787">
        <f t="shared" si="27"/>
        <v>0.83234244946492275</v>
      </c>
      <c r="K1787">
        <v>1.4E-3</v>
      </c>
      <c r="L1787" t="s">
        <v>17</v>
      </c>
      <c r="M1787">
        <v>296</v>
      </c>
      <c r="N1787" t="s">
        <v>553</v>
      </c>
    </row>
    <row r="1788" spans="1:14" ht="17" x14ac:dyDescent="0.25">
      <c r="A1788" t="s">
        <v>1099</v>
      </c>
      <c r="B1788" t="s">
        <v>32</v>
      </c>
      <c r="C1788" s="10">
        <v>19</v>
      </c>
      <c r="D1788">
        <v>0</v>
      </c>
      <c r="E1788">
        <v>19</v>
      </c>
      <c r="F1788">
        <v>18</v>
      </c>
      <c r="G1788">
        <v>0</v>
      </c>
      <c r="H1788">
        <v>18</v>
      </c>
      <c r="I1788">
        <v>0.16</v>
      </c>
      <c r="J1788">
        <f t="shared" si="27"/>
        <v>1</v>
      </c>
      <c r="K1788">
        <v>1.6000000000000001E-3</v>
      </c>
      <c r="L1788" t="s">
        <v>17</v>
      </c>
      <c r="M1788">
        <v>296</v>
      </c>
      <c r="N1788" t="s">
        <v>553</v>
      </c>
    </row>
    <row r="1789" spans="1:14" ht="17" x14ac:dyDescent="0.25">
      <c r="A1789" t="s">
        <v>1099</v>
      </c>
      <c r="B1789" t="s">
        <v>32</v>
      </c>
      <c r="C1789" s="10">
        <v>22</v>
      </c>
      <c r="D1789">
        <v>1</v>
      </c>
      <c r="E1789">
        <v>22</v>
      </c>
      <c r="F1789">
        <v>21</v>
      </c>
      <c r="G1789">
        <v>1</v>
      </c>
      <c r="H1789">
        <v>21</v>
      </c>
      <c r="I1789">
        <v>0.14710000000000001</v>
      </c>
      <c r="J1789">
        <f t="shared" ref="J1789:J1793" si="28">K1789/I1789*100</f>
        <v>1.1556764106050306</v>
      </c>
      <c r="K1789">
        <v>1.6999999999999999E-3</v>
      </c>
      <c r="L1789" t="s">
        <v>17</v>
      </c>
      <c r="M1789">
        <v>296</v>
      </c>
      <c r="N1789" t="s">
        <v>553</v>
      </c>
    </row>
    <row r="1790" spans="1:14" ht="17" x14ac:dyDescent="0.25">
      <c r="A1790" t="s">
        <v>1099</v>
      </c>
      <c r="B1790" t="s">
        <v>32</v>
      </c>
      <c r="C1790" s="10">
        <v>23</v>
      </c>
      <c r="D1790">
        <v>0</v>
      </c>
      <c r="E1790">
        <v>23</v>
      </c>
      <c r="F1790">
        <v>22</v>
      </c>
      <c r="G1790">
        <v>0</v>
      </c>
      <c r="H1790">
        <v>22</v>
      </c>
      <c r="I1790">
        <v>0.14130000000000001</v>
      </c>
      <c r="J1790">
        <f t="shared" si="28"/>
        <v>1.3446567586694975</v>
      </c>
      <c r="K1790">
        <v>1.9E-3</v>
      </c>
      <c r="L1790" t="s">
        <v>17</v>
      </c>
      <c r="M1790">
        <v>296</v>
      </c>
      <c r="N1790" t="s">
        <v>553</v>
      </c>
    </row>
    <row r="1791" spans="1:14" ht="17" x14ac:dyDescent="0.25">
      <c r="A1791" t="s">
        <v>1099</v>
      </c>
      <c r="B1791" t="s">
        <v>32</v>
      </c>
      <c r="C1791" s="10">
        <v>22</v>
      </c>
      <c r="D1791">
        <v>3</v>
      </c>
      <c r="E1791">
        <v>20</v>
      </c>
      <c r="F1791">
        <v>21</v>
      </c>
      <c r="G1791">
        <v>3</v>
      </c>
      <c r="H1791">
        <v>19</v>
      </c>
      <c r="I1791">
        <v>0.1686</v>
      </c>
      <c r="J1791">
        <f t="shared" si="28"/>
        <v>1.3641755634638197</v>
      </c>
      <c r="K1791">
        <v>2.3E-3</v>
      </c>
      <c r="L1791" t="s">
        <v>17</v>
      </c>
      <c r="M1791">
        <v>296</v>
      </c>
      <c r="N1791" t="s">
        <v>553</v>
      </c>
    </row>
    <row r="1792" spans="1:14" ht="17" x14ac:dyDescent="0.25">
      <c r="A1792" t="s">
        <v>1099</v>
      </c>
      <c r="B1792" t="s">
        <v>32</v>
      </c>
      <c r="C1792" s="10">
        <v>25</v>
      </c>
      <c r="D1792">
        <v>2</v>
      </c>
      <c r="E1792">
        <v>23</v>
      </c>
      <c r="F1792">
        <v>24</v>
      </c>
      <c r="G1792">
        <v>2</v>
      </c>
      <c r="H1792">
        <v>22</v>
      </c>
      <c r="I1792">
        <v>0.1779</v>
      </c>
      <c r="J1792">
        <f t="shared" si="28"/>
        <v>0.95559302979201788</v>
      </c>
      <c r="K1792">
        <v>1.6999999999999999E-3</v>
      </c>
      <c r="L1792" t="s">
        <v>17</v>
      </c>
      <c r="M1792">
        <v>296</v>
      </c>
      <c r="N1792" t="s">
        <v>553</v>
      </c>
    </row>
    <row r="1793" spans="1:14" ht="17" x14ac:dyDescent="0.25">
      <c r="A1793" t="s">
        <v>1099</v>
      </c>
      <c r="B1793" t="s">
        <v>32</v>
      </c>
      <c r="C1793" s="10">
        <v>25</v>
      </c>
      <c r="D1793">
        <v>3</v>
      </c>
      <c r="E1793">
        <v>22</v>
      </c>
      <c r="F1793">
        <v>24</v>
      </c>
      <c r="G1793">
        <v>3</v>
      </c>
      <c r="H1793">
        <v>21</v>
      </c>
      <c r="I1793">
        <v>0.17330000000000001</v>
      </c>
      <c r="J1793">
        <f t="shared" si="28"/>
        <v>0.86555106751298316</v>
      </c>
      <c r="K1793">
        <v>1.5E-3</v>
      </c>
      <c r="L1793" t="s">
        <v>17</v>
      </c>
      <c r="M1793">
        <v>296</v>
      </c>
      <c r="N1793" t="s">
        <v>553</v>
      </c>
    </row>
  </sheetData>
  <phoneticPr fontId="2"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F23D2-987A-2D43-8A9D-EAD873D34EEB}">
  <dimension ref="A1:O97"/>
  <sheetViews>
    <sheetView workbookViewId="0">
      <selection activeCell="L90" sqref="L90"/>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376</v>
      </c>
      <c r="C2">
        <v>1</v>
      </c>
      <c r="D2">
        <v>0</v>
      </c>
      <c r="E2">
        <v>1</v>
      </c>
      <c r="F2">
        <v>0</v>
      </c>
      <c r="G2">
        <v>0</v>
      </c>
      <c r="H2">
        <v>0</v>
      </c>
      <c r="I2">
        <v>6.08E-2</v>
      </c>
      <c r="J2">
        <f>K2/I2*100</f>
        <v>0.65789473684210531</v>
      </c>
      <c r="K2">
        <v>4.0000000000000002E-4</v>
      </c>
      <c r="L2" t="s">
        <v>17</v>
      </c>
      <c r="M2">
        <v>296</v>
      </c>
      <c r="N2" t="s">
        <v>1097</v>
      </c>
      <c r="O2" t="s">
        <v>1108</v>
      </c>
    </row>
    <row r="3" spans="1:15" x14ac:dyDescent="0.2">
      <c r="A3" t="s">
        <v>190</v>
      </c>
      <c r="B3" t="s">
        <v>376</v>
      </c>
      <c r="C3">
        <v>0</v>
      </c>
      <c r="D3">
        <v>0</v>
      </c>
      <c r="E3">
        <v>0</v>
      </c>
      <c r="F3">
        <v>1</v>
      </c>
      <c r="G3">
        <v>0</v>
      </c>
      <c r="H3">
        <v>1</v>
      </c>
      <c r="I3">
        <v>5.8000000000000003E-2</v>
      </c>
      <c r="J3">
        <f t="shared" ref="J3:J66" si="0">K3/I3*100</f>
        <v>0.68965517241379315</v>
      </c>
      <c r="K3">
        <v>4.0000000000000002E-4</v>
      </c>
      <c r="L3" t="s">
        <v>17</v>
      </c>
      <c r="M3">
        <v>296</v>
      </c>
      <c r="N3" t="s">
        <v>1097</v>
      </c>
      <c r="O3" t="s">
        <v>1109</v>
      </c>
    </row>
    <row r="4" spans="1:15" x14ac:dyDescent="0.2">
      <c r="A4" t="s">
        <v>190</v>
      </c>
      <c r="B4" t="s">
        <v>376</v>
      </c>
      <c r="C4">
        <v>2</v>
      </c>
      <c r="D4">
        <v>1</v>
      </c>
      <c r="E4">
        <v>2</v>
      </c>
      <c r="F4">
        <v>1</v>
      </c>
      <c r="G4">
        <v>1</v>
      </c>
      <c r="H4">
        <v>1</v>
      </c>
      <c r="I4">
        <v>5.6599999999999998E-2</v>
      </c>
      <c r="J4">
        <f t="shared" si="0"/>
        <v>0.70671378091872794</v>
      </c>
      <c r="K4">
        <v>4.0000000000000002E-4</v>
      </c>
      <c r="L4" t="s">
        <v>17</v>
      </c>
      <c r="M4">
        <v>296</v>
      </c>
      <c r="N4" t="s">
        <v>1097</v>
      </c>
      <c r="O4" t="s">
        <v>1110</v>
      </c>
    </row>
    <row r="5" spans="1:15" x14ac:dyDescent="0.2">
      <c r="A5" t="s">
        <v>190</v>
      </c>
      <c r="B5" t="s">
        <v>376</v>
      </c>
      <c r="C5">
        <v>2</v>
      </c>
      <c r="D5">
        <v>1</v>
      </c>
      <c r="E5">
        <v>1</v>
      </c>
      <c r="F5">
        <v>1</v>
      </c>
      <c r="G5">
        <v>1</v>
      </c>
      <c r="H5">
        <v>0</v>
      </c>
      <c r="I5">
        <v>5.7099999999999998E-2</v>
      </c>
      <c r="J5">
        <f t="shared" si="0"/>
        <v>0.87565674255691772</v>
      </c>
      <c r="K5">
        <v>5.0000000000000001E-4</v>
      </c>
      <c r="L5" t="s">
        <v>17</v>
      </c>
      <c r="M5">
        <v>296</v>
      </c>
      <c r="N5" t="s">
        <v>1097</v>
      </c>
      <c r="O5" t="s">
        <v>1111</v>
      </c>
    </row>
    <row r="6" spans="1:15" x14ac:dyDescent="0.2">
      <c r="A6" t="s">
        <v>190</v>
      </c>
      <c r="B6" t="s">
        <v>376</v>
      </c>
      <c r="C6">
        <v>1</v>
      </c>
      <c r="D6">
        <v>0</v>
      </c>
      <c r="E6">
        <v>1</v>
      </c>
      <c r="F6">
        <v>2</v>
      </c>
      <c r="G6">
        <v>0</v>
      </c>
      <c r="H6">
        <v>2</v>
      </c>
      <c r="I6">
        <v>6.4100000000000004E-2</v>
      </c>
      <c r="J6">
        <f t="shared" si="0"/>
        <v>0.62402496099843996</v>
      </c>
      <c r="K6">
        <v>4.0000000000000002E-4</v>
      </c>
      <c r="L6" t="s">
        <v>17</v>
      </c>
      <c r="M6">
        <v>296</v>
      </c>
      <c r="N6" t="s">
        <v>1097</v>
      </c>
      <c r="O6" t="s">
        <v>1112</v>
      </c>
    </row>
    <row r="7" spans="1:15" x14ac:dyDescent="0.2">
      <c r="A7" t="s">
        <v>190</v>
      </c>
      <c r="B7" t="s">
        <v>376</v>
      </c>
      <c r="C7">
        <v>3</v>
      </c>
      <c r="D7">
        <v>0</v>
      </c>
      <c r="E7">
        <v>3</v>
      </c>
      <c r="F7">
        <v>2</v>
      </c>
      <c r="G7">
        <v>0</v>
      </c>
      <c r="H7">
        <v>2</v>
      </c>
      <c r="I7">
        <v>5.4699999999999999E-2</v>
      </c>
      <c r="J7">
        <f t="shared" si="0"/>
        <v>0.91407678244972579</v>
      </c>
      <c r="K7">
        <v>5.0000000000000001E-4</v>
      </c>
      <c r="L7" t="s">
        <v>17</v>
      </c>
      <c r="M7">
        <v>296</v>
      </c>
      <c r="N7" t="s">
        <v>1097</v>
      </c>
      <c r="O7" t="s">
        <v>1113</v>
      </c>
    </row>
    <row r="8" spans="1:15" x14ac:dyDescent="0.2">
      <c r="A8" t="s">
        <v>190</v>
      </c>
      <c r="B8" t="s">
        <v>376</v>
      </c>
      <c r="C8">
        <v>1</v>
      </c>
      <c r="D8">
        <v>1</v>
      </c>
      <c r="E8">
        <v>1</v>
      </c>
      <c r="F8">
        <v>2</v>
      </c>
      <c r="G8">
        <v>1</v>
      </c>
      <c r="H8">
        <v>2</v>
      </c>
      <c r="I8">
        <v>6.2100000000000002E-2</v>
      </c>
      <c r="J8">
        <f t="shared" si="0"/>
        <v>0.80515297906602246</v>
      </c>
      <c r="K8">
        <v>5.0000000000000001E-4</v>
      </c>
      <c r="L8" t="s">
        <v>17</v>
      </c>
      <c r="M8">
        <v>296</v>
      </c>
      <c r="N8" t="s">
        <v>1097</v>
      </c>
      <c r="O8" t="s">
        <v>1114</v>
      </c>
    </row>
    <row r="9" spans="1:15" x14ac:dyDescent="0.2">
      <c r="A9" t="s">
        <v>190</v>
      </c>
      <c r="B9" t="s">
        <v>376</v>
      </c>
      <c r="C9">
        <v>2</v>
      </c>
      <c r="D9">
        <v>1</v>
      </c>
      <c r="E9">
        <v>1</v>
      </c>
      <c r="F9">
        <v>2</v>
      </c>
      <c r="G9">
        <v>1</v>
      </c>
      <c r="H9">
        <v>2</v>
      </c>
      <c r="I9">
        <v>6.0199999999999997E-2</v>
      </c>
      <c r="J9">
        <f t="shared" si="0"/>
        <v>0.66445182724252505</v>
      </c>
      <c r="K9">
        <v>4.0000000000000002E-4</v>
      </c>
      <c r="L9" t="s">
        <v>17</v>
      </c>
      <c r="M9">
        <v>296</v>
      </c>
      <c r="N9" t="s">
        <v>1097</v>
      </c>
      <c r="O9" t="s">
        <v>1115</v>
      </c>
    </row>
    <row r="10" spans="1:15" x14ac:dyDescent="0.2">
      <c r="A10" t="s">
        <v>190</v>
      </c>
      <c r="B10" t="s">
        <v>376</v>
      </c>
      <c r="C10">
        <v>1</v>
      </c>
      <c r="D10">
        <v>1</v>
      </c>
      <c r="E10">
        <v>0</v>
      </c>
      <c r="F10">
        <v>2</v>
      </c>
      <c r="G10">
        <v>1</v>
      </c>
      <c r="H10">
        <v>1</v>
      </c>
      <c r="I10">
        <v>5.8799999999999998E-2</v>
      </c>
      <c r="J10">
        <f t="shared" si="0"/>
        <v>0.6802721088435375</v>
      </c>
      <c r="K10">
        <v>4.0000000000000002E-4</v>
      </c>
      <c r="L10" t="s">
        <v>17</v>
      </c>
      <c r="M10">
        <v>296</v>
      </c>
      <c r="N10" t="s">
        <v>1097</v>
      </c>
      <c r="O10" t="s">
        <v>1116</v>
      </c>
    </row>
    <row r="11" spans="1:15" x14ac:dyDescent="0.2">
      <c r="A11" t="s">
        <v>190</v>
      </c>
      <c r="B11" t="s">
        <v>376</v>
      </c>
      <c r="C11">
        <v>2</v>
      </c>
      <c r="D11">
        <v>1</v>
      </c>
      <c r="E11">
        <v>2</v>
      </c>
      <c r="F11">
        <v>2</v>
      </c>
      <c r="G11">
        <v>1</v>
      </c>
      <c r="H11">
        <v>1</v>
      </c>
      <c r="I11">
        <v>6.3299999999999995E-2</v>
      </c>
      <c r="J11">
        <f t="shared" si="0"/>
        <v>0.63191153238546616</v>
      </c>
      <c r="K11">
        <v>4.0000000000000002E-4</v>
      </c>
      <c r="L11" t="s">
        <v>17</v>
      </c>
      <c r="M11">
        <v>296</v>
      </c>
      <c r="N11" t="s">
        <v>1097</v>
      </c>
      <c r="O11" t="s">
        <v>1117</v>
      </c>
    </row>
    <row r="12" spans="1:15" x14ac:dyDescent="0.2">
      <c r="A12" t="s">
        <v>190</v>
      </c>
      <c r="B12" t="s">
        <v>376</v>
      </c>
      <c r="C12">
        <v>3</v>
      </c>
      <c r="D12">
        <v>1</v>
      </c>
      <c r="E12">
        <v>2</v>
      </c>
      <c r="F12">
        <v>2</v>
      </c>
      <c r="G12">
        <v>1</v>
      </c>
      <c r="H12">
        <v>1</v>
      </c>
      <c r="I12">
        <v>5.6000000000000001E-2</v>
      </c>
      <c r="J12">
        <f t="shared" si="0"/>
        <v>0.7142857142857143</v>
      </c>
      <c r="K12">
        <v>4.0000000000000002E-4</v>
      </c>
      <c r="L12" t="s">
        <v>17</v>
      </c>
      <c r="M12">
        <v>296</v>
      </c>
      <c r="N12" t="s">
        <v>1097</v>
      </c>
      <c r="O12" t="s">
        <v>1118</v>
      </c>
    </row>
    <row r="13" spans="1:15" x14ac:dyDescent="0.2">
      <c r="A13" t="s">
        <v>190</v>
      </c>
      <c r="B13" t="s">
        <v>376</v>
      </c>
      <c r="C13">
        <v>3</v>
      </c>
      <c r="D13">
        <v>2</v>
      </c>
      <c r="E13">
        <v>2</v>
      </c>
      <c r="F13">
        <v>2</v>
      </c>
      <c r="G13">
        <v>2</v>
      </c>
      <c r="H13">
        <v>1</v>
      </c>
      <c r="I13">
        <v>5.21E-2</v>
      </c>
      <c r="J13">
        <f t="shared" si="0"/>
        <v>0.95969289827255289</v>
      </c>
      <c r="K13">
        <v>5.0000000000000001E-4</v>
      </c>
      <c r="L13" t="s">
        <v>17</v>
      </c>
      <c r="M13">
        <v>296</v>
      </c>
      <c r="N13" t="s">
        <v>1097</v>
      </c>
      <c r="O13" t="s">
        <v>1119</v>
      </c>
    </row>
    <row r="14" spans="1:15" x14ac:dyDescent="0.2">
      <c r="A14" t="s">
        <v>190</v>
      </c>
      <c r="B14" t="s">
        <v>376</v>
      </c>
      <c r="C14">
        <v>2</v>
      </c>
      <c r="D14">
        <v>2</v>
      </c>
      <c r="E14">
        <v>1</v>
      </c>
      <c r="F14">
        <v>2</v>
      </c>
      <c r="G14">
        <v>2</v>
      </c>
      <c r="H14">
        <v>0</v>
      </c>
      <c r="I14">
        <v>5.4600000000000003E-2</v>
      </c>
      <c r="J14">
        <f t="shared" si="0"/>
        <v>0.54945054945054939</v>
      </c>
      <c r="K14">
        <v>2.9999999999999997E-4</v>
      </c>
      <c r="L14" t="s">
        <v>17</v>
      </c>
      <c r="M14">
        <v>296</v>
      </c>
      <c r="N14" t="s">
        <v>1097</v>
      </c>
      <c r="O14" t="s">
        <v>1120</v>
      </c>
    </row>
    <row r="15" spans="1:15" x14ac:dyDescent="0.2">
      <c r="A15" t="s">
        <v>190</v>
      </c>
      <c r="B15" t="s">
        <v>376</v>
      </c>
      <c r="C15">
        <v>3</v>
      </c>
      <c r="D15">
        <v>2</v>
      </c>
      <c r="E15">
        <v>1</v>
      </c>
      <c r="F15">
        <v>2</v>
      </c>
      <c r="G15">
        <v>2</v>
      </c>
      <c r="H15">
        <v>0</v>
      </c>
      <c r="I15">
        <v>5.2299999999999999E-2</v>
      </c>
      <c r="J15">
        <f t="shared" si="0"/>
        <v>0.57361376673040143</v>
      </c>
      <c r="K15">
        <v>2.9999999999999997E-4</v>
      </c>
      <c r="L15" t="s">
        <v>17</v>
      </c>
      <c r="M15">
        <v>296</v>
      </c>
      <c r="N15" t="s">
        <v>1097</v>
      </c>
      <c r="O15" t="s">
        <v>1121</v>
      </c>
    </row>
    <row r="16" spans="1:15" x14ac:dyDescent="0.2">
      <c r="A16" t="s">
        <v>190</v>
      </c>
      <c r="B16" t="s">
        <v>376</v>
      </c>
      <c r="C16">
        <v>2</v>
      </c>
      <c r="D16">
        <v>1</v>
      </c>
      <c r="E16">
        <v>2</v>
      </c>
      <c r="F16">
        <v>3</v>
      </c>
      <c r="G16">
        <v>1</v>
      </c>
      <c r="H16">
        <v>3</v>
      </c>
      <c r="I16">
        <v>5.8599999999999999E-2</v>
      </c>
      <c r="J16">
        <f t="shared" si="0"/>
        <v>0.51194539249146753</v>
      </c>
      <c r="K16">
        <v>2.9999999999999997E-4</v>
      </c>
      <c r="L16" t="s">
        <v>17</v>
      </c>
      <c r="M16">
        <v>296</v>
      </c>
      <c r="N16" t="s">
        <v>1097</v>
      </c>
      <c r="O16" t="s">
        <v>1122</v>
      </c>
    </row>
    <row r="17" spans="1:15" x14ac:dyDescent="0.2">
      <c r="A17" t="s">
        <v>190</v>
      </c>
      <c r="B17" t="s">
        <v>376</v>
      </c>
      <c r="C17">
        <v>3</v>
      </c>
      <c r="D17">
        <v>1</v>
      </c>
      <c r="E17">
        <v>2</v>
      </c>
      <c r="F17">
        <v>3</v>
      </c>
      <c r="G17">
        <v>1</v>
      </c>
      <c r="H17">
        <v>3</v>
      </c>
      <c r="I17">
        <v>5.9499999999999997E-2</v>
      </c>
      <c r="J17">
        <f t="shared" si="0"/>
        <v>0.50420168067226889</v>
      </c>
      <c r="K17">
        <v>2.9999999999999997E-4</v>
      </c>
      <c r="L17" t="s">
        <v>17</v>
      </c>
      <c r="M17">
        <v>296</v>
      </c>
      <c r="N17" t="s">
        <v>1097</v>
      </c>
      <c r="O17" t="s">
        <v>1123</v>
      </c>
    </row>
    <row r="18" spans="1:15" x14ac:dyDescent="0.2">
      <c r="A18" t="s">
        <v>190</v>
      </c>
      <c r="B18" t="s">
        <v>376</v>
      </c>
      <c r="C18">
        <v>4</v>
      </c>
      <c r="D18">
        <v>1</v>
      </c>
      <c r="E18">
        <v>4</v>
      </c>
      <c r="F18">
        <v>3</v>
      </c>
      <c r="G18">
        <v>1</v>
      </c>
      <c r="H18">
        <v>3</v>
      </c>
      <c r="I18">
        <v>5.2499999999999998E-2</v>
      </c>
      <c r="J18">
        <f t="shared" si="0"/>
        <v>0.5714285714285714</v>
      </c>
      <c r="K18">
        <v>2.9999999999999997E-4</v>
      </c>
      <c r="L18" t="s">
        <v>17</v>
      </c>
      <c r="M18">
        <v>296</v>
      </c>
      <c r="N18" t="s">
        <v>1097</v>
      </c>
      <c r="O18" t="s">
        <v>1124</v>
      </c>
    </row>
    <row r="19" spans="1:15" x14ac:dyDescent="0.2">
      <c r="A19" t="s">
        <v>190</v>
      </c>
      <c r="B19" t="s">
        <v>376</v>
      </c>
      <c r="C19">
        <v>2</v>
      </c>
      <c r="D19">
        <v>1</v>
      </c>
      <c r="E19">
        <v>1</v>
      </c>
      <c r="F19">
        <v>3</v>
      </c>
      <c r="G19">
        <v>1</v>
      </c>
      <c r="H19">
        <v>2</v>
      </c>
      <c r="I19">
        <v>5.1900000000000002E-2</v>
      </c>
      <c r="J19">
        <f t="shared" si="0"/>
        <v>0.77071290944123316</v>
      </c>
      <c r="K19">
        <v>4.0000000000000002E-4</v>
      </c>
      <c r="L19" t="s">
        <v>17</v>
      </c>
      <c r="M19">
        <v>296</v>
      </c>
      <c r="N19" t="s">
        <v>1097</v>
      </c>
      <c r="O19" t="s">
        <v>1125</v>
      </c>
    </row>
    <row r="20" spans="1:15" x14ac:dyDescent="0.2">
      <c r="A20" t="s">
        <v>190</v>
      </c>
      <c r="B20" t="s">
        <v>376</v>
      </c>
      <c r="C20">
        <v>3</v>
      </c>
      <c r="D20">
        <v>1</v>
      </c>
      <c r="E20">
        <v>3</v>
      </c>
      <c r="F20">
        <v>3</v>
      </c>
      <c r="G20">
        <v>1</v>
      </c>
      <c r="H20">
        <v>2</v>
      </c>
      <c r="I20">
        <v>6.2199999999999998E-2</v>
      </c>
      <c r="J20">
        <f t="shared" si="0"/>
        <v>0.64308681672025736</v>
      </c>
      <c r="K20">
        <v>4.0000000000000002E-4</v>
      </c>
      <c r="L20" t="s">
        <v>17</v>
      </c>
      <c r="M20">
        <v>296</v>
      </c>
      <c r="N20" t="s">
        <v>1097</v>
      </c>
      <c r="O20" t="s">
        <v>1126</v>
      </c>
    </row>
    <row r="21" spans="1:15" x14ac:dyDescent="0.2">
      <c r="A21" t="s">
        <v>190</v>
      </c>
      <c r="B21" t="s">
        <v>376</v>
      </c>
      <c r="C21">
        <v>4</v>
      </c>
      <c r="D21">
        <v>3</v>
      </c>
      <c r="E21">
        <v>1</v>
      </c>
      <c r="F21">
        <v>3</v>
      </c>
      <c r="G21">
        <v>1</v>
      </c>
      <c r="H21">
        <v>2</v>
      </c>
      <c r="I21">
        <v>5.04E-2</v>
      </c>
      <c r="J21">
        <f t="shared" si="0"/>
        <v>0.59523809523809523</v>
      </c>
      <c r="K21">
        <v>2.9999999999999997E-4</v>
      </c>
      <c r="L21" t="s">
        <v>17</v>
      </c>
      <c r="M21">
        <v>296</v>
      </c>
      <c r="N21" t="s">
        <v>1097</v>
      </c>
      <c r="O21" t="s">
        <v>1127</v>
      </c>
    </row>
    <row r="22" spans="1:15" x14ac:dyDescent="0.2">
      <c r="A22" t="s">
        <v>190</v>
      </c>
      <c r="B22" t="s">
        <v>376</v>
      </c>
      <c r="C22">
        <v>3</v>
      </c>
      <c r="D22">
        <v>2</v>
      </c>
      <c r="E22">
        <v>1</v>
      </c>
      <c r="F22">
        <v>3</v>
      </c>
      <c r="G22">
        <v>2</v>
      </c>
      <c r="H22">
        <v>2</v>
      </c>
      <c r="I22">
        <v>5.1499999999999997E-2</v>
      </c>
      <c r="J22">
        <f t="shared" si="0"/>
        <v>0.58252427184466016</v>
      </c>
      <c r="K22">
        <v>2.9999999999999997E-4</v>
      </c>
      <c r="L22" t="s">
        <v>17</v>
      </c>
      <c r="M22">
        <v>296</v>
      </c>
      <c r="N22" t="s">
        <v>1097</v>
      </c>
      <c r="O22" t="s">
        <v>1128</v>
      </c>
    </row>
    <row r="23" spans="1:15" x14ac:dyDescent="0.2">
      <c r="A23" t="s">
        <v>190</v>
      </c>
      <c r="B23" t="s">
        <v>376</v>
      </c>
      <c r="C23">
        <v>4</v>
      </c>
      <c r="D23">
        <v>2</v>
      </c>
      <c r="E23">
        <v>3</v>
      </c>
      <c r="F23">
        <v>3</v>
      </c>
      <c r="G23">
        <v>2</v>
      </c>
      <c r="H23">
        <v>2</v>
      </c>
      <c r="I23">
        <v>5.2299999999999999E-2</v>
      </c>
      <c r="J23">
        <f t="shared" si="0"/>
        <v>0.76481835564053546</v>
      </c>
      <c r="K23">
        <v>4.0000000000000002E-4</v>
      </c>
      <c r="L23" t="s">
        <v>17</v>
      </c>
      <c r="M23">
        <v>296</v>
      </c>
      <c r="N23" t="s">
        <v>1097</v>
      </c>
      <c r="O23" t="s">
        <v>1129</v>
      </c>
    </row>
    <row r="24" spans="1:15" x14ac:dyDescent="0.2">
      <c r="A24" t="s">
        <v>190</v>
      </c>
      <c r="B24" t="s">
        <v>376</v>
      </c>
      <c r="C24">
        <v>2</v>
      </c>
      <c r="D24">
        <v>2</v>
      </c>
      <c r="E24">
        <v>0</v>
      </c>
      <c r="F24">
        <v>3</v>
      </c>
      <c r="G24">
        <v>2</v>
      </c>
      <c r="H24">
        <v>1</v>
      </c>
      <c r="I24">
        <v>5.04E-2</v>
      </c>
      <c r="J24">
        <f t="shared" si="0"/>
        <v>0.79365079365079361</v>
      </c>
      <c r="K24">
        <v>4.0000000000000002E-4</v>
      </c>
      <c r="L24" t="s">
        <v>17</v>
      </c>
      <c r="M24">
        <v>296</v>
      </c>
      <c r="N24" t="s">
        <v>1097</v>
      </c>
      <c r="O24" t="s">
        <v>1130</v>
      </c>
    </row>
    <row r="25" spans="1:15" x14ac:dyDescent="0.2">
      <c r="A25" t="s">
        <v>190</v>
      </c>
      <c r="B25" t="s">
        <v>376</v>
      </c>
      <c r="C25">
        <v>3</v>
      </c>
      <c r="D25">
        <v>0</v>
      </c>
      <c r="E25">
        <v>3</v>
      </c>
      <c r="F25">
        <v>4</v>
      </c>
      <c r="G25">
        <v>0</v>
      </c>
      <c r="H25">
        <v>4</v>
      </c>
      <c r="I25">
        <v>5.7599999999999998E-2</v>
      </c>
      <c r="J25">
        <f t="shared" si="0"/>
        <v>0.69444444444444453</v>
      </c>
      <c r="K25">
        <v>4.0000000000000002E-4</v>
      </c>
      <c r="L25" t="s">
        <v>17</v>
      </c>
      <c r="M25">
        <v>296</v>
      </c>
      <c r="N25" t="s">
        <v>1097</v>
      </c>
      <c r="O25" t="s">
        <v>1131</v>
      </c>
    </row>
    <row r="26" spans="1:15" x14ac:dyDescent="0.2">
      <c r="A26" t="s">
        <v>190</v>
      </c>
      <c r="B26" t="s">
        <v>376</v>
      </c>
      <c r="C26">
        <v>5</v>
      </c>
      <c r="D26">
        <v>0</v>
      </c>
      <c r="E26">
        <v>5</v>
      </c>
      <c r="F26">
        <v>4</v>
      </c>
      <c r="G26">
        <v>0</v>
      </c>
      <c r="H26">
        <v>4</v>
      </c>
      <c r="I26">
        <v>5.04E-2</v>
      </c>
      <c r="J26">
        <f t="shared" si="0"/>
        <v>0.59523809523809523</v>
      </c>
      <c r="K26">
        <v>2.9999999999999997E-4</v>
      </c>
      <c r="L26" t="s">
        <v>17</v>
      </c>
      <c r="M26">
        <v>296</v>
      </c>
      <c r="N26" t="s">
        <v>1097</v>
      </c>
      <c r="O26" t="s">
        <v>1127</v>
      </c>
    </row>
    <row r="27" spans="1:15" x14ac:dyDescent="0.2">
      <c r="A27" t="s">
        <v>190</v>
      </c>
      <c r="B27" t="s">
        <v>376</v>
      </c>
      <c r="C27">
        <v>4</v>
      </c>
      <c r="D27">
        <v>1</v>
      </c>
      <c r="E27">
        <v>3</v>
      </c>
      <c r="F27">
        <v>4</v>
      </c>
      <c r="G27">
        <v>1</v>
      </c>
      <c r="H27">
        <v>4</v>
      </c>
      <c r="I27">
        <v>5.8400000000000001E-2</v>
      </c>
      <c r="J27">
        <f t="shared" si="0"/>
        <v>0.51369863013698625</v>
      </c>
      <c r="K27">
        <v>2.9999999999999997E-4</v>
      </c>
      <c r="L27" t="s">
        <v>17</v>
      </c>
      <c r="M27">
        <v>296</v>
      </c>
      <c r="N27" t="s">
        <v>1097</v>
      </c>
      <c r="O27" t="s">
        <v>1132</v>
      </c>
    </row>
    <row r="28" spans="1:15" x14ac:dyDescent="0.2">
      <c r="A28" t="s">
        <v>190</v>
      </c>
      <c r="B28" t="s">
        <v>376</v>
      </c>
      <c r="C28">
        <v>3</v>
      </c>
      <c r="D28">
        <v>2</v>
      </c>
      <c r="E28">
        <v>2</v>
      </c>
      <c r="F28">
        <v>4</v>
      </c>
      <c r="G28">
        <v>2</v>
      </c>
      <c r="H28">
        <v>3</v>
      </c>
      <c r="I28">
        <v>5.11E-2</v>
      </c>
      <c r="J28">
        <f t="shared" si="0"/>
        <v>0.78277886497064597</v>
      </c>
      <c r="K28">
        <v>4.0000000000000002E-4</v>
      </c>
      <c r="L28" t="s">
        <v>17</v>
      </c>
      <c r="M28">
        <v>296</v>
      </c>
      <c r="N28" t="s">
        <v>1097</v>
      </c>
      <c r="O28" t="s">
        <v>1133</v>
      </c>
    </row>
    <row r="29" spans="1:15" x14ac:dyDescent="0.2">
      <c r="A29" t="s">
        <v>190</v>
      </c>
      <c r="B29" t="s">
        <v>376</v>
      </c>
      <c r="C29">
        <v>4</v>
      </c>
      <c r="D29">
        <v>0</v>
      </c>
      <c r="E29">
        <v>4</v>
      </c>
      <c r="F29">
        <v>4</v>
      </c>
      <c r="G29">
        <v>2</v>
      </c>
      <c r="H29">
        <v>3</v>
      </c>
      <c r="I29">
        <v>5.8599999999999999E-2</v>
      </c>
      <c r="J29">
        <f t="shared" si="0"/>
        <v>0.68259385665529015</v>
      </c>
      <c r="K29">
        <v>4.0000000000000002E-4</v>
      </c>
      <c r="L29" t="s">
        <v>17</v>
      </c>
      <c r="M29">
        <v>296</v>
      </c>
      <c r="N29" t="s">
        <v>1097</v>
      </c>
      <c r="O29" t="s">
        <v>1134</v>
      </c>
    </row>
    <row r="30" spans="1:15" x14ac:dyDescent="0.2">
      <c r="A30" t="s">
        <v>190</v>
      </c>
      <c r="B30" t="s">
        <v>376</v>
      </c>
      <c r="C30">
        <v>4</v>
      </c>
      <c r="D30">
        <v>2</v>
      </c>
      <c r="E30">
        <v>2</v>
      </c>
      <c r="F30">
        <v>4</v>
      </c>
      <c r="G30">
        <v>2</v>
      </c>
      <c r="H30">
        <v>3</v>
      </c>
      <c r="I30">
        <v>5.2299999999999999E-2</v>
      </c>
      <c r="J30">
        <f t="shared" si="0"/>
        <v>0.95602294455066927</v>
      </c>
      <c r="K30">
        <v>5.0000000000000001E-4</v>
      </c>
      <c r="L30" t="s">
        <v>17</v>
      </c>
      <c r="M30">
        <v>296</v>
      </c>
      <c r="N30" t="s">
        <v>1097</v>
      </c>
      <c r="O30" t="s">
        <v>1135</v>
      </c>
    </row>
    <row r="31" spans="1:15" x14ac:dyDescent="0.2">
      <c r="A31" t="s">
        <v>190</v>
      </c>
      <c r="B31" t="s">
        <v>376</v>
      </c>
      <c r="C31">
        <v>5</v>
      </c>
      <c r="D31">
        <v>2</v>
      </c>
      <c r="E31">
        <v>4</v>
      </c>
      <c r="F31">
        <v>4</v>
      </c>
      <c r="G31">
        <v>2</v>
      </c>
      <c r="H31">
        <v>3</v>
      </c>
      <c r="I31">
        <v>4.8500000000000001E-2</v>
      </c>
      <c r="J31">
        <f t="shared" si="0"/>
        <v>1.0309278350515463</v>
      </c>
      <c r="K31">
        <v>5.0000000000000001E-4</v>
      </c>
      <c r="L31" t="s">
        <v>17</v>
      </c>
      <c r="M31">
        <v>296</v>
      </c>
      <c r="N31" t="s">
        <v>1097</v>
      </c>
      <c r="O31" t="s">
        <v>1136</v>
      </c>
    </row>
    <row r="32" spans="1:15" x14ac:dyDescent="0.2">
      <c r="A32" t="s">
        <v>190</v>
      </c>
      <c r="B32" t="s">
        <v>376</v>
      </c>
      <c r="C32">
        <v>4</v>
      </c>
      <c r="D32">
        <v>2</v>
      </c>
      <c r="E32">
        <v>3</v>
      </c>
      <c r="F32">
        <v>4</v>
      </c>
      <c r="G32">
        <v>2</v>
      </c>
      <c r="H32">
        <v>2</v>
      </c>
      <c r="I32">
        <v>5.33E-2</v>
      </c>
      <c r="J32">
        <f t="shared" si="0"/>
        <v>0.56285178236397737</v>
      </c>
      <c r="K32">
        <v>2.9999999999999997E-4</v>
      </c>
      <c r="L32" t="s">
        <v>17</v>
      </c>
      <c r="M32">
        <v>296</v>
      </c>
      <c r="N32" t="s">
        <v>1097</v>
      </c>
      <c r="O32" t="s">
        <v>1137</v>
      </c>
    </row>
    <row r="33" spans="1:15" x14ac:dyDescent="0.2">
      <c r="A33" t="s">
        <v>190</v>
      </c>
      <c r="B33" t="s">
        <v>376</v>
      </c>
      <c r="C33">
        <v>5</v>
      </c>
      <c r="D33">
        <v>2</v>
      </c>
      <c r="E33">
        <v>3</v>
      </c>
      <c r="F33">
        <v>4</v>
      </c>
      <c r="G33">
        <v>2</v>
      </c>
      <c r="H33">
        <v>2</v>
      </c>
      <c r="I33">
        <v>5.2400000000000002E-2</v>
      </c>
      <c r="J33">
        <f t="shared" si="0"/>
        <v>0.76335877862595414</v>
      </c>
      <c r="K33">
        <v>4.0000000000000002E-4</v>
      </c>
      <c r="L33" t="s">
        <v>17</v>
      </c>
      <c r="M33">
        <v>296</v>
      </c>
      <c r="N33" t="s">
        <v>1097</v>
      </c>
      <c r="O33" t="s">
        <v>1138</v>
      </c>
    </row>
    <row r="34" spans="1:15" x14ac:dyDescent="0.2">
      <c r="A34" t="s">
        <v>190</v>
      </c>
      <c r="B34" t="s">
        <v>376</v>
      </c>
      <c r="C34">
        <v>3</v>
      </c>
      <c r="D34">
        <v>3</v>
      </c>
      <c r="E34">
        <v>1</v>
      </c>
      <c r="F34">
        <v>4</v>
      </c>
      <c r="G34">
        <v>3</v>
      </c>
      <c r="H34">
        <v>2</v>
      </c>
      <c r="I34">
        <v>4.4499999999999998E-2</v>
      </c>
      <c r="J34">
        <f t="shared" si="0"/>
        <v>1.1235955056179776</v>
      </c>
      <c r="K34">
        <v>5.0000000000000001E-4</v>
      </c>
      <c r="L34" t="s">
        <v>17</v>
      </c>
      <c r="M34">
        <v>296</v>
      </c>
      <c r="N34" t="s">
        <v>1097</v>
      </c>
      <c r="O34" t="s">
        <v>1139</v>
      </c>
    </row>
    <row r="35" spans="1:15" x14ac:dyDescent="0.2">
      <c r="A35" t="s">
        <v>190</v>
      </c>
      <c r="B35" t="s">
        <v>376</v>
      </c>
      <c r="C35">
        <v>4</v>
      </c>
      <c r="D35">
        <v>3</v>
      </c>
      <c r="E35">
        <v>1</v>
      </c>
      <c r="F35">
        <v>4</v>
      </c>
      <c r="G35">
        <v>3</v>
      </c>
      <c r="H35">
        <v>2</v>
      </c>
      <c r="I35">
        <v>4.3900000000000002E-2</v>
      </c>
      <c r="J35">
        <f t="shared" si="0"/>
        <v>0.91116173120728927</v>
      </c>
      <c r="K35">
        <v>4.0000000000000002E-4</v>
      </c>
      <c r="L35" t="s">
        <v>17</v>
      </c>
      <c r="M35">
        <v>296</v>
      </c>
      <c r="N35" t="s">
        <v>1097</v>
      </c>
      <c r="O35" t="s">
        <v>1140</v>
      </c>
    </row>
    <row r="36" spans="1:15" x14ac:dyDescent="0.2">
      <c r="A36" t="s">
        <v>190</v>
      </c>
      <c r="B36" t="s">
        <v>376</v>
      </c>
      <c r="C36">
        <v>5</v>
      </c>
      <c r="D36">
        <v>3</v>
      </c>
      <c r="E36">
        <v>3</v>
      </c>
      <c r="F36">
        <v>4</v>
      </c>
      <c r="G36">
        <v>3</v>
      </c>
      <c r="H36">
        <v>2</v>
      </c>
      <c r="I36">
        <v>4.7600000000000003E-2</v>
      </c>
      <c r="J36">
        <f t="shared" si="0"/>
        <v>1.0504201680672267</v>
      </c>
      <c r="K36">
        <v>5.0000000000000001E-4</v>
      </c>
      <c r="L36" t="s">
        <v>17</v>
      </c>
      <c r="M36">
        <v>296</v>
      </c>
      <c r="N36" t="s">
        <v>1097</v>
      </c>
      <c r="O36" t="s">
        <v>1141</v>
      </c>
    </row>
    <row r="37" spans="1:15" x14ac:dyDescent="0.2">
      <c r="A37" t="s">
        <v>190</v>
      </c>
      <c r="B37" t="s">
        <v>376</v>
      </c>
      <c r="C37">
        <v>3</v>
      </c>
      <c r="D37">
        <v>3</v>
      </c>
      <c r="E37">
        <v>0</v>
      </c>
      <c r="F37">
        <v>4</v>
      </c>
      <c r="G37">
        <v>3</v>
      </c>
      <c r="H37">
        <v>1</v>
      </c>
      <c r="I37">
        <v>4.3900000000000002E-2</v>
      </c>
      <c r="J37">
        <f t="shared" si="0"/>
        <v>0.91116173120728927</v>
      </c>
      <c r="K37">
        <v>4.0000000000000002E-4</v>
      </c>
      <c r="L37" t="s">
        <v>17</v>
      </c>
      <c r="M37">
        <v>296</v>
      </c>
      <c r="N37" t="s">
        <v>1097</v>
      </c>
      <c r="O37" t="s">
        <v>1140</v>
      </c>
    </row>
    <row r="38" spans="1:15" x14ac:dyDescent="0.2">
      <c r="A38" t="s">
        <v>190</v>
      </c>
      <c r="B38" t="s">
        <v>376</v>
      </c>
      <c r="C38">
        <v>4</v>
      </c>
      <c r="D38">
        <v>3</v>
      </c>
      <c r="E38">
        <v>2</v>
      </c>
      <c r="F38">
        <v>4</v>
      </c>
      <c r="G38">
        <v>3</v>
      </c>
      <c r="H38">
        <v>1</v>
      </c>
      <c r="I38">
        <v>4.5199999999999997E-2</v>
      </c>
      <c r="J38">
        <f t="shared" si="0"/>
        <v>0.88495575221238953</v>
      </c>
      <c r="K38">
        <v>4.0000000000000002E-4</v>
      </c>
      <c r="L38" t="s">
        <v>17</v>
      </c>
      <c r="M38">
        <v>296</v>
      </c>
      <c r="N38" t="s">
        <v>1097</v>
      </c>
      <c r="O38" t="s">
        <v>1142</v>
      </c>
    </row>
    <row r="39" spans="1:15" x14ac:dyDescent="0.2">
      <c r="A39" t="s">
        <v>190</v>
      </c>
      <c r="B39" t="s">
        <v>376</v>
      </c>
      <c r="C39">
        <v>5</v>
      </c>
      <c r="D39">
        <v>3</v>
      </c>
      <c r="E39">
        <v>2</v>
      </c>
      <c r="F39">
        <v>4</v>
      </c>
      <c r="G39">
        <v>3</v>
      </c>
      <c r="H39">
        <v>1</v>
      </c>
      <c r="I39">
        <v>4.7E-2</v>
      </c>
      <c r="J39">
        <f t="shared" si="0"/>
        <v>1.0638297872340425</v>
      </c>
      <c r="K39">
        <v>5.0000000000000001E-4</v>
      </c>
      <c r="L39" t="s">
        <v>17</v>
      </c>
      <c r="M39">
        <v>296</v>
      </c>
      <c r="N39" t="s">
        <v>1097</v>
      </c>
      <c r="O39" t="s">
        <v>1143</v>
      </c>
    </row>
    <row r="40" spans="1:15" x14ac:dyDescent="0.2">
      <c r="A40" t="s">
        <v>190</v>
      </c>
      <c r="B40" t="s">
        <v>376</v>
      </c>
      <c r="C40">
        <v>4</v>
      </c>
      <c r="D40">
        <v>4</v>
      </c>
      <c r="E40">
        <v>0</v>
      </c>
      <c r="F40">
        <v>4</v>
      </c>
      <c r="G40">
        <v>4</v>
      </c>
      <c r="H40">
        <v>1</v>
      </c>
      <c r="I40">
        <v>3.8399999999999997E-2</v>
      </c>
      <c r="J40">
        <f t="shared" si="0"/>
        <v>1.0416666666666667</v>
      </c>
      <c r="K40">
        <v>4.0000000000000002E-4</v>
      </c>
      <c r="L40" t="s">
        <v>17</v>
      </c>
      <c r="M40">
        <v>296</v>
      </c>
      <c r="N40" t="s">
        <v>1097</v>
      </c>
      <c r="O40" t="s">
        <v>1144</v>
      </c>
    </row>
    <row r="41" spans="1:15" x14ac:dyDescent="0.2">
      <c r="A41" t="s">
        <v>190</v>
      </c>
      <c r="B41" t="s">
        <v>376</v>
      </c>
      <c r="C41">
        <v>5</v>
      </c>
      <c r="D41">
        <v>4</v>
      </c>
      <c r="E41">
        <v>2</v>
      </c>
      <c r="F41">
        <v>4</v>
      </c>
      <c r="G41">
        <v>4</v>
      </c>
      <c r="H41">
        <v>1</v>
      </c>
      <c r="I41">
        <v>4.1000000000000002E-2</v>
      </c>
      <c r="J41">
        <f t="shared" si="0"/>
        <v>0.7317073170731706</v>
      </c>
      <c r="K41">
        <v>2.9999999999999997E-4</v>
      </c>
      <c r="L41" t="s">
        <v>17</v>
      </c>
      <c r="M41">
        <v>296</v>
      </c>
      <c r="N41" t="s">
        <v>1097</v>
      </c>
      <c r="O41" t="s">
        <v>1145</v>
      </c>
    </row>
    <row r="42" spans="1:15" x14ac:dyDescent="0.2">
      <c r="A42" t="s">
        <v>190</v>
      </c>
      <c r="B42" t="s">
        <v>376</v>
      </c>
      <c r="C42">
        <v>4</v>
      </c>
      <c r="D42">
        <v>4</v>
      </c>
      <c r="E42">
        <v>1</v>
      </c>
      <c r="F42">
        <v>4</v>
      </c>
      <c r="G42">
        <v>4</v>
      </c>
      <c r="H42">
        <v>0</v>
      </c>
      <c r="I42">
        <v>3.6600000000000001E-2</v>
      </c>
      <c r="J42">
        <f t="shared" si="0"/>
        <v>1.0928961748633881</v>
      </c>
      <c r="K42">
        <v>4.0000000000000002E-4</v>
      </c>
      <c r="L42" t="s">
        <v>17</v>
      </c>
      <c r="M42">
        <v>296</v>
      </c>
      <c r="N42" t="s">
        <v>1097</v>
      </c>
      <c r="O42" t="s">
        <v>1146</v>
      </c>
    </row>
    <row r="43" spans="1:15" x14ac:dyDescent="0.2">
      <c r="A43" t="s">
        <v>190</v>
      </c>
      <c r="B43" t="s">
        <v>376</v>
      </c>
      <c r="C43">
        <v>5</v>
      </c>
      <c r="D43">
        <v>4</v>
      </c>
      <c r="E43">
        <v>1</v>
      </c>
      <c r="F43">
        <v>4</v>
      </c>
      <c r="G43">
        <v>4</v>
      </c>
      <c r="H43">
        <v>0</v>
      </c>
      <c r="I43">
        <v>4.1200000000000001E-2</v>
      </c>
      <c r="J43">
        <f t="shared" si="0"/>
        <v>0.97087378640776711</v>
      </c>
      <c r="K43">
        <v>4.0000000000000002E-4</v>
      </c>
      <c r="L43" t="s">
        <v>17</v>
      </c>
      <c r="M43">
        <v>296</v>
      </c>
      <c r="N43" t="s">
        <v>1097</v>
      </c>
      <c r="O43" t="s">
        <v>1147</v>
      </c>
    </row>
    <row r="44" spans="1:15" x14ac:dyDescent="0.2">
      <c r="A44" t="s">
        <v>190</v>
      </c>
      <c r="B44" t="s">
        <v>376</v>
      </c>
      <c r="C44">
        <v>5</v>
      </c>
      <c r="D44">
        <v>2</v>
      </c>
      <c r="E44">
        <v>4</v>
      </c>
      <c r="F44">
        <v>5</v>
      </c>
      <c r="G44">
        <v>0</v>
      </c>
      <c r="H44">
        <v>5</v>
      </c>
      <c r="I44">
        <v>5.2999999999999999E-2</v>
      </c>
      <c r="J44">
        <f t="shared" si="0"/>
        <v>0.94339622641509435</v>
      </c>
      <c r="K44">
        <v>5.0000000000000001E-4</v>
      </c>
      <c r="L44" t="s">
        <v>17</v>
      </c>
      <c r="M44">
        <v>296</v>
      </c>
      <c r="N44" t="s">
        <v>1097</v>
      </c>
      <c r="O44" t="s">
        <v>1148</v>
      </c>
    </row>
    <row r="45" spans="1:15" x14ac:dyDescent="0.2">
      <c r="A45" t="s">
        <v>190</v>
      </c>
      <c r="B45" t="s">
        <v>376</v>
      </c>
      <c r="C45">
        <v>4</v>
      </c>
      <c r="D45">
        <v>1</v>
      </c>
      <c r="E45">
        <v>4</v>
      </c>
      <c r="F45">
        <v>5</v>
      </c>
      <c r="G45">
        <v>1</v>
      </c>
      <c r="H45">
        <v>5</v>
      </c>
      <c r="I45">
        <v>5.3400000000000003E-2</v>
      </c>
      <c r="J45">
        <f t="shared" si="0"/>
        <v>0.93632958801498134</v>
      </c>
      <c r="K45">
        <v>5.0000000000000001E-4</v>
      </c>
      <c r="L45" t="s">
        <v>17</v>
      </c>
      <c r="M45">
        <v>296</v>
      </c>
      <c r="N45" t="s">
        <v>1097</v>
      </c>
      <c r="O45" t="s">
        <v>1149</v>
      </c>
    </row>
    <row r="46" spans="1:15" x14ac:dyDescent="0.2">
      <c r="A46" t="s">
        <v>190</v>
      </c>
      <c r="B46" t="s">
        <v>376</v>
      </c>
      <c r="C46">
        <v>5</v>
      </c>
      <c r="D46">
        <v>1</v>
      </c>
      <c r="E46">
        <v>4</v>
      </c>
      <c r="F46">
        <v>5</v>
      </c>
      <c r="G46">
        <v>1</v>
      </c>
      <c r="H46">
        <v>5</v>
      </c>
      <c r="I46">
        <v>5.62E-2</v>
      </c>
      <c r="J46">
        <f t="shared" si="0"/>
        <v>0.71174377224199292</v>
      </c>
      <c r="K46">
        <v>4.0000000000000002E-4</v>
      </c>
      <c r="L46" t="s">
        <v>17</v>
      </c>
      <c r="M46">
        <v>296</v>
      </c>
      <c r="N46" t="s">
        <v>1097</v>
      </c>
      <c r="O46" t="s">
        <v>1150</v>
      </c>
    </row>
    <row r="47" spans="1:15" x14ac:dyDescent="0.2">
      <c r="A47" t="s">
        <v>190</v>
      </c>
      <c r="B47" t="s">
        <v>376</v>
      </c>
      <c r="C47">
        <v>6</v>
      </c>
      <c r="D47">
        <v>1</v>
      </c>
      <c r="E47">
        <v>6</v>
      </c>
      <c r="F47">
        <v>5</v>
      </c>
      <c r="G47">
        <v>1</v>
      </c>
      <c r="H47">
        <v>5</v>
      </c>
      <c r="I47">
        <v>4.5400000000000003E-2</v>
      </c>
      <c r="J47">
        <f t="shared" si="0"/>
        <v>1.1013215859030836</v>
      </c>
      <c r="K47">
        <v>5.0000000000000001E-4</v>
      </c>
      <c r="L47" t="s">
        <v>17</v>
      </c>
      <c r="M47">
        <v>296</v>
      </c>
      <c r="N47" t="s">
        <v>1097</v>
      </c>
      <c r="O47" t="s">
        <v>1151</v>
      </c>
    </row>
    <row r="48" spans="1:15" x14ac:dyDescent="0.2">
      <c r="A48" t="s">
        <v>190</v>
      </c>
      <c r="B48" t="s">
        <v>376</v>
      </c>
      <c r="C48">
        <v>4</v>
      </c>
      <c r="D48">
        <v>1</v>
      </c>
      <c r="E48">
        <v>3</v>
      </c>
      <c r="F48">
        <v>5</v>
      </c>
      <c r="G48">
        <v>1</v>
      </c>
      <c r="H48">
        <v>4</v>
      </c>
      <c r="I48">
        <v>5.3499999999999999E-2</v>
      </c>
      <c r="J48">
        <f t="shared" si="0"/>
        <v>0.74766355140186924</v>
      </c>
      <c r="K48">
        <v>4.0000000000000002E-4</v>
      </c>
      <c r="L48" t="s">
        <v>17</v>
      </c>
      <c r="M48">
        <v>296</v>
      </c>
      <c r="N48" t="s">
        <v>1097</v>
      </c>
      <c r="O48" t="s">
        <v>1152</v>
      </c>
    </row>
    <row r="49" spans="1:15" x14ac:dyDescent="0.2">
      <c r="A49" t="s">
        <v>190</v>
      </c>
      <c r="B49" t="s">
        <v>376</v>
      </c>
      <c r="C49">
        <v>5</v>
      </c>
      <c r="D49">
        <v>1</v>
      </c>
      <c r="E49">
        <v>5</v>
      </c>
      <c r="F49">
        <v>5</v>
      </c>
      <c r="G49">
        <v>1</v>
      </c>
      <c r="H49">
        <v>4</v>
      </c>
      <c r="I49">
        <v>5.6399999999999999E-2</v>
      </c>
      <c r="J49">
        <f t="shared" si="0"/>
        <v>0.70921985815602839</v>
      </c>
      <c r="K49">
        <v>4.0000000000000002E-4</v>
      </c>
      <c r="L49" t="s">
        <v>17</v>
      </c>
      <c r="M49">
        <v>296</v>
      </c>
      <c r="N49" t="s">
        <v>1097</v>
      </c>
      <c r="O49" t="s">
        <v>1153</v>
      </c>
    </row>
    <row r="50" spans="1:15" x14ac:dyDescent="0.2">
      <c r="A50" t="s">
        <v>190</v>
      </c>
      <c r="B50" t="s">
        <v>376</v>
      </c>
      <c r="C50">
        <v>6</v>
      </c>
      <c r="D50">
        <v>3</v>
      </c>
      <c r="E50">
        <v>3</v>
      </c>
      <c r="F50">
        <v>5</v>
      </c>
      <c r="G50">
        <v>1</v>
      </c>
      <c r="H50">
        <v>4</v>
      </c>
      <c r="I50">
        <v>5.0700000000000002E-2</v>
      </c>
      <c r="J50">
        <f t="shared" si="0"/>
        <v>0.78895463510848129</v>
      </c>
      <c r="K50">
        <v>4.0000000000000002E-4</v>
      </c>
      <c r="L50" t="s">
        <v>17</v>
      </c>
      <c r="M50">
        <v>296</v>
      </c>
      <c r="N50" t="s">
        <v>1097</v>
      </c>
      <c r="O50" t="s">
        <v>1154</v>
      </c>
    </row>
    <row r="51" spans="1:15" x14ac:dyDescent="0.2">
      <c r="A51" t="s">
        <v>190</v>
      </c>
      <c r="B51" t="s">
        <v>376</v>
      </c>
      <c r="C51">
        <v>4</v>
      </c>
      <c r="D51">
        <v>2</v>
      </c>
      <c r="E51">
        <v>3</v>
      </c>
      <c r="F51">
        <v>5</v>
      </c>
      <c r="G51">
        <v>2</v>
      </c>
      <c r="H51">
        <v>4</v>
      </c>
      <c r="I51">
        <v>5.2699999999999997E-2</v>
      </c>
      <c r="J51">
        <f t="shared" si="0"/>
        <v>0.75901328273244795</v>
      </c>
      <c r="K51">
        <v>4.0000000000000002E-4</v>
      </c>
      <c r="L51" t="s">
        <v>17</v>
      </c>
      <c r="M51">
        <v>296</v>
      </c>
      <c r="N51" t="s">
        <v>1097</v>
      </c>
      <c r="O51" t="s">
        <v>1155</v>
      </c>
    </row>
    <row r="52" spans="1:15" x14ac:dyDescent="0.2">
      <c r="A52" t="s">
        <v>190</v>
      </c>
      <c r="B52" t="s">
        <v>376</v>
      </c>
      <c r="C52">
        <v>6</v>
      </c>
      <c r="D52">
        <v>2</v>
      </c>
      <c r="E52">
        <v>5</v>
      </c>
      <c r="F52">
        <v>5</v>
      </c>
      <c r="G52">
        <v>2</v>
      </c>
      <c r="H52">
        <v>4</v>
      </c>
      <c r="I52">
        <v>4.7600000000000003E-2</v>
      </c>
      <c r="J52">
        <f t="shared" si="0"/>
        <v>0.84033613445378152</v>
      </c>
      <c r="K52">
        <v>4.0000000000000002E-4</v>
      </c>
      <c r="L52" t="s">
        <v>17</v>
      </c>
      <c r="M52">
        <v>296</v>
      </c>
      <c r="N52" t="s">
        <v>1097</v>
      </c>
      <c r="O52" t="s">
        <v>1156</v>
      </c>
    </row>
    <row r="53" spans="1:15" x14ac:dyDescent="0.2">
      <c r="A53" t="s">
        <v>190</v>
      </c>
      <c r="B53" t="s">
        <v>376</v>
      </c>
      <c r="C53">
        <v>5</v>
      </c>
      <c r="D53">
        <v>2</v>
      </c>
      <c r="E53">
        <v>4</v>
      </c>
      <c r="F53">
        <v>5</v>
      </c>
      <c r="G53">
        <v>2</v>
      </c>
      <c r="H53">
        <v>3</v>
      </c>
      <c r="I53">
        <v>5.1999999999999998E-2</v>
      </c>
      <c r="J53">
        <f t="shared" si="0"/>
        <v>0.76923076923076927</v>
      </c>
      <c r="K53">
        <v>4.0000000000000002E-4</v>
      </c>
      <c r="L53" t="s">
        <v>17</v>
      </c>
      <c r="M53">
        <v>296</v>
      </c>
      <c r="N53" t="s">
        <v>1097</v>
      </c>
      <c r="O53" t="s">
        <v>1157</v>
      </c>
    </row>
    <row r="54" spans="1:15" x14ac:dyDescent="0.2">
      <c r="A54" t="s">
        <v>190</v>
      </c>
      <c r="B54" t="s">
        <v>376</v>
      </c>
      <c r="C54">
        <v>6</v>
      </c>
      <c r="D54">
        <v>2</v>
      </c>
      <c r="E54">
        <v>4</v>
      </c>
      <c r="F54">
        <v>5</v>
      </c>
      <c r="G54">
        <v>2</v>
      </c>
      <c r="H54">
        <v>3</v>
      </c>
      <c r="I54">
        <v>5.1499999999999997E-2</v>
      </c>
      <c r="J54">
        <f t="shared" si="0"/>
        <v>0.97087378640776711</v>
      </c>
      <c r="K54">
        <v>5.0000000000000001E-4</v>
      </c>
      <c r="L54" t="s">
        <v>17</v>
      </c>
      <c r="M54">
        <v>296</v>
      </c>
      <c r="N54" t="s">
        <v>1097</v>
      </c>
      <c r="O54" t="s">
        <v>1158</v>
      </c>
    </row>
    <row r="55" spans="1:15" x14ac:dyDescent="0.2">
      <c r="A55" t="s">
        <v>190</v>
      </c>
      <c r="B55" t="s">
        <v>376</v>
      </c>
      <c r="C55">
        <v>5</v>
      </c>
      <c r="D55">
        <v>3</v>
      </c>
      <c r="E55">
        <v>2</v>
      </c>
      <c r="F55">
        <v>5</v>
      </c>
      <c r="G55">
        <v>3</v>
      </c>
      <c r="H55">
        <v>3</v>
      </c>
      <c r="I55">
        <v>4.7E-2</v>
      </c>
      <c r="J55">
        <f t="shared" si="0"/>
        <v>0.85106382978723405</v>
      </c>
      <c r="K55">
        <v>4.0000000000000002E-4</v>
      </c>
      <c r="L55" t="s">
        <v>17</v>
      </c>
      <c r="M55">
        <v>296</v>
      </c>
      <c r="N55" t="s">
        <v>1097</v>
      </c>
      <c r="O55" t="s">
        <v>1159</v>
      </c>
    </row>
    <row r="56" spans="1:15" x14ac:dyDescent="0.2">
      <c r="A56" t="s">
        <v>190</v>
      </c>
      <c r="B56" t="s">
        <v>376</v>
      </c>
      <c r="C56">
        <v>6</v>
      </c>
      <c r="D56">
        <v>3</v>
      </c>
      <c r="E56">
        <v>4</v>
      </c>
      <c r="F56">
        <v>5</v>
      </c>
      <c r="G56">
        <v>3</v>
      </c>
      <c r="H56">
        <v>3</v>
      </c>
      <c r="I56">
        <v>4.6399999999999997E-2</v>
      </c>
      <c r="J56">
        <f t="shared" si="0"/>
        <v>0.64655172413793105</v>
      </c>
      <c r="K56">
        <v>2.9999999999999997E-4</v>
      </c>
      <c r="L56" t="s">
        <v>17</v>
      </c>
      <c r="M56">
        <v>296</v>
      </c>
      <c r="N56" t="s">
        <v>1097</v>
      </c>
      <c r="O56" t="s">
        <v>1160</v>
      </c>
    </row>
    <row r="57" spans="1:15" x14ac:dyDescent="0.2">
      <c r="A57" t="s">
        <v>190</v>
      </c>
      <c r="B57" t="s">
        <v>376</v>
      </c>
      <c r="C57">
        <v>4</v>
      </c>
      <c r="D57">
        <v>3</v>
      </c>
      <c r="E57">
        <v>1</v>
      </c>
      <c r="F57">
        <v>5</v>
      </c>
      <c r="G57">
        <v>3</v>
      </c>
      <c r="H57">
        <v>2</v>
      </c>
      <c r="I57">
        <v>4.5600000000000002E-2</v>
      </c>
      <c r="J57">
        <f t="shared" si="0"/>
        <v>0.65789473684210509</v>
      </c>
      <c r="K57">
        <v>2.9999999999999997E-4</v>
      </c>
      <c r="L57" t="s">
        <v>17</v>
      </c>
      <c r="M57">
        <v>296</v>
      </c>
      <c r="N57" t="s">
        <v>1097</v>
      </c>
      <c r="O57" t="s">
        <v>1161</v>
      </c>
    </row>
    <row r="58" spans="1:15" x14ac:dyDescent="0.2">
      <c r="A58" t="s">
        <v>190</v>
      </c>
      <c r="B58" t="s">
        <v>376</v>
      </c>
      <c r="C58">
        <v>6</v>
      </c>
      <c r="D58">
        <v>3</v>
      </c>
      <c r="E58">
        <v>3</v>
      </c>
      <c r="F58">
        <v>5</v>
      </c>
      <c r="G58">
        <v>3</v>
      </c>
      <c r="H58">
        <v>2</v>
      </c>
      <c r="I58">
        <v>4.8399999999999999E-2</v>
      </c>
      <c r="J58">
        <f t="shared" si="0"/>
        <v>0.61983471074380159</v>
      </c>
      <c r="K58">
        <v>2.9999999999999997E-4</v>
      </c>
      <c r="L58" t="s">
        <v>17</v>
      </c>
      <c r="M58">
        <v>296</v>
      </c>
      <c r="N58" t="s">
        <v>1097</v>
      </c>
      <c r="O58" t="s">
        <v>1162</v>
      </c>
    </row>
    <row r="59" spans="1:15" x14ac:dyDescent="0.2">
      <c r="A59" t="s">
        <v>190</v>
      </c>
      <c r="B59" t="s">
        <v>376</v>
      </c>
      <c r="C59">
        <v>4</v>
      </c>
      <c r="D59">
        <v>4</v>
      </c>
      <c r="E59">
        <v>1</v>
      </c>
      <c r="F59">
        <v>5</v>
      </c>
      <c r="G59">
        <v>4</v>
      </c>
      <c r="H59">
        <v>2</v>
      </c>
      <c r="I59">
        <v>3.6799999999999999E-2</v>
      </c>
      <c r="J59">
        <f t="shared" si="0"/>
        <v>0.81521739130434778</v>
      </c>
      <c r="K59">
        <v>2.9999999999999997E-4</v>
      </c>
      <c r="L59" t="s">
        <v>17</v>
      </c>
      <c r="M59">
        <v>296</v>
      </c>
      <c r="N59" t="s">
        <v>1097</v>
      </c>
      <c r="O59" t="s">
        <v>1163</v>
      </c>
    </row>
    <row r="60" spans="1:15" x14ac:dyDescent="0.2">
      <c r="A60" t="s">
        <v>190</v>
      </c>
      <c r="B60" t="s">
        <v>376</v>
      </c>
      <c r="C60">
        <v>5</v>
      </c>
      <c r="D60">
        <v>4</v>
      </c>
      <c r="E60">
        <v>1</v>
      </c>
      <c r="F60">
        <v>5</v>
      </c>
      <c r="G60">
        <v>4</v>
      </c>
      <c r="H60">
        <v>2</v>
      </c>
      <c r="I60">
        <v>3.7699999999999997E-2</v>
      </c>
      <c r="J60">
        <f t="shared" si="0"/>
        <v>1.0610079575596818</v>
      </c>
      <c r="K60">
        <v>4.0000000000000002E-4</v>
      </c>
      <c r="L60" t="s">
        <v>17</v>
      </c>
      <c r="M60">
        <v>296</v>
      </c>
      <c r="N60" t="s">
        <v>1097</v>
      </c>
      <c r="O60" t="s">
        <v>1164</v>
      </c>
    </row>
    <row r="61" spans="1:15" x14ac:dyDescent="0.2">
      <c r="A61" t="s">
        <v>190</v>
      </c>
      <c r="B61" t="s">
        <v>376</v>
      </c>
      <c r="C61">
        <v>6</v>
      </c>
      <c r="D61">
        <v>4</v>
      </c>
      <c r="E61">
        <v>3</v>
      </c>
      <c r="F61">
        <v>5</v>
      </c>
      <c r="G61">
        <v>4</v>
      </c>
      <c r="H61">
        <v>2</v>
      </c>
      <c r="I61">
        <v>0.04</v>
      </c>
      <c r="J61">
        <f t="shared" si="0"/>
        <v>1.25</v>
      </c>
      <c r="K61">
        <v>5.0000000000000001E-4</v>
      </c>
      <c r="L61" t="s">
        <v>17</v>
      </c>
      <c r="M61">
        <v>296</v>
      </c>
      <c r="N61" t="s">
        <v>1097</v>
      </c>
      <c r="O61" t="s">
        <v>1165</v>
      </c>
    </row>
    <row r="62" spans="1:15" x14ac:dyDescent="0.2">
      <c r="A62" t="s">
        <v>190</v>
      </c>
      <c r="B62" t="s">
        <v>376</v>
      </c>
      <c r="C62">
        <v>4</v>
      </c>
      <c r="D62">
        <v>4</v>
      </c>
      <c r="E62">
        <v>0</v>
      </c>
      <c r="F62">
        <v>5</v>
      </c>
      <c r="G62">
        <v>4</v>
      </c>
      <c r="H62">
        <v>1</v>
      </c>
      <c r="I62">
        <v>3.7600000000000001E-2</v>
      </c>
      <c r="J62">
        <f t="shared" si="0"/>
        <v>1.0638297872340425</v>
      </c>
      <c r="K62">
        <v>4.0000000000000002E-4</v>
      </c>
      <c r="L62" t="s">
        <v>17</v>
      </c>
      <c r="M62">
        <v>296</v>
      </c>
      <c r="N62" t="s">
        <v>1097</v>
      </c>
      <c r="O62" t="s">
        <v>1166</v>
      </c>
    </row>
    <row r="63" spans="1:15" x14ac:dyDescent="0.2">
      <c r="A63" t="s">
        <v>190</v>
      </c>
      <c r="B63" t="s">
        <v>376</v>
      </c>
      <c r="C63">
        <v>5</v>
      </c>
      <c r="D63">
        <v>4</v>
      </c>
      <c r="E63">
        <v>2</v>
      </c>
      <c r="F63">
        <v>5</v>
      </c>
      <c r="G63">
        <v>4</v>
      </c>
      <c r="H63">
        <v>1</v>
      </c>
      <c r="I63">
        <v>3.85E-2</v>
      </c>
      <c r="J63">
        <f t="shared" si="0"/>
        <v>1.0389610389610389</v>
      </c>
      <c r="K63">
        <v>4.0000000000000002E-4</v>
      </c>
      <c r="L63" t="s">
        <v>17</v>
      </c>
      <c r="M63">
        <v>296</v>
      </c>
      <c r="N63" t="s">
        <v>1097</v>
      </c>
      <c r="O63" t="s">
        <v>1167</v>
      </c>
    </row>
    <row r="64" spans="1:15" x14ac:dyDescent="0.2">
      <c r="A64" t="s">
        <v>190</v>
      </c>
      <c r="B64" t="s">
        <v>376</v>
      </c>
      <c r="C64">
        <v>6</v>
      </c>
      <c r="D64">
        <v>4</v>
      </c>
      <c r="E64">
        <v>2</v>
      </c>
      <c r="F64">
        <v>5</v>
      </c>
      <c r="G64">
        <v>4</v>
      </c>
      <c r="H64">
        <v>1</v>
      </c>
      <c r="I64">
        <v>4.0500000000000001E-2</v>
      </c>
      <c r="J64">
        <f t="shared" si="0"/>
        <v>0.7407407407407407</v>
      </c>
      <c r="K64">
        <v>2.9999999999999997E-4</v>
      </c>
      <c r="L64" t="s">
        <v>17</v>
      </c>
      <c r="M64">
        <v>296</v>
      </c>
      <c r="N64" t="s">
        <v>1097</v>
      </c>
      <c r="O64" t="s">
        <v>1168</v>
      </c>
    </row>
    <row r="65" spans="1:15" x14ac:dyDescent="0.2">
      <c r="A65" t="s">
        <v>190</v>
      </c>
      <c r="B65" t="s">
        <v>376</v>
      </c>
      <c r="C65">
        <v>6</v>
      </c>
      <c r="D65">
        <v>1</v>
      </c>
      <c r="E65">
        <v>5</v>
      </c>
      <c r="F65">
        <v>6</v>
      </c>
      <c r="G65">
        <v>1</v>
      </c>
      <c r="H65">
        <v>6</v>
      </c>
      <c r="I65">
        <v>5.4300000000000001E-2</v>
      </c>
      <c r="J65">
        <f t="shared" si="0"/>
        <v>0.73664825046040516</v>
      </c>
      <c r="K65">
        <v>4.0000000000000002E-4</v>
      </c>
      <c r="L65" t="s">
        <v>17</v>
      </c>
      <c r="M65">
        <v>296</v>
      </c>
      <c r="N65" t="s">
        <v>1097</v>
      </c>
      <c r="O65" t="s">
        <v>1169</v>
      </c>
    </row>
    <row r="66" spans="1:15" x14ac:dyDescent="0.2">
      <c r="A66" t="s">
        <v>190</v>
      </c>
      <c r="B66" t="s">
        <v>376</v>
      </c>
      <c r="C66">
        <v>7</v>
      </c>
      <c r="D66">
        <v>1</v>
      </c>
      <c r="E66">
        <v>7</v>
      </c>
      <c r="F66">
        <v>6</v>
      </c>
      <c r="G66">
        <v>1</v>
      </c>
      <c r="H66">
        <v>6</v>
      </c>
      <c r="I66">
        <v>3.95E-2</v>
      </c>
      <c r="J66">
        <f t="shared" si="0"/>
        <v>1.2658227848101267</v>
      </c>
      <c r="K66">
        <v>5.0000000000000001E-4</v>
      </c>
      <c r="L66" t="s">
        <v>17</v>
      </c>
      <c r="M66">
        <v>296</v>
      </c>
      <c r="N66" t="s">
        <v>1097</v>
      </c>
      <c r="O66" t="s">
        <v>1170</v>
      </c>
    </row>
    <row r="67" spans="1:15" x14ac:dyDescent="0.2">
      <c r="A67" t="s">
        <v>190</v>
      </c>
      <c r="B67" t="s">
        <v>376</v>
      </c>
      <c r="C67">
        <v>5</v>
      </c>
      <c r="D67">
        <v>1</v>
      </c>
      <c r="E67">
        <v>4</v>
      </c>
      <c r="F67">
        <v>6</v>
      </c>
      <c r="G67">
        <v>1</v>
      </c>
      <c r="H67">
        <v>5</v>
      </c>
      <c r="I67">
        <v>5.2200000000000003E-2</v>
      </c>
      <c r="J67">
        <f t="shared" ref="J67:J97" si="1">K67/I67*100</f>
        <v>0.57471264367816077</v>
      </c>
      <c r="K67">
        <v>2.9999999999999997E-4</v>
      </c>
      <c r="L67" t="s">
        <v>17</v>
      </c>
      <c r="M67">
        <v>296</v>
      </c>
      <c r="N67" t="s">
        <v>1097</v>
      </c>
      <c r="O67" t="s">
        <v>1171</v>
      </c>
    </row>
    <row r="68" spans="1:15" x14ac:dyDescent="0.2">
      <c r="A68" t="s">
        <v>190</v>
      </c>
      <c r="B68" t="s">
        <v>376</v>
      </c>
      <c r="C68">
        <v>7</v>
      </c>
      <c r="D68">
        <v>1</v>
      </c>
      <c r="E68">
        <v>6</v>
      </c>
      <c r="F68">
        <v>6</v>
      </c>
      <c r="G68">
        <v>1</v>
      </c>
      <c r="H68">
        <v>5</v>
      </c>
      <c r="I68">
        <v>4.8300000000000003E-2</v>
      </c>
      <c r="J68">
        <f t="shared" si="1"/>
        <v>0.82815734989648038</v>
      </c>
      <c r="K68">
        <v>4.0000000000000002E-4</v>
      </c>
      <c r="L68" t="s">
        <v>17</v>
      </c>
      <c r="M68">
        <v>296</v>
      </c>
      <c r="N68" t="s">
        <v>1097</v>
      </c>
      <c r="O68" t="s">
        <v>1172</v>
      </c>
    </row>
    <row r="69" spans="1:15" x14ac:dyDescent="0.2">
      <c r="A69" t="s">
        <v>190</v>
      </c>
      <c r="B69" t="s">
        <v>376</v>
      </c>
      <c r="C69">
        <v>5</v>
      </c>
      <c r="D69">
        <v>2</v>
      </c>
      <c r="E69">
        <v>4</v>
      </c>
      <c r="F69">
        <v>6</v>
      </c>
      <c r="G69">
        <v>2</v>
      </c>
      <c r="H69">
        <v>5</v>
      </c>
      <c r="I69">
        <v>4.87E-2</v>
      </c>
      <c r="J69">
        <f t="shared" si="1"/>
        <v>0.61601642710472271</v>
      </c>
      <c r="K69">
        <v>2.9999999999999997E-4</v>
      </c>
      <c r="L69" t="s">
        <v>17</v>
      </c>
      <c r="M69">
        <v>296</v>
      </c>
      <c r="N69" t="s">
        <v>1097</v>
      </c>
      <c r="O69" t="s">
        <v>1173</v>
      </c>
    </row>
    <row r="70" spans="1:15" x14ac:dyDescent="0.2">
      <c r="A70" t="s">
        <v>190</v>
      </c>
      <c r="B70" t="s">
        <v>376</v>
      </c>
      <c r="C70">
        <v>7</v>
      </c>
      <c r="D70">
        <v>2</v>
      </c>
      <c r="E70">
        <v>6</v>
      </c>
      <c r="F70">
        <v>6</v>
      </c>
      <c r="G70">
        <v>2</v>
      </c>
      <c r="H70">
        <v>5</v>
      </c>
      <c r="I70">
        <v>4.48E-2</v>
      </c>
      <c r="J70">
        <f t="shared" si="1"/>
        <v>0.6696428571428571</v>
      </c>
      <c r="K70">
        <v>2.9999999999999997E-4</v>
      </c>
      <c r="L70" t="s">
        <v>17</v>
      </c>
      <c r="M70">
        <v>296</v>
      </c>
      <c r="N70" t="s">
        <v>1097</v>
      </c>
      <c r="O70" t="s">
        <v>1174</v>
      </c>
    </row>
    <row r="71" spans="1:15" x14ac:dyDescent="0.2">
      <c r="A71" t="s">
        <v>190</v>
      </c>
      <c r="B71" t="s">
        <v>376</v>
      </c>
      <c r="C71">
        <v>5</v>
      </c>
      <c r="D71">
        <v>2</v>
      </c>
      <c r="E71">
        <v>3</v>
      </c>
      <c r="F71">
        <v>6</v>
      </c>
      <c r="G71">
        <v>2</v>
      </c>
      <c r="H71">
        <v>4</v>
      </c>
      <c r="I71">
        <v>0.05</v>
      </c>
      <c r="J71">
        <f t="shared" si="1"/>
        <v>0.6</v>
      </c>
      <c r="K71">
        <v>2.9999999999999997E-4</v>
      </c>
      <c r="L71" t="s">
        <v>17</v>
      </c>
      <c r="M71">
        <v>296</v>
      </c>
      <c r="N71" t="s">
        <v>1097</v>
      </c>
      <c r="O71" t="s">
        <v>1175</v>
      </c>
    </row>
    <row r="72" spans="1:15" x14ac:dyDescent="0.2">
      <c r="A72" t="s">
        <v>190</v>
      </c>
      <c r="B72" t="s">
        <v>376</v>
      </c>
      <c r="C72">
        <v>5</v>
      </c>
      <c r="D72">
        <v>3</v>
      </c>
      <c r="E72">
        <v>2</v>
      </c>
      <c r="F72">
        <v>6</v>
      </c>
      <c r="G72">
        <v>3</v>
      </c>
      <c r="H72">
        <v>3</v>
      </c>
      <c r="I72">
        <v>4.7399999999999998E-2</v>
      </c>
      <c r="J72">
        <f t="shared" si="1"/>
        <v>0.63291139240506333</v>
      </c>
      <c r="K72">
        <v>2.9999999999999997E-4</v>
      </c>
      <c r="L72" t="s">
        <v>17</v>
      </c>
      <c r="M72">
        <v>296</v>
      </c>
      <c r="N72" t="s">
        <v>1097</v>
      </c>
      <c r="O72" t="s">
        <v>1176</v>
      </c>
    </row>
    <row r="73" spans="1:15" x14ac:dyDescent="0.2">
      <c r="A73" t="s">
        <v>190</v>
      </c>
      <c r="B73" t="s">
        <v>376</v>
      </c>
      <c r="C73">
        <v>7</v>
      </c>
      <c r="D73">
        <v>3</v>
      </c>
      <c r="E73">
        <v>4</v>
      </c>
      <c r="F73">
        <v>6</v>
      </c>
      <c r="G73">
        <v>3</v>
      </c>
      <c r="H73">
        <v>3</v>
      </c>
      <c r="I73">
        <v>4.8500000000000001E-2</v>
      </c>
      <c r="J73">
        <f t="shared" si="1"/>
        <v>0.82474226804123718</v>
      </c>
      <c r="K73">
        <v>4.0000000000000002E-4</v>
      </c>
      <c r="L73" t="s">
        <v>17</v>
      </c>
      <c r="M73">
        <v>296</v>
      </c>
      <c r="N73" t="s">
        <v>1097</v>
      </c>
      <c r="O73" t="s">
        <v>1177</v>
      </c>
    </row>
    <row r="74" spans="1:15" x14ac:dyDescent="0.2">
      <c r="A74" t="s">
        <v>190</v>
      </c>
      <c r="B74" t="s">
        <v>376</v>
      </c>
      <c r="C74">
        <v>5</v>
      </c>
      <c r="D74">
        <v>4</v>
      </c>
      <c r="E74">
        <v>2</v>
      </c>
      <c r="F74">
        <v>6</v>
      </c>
      <c r="G74">
        <v>4</v>
      </c>
      <c r="H74">
        <v>3</v>
      </c>
      <c r="I74">
        <v>3.8899999999999997E-2</v>
      </c>
      <c r="J74">
        <f t="shared" si="1"/>
        <v>1.2853470437017995</v>
      </c>
      <c r="K74">
        <v>5.0000000000000001E-4</v>
      </c>
      <c r="L74" t="s">
        <v>17</v>
      </c>
      <c r="M74">
        <v>296</v>
      </c>
      <c r="N74" t="s">
        <v>1097</v>
      </c>
      <c r="O74" t="s">
        <v>1178</v>
      </c>
    </row>
    <row r="75" spans="1:15" x14ac:dyDescent="0.2">
      <c r="A75" t="s">
        <v>190</v>
      </c>
      <c r="B75" t="s">
        <v>376</v>
      </c>
      <c r="C75">
        <v>6</v>
      </c>
      <c r="D75">
        <v>4</v>
      </c>
      <c r="E75">
        <v>2</v>
      </c>
      <c r="F75">
        <v>6</v>
      </c>
      <c r="G75">
        <v>4</v>
      </c>
      <c r="H75">
        <v>3</v>
      </c>
      <c r="I75">
        <v>3.9899999999999998E-2</v>
      </c>
      <c r="J75">
        <f t="shared" si="1"/>
        <v>1.0025062656641606</v>
      </c>
      <c r="K75">
        <v>4.0000000000000002E-4</v>
      </c>
      <c r="L75" t="s">
        <v>17</v>
      </c>
      <c r="M75">
        <v>296</v>
      </c>
      <c r="N75" t="s">
        <v>1097</v>
      </c>
      <c r="O75" t="s">
        <v>1179</v>
      </c>
    </row>
    <row r="76" spans="1:15" x14ac:dyDescent="0.2">
      <c r="A76" t="s">
        <v>190</v>
      </c>
      <c r="B76" t="s">
        <v>376</v>
      </c>
      <c r="C76">
        <v>7</v>
      </c>
      <c r="D76">
        <v>4</v>
      </c>
      <c r="E76">
        <v>4</v>
      </c>
      <c r="F76">
        <v>6</v>
      </c>
      <c r="G76">
        <v>4</v>
      </c>
      <c r="H76">
        <v>3</v>
      </c>
      <c r="I76">
        <v>4.1099999999999998E-2</v>
      </c>
      <c r="J76">
        <f t="shared" si="1"/>
        <v>0.72992700729927007</v>
      </c>
      <c r="K76">
        <v>2.9999999999999997E-4</v>
      </c>
      <c r="L76" t="s">
        <v>17</v>
      </c>
      <c r="M76">
        <v>296</v>
      </c>
      <c r="N76" t="s">
        <v>1097</v>
      </c>
      <c r="O76" t="s">
        <v>1180</v>
      </c>
    </row>
    <row r="77" spans="1:15" x14ac:dyDescent="0.2">
      <c r="A77" t="s">
        <v>190</v>
      </c>
      <c r="B77" t="s">
        <v>376</v>
      </c>
      <c r="C77">
        <v>7</v>
      </c>
      <c r="D77">
        <v>4</v>
      </c>
      <c r="E77">
        <v>3</v>
      </c>
      <c r="F77">
        <v>6</v>
      </c>
      <c r="G77">
        <v>4</v>
      </c>
      <c r="H77">
        <v>2</v>
      </c>
      <c r="I77">
        <v>4.24E-2</v>
      </c>
      <c r="J77">
        <f t="shared" si="1"/>
        <v>0.70754716981132071</v>
      </c>
      <c r="K77">
        <v>2.9999999999999997E-4</v>
      </c>
      <c r="L77" t="s">
        <v>17</v>
      </c>
      <c r="M77">
        <v>296</v>
      </c>
      <c r="N77" t="s">
        <v>1097</v>
      </c>
      <c r="O77" t="s">
        <v>1181</v>
      </c>
    </row>
    <row r="78" spans="1:15" x14ac:dyDescent="0.2">
      <c r="A78" t="s">
        <v>190</v>
      </c>
      <c r="B78" t="s">
        <v>376</v>
      </c>
      <c r="C78">
        <v>6</v>
      </c>
      <c r="D78">
        <v>0</v>
      </c>
      <c r="E78">
        <v>6</v>
      </c>
      <c r="F78">
        <v>7</v>
      </c>
      <c r="G78">
        <v>0</v>
      </c>
      <c r="H78">
        <v>7</v>
      </c>
      <c r="I78">
        <v>4.3999999999999997E-2</v>
      </c>
      <c r="J78">
        <f t="shared" si="1"/>
        <v>0.90909090909090917</v>
      </c>
      <c r="K78">
        <v>4.0000000000000002E-4</v>
      </c>
      <c r="L78" t="s">
        <v>17</v>
      </c>
      <c r="M78">
        <v>296</v>
      </c>
      <c r="N78" t="s">
        <v>1097</v>
      </c>
      <c r="O78" t="s">
        <v>1182</v>
      </c>
    </row>
    <row r="79" spans="1:15" x14ac:dyDescent="0.2">
      <c r="A79" t="s">
        <v>190</v>
      </c>
      <c r="B79" t="s">
        <v>376</v>
      </c>
      <c r="C79">
        <v>6</v>
      </c>
      <c r="D79">
        <v>1</v>
      </c>
      <c r="E79">
        <v>6</v>
      </c>
      <c r="F79">
        <v>7</v>
      </c>
      <c r="G79">
        <v>1</v>
      </c>
      <c r="H79">
        <v>7</v>
      </c>
      <c r="I79">
        <v>4.2999999999999997E-2</v>
      </c>
      <c r="J79">
        <f t="shared" si="1"/>
        <v>0.69767441860465118</v>
      </c>
      <c r="K79">
        <v>2.9999999999999997E-4</v>
      </c>
      <c r="L79" t="s">
        <v>17</v>
      </c>
      <c r="M79">
        <v>296</v>
      </c>
      <c r="N79" t="s">
        <v>1097</v>
      </c>
      <c r="O79" t="s">
        <v>1183</v>
      </c>
    </row>
    <row r="80" spans="1:15" x14ac:dyDescent="0.2">
      <c r="A80" t="s">
        <v>190</v>
      </c>
      <c r="B80" t="s">
        <v>376</v>
      </c>
      <c r="C80">
        <v>8</v>
      </c>
      <c r="D80">
        <v>1</v>
      </c>
      <c r="E80">
        <v>8</v>
      </c>
      <c r="F80">
        <v>7</v>
      </c>
      <c r="G80">
        <v>1</v>
      </c>
      <c r="H80">
        <v>7</v>
      </c>
      <c r="I80">
        <v>3.7699999999999997E-2</v>
      </c>
      <c r="J80">
        <f t="shared" si="1"/>
        <v>1.0610079575596818</v>
      </c>
      <c r="K80">
        <v>4.0000000000000002E-4</v>
      </c>
      <c r="L80" t="s">
        <v>17</v>
      </c>
      <c r="M80">
        <v>296</v>
      </c>
      <c r="N80" t="s">
        <v>1097</v>
      </c>
      <c r="O80" t="s">
        <v>1164</v>
      </c>
    </row>
    <row r="81" spans="1:15" x14ac:dyDescent="0.2">
      <c r="A81" t="s">
        <v>190</v>
      </c>
      <c r="B81" t="s">
        <v>376</v>
      </c>
      <c r="C81">
        <v>6</v>
      </c>
      <c r="D81">
        <v>1</v>
      </c>
      <c r="E81">
        <v>5</v>
      </c>
      <c r="F81">
        <v>7</v>
      </c>
      <c r="G81">
        <v>1</v>
      </c>
      <c r="H81">
        <v>6</v>
      </c>
      <c r="I81">
        <v>5.0999999999999997E-2</v>
      </c>
      <c r="J81">
        <f t="shared" si="1"/>
        <v>0.78431372549019629</v>
      </c>
      <c r="K81">
        <v>4.0000000000000002E-4</v>
      </c>
      <c r="L81" t="s">
        <v>17</v>
      </c>
      <c r="M81">
        <v>296</v>
      </c>
      <c r="N81" t="s">
        <v>1097</v>
      </c>
      <c r="O81" t="s">
        <v>1184</v>
      </c>
    </row>
    <row r="82" spans="1:15" x14ac:dyDescent="0.2">
      <c r="A82" t="s">
        <v>190</v>
      </c>
      <c r="B82" t="s">
        <v>376</v>
      </c>
      <c r="C82">
        <v>6</v>
      </c>
      <c r="D82">
        <v>2</v>
      </c>
      <c r="E82">
        <v>5</v>
      </c>
      <c r="F82">
        <v>7</v>
      </c>
      <c r="G82">
        <v>2</v>
      </c>
      <c r="H82">
        <v>6</v>
      </c>
      <c r="I82">
        <v>4.48E-2</v>
      </c>
      <c r="J82">
        <f t="shared" si="1"/>
        <v>0.6696428571428571</v>
      </c>
      <c r="K82">
        <v>2.9999999999999997E-4</v>
      </c>
      <c r="L82" t="s">
        <v>17</v>
      </c>
      <c r="M82">
        <v>296</v>
      </c>
      <c r="N82" t="s">
        <v>1097</v>
      </c>
      <c r="O82" t="s">
        <v>1174</v>
      </c>
    </row>
    <row r="83" spans="1:15" x14ac:dyDescent="0.2">
      <c r="A83" t="s">
        <v>190</v>
      </c>
      <c r="B83" t="s">
        <v>376</v>
      </c>
      <c r="C83">
        <v>8</v>
      </c>
      <c r="D83">
        <v>2</v>
      </c>
      <c r="E83">
        <v>7</v>
      </c>
      <c r="F83">
        <v>7</v>
      </c>
      <c r="G83">
        <v>2</v>
      </c>
      <c r="H83">
        <v>6</v>
      </c>
      <c r="I83">
        <v>4.1500000000000002E-2</v>
      </c>
      <c r="J83">
        <f t="shared" si="1"/>
        <v>0.96385542168674687</v>
      </c>
      <c r="K83">
        <v>4.0000000000000002E-4</v>
      </c>
      <c r="L83" t="s">
        <v>17</v>
      </c>
      <c r="M83">
        <v>296</v>
      </c>
      <c r="N83" t="s">
        <v>1097</v>
      </c>
      <c r="O83" t="s">
        <v>1185</v>
      </c>
    </row>
    <row r="84" spans="1:15" x14ac:dyDescent="0.2">
      <c r="A84" t="s">
        <v>190</v>
      </c>
      <c r="B84" t="s">
        <v>376</v>
      </c>
      <c r="C84">
        <v>8</v>
      </c>
      <c r="D84">
        <v>2</v>
      </c>
      <c r="E84">
        <v>6</v>
      </c>
      <c r="F84">
        <v>7</v>
      </c>
      <c r="G84">
        <v>2</v>
      </c>
      <c r="H84">
        <v>5</v>
      </c>
      <c r="I84">
        <v>4.8899999999999999E-2</v>
      </c>
      <c r="J84">
        <f t="shared" si="1"/>
        <v>0.61349693251533732</v>
      </c>
      <c r="K84">
        <v>2.9999999999999997E-4</v>
      </c>
      <c r="L84" t="s">
        <v>17</v>
      </c>
      <c r="M84">
        <v>296</v>
      </c>
      <c r="N84" t="s">
        <v>1097</v>
      </c>
      <c r="O84" t="s">
        <v>1186</v>
      </c>
    </row>
    <row r="85" spans="1:15" x14ac:dyDescent="0.2">
      <c r="A85" t="s">
        <v>190</v>
      </c>
      <c r="B85" t="s">
        <v>376</v>
      </c>
      <c r="C85">
        <v>6</v>
      </c>
      <c r="D85">
        <v>3</v>
      </c>
      <c r="E85">
        <v>4</v>
      </c>
      <c r="F85">
        <v>7</v>
      </c>
      <c r="G85">
        <v>3</v>
      </c>
      <c r="H85">
        <v>5</v>
      </c>
      <c r="I85">
        <v>4.3299999999999998E-2</v>
      </c>
      <c r="J85">
        <f t="shared" si="1"/>
        <v>0.92378752886836046</v>
      </c>
      <c r="K85">
        <v>4.0000000000000002E-4</v>
      </c>
      <c r="L85" t="s">
        <v>17</v>
      </c>
      <c r="M85">
        <v>296</v>
      </c>
      <c r="N85" t="s">
        <v>1097</v>
      </c>
      <c r="O85" t="s">
        <v>1187</v>
      </c>
    </row>
    <row r="86" spans="1:15" x14ac:dyDescent="0.2">
      <c r="A86" t="s">
        <v>190</v>
      </c>
      <c r="B86" t="s">
        <v>376</v>
      </c>
      <c r="C86">
        <v>8</v>
      </c>
      <c r="D86">
        <v>3</v>
      </c>
      <c r="E86">
        <v>6</v>
      </c>
      <c r="F86">
        <v>7</v>
      </c>
      <c r="G86">
        <v>3</v>
      </c>
      <c r="H86">
        <v>5</v>
      </c>
      <c r="I86">
        <v>4.3299999999999998E-2</v>
      </c>
      <c r="J86">
        <f t="shared" si="1"/>
        <v>0.69284064665127021</v>
      </c>
      <c r="K86">
        <v>2.9999999999999997E-4</v>
      </c>
      <c r="L86" t="s">
        <v>17</v>
      </c>
      <c r="M86">
        <v>296</v>
      </c>
      <c r="N86" t="s">
        <v>1097</v>
      </c>
      <c r="O86" t="s">
        <v>1188</v>
      </c>
    </row>
    <row r="87" spans="1:15" x14ac:dyDescent="0.2">
      <c r="A87" t="s">
        <v>190</v>
      </c>
      <c r="B87" t="s">
        <v>376</v>
      </c>
      <c r="C87">
        <v>6</v>
      </c>
      <c r="D87">
        <v>4</v>
      </c>
      <c r="E87">
        <v>2</v>
      </c>
      <c r="F87">
        <v>7</v>
      </c>
      <c r="G87">
        <v>4</v>
      </c>
      <c r="H87">
        <v>3</v>
      </c>
      <c r="I87">
        <v>4.3099999999999999E-2</v>
      </c>
      <c r="J87">
        <f t="shared" si="1"/>
        <v>0.92807424593967536</v>
      </c>
      <c r="K87">
        <v>4.0000000000000002E-4</v>
      </c>
      <c r="L87" t="s">
        <v>17</v>
      </c>
      <c r="M87">
        <v>296</v>
      </c>
      <c r="N87" t="s">
        <v>1097</v>
      </c>
      <c r="O87" t="s">
        <v>1189</v>
      </c>
    </row>
    <row r="88" spans="1:15" x14ac:dyDescent="0.2">
      <c r="A88" t="s">
        <v>190</v>
      </c>
      <c r="B88" t="s">
        <v>376</v>
      </c>
      <c r="C88">
        <v>9</v>
      </c>
      <c r="D88">
        <v>0</v>
      </c>
      <c r="E88">
        <v>9</v>
      </c>
      <c r="F88">
        <v>8</v>
      </c>
      <c r="G88">
        <v>0</v>
      </c>
      <c r="H88">
        <v>8</v>
      </c>
      <c r="I88">
        <v>3.4500000000000003E-2</v>
      </c>
      <c r="J88">
        <f t="shared" si="1"/>
        <v>1.1594202898550725</v>
      </c>
      <c r="K88">
        <v>4.0000000000000002E-4</v>
      </c>
      <c r="L88" t="s">
        <v>17</v>
      </c>
      <c r="M88">
        <v>296</v>
      </c>
      <c r="N88" t="s">
        <v>1097</v>
      </c>
      <c r="O88" t="s">
        <v>1190</v>
      </c>
    </row>
    <row r="89" spans="1:15" x14ac:dyDescent="0.2">
      <c r="A89" t="s">
        <v>190</v>
      </c>
      <c r="B89" t="s">
        <v>376</v>
      </c>
      <c r="C89">
        <v>9</v>
      </c>
      <c r="D89">
        <v>1</v>
      </c>
      <c r="E89">
        <v>9</v>
      </c>
      <c r="F89">
        <v>8</v>
      </c>
      <c r="G89">
        <v>1</v>
      </c>
      <c r="H89">
        <v>8</v>
      </c>
      <c r="I89">
        <v>3.4599999999999999E-2</v>
      </c>
      <c r="J89">
        <f t="shared" si="1"/>
        <v>0.86705202312138718</v>
      </c>
      <c r="K89">
        <v>2.9999999999999997E-4</v>
      </c>
      <c r="L89" t="s">
        <v>17</v>
      </c>
      <c r="M89">
        <v>296</v>
      </c>
      <c r="N89" t="s">
        <v>1097</v>
      </c>
      <c r="O89" t="s">
        <v>1191</v>
      </c>
    </row>
    <row r="90" spans="1:15" x14ac:dyDescent="0.2">
      <c r="A90" t="s">
        <v>190</v>
      </c>
      <c r="B90" t="s">
        <v>376</v>
      </c>
      <c r="C90">
        <v>9</v>
      </c>
      <c r="D90">
        <v>1</v>
      </c>
      <c r="E90">
        <v>8</v>
      </c>
      <c r="F90">
        <v>8</v>
      </c>
      <c r="G90">
        <v>1</v>
      </c>
      <c r="H90">
        <v>7</v>
      </c>
      <c r="I90">
        <v>4.0800000000000003E-2</v>
      </c>
      <c r="J90">
        <f t="shared" si="1"/>
        <v>0.98039215686274506</v>
      </c>
      <c r="K90">
        <v>4.0000000000000002E-4</v>
      </c>
      <c r="L90" t="s">
        <v>17</v>
      </c>
      <c r="M90">
        <v>296</v>
      </c>
      <c r="N90" t="s">
        <v>1097</v>
      </c>
      <c r="O90" t="s">
        <v>1192</v>
      </c>
    </row>
    <row r="91" spans="1:15" x14ac:dyDescent="0.2">
      <c r="A91" t="s">
        <v>190</v>
      </c>
      <c r="B91" t="s">
        <v>376</v>
      </c>
      <c r="C91">
        <v>8</v>
      </c>
      <c r="D91">
        <v>2</v>
      </c>
      <c r="E91">
        <v>6</v>
      </c>
      <c r="F91">
        <v>8</v>
      </c>
      <c r="G91">
        <v>2</v>
      </c>
      <c r="H91">
        <v>7</v>
      </c>
      <c r="I91">
        <v>5.0200000000000002E-2</v>
      </c>
      <c r="J91">
        <f t="shared" si="1"/>
        <v>0.59760956175298796</v>
      </c>
      <c r="K91">
        <v>2.9999999999999997E-4</v>
      </c>
      <c r="L91" t="s">
        <v>17</v>
      </c>
      <c r="M91">
        <v>296</v>
      </c>
      <c r="N91" t="s">
        <v>1097</v>
      </c>
      <c r="O91" t="s">
        <v>1193</v>
      </c>
    </row>
    <row r="92" spans="1:15" x14ac:dyDescent="0.2">
      <c r="A92" t="s">
        <v>190</v>
      </c>
      <c r="B92" t="s">
        <v>376</v>
      </c>
      <c r="C92">
        <v>9</v>
      </c>
      <c r="D92">
        <v>2</v>
      </c>
      <c r="E92">
        <v>8</v>
      </c>
      <c r="F92">
        <v>8</v>
      </c>
      <c r="G92">
        <v>2</v>
      </c>
      <c r="H92">
        <v>7</v>
      </c>
      <c r="I92">
        <v>3.78E-2</v>
      </c>
      <c r="J92">
        <f t="shared" si="1"/>
        <v>1.0582010582010584</v>
      </c>
      <c r="K92">
        <v>4.0000000000000002E-4</v>
      </c>
      <c r="L92" t="s">
        <v>17</v>
      </c>
      <c r="M92">
        <v>296</v>
      </c>
      <c r="N92" t="s">
        <v>1097</v>
      </c>
      <c r="O92" t="s">
        <v>1194</v>
      </c>
    </row>
    <row r="93" spans="1:15" x14ac:dyDescent="0.2">
      <c r="A93" t="s">
        <v>190</v>
      </c>
      <c r="B93" t="s">
        <v>376</v>
      </c>
      <c r="C93">
        <v>7</v>
      </c>
      <c r="D93">
        <v>3</v>
      </c>
      <c r="E93">
        <v>5</v>
      </c>
      <c r="F93">
        <v>8</v>
      </c>
      <c r="G93">
        <v>3</v>
      </c>
      <c r="H93">
        <v>6</v>
      </c>
      <c r="I93">
        <v>4.3200000000000002E-2</v>
      </c>
      <c r="J93">
        <f t="shared" si="1"/>
        <v>0.69444444444444431</v>
      </c>
      <c r="K93">
        <v>2.9999999999999997E-4</v>
      </c>
      <c r="L93" t="s">
        <v>17</v>
      </c>
      <c r="M93">
        <v>296</v>
      </c>
      <c r="N93" t="s">
        <v>1097</v>
      </c>
      <c r="O93" t="s">
        <v>1195</v>
      </c>
    </row>
    <row r="94" spans="1:15" x14ac:dyDescent="0.2">
      <c r="A94" t="s">
        <v>190</v>
      </c>
      <c r="B94" t="s">
        <v>376</v>
      </c>
      <c r="C94">
        <v>8</v>
      </c>
      <c r="D94">
        <v>0</v>
      </c>
      <c r="E94">
        <v>8</v>
      </c>
      <c r="F94">
        <v>9</v>
      </c>
      <c r="G94">
        <v>0</v>
      </c>
      <c r="H94">
        <v>9</v>
      </c>
      <c r="I94">
        <v>3.61E-2</v>
      </c>
      <c r="J94">
        <f t="shared" si="1"/>
        <v>1.10803324099723</v>
      </c>
      <c r="K94">
        <v>4.0000000000000002E-4</v>
      </c>
      <c r="L94" t="s">
        <v>17</v>
      </c>
      <c r="M94">
        <v>296</v>
      </c>
      <c r="N94" t="s">
        <v>1097</v>
      </c>
      <c r="O94" t="s">
        <v>1196</v>
      </c>
    </row>
    <row r="95" spans="1:15" x14ac:dyDescent="0.2">
      <c r="A95" t="s">
        <v>190</v>
      </c>
      <c r="B95" t="s">
        <v>376</v>
      </c>
      <c r="C95">
        <v>10</v>
      </c>
      <c r="D95">
        <v>0</v>
      </c>
      <c r="E95">
        <v>10</v>
      </c>
      <c r="F95">
        <v>9</v>
      </c>
      <c r="G95">
        <v>0</v>
      </c>
      <c r="H95">
        <v>9</v>
      </c>
      <c r="I95">
        <v>3.2399999999999998E-2</v>
      </c>
      <c r="J95">
        <f t="shared" si="1"/>
        <v>0.92592592592592582</v>
      </c>
      <c r="K95">
        <v>2.9999999999999997E-4</v>
      </c>
      <c r="L95" t="s">
        <v>17</v>
      </c>
      <c r="M95">
        <v>296</v>
      </c>
      <c r="N95" t="s">
        <v>1097</v>
      </c>
      <c r="O95" t="s">
        <v>1197</v>
      </c>
    </row>
    <row r="96" spans="1:15" x14ac:dyDescent="0.2">
      <c r="A96" t="s">
        <v>190</v>
      </c>
      <c r="B96" t="s">
        <v>376</v>
      </c>
      <c r="C96">
        <v>8</v>
      </c>
      <c r="D96">
        <v>1</v>
      </c>
      <c r="E96">
        <v>8</v>
      </c>
      <c r="F96">
        <v>9</v>
      </c>
      <c r="G96">
        <v>1</v>
      </c>
      <c r="H96">
        <v>9</v>
      </c>
      <c r="I96">
        <v>3.7699999999999997E-2</v>
      </c>
      <c r="J96">
        <f t="shared" si="1"/>
        <v>1.0610079575596818</v>
      </c>
      <c r="K96">
        <v>4.0000000000000002E-4</v>
      </c>
      <c r="L96" t="s">
        <v>17</v>
      </c>
      <c r="M96">
        <v>296</v>
      </c>
      <c r="N96" t="s">
        <v>1097</v>
      </c>
      <c r="O96" t="s">
        <v>1164</v>
      </c>
    </row>
    <row r="97" spans="1:15" x14ac:dyDescent="0.2">
      <c r="A97" t="s">
        <v>190</v>
      </c>
      <c r="B97" t="s">
        <v>376</v>
      </c>
      <c r="C97">
        <v>10</v>
      </c>
      <c r="D97">
        <v>1</v>
      </c>
      <c r="E97">
        <v>10</v>
      </c>
      <c r="F97">
        <v>9</v>
      </c>
      <c r="G97">
        <v>1</v>
      </c>
      <c r="H97">
        <v>9</v>
      </c>
      <c r="I97">
        <v>3.1099999999999999E-2</v>
      </c>
      <c r="J97">
        <f t="shared" si="1"/>
        <v>0.96463022508038576</v>
      </c>
      <c r="K97">
        <v>2.9999999999999997E-4</v>
      </c>
      <c r="L97" t="s">
        <v>17</v>
      </c>
      <c r="M97">
        <v>296</v>
      </c>
      <c r="N97" t="s">
        <v>1097</v>
      </c>
      <c r="O97" t="s">
        <v>1198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AA33-A6F5-7E46-ADA2-796C9CE3A158}">
  <dimension ref="A1:O98"/>
  <sheetViews>
    <sheetView workbookViewId="0">
      <selection activeCell="R82" sqref="R8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376</v>
      </c>
      <c r="C2">
        <v>4</v>
      </c>
      <c r="D2">
        <v>4</v>
      </c>
      <c r="E2">
        <v>0</v>
      </c>
      <c r="F2">
        <v>3</v>
      </c>
      <c r="G2">
        <v>2</v>
      </c>
      <c r="H2">
        <v>1</v>
      </c>
      <c r="I2">
        <v>3.8899999999999997E-2</v>
      </c>
      <c r="J2">
        <f>K2/I2*100</f>
        <v>1.0282776349614398</v>
      </c>
      <c r="K2">
        <v>4.0000000000000002E-4</v>
      </c>
      <c r="L2" t="s">
        <v>17</v>
      </c>
      <c r="M2">
        <v>296</v>
      </c>
      <c r="N2" t="s">
        <v>1032</v>
      </c>
      <c r="O2" t="s">
        <v>1199</v>
      </c>
    </row>
    <row r="3" spans="1:15" x14ac:dyDescent="0.2">
      <c r="A3" t="s">
        <v>190</v>
      </c>
      <c r="B3" t="s">
        <v>376</v>
      </c>
      <c r="C3">
        <v>5</v>
      </c>
      <c r="D3">
        <v>5</v>
      </c>
      <c r="E3">
        <v>1</v>
      </c>
      <c r="F3">
        <v>4</v>
      </c>
      <c r="G3">
        <v>3</v>
      </c>
      <c r="H3">
        <v>2</v>
      </c>
      <c r="I3">
        <v>3.1800000000000002E-2</v>
      </c>
      <c r="J3">
        <f t="shared" ref="J3:J66" si="0">K3/I3*100</f>
        <v>1.257861635220126</v>
      </c>
      <c r="K3">
        <v>4.0000000000000002E-4</v>
      </c>
      <c r="L3" t="s">
        <v>17</v>
      </c>
      <c r="M3">
        <v>296</v>
      </c>
      <c r="N3" t="s">
        <v>1032</v>
      </c>
      <c r="O3" t="s">
        <v>1199</v>
      </c>
    </row>
    <row r="4" spans="1:15" x14ac:dyDescent="0.2">
      <c r="A4" t="s">
        <v>190</v>
      </c>
      <c r="B4" t="s">
        <v>376</v>
      </c>
      <c r="C4">
        <v>5</v>
      </c>
      <c r="D4">
        <v>5</v>
      </c>
      <c r="E4">
        <v>0</v>
      </c>
      <c r="F4">
        <v>4</v>
      </c>
      <c r="G4">
        <v>3</v>
      </c>
      <c r="H4">
        <v>1</v>
      </c>
      <c r="I4">
        <v>3.1699999999999999E-2</v>
      </c>
      <c r="J4">
        <f t="shared" si="0"/>
        <v>0.63091482649842279</v>
      </c>
      <c r="K4">
        <v>2.0000000000000001E-4</v>
      </c>
      <c r="L4" t="s">
        <v>17</v>
      </c>
      <c r="M4">
        <v>296</v>
      </c>
      <c r="N4" t="s">
        <v>1032</v>
      </c>
      <c r="O4" t="s">
        <v>1199</v>
      </c>
    </row>
    <row r="5" spans="1:15" x14ac:dyDescent="0.2">
      <c r="A5" t="s">
        <v>190</v>
      </c>
      <c r="B5" t="s">
        <v>376</v>
      </c>
      <c r="C5">
        <v>6</v>
      </c>
      <c r="D5">
        <v>3</v>
      </c>
      <c r="E5">
        <v>4</v>
      </c>
      <c r="F5">
        <v>5</v>
      </c>
      <c r="G5">
        <v>1</v>
      </c>
      <c r="H5">
        <v>5</v>
      </c>
      <c r="I5">
        <v>4.7800000000000002E-2</v>
      </c>
      <c r="J5">
        <f t="shared" si="0"/>
        <v>1.0460251046025104</v>
      </c>
      <c r="K5">
        <v>5.0000000000000001E-4</v>
      </c>
      <c r="L5" t="s">
        <v>17</v>
      </c>
      <c r="M5">
        <v>296</v>
      </c>
      <c r="N5" t="s">
        <v>1032</v>
      </c>
      <c r="O5" t="s">
        <v>1199</v>
      </c>
    </row>
    <row r="6" spans="1:15" x14ac:dyDescent="0.2">
      <c r="A6" t="s">
        <v>190</v>
      </c>
      <c r="B6" t="s">
        <v>376</v>
      </c>
      <c r="C6">
        <v>6</v>
      </c>
      <c r="D6">
        <v>4</v>
      </c>
      <c r="E6">
        <v>3</v>
      </c>
      <c r="F6">
        <v>5</v>
      </c>
      <c r="G6">
        <v>2</v>
      </c>
      <c r="H6">
        <v>4</v>
      </c>
      <c r="I6">
        <v>3.9699999999999999E-2</v>
      </c>
      <c r="J6">
        <f t="shared" si="0"/>
        <v>1.0075566750629725</v>
      </c>
      <c r="K6">
        <v>4.0000000000000002E-4</v>
      </c>
      <c r="L6" t="s">
        <v>17</v>
      </c>
      <c r="M6">
        <v>296</v>
      </c>
      <c r="N6" t="s">
        <v>1032</v>
      </c>
      <c r="O6" t="s">
        <v>1199</v>
      </c>
    </row>
    <row r="7" spans="1:15" x14ac:dyDescent="0.2">
      <c r="A7" t="s">
        <v>190</v>
      </c>
      <c r="B7" t="s">
        <v>376</v>
      </c>
      <c r="C7">
        <v>6</v>
      </c>
      <c r="D7">
        <v>5</v>
      </c>
      <c r="E7">
        <v>2</v>
      </c>
      <c r="F7">
        <v>5</v>
      </c>
      <c r="G7">
        <v>3</v>
      </c>
      <c r="H7">
        <v>3</v>
      </c>
      <c r="I7">
        <v>3.2000000000000001E-2</v>
      </c>
      <c r="J7">
        <f t="shared" si="0"/>
        <v>0.9375</v>
      </c>
      <c r="K7">
        <v>2.9999999999999997E-4</v>
      </c>
      <c r="L7" t="s">
        <v>17</v>
      </c>
      <c r="M7">
        <v>296</v>
      </c>
      <c r="N7" t="s">
        <v>1032</v>
      </c>
      <c r="O7" t="s">
        <v>1199</v>
      </c>
    </row>
    <row r="8" spans="1:15" x14ac:dyDescent="0.2">
      <c r="A8" t="s">
        <v>190</v>
      </c>
      <c r="B8" t="s">
        <v>376</v>
      </c>
      <c r="C8">
        <v>6</v>
      </c>
      <c r="D8">
        <v>5</v>
      </c>
      <c r="E8">
        <v>1</v>
      </c>
      <c r="F8">
        <v>5</v>
      </c>
      <c r="G8">
        <v>3</v>
      </c>
      <c r="H8">
        <v>2</v>
      </c>
      <c r="I8">
        <v>3.3700000000000001E-2</v>
      </c>
      <c r="J8">
        <f t="shared" si="0"/>
        <v>0.59347181008902083</v>
      </c>
      <c r="K8">
        <v>2.0000000000000001E-4</v>
      </c>
      <c r="L8" t="s">
        <v>17</v>
      </c>
      <c r="M8">
        <v>296</v>
      </c>
      <c r="N8" t="s">
        <v>1032</v>
      </c>
      <c r="O8" t="s">
        <v>1199</v>
      </c>
    </row>
    <row r="9" spans="1:15" x14ac:dyDescent="0.2">
      <c r="A9" t="s">
        <v>190</v>
      </c>
      <c r="B9" t="s">
        <v>376</v>
      </c>
      <c r="C9">
        <v>6</v>
      </c>
      <c r="D9">
        <v>6</v>
      </c>
      <c r="E9">
        <v>1</v>
      </c>
      <c r="F9">
        <v>5</v>
      </c>
      <c r="G9">
        <v>4</v>
      </c>
      <c r="H9">
        <v>2</v>
      </c>
      <c r="I9">
        <v>2.5899999999999999E-2</v>
      </c>
      <c r="J9">
        <f t="shared" si="0"/>
        <v>1.1583011583011582</v>
      </c>
      <c r="K9">
        <v>2.9999999999999997E-4</v>
      </c>
      <c r="L9" t="s">
        <v>17</v>
      </c>
      <c r="M9">
        <v>296</v>
      </c>
      <c r="N9" t="s">
        <v>1032</v>
      </c>
      <c r="O9" t="s">
        <v>1199</v>
      </c>
    </row>
    <row r="10" spans="1:15" x14ac:dyDescent="0.2">
      <c r="A10" t="s">
        <v>190</v>
      </c>
      <c r="B10" t="s">
        <v>376</v>
      </c>
      <c r="C10">
        <v>6</v>
      </c>
      <c r="D10">
        <v>6</v>
      </c>
      <c r="E10">
        <v>0</v>
      </c>
      <c r="F10">
        <v>5</v>
      </c>
      <c r="G10">
        <v>4</v>
      </c>
      <c r="H10">
        <v>1</v>
      </c>
      <c r="I10">
        <v>2.5999999999999999E-2</v>
      </c>
      <c r="J10">
        <f t="shared" si="0"/>
        <v>0.76923076923076927</v>
      </c>
      <c r="K10">
        <v>2.0000000000000001E-4</v>
      </c>
      <c r="L10" t="s">
        <v>17</v>
      </c>
      <c r="M10">
        <v>296</v>
      </c>
      <c r="N10" t="s">
        <v>1032</v>
      </c>
      <c r="O10" t="s">
        <v>1199</v>
      </c>
    </row>
    <row r="11" spans="1:15" x14ac:dyDescent="0.2">
      <c r="A11" t="s">
        <v>190</v>
      </c>
      <c r="B11" t="s">
        <v>376</v>
      </c>
      <c r="C11">
        <v>7</v>
      </c>
      <c r="D11">
        <v>2</v>
      </c>
      <c r="E11">
        <v>5</v>
      </c>
      <c r="F11">
        <v>6</v>
      </c>
      <c r="G11">
        <v>0</v>
      </c>
      <c r="H11">
        <v>6</v>
      </c>
      <c r="I11">
        <v>4.99E-2</v>
      </c>
      <c r="J11">
        <f t="shared" si="0"/>
        <v>1.2024048096192383</v>
      </c>
      <c r="K11">
        <v>5.9999999999999995E-4</v>
      </c>
      <c r="L11" t="s">
        <v>17</v>
      </c>
      <c r="M11">
        <v>296</v>
      </c>
      <c r="N11" t="s">
        <v>1032</v>
      </c>
      <c r="O11" t="s">
        <v>1199</v>
      </c>
    </row>
    <row r="12" spans="1:15" x14ac:dyDescent="0.2">
      <c r="A12" t="s">
        <v>190</v>
      </c>
      <c r="B12" t="s">
        <v>376</v>
      </c>
      <c r="C12">
        <v>7</v>
      </c>
      <c r="D12">
        <v>3</v>
      </c>
      <c r="E12">
        <v>4</v>
      </c>
      <c r="F12">
        <v>6</v>
      </c>
      <c r="G12">
        <v>1</v>
      </c>
      <c r="H12">
        <v>5</v>
      </c>
      <c r="I12">
        <v>4.3499999999999997E-2</v>
      </c>
      <c r="J12">
        <f t="shared" si="0"/>
        <v>0.91954022988505768</v>
      </c>
      <c r="K12">
        <v>4.0000000000000002E-4</v>
      </c>
      <c r="L12" t="s">
        <v>17</v>
      </c>
      <c r="M12">
        <v>296</v>
      </c>
      <c r="N12" t="s">
        <v>1032</v>
      </c>
      <c r="O12" t="s">
        <v>1200</v>
      </c>
    </row>
    <row r="13" spans="1:15" x14ac:dyDescent="0.2">
      <c r="A13" t="s">
        <v>190</v>
      </c>
      <c r="B13" t="s">
        <v>376</v>
      </c>
      <c r="C13">
        <v>7</v>
      </c>
      <c r="D13">
        <v>4</v>
      </c>
      <c r="E13">
        <v>3</v>
      </c>
      <c r="F13">
        <v>6</v>
      </c>
      <c r="G13">
        <v>2</v>
      </c>
      <c r="H13">
        <v>4</v>
      </c>
      <c r="I13">
        <v>4.0300000000000002E-2</v>
      </c>
      <c r="J13">
        <f t="shared" si="0"/>
        <v>1.2406947890818858</v>
      </c>
      <c r="K13">
        <v>5.0000000000000001E-4</v>
      </c>
      <c r="L13" t="s">
        <v>17</v>
      </c>
      <c r="M13">
        <v>296</v>
      </c>
      <c r="N13" t="s">
        <v>1032</v>
      </c>
      <c r="O13" t="s">
        <v>1200</v>
      </c>
    </row>
    <row r="14" spans="1:15" x14ac:dyDescent="0.2">
      <c r="A14" t="s">
        <v>190</v>
      </c>
      <c r="B14" t="s">
        <v>376</v>
      </c>
      <c r="C14">
        <v>7</v>
      </c>
      <c r="D14">
        <v>5</v>
      </c>
      <c r="E14">
        <v>3</v>
      </c>
      <c r="F14">
        <v>6</v>
      </c>
      <c r="G14">
        <v>3</v>
      </c>
      <c r="H14">
        <v>4</v>
      </c>
      <c r="I14">
        <v>3.2899999999999999E-2</v>
      </c>
      <c r="J14">
        <f t="shared" si="0"/>
        <v>1.2158054711246202</v>
      </c>
      <c r="K14">
        <v>4.0000000000000002E-4</v>
      </c>
      <c r="L14" t="s">
        <v>17</v>
      </c>
      <c r="M14">
        <v>296</v>
      </c>
      <c r="N14" t="s">
        <v>1032</v>
      </c>
      <c r="O14" t="s">
        <v>1200</v>
      </c>
    </row>
    <row r="15" spans="1:15" x14ac:dyDescent="0.2">
      <c r="A15" t="s">
        <v>190</v>
      </c>
      <c r="B15" t="s">
        <v>376</v>
      </c>
      <c r="C15">
        <v>7</v>
      </c>
      <c r="D15">
        <v>5</v>
      </c>
      <c r="E15">
        <v>2</v>
      </c>
      <c r="F15">
        <v>6</v>
      </c>
      <c r="G15">
        <v>3</v>
      </c>
      <c r="H15">
        <v>3</v>
      </c>
      <c r="I15">
        <v>3.61E-2</v>
      </c>
      <c r="J15">
        <f t="shared" si="0"/>
        <v>0.83102493074792227</v>
      </c>
      <c r="K15">
        <v>2.9999999999999997E-4</v>
      </c>
      <c r="L15" t="s">
        <v>17</v>
      </c>
      <c r="M15">
        <v>296</v>
      </c>
      <c r="N15" t="s">
        <v>1032</v>
      </c>
      <c r="O15" t="s">
        <v>1201</v>
      </c>
    </row>
    <row r="16" spans="1:15" x14ac:dyDescent="0.2">
      <c r="A16" t="s">
        <v>190</v>
      </c>
      <c r="B16" t="s">
        <v>376</v>
      </c>
      <c r="C16">
        <v>7</v>
      </c>
      <c r="D16">
        <v>6</v>
      </c>
      <c r="E16">
        <v>2</v>
      </c>
      <c r="F16">
        <v>6</v>
      </c>
      <c r="G16">
        <v>4</v>
      </c>
      <c r="H16">
        <v>3</v>
      </c>
      <c r="I16">
        <v>2.69E-2</v>
      </c>
      <c r="J16">
        <f t="shared" si="0"/>
        <v>1.4869888475836432</v>
      </c>
      <c r="K16">
        <v>4.0000000000000002E-4</v>
      </c>
      <c r="L16" t="s">
        <v>17</v>
      </c>
      <c r="M16">
        <v>296</v>
      </c>
      <c r="N16" t="s">
        <v>1032</v>
      </c>
      <c r="O16" t="s">
        <v>1202</v>
      </c>
    </row>
    <row r="17" spans="1:15" x14ac:dyDescent="0.2">
      <c r="A17" t="s">
        <v>190</v>
      </c>
      <c r="B17" t="s">
        <v>376</v>
      </c>
      <c r="C17">
        <v>7</v>
      </c>
      <c r="D17">
        <v>6</v>
      </c>
      <c r="E17">
        <v>1</v>
      </c>
      <c r="F17">
        <v>6</v>
      </c>
      <c r="G17">
        <v>4</v>
      </c>
      <c r="H17">
        <v>2</v>
      </c>
      <c r="I17">
        <v>2.7900000000000001E-2</v>
      </c>
      <c r="J17">
        <f t="shared" si="0"/>
        <v>1.075268817204301</v>
      </c>
      <c r="K17">
        <v>2.9999999999999997E-4</v>
      </c>
      <c r="L17" t="s">
        <v>17</v>
      </c>
      <c r="M17">
        <v>296</v>
      </c>
      <c r="N17" t="s">
        <v>1032</v>
      </c>
      <c r="O17" t="s">
        <v>1203</v>
      </c>
    </row>
    <row r="18" spans="1:15" x14ac:dyDescent="0.2">
      <c r="A18" t="s">
        <v>190</v>
      </c>
      <c r="B18" t="s">
        <v>376</v>
      </c>
      <c r="C18">
        <v>8</v>
      </c>
      <c r="D18">
        <v>2</v>
      </c>
      <c r="E18">
        <v>6</v>
      </c>
      <c r="F18">
        <v>7</v>
      </c>
      <c r="G18">
        <v>0</v>
      </c>
      <c r="H18">
        <v>7</v>
      </c>
      <c r="I18">
        <v>4.58E-2</v>
      </c>
      <c r="J18">
        <f t="shared" si="0"/>
        <v>1.0917030567685588</v>
      </c>
      <c r="K18">
        <v>5.0000000000000001E-4</v>
      </c>
      <c r="L18" t="s">
        <v>17</v>
      </c>
      <c r="M18">
        <v>296</v>
      </c>
      <c r="N18" t="s">
        <v>1032</v>
      </c>
      <c r="O18" t="s">
        <v>1204</v>
      </c>
    </row>
    <row r="19" spans="1:15" x14ac:dyDescent="0.2">
      <c r="A19" t="s">
        <v>190</v>
      </c>
      <c r="B19" t="s">
        <v>376</v>
      </c>
      <c r="C19">
        <v>8</v>
      </c>
      <c r="D19">
        <v>3</v>
      </c>
      <c r="E19">
        <v>6</v>
      </c>
      <c r="F19">
        <v>7</v>
      </c>
      <c r="G19">
        <v>1</v>
      </c>
      <c r="H19">
        <v>7</v>
      </c>
      <c r="I19">
        <v>3.9399999999999998E-2</v>
      </c>
      <c r="J19">
        <f t="shared" si="0"/>
        <v>1.0152284263959392</v>
      </c>
      <c r="K19">
        <v>4.0000000000000002E-4</v>
      </c>
      <c r="L19" t="s">
        <v>17</v>
      </c>
      <c r="M19">
        <v>296</v>
      </c>
      <c r="N19" t="s">
        <v>1032</v>
      </c>
      <c r="O19" t="s">
        <v>1205</v>
      </c>
    </row>
    <row r="20" spans="1:15" x14ac:dyDescent="0.2">
      <c r="A20" t="s">
        <v>190</v>
      </c>
      <c r="B20" t="s">
        <v>376</v>
      </c>
      <c r="C20">
        <v>8</v>
      </c>
      <c r="D20">
        <v>5</v>
      </c>
      <c r="E20">
        <v>3</v>
      </c>
      <c r="F20">
        <v>7</v>
      </c>
      <c r="G20">
        <v>1</v>
      </c>
      <c r="H20">
        <v>6</v>
      </c>
      <c r="I20">
        <v>3.8399999999999997E-2</v>
      </c>
      <c r="J20">
        <f t="shared" si="0"/>
        <v>0.78125</v>
      </c>
      <c r="K20">
        <v>2.9999999999999997E-4</v>
      </c>
      <c r="L20" t="s">
        <v>17</v>
      </c>
      <c r="M20">
        <v>296</v>
      </c>
      <c r="N20" t="s">
        <v>1032</v>
      </c>
      <c r="O20" t="s">
        <v>1206</v>
      </c>
    </row>
    <row r="21" spans="1:15" x14ac:dyDescent="0.2">
      <c r="A21" t="s">
        <v>190</v>
      </c>
      <c r="B21" t="s">
        <v>376</v>
      </c>
      <c r="C21">
        <v>8</v>
      </c>
      <c r="D21">
        <v>4</v>
      </c>
      <c r="E21">
        <v>5</v>
      </c>
      <c r="F21">
        <v>7</v>
      </c>
      <c r="G21">
        <v>2</v>
      </c>
      <c r="H21">
        <v>6</v>
      </c>
      <c r="I21">
        <v>3.5200000000000002E-2</v>
      </c>
      <c r="J21">
        <f t="shared" si="0"/>
        <v>0.85227272727272718</v>
      </c>
      <c r="K21">
        <v>2.9999999999999997E-4</v>
      </c>
      <c r="L21" t="s">
        <v>17</v>
      </c>
      <c r="M21">
        <v>296</v>
      </c>
      <c r="N21" t="s">
        <v>1032</v>
      </c>
      <c r="O21" t="s">
        <v>1207</v>
      </c>
    </row>
    <row r="22" spans="1:15" x14ac:dyDescent="0.2">
      <c r="A22" t="s">
        <v>190</v>
      </c>
      <c r="B22" t="s">
        <v>376</v>
      </c>
      <c r="C22">
        <v>8</v>
      </c>
      <c r="D22">
        <v>5</v>
      </c>
      <c r="E22">
        <v>4</v>
      </c>
      <c r="F22">
        <v>7</v>
      </c>
      <c r="G22">
        <v>3</v>
      </c>
      <c r="H22">
        <v>5</v>
      </c>
      <c r="I22">
        <v>3.2300000000000002E-2</v>
      </c>
      <c r="J22">
        <f t="shared" si="0"/>
        <v>0.61919504643962842</v>
      </c>
      <c r="K22">
        <v>2.0000000000000001E-4</v>
      </c>
      <c r="L22" t="s">
        <v>17</v>
      </c>
      <c r="M22">
        <v>296</v>
      </c>
      <c r="N22" t="s">
        <v>1032</v>
      </c>
      <c r="O22" t="s">
        <v>1208</v>
      </c>
    </row>
    <row r="23" spans="1:15" x14ac:dyDescent="0.2">
      <c r="A23" t="s">
        <v>190</v>
      </c>
      <c r="B23" t="s">
        <v>376</v>
      </c>
      <c r="C23">
        <v>8</v>
      </c>
      <c r="D23">
        <v>5</v>
      </c>
      <c r="E23">
        <v>3</v>
      </c>
      <c r="F23">
        <v>7</v>
      </c>
      <c r="G23">
        <v>3</v>
      </c>
      <c r="H23">
        <v>4</v>
      </c>
      <c r="I23">
        <v>3.7199999999999997E-2</v>
      </c>
      <c r="J23">
        <f t="shared" si="0"/>
        <v>1.0752688172043012</v>
      </c>
      <c r="K23">
        <v>4.0000000000000002E-4</v>
      </c>
      <c r="L23" t="s">
        <v>17</v>
      </c>
      <c r="M23">
        <v>296</v>
      </c>
      <c r="N23" t="s">
        <v>1032</v>
      </c>
      <c r="O23" t="s">
        <v>1209</v>
      </c>
    </row>
    <row r="24" spans="1:15" x14ac:dyDescent="0.2">
      <c r="A24" t="s">
        <v>190</v>
      </c>
      <c r="B24" t="s">
        <v>376</v>
      </c>
      <c r="C24">
        <v>8</v>
      </c>
      <c r="D24">
        <v>6</v>
      </c>
      <c r="E24">
        <v>3</v>
      </c>
      <c r="F24">
        <v>7</v>
      </c>
      <c r="G24">
        <v>4</v>
      </c>
      <c r="H24">
        <v>4</v>
      </c>
      <c r="I24">
        <v>2.8400000000000002E-2</v>
      </c>
      <c r="J24">
        <f t="shared" si="0"/>
        <v>1.0563380281690138</v>
      </c>
      <c r="K24">
        <v>2.9999999999999997E-4</v>
      </c>
      <c r="L24" t="s">
        <v>17</v>
      </c>
      <c r="M24">
        <v>296</v>
      </c>
      <c r="N24" t="s">
        <v>1032</v>
      </c>
      <c r="O24" t="s">
        <v>1210</v>
      </c>
    </row>
    <row r="25" spans="1:15" x14ac:dyDescent="0.2">
      <c r="A25" t="s">
        <v>190</v>
      </c>
      <c r="B25" t="s">
        <v>376</v>
      </c>
      <c r="C25">
        <v>8</v>
      </c>
      <c r="D25">
        <v>6</v>
      </c>
      <c r="E25">
        <v>2</v>
      </c>
      <c r="F25">
        <v>7</v>
      </c>
      <c r="G25">
        <v>4</v>
      </c>
      <c r="H25">
        <v>3</v>
      </c>
      <c r="I25">
        <v>2.98E-2</v>
      </c>
      <c r="J25">
        <f t="shared" si="0"/>
        <v>1.006711409395973</v>
      </c>
      <c r="K25">
        <v>2.9999999999999997E-4</v>
      </c>
      <c r="L25" t="s">
        <v>17</v>
      </c>
      <c r="M25">
        <v>296</v>
      </c>
      <c r="N25" t="s">
        <v>1032</v>
      </c>
      <c r="O25" t="s">
        <v>1211</v>
      </c>
    </row>
    <row r="26" spans="1:15" x14ac:dyDescent="0.2">
      <c r="A26" t="s">
        <v>190</v>
      </c>
      <c r="B26" t="s">
        <v>376</v>
      </c>
      <c r="C26">
        <v>9</v>
      </c>
      <c r="D26">
        <v>2</v>
      </c>
      <c r="E26">
        <v>7</v>
      </c>
      <c r="F26">
        <v>8</v>
      </c>
      <c r="G26">
        <v>0</v>
      </c>
      <c r="H26">
        <v>8</v>
      </c>
      <c r="I26">
        <v>3.9899999999999998E-2</v>
      </c>
      <c r="J26">
        <f t="shared" si="0"/>
        <v>1.0025062656641606</v>
      </c>
      <c r="K26">
        <v>4.0000000000000002E-4</v>
      </c>
      <c r="L26" t="s">
        <v>17</v>
      </c>
      <c r="M26">
        <v>296</v>
      </c>
      <c r="N26" t="s">
        <v>1032</v>
      </c>
      <c r="O26" t="s">
        <v>1212</v>
      </c>
    </row>
    <row r="27" spans="1:15" x14ac:dyDescent="0.2">
      <c r="A27" t="s">
        <v>190</v>
      </c>
      <c r="B27" t="s">
        <v>376</v>
      </c>
      <c r="C27">
        <v>9</v>
      </c>
      <c r="D27">
        <v>3</v>
      </c>
      <c r="E27">
        <v>7</v>
      </c>
      <c r="F27">
        <v>8</v>
      </c>
      <c r="G27">
        <v>1</v>
      </c>
      <c r="H27">
        <v>8</v>
      </c>
      <c r="I27">
        <v>3.4599999999999999E-2</v>
      </c>
      <c r="J27">
        <f t="shared" si="0"/>
        <v>1.1560693641618498</v>
      </c>
      <c r="K27">
        <v>4.0000000000000002E-4</v>
      </c>
      <c r="L27" t="s">
        <v>17</v>
      </c>
      <c r="M27">
        <v>296</v>
      </c>
      <c r="N27" t="s">
        <v>1032</v>
      </c>
      <c r="O27" t="s">
        <v>1213</v>
      </c>
    </row>
    <row r="28" spans="1:15" x14ac:dyDescent="0.2">
      <c r="A28" t="s">
        <v>190</v>
      </c>
      <c r="B28" t="s">
        <v>376</v>
      </c>
      <c r="C28">
        <v>9</v>
      </c>
      <c r="D28">
        <v>3</v>
      </c>
      <c r="E28">
        <v>6</v>
      </c>
      <c r="F28">
        <v>8</v>
      </c>
      <c r="G28">
        <v>1</v>
      </c>
      <c r="H28">
        <v>7</v>
      </c>
      <c r="I28">
        <v>4.1700000000000001E-2</v>
      </c>
      <c r="J28">
        <f t="shared" si="0"/>
        <v>0.95923261390887304</v>
      </c>
      <c r="K28">
        <v>4.0000000000000002E-4</v>
      </c>
      <c r="L28" t="s">
        <v>17</v>
      </c>
      <c r="M28">
        <v>296</v>
      </c>
      <c r="N28" t="s">
        <v>1032</v>
      </c>
      <c r="O28" t="s">
        <v>1214</v>
      </c>
    </row>
    <row r="29" spans="1:15" x14ac:dyDescent="0.2">
      <c r="A29" t="s">
        <v>190</v>
      </c>
      <c r="B29" t="s">
        <v>376</v>
      </c>
      <c r="C29">
        <v>9</v>
      </c>
      <c r="D29">
        <v>4</v>
      </c>
      <c r="E29">
        <v>6</v>
      </c>
      <c r="F29">
        <v>8</v>
      </c>
      <c r="G29">
        <v>2</v>
      </c>
      <c r="H29">
        <v>7</v>
      </c>
      <c r="I29">
        <v>3.2599999999999997E-2</v>
      </c>
      <c r="J29">
        <f t="shared" si="0"/>
        <v>0.92024539877300615</v>
      </c>
      <c r="K29">
        <v>2.9999999999999997E-4</v>
      </c>
      <c r="L29" t="s">
        <v>17</v>
      </c>
      <c r="M29">
        <v>296</v>
      </c>
      <c r="N29" t="s">
        <v>1032</v>
      </c>
      <c r="O29" t="s">
        <v>620</v>
      </c>
    </row>
    <row r="30" spans="1:15" x14ac:dyDescent="0.2">
      <c r="A30" t="s">
        <v>190</v>
      </c>
      <c r="B30" t="s">
        <v>376</v>
      </c>
      <c r="C30">
        <v>9</v>
      </c>
      <c r="D30">
        <v>4</v>
      </c>
      <c r="E30">
        <v>5</v>
      </c>
      <c r="F30">
        <v>8</v>
      </c>
      <c r="G30">
        <v>2</v>
      </c>
      <c r="H30">
        <v>6</v>
      </c>
      <c r="I30">
        <v>3.7400000000000003E-2</v>
      </c>
      <c r="J30">
        <f t="shared" si="0"/>
        <v>1.0695187165775399</v>
      </c>
      <c r="K30">
        <v>4.0000000000000002E-4</v>
      </c>
      <c r="L30" t="s">
        <v>17</v>
      </c>
      <c r="M30">
        <v>296</v>
      </c>
      <c r="N30" t="s">
        <v>1032</v>
      </c>
      <c r="O30" t="s">
        <v>1215</v>
      </c>
    </row>
    <row r="31" spans="1:15" x14ac:dyDescent="0.2">
      <c r="A31" t="s">
        <v>190</v>
      </c>
      <c r="B31" t="s">
        <v>376</v>
      </c>
      <c r="C31">
        <v>9</v>
      </c>
      <c r="D31">
        <v>5</v>
      </c>
      <c r="E31">
        <v>5</v>
      </c>
      <c r="F31">
        <v>8</v>
      </c>
      <c r="G31">
        <v>3</v>
      </c>
      <c r="H31">
        <v>6</v>
      </c>
      <c r="I31">
        <v>3.1E-2</v>
      </c>
      <c r="J31">
        <f t="shared" si="0"/>
        <v>1.2903225806451613</v>
      </c>
      <c r="K31">
        <v>4.0000000000000002E-4</v>
      </c>
      <c r="L31" t="s">
        <v>17</v>
      </c>
      <c r="M31">
        <v>296</v>
      </c>
      <c r="N31" t="s">
        <v>1032</v>
      </c>
      <c r="O31" t="s">
        <v>1216</v>
      </c>
    </row>
    <row r="32" spans="1:15" x14ac:dyDescent="0.2">
      <c r="A32" t="s">
        <v>190</v>
      </c>
      <c r="B32" t="s">
        <v>376</v>
      </c>
      <c r="C32">
        <v>9</v>
      </c>
      <c r="D32">
        <v>5</v>
      </c>
      <c r="E32">
        <v>4</v>
      </c>
      <c r="F32">
        <v>8</v>
      </c>
      <c r="G32">
        <v>3</v>
      </c>
      <c r="H32">
        <v>5</v>
      </c>
      <c r="I32">
        <v>3.7499999999999999E-2</v>
      </c>
      <c r="J32">
        <f t="shared" si="0"/>
        <v>1.0666666666666669</v>
      </c>
      <c r="K32">
        <v>4.0000000000000002E-4</v>
      </c>
      <c r="L32" t="s">
        <v>17</v>
      </c>
      <c r="M32">
        <v>296</v>
      </c>
      <c r="N32" t="s">
        <v>1032</v>
      </c>
      <c r="O32" t="s">
        <v>1217</v>
      </c>
    </row>
    <row r="33" spans="1:15" x14ac:dyDescent="0.2">
      <c r="A33" t="s">
        <v>190</v>
      </c>
      <c r="B33" t="s">
        <v>376</v>
      </c>
      <c r="C33">
        <v>9</v>
      </c>
      <c r="D33">
        <v>6</v>
      </c>
      <c r="E33">
        <v>4</v>
      </c>
      <c r="F33">
        <v>8</v>
      </c>
      <c r="G33">
        <v>4</v>
      </c>
      <c r="H33">
        <v>5</v>
      </c>
      <c r="I33">
        <v>2.8500000000000001E-2</v>
      </c>
      <c r="J33">
        <f t="shared" si="0"/>
        <v>0.70175438596491224</v>
      </c>
      <c r="K33">
        <v>2.0000000000000001E-4</v>
      </c>
      <c r="L33" t="s">
        <v>17</v>
      </c>
      <c r="M33">
        <v>296</v>
      </c>
      <c r="N33" t="s">
        <v>1032</v>
      </c>
      <c r="O33" t="s">
        <v>1218</v>
      </c>
    </row>
    <row r="34" spans="1:15" x14ac:dyDescent="0.2">
      <c r="A34" t="s">
        <v>190</v>
      </c>
      <c r="B34" t="s">
        <v>376</v>
      </c>
      <c r="C34">
        <v>9</v>
      </c>
      <c r="D34">
        <v>7</v>
      </c>
      <c r="E34">
        <v>3</v>
      </c>
      <c r="F34">
        <v>8</v>
      </c>
      <c r="G34">
        <v>5</v>
      </c>
      <c r="H34">
        <v>4</v>
      </c>
      <c r="I34">
        <v>2.6700000000000002E-2</v>
      </c>
      <c r="J34">
        <f t="shared" si="0"/>
        <v>1.4981273408239701</v>
      </c>
      <c r="K34">
        <v>4.0000000000000002E-4</v>
      </c>
      <c r="L34" t="s">
        <v>17</v>
      </c>
      <c r="M34">
        <v>296</v>
      </c>
      <c r="N34" t="s">
        <v>1032</v>
      </c>
      <c r="O34" t="s">
        <v>1219</v>
      </c>
    </row>
    <row r="35" spans="1:15" x14ac:dyDescent="0.2">
      <c r="A35" t="s">
        <v>190</v>
      </c>
      <c r="B35" t="s">
        <v>376</v>
      </c>
      <c r="C35">
        <v>9</v>
      </c>
      <c r="D35">
        <v>8</v>
      </c>
      <c r="E35">
        <v>2</v>
      </c>
      <c r="F35">
        <v>8</v>
      </c>
      <c r="G35">
        <v>6</v>
      </c>
      <c r="H35">
        <v>3</v>
      </c>
      <c r="I35">
        <v>2.2100000000000002E-2</v>
      </c>
      <c r="J35">
        <f t="shared" si="0"/>
        <v>0.90497737556561075</v>
      </c>
      <c r="K35">
        <v>2.0000000000000001E-4</v>
      </c>
      <c r="L35" t="s">
        <v>17</v>
      </c>
      <c r="M35">
        <v>296</v>
      </c>
      <c r="N35" t="s">
        <v>1032</v>
      </c>
      <c r="O35" t="s">
        <v>1220</v>
      </c>
    </row>
    <row r="36" spans="1:15" x14ac:dyDescent="0.2">
      <c r="A36" t="s">
        <v>190</v>
      </c>
      <c r="B36" t="s">
        <v>376</v>
      </c>
      <c r="C36">
        <v>10</v>
      </c>
      <c r="D36">
        <v>2</v>
      </c>
      <c r="E36">
        <v>8</v>
      </c>
      <c r="F36">
        <v>9</v>
      </c>
      <c r="G36">
        <v>0</v>
      </c>
      <c r="H36">
        <v>9</v>
      </c>
      <c r="I36">
        <v>3.3399999999999999E-2</v>
      </c>
      <c r="J36">
        <f t="shared" si="0"/>
        <v>0.89820359281437123</v>
      </c>
      <c r="K36">
        <v>2.9999999999999997E-4</v>
      </c>
      <c r="L36" t="s">
        <v>17</v>
      </c>
      <c r="M36">
        <v>296</v>
      </c>
      <c r="N36" t="s">
        <v>1032</v>
      </c>
      <c r="O36" t="s">
        <v>1221</v>
      </c>
    </row>
    <row r="37" spans="1:15" x14ac:dyDescent="0.2">
      <c r="A37" t="s">
        <v>190</v>
      </c>
      <c r="B37" t="s">
        <v>376</v>
      </c>
      <c r="C37">
        <v>10</v>
      </c>
      <c r="D37">
        <v>3</v>
      </c>
      <c r="E37">
        <v>8</v>
      </c>
      <c r="F37">
        <v>9</v>
      </c>
      <c r="G37">
        <v>1</v>
      </c>
      <c r="H37">
        <v>9</v>
      </c>
      <c r="I37">
        <v>3.04E-2</v>
      </c>
      <c r="J37">
        <f t="shared" si="0"/>
        <v>0.98684210526315785</v>
      </c>
      <c r="K37">
        <v>2.9999999999999997E-4</v>
      </c>
      <c r="L37" t="s">
        <v>17</v>
      </c>
      <c r="M37">
        <v>296</v>
      </c>
      <c r="N37" t="s">
        <v>1032</v>
      </c>
      <c r="O37" t="s">
        <v>1222</v>
      </c>
    </row>
    <row r="38" spans="1:15" x14ac:dyDescent="0.2">
      <c r="A38" t="s">
        <v>190</v>
      </c>
      <c r="B38" t="s">
        <v>376</v>
      </c>
      <c r="C38">
        <v>10</v>
      </c>
      <c r="D38">
        <v>3</v>
      </c>
      <c r="E38">
        <v>7</v>
      </c>
      <c r="F38">
        <v>9</v>
      </c>
      <c r="G38">
        <v>1</v>
      </c>
      <c r="H38">
        <v>8</v>
      </c>
      <c r="I38">
        <v>3.95E-2</v>
      </c>
      <c r="J38">
        <f t="shared" si="0"/>
        <v>1.0126582278481013</v>
      </c>
      <c r="K38">
        <v>4.0000000000000002E-4</v>
      </c>
      <c r="L38" t="s">
        <v>17</v>
      </c>
      <c r="M38">
        <v>296</v>
      </c>
      <c r="N38" t="s">
        <v>1032</v>
      </c>
      <c r="O38" t="s">
        <v>1223</v>
      </c>
    </row>
    <row r="39" spans="1:15" x14ac:dyDescent="0.2">
      <c r="A39" t="s">
        <v>190</v>
      </c>
      <c r="B39" t="s">
        <v>376</v>
      </c>
      <c r="C39">
        <v>10</v>
      </c>
      <c r="D39">
        <v>4</v>
      </c>
      <c r="E39">
        <v>6</v>
      </c>
      <c r="F39">
        <v>9</v>
      </c>
      <c r="G39">
        <v>2</v>
      </c>
      <c r="H39">
        <v>7</v>
      </c>
      <c r="I39">
        <v>3.4700000000000002E-2</v>
      </c>
      <c r="J39">
        <f t="shared" si="0"/>
        <v>0.86455331412103731</v>
      </c>
      <c r="K39">
        <v>2.9999999999999997E-4</v>
      </c>
      <c r="L39" t="s">
        <v>17</v>
      </c>
      <c r="M39">
        <v>296</v>
      </c>
      <c r="N39" t="s">
        <v>1032</v>
      </c>
      <c r="O39" t="s">
        <v>1224</v>
      </c>
    </row>
    <row r="40" spans="1:15" x14ac:dyDescent="0.2">
      <c r="A40" t="s">
        <v>190</v>
      </c>
      <c r="B40" t="s">
        <v>376</v>
      </c>
      <c r="C40">
        <v>10</v>
      </c>
      <c r="D40">
        <v>5</v>
      </c>
      <c r="E40">
        <v>5</v>
      </c>
      <c r="F40">
        <v>9</v>
      </c>
      <c r="G40">
        <v>3</v>
      </c>
      <c r="H40">
        <v>6</v>
      </c>
      <c r="I40">
        <v>3.6799999999999999E-2</v>
      </c>
      <c r="J40">
        <f t="shared" si="0"/>
        <v>1.0869565217391306</v>
      </c>
      <c r="K40">
        <v>4.0000000000000002E-4</v>
      </c>
      <c r="L40" t="s">
        <v>17</v>
      </c>
      <c r="M40">
        <v>296</v>
      </c>
      <c r="N40" t="s">
        <v>1032</v>
      </c>
      <c r="O40" t="s">
        <v>1225</v>
      </c>
    </row>
    <row r="41" spans="1:15" x14ac:dyDescent="0.2">
      <c r="A41" t="s">
        <v>190</v>
      </c>
      <c r="B41" t="s">
        <v>376</v>
      </c>
      <c r="C41">
        <v>10</v>
      </c>
      <c r="D41">
        <v>7</v>
      </c>
      <c r="E41">
        <v>3</v>
      </c>
      <c r="F41">
        <v>9</v>
      </c>
      <c r="G41">
        <v>5</v>
      </c>
      <c r="H41">
        <v>4</v>
      </c>
      <c r="I41">
        <v>2.6800000000000001E-2</v>
      </c>
      <c r="J41">
        <f t="shared" si="0"/>
        <v>1.1194029850746268</v>
      </c>
      <c r="K41">
        <v>2.9999999999999997E-4</v>
      </c>
      <c r="L41" t="s">
        <v>17</v>
      </c>
      <c r="M41">
        <v>296</v>
      </c>
      <c r="N41" t="s">
        <v>1032</v>
      </c>
      <c r="O41" t="s">
        <v>1226</v>
      </c>
    </row>
    <row r="42" spans="1:15" x14ac:dyDescent="0.2">
      <c r="A42" t="s">
        <v>190</v>
      </c>
      <c r="B42" t="s">
        <v>376</v>
      </c>
      <c r="C42">
        <v>11</v>
      </c>
      <c r="D42">
        <v>2</v>
      </c>
      <c r="E42">
        <v>9</v>
      </c>
      <c r="F42">
        <v>10</v>
      </c>
      <c r="G42">
        <v>0</v>
      </c>
      <c r="H42">
        <v>10</v>
      </c>
      <c r="I42">
        <v>2.7099999999999999E-2</v>
      </c>
      <c r="J42">
        <f t="shared" si="0"/>
        <v>1.4760147601476017</v>
      </c>
      <c r="K42">
        <v>4.0000000000000002E-4</v>
      </c>
      <c r="L42" t="s">
        <v>17</v>
      </c>
      <c r="M42">
        <v>296</v>
      </c>
      <c r="N42" t="s">
        <v>1032</v>
      </c>
      <c r="O42" t="s">
        <v>1227</v>
      </c>
    </row>
    <row r="43" spans="1:15" x14ac:dyDescent="0.2">
      <c r="A43" t="s">
        <v>190</v>
      </c>
      <c r="B43" t="s">
        <v>376</v>
      </c>
      <c r="C43">
        <v>11</v>
      </c>
      <c r="D43">
        <v>3</v>
      </c>
      <c r="E43">
        <v>9</v>
      </c>
      <c r="F43">
        <v>10</v>
      </c>
      <c r="G43">
        <v>1</v>
      </c>
      <c r="H43">
        <v>10</v>
      </c>
      <c r="I43">
        <v>2.6499999999999999E-2</v>
      </c>
      <c r="J43">
        <f t="shared" si="0"/>
        <v>1.1320754716981132</v>
      </c>
      <c r="K43">
        <v>2.9999999999999997E-4</v>
      </c>
      <c r="L43" t="s">
        <v>17</v>
      </c>
      <c r="M43">
        <v>296</v>
      </c>
      <c r="N43" t="s">
        <v>1032</v>
      </c>
      <c r="O43" t="s">
        <v>1228</v>
      </c>
    </row>
    <row r="44" spans="1:15" x14ac:dyDescent="0.2">
      <c r="A44" t="s">
        <v>190</v>
      </c>
      <c r="B44" t="s">
        <v>376</v>
      </c>
      <c r="C44">
        <v>11</v>
      </c>
      <c r="D44">
        <v>4</v>
      </c>
      <c r="E44">
        <v>8</v>
      </c>
      <c r="F44">
        <v>10</v>
      </c>
      <c r="G44">
        <v>2</v>
      </c>
      <c r="H44">
        <v>9</v>
      </c>
      <c r="I44">
        <v>2.7199999999999998E-2</v>
      </c>
      <c r="J44">
        <f t="shared" si="0"/>
        <v>0.73529411764705888</v>
      </c>
      <c r="K44">
        <v>2.0000000000000001E-4</v>
      </c>
      <c r="L44" t="s">
        <v>17</v>
      </c>
      <c r="M44">
        <v>296</v>
      </c>
      <c r="N44" t="s">
        <v>1032</v>
      </c>
      <c r="O44" t="s">
        <v>1229</v>
      </c>
    </row>
    <row r="45" spans="1:15" x14ac:dyDescent="0.2">
      <c r="A45" t="s">
        <v>190</v>
      </c>
      <c r="B45" t="s">
        <v>376</v>
      </c>
      <c r="C45">
        <v>11</v>
      </c>
      <c r="D45">
        <v>4</v>
      </c>
      <c r="E45">
        <v>7</v>
      </c>
      <c r="F45">
        <v>10</v>
      </c>
      <c r="G45">
        <v>2</v>
      </c>
      <c r="H45">
        <v>8</v>
      </c>
      <c r="I45">
        <v>3.4000000000000002E-2</v>
      </c>
      <c r="J45">
        <f t="shared" si="0"/>
        <v>1.1764705882352942</v>
      </c>
      <c r="K45">
        <v>4.0000000000000002E-4</v>
      </c>
      <c r="L45" t="s">
        <v>17</v>
      </c>
      <c r="M45">
        <v>296</v>
      </c>
      <c r="N45" t="s">
        <v>1032</v>
      </c>
      <c r="O45" t="s">
        <v>1230</v>
      </c>
    </row>
    <row r="46" spans="1:15" x14ac:dyDescent="0.2">
      <c r="A46" t="s">
        <v>190</v>
      </c>
      <c r="B46" t="s">
        <v>376</v>
      </c>
      <c r="C46">
        <v>11</v>
      </c>
      <c r="D46">
        <v>5</v>
      </c>
      <c r="E46">
        <v>7</v>
      </c>
      <c r="F46">
        <v>10</v>
      </c>
      <c r="G46">
        <v>3</v>
      </c>
      <c r="H46">
        <v>8</v>
      </c>
      <c r="I46">
        <v>2.8000000000000001E-2</v>
      </c>
      <c r="J46">
        <f t="shared" si="0"/>
        <v>1.0714285714285712</v>
      </c>
      <c r="K46">
        <v>2.9999999999999997E-4</v>
      </c>
      <c r="L46" t="s">
        <v>17</v>
      </c>
      <c r="M46">
        <v>296</v>
      </c>
      <c r="N46" t="s">
        <v>1032</v>
      </c>
      <c r="O46" t="s">
        <v>1231</v>
      </c>
    </row>
    <row r="47" spans="1:15" x14ac:dyDescent="0.2">
      <c r="A47" t="s">
        <v>190</v>
      </c>
      <c r="B47" t="s">
        <v>376</v>
      </c>
      <c r="C47">
        <v>11</v>
      </c>
      <c r="D47">
        <v>3</v>
      </c>
      <c r="E47">
        <v>8</v>
      </c>
      <c r="F47">
        <v>10</v>
      </c>
      <c r="G47">
        <v>3</v>
      </c>
      <c r="H47">
        <v>7</v>
      </c>
      <c r="I47">
        <v>3.5299999999999998E-2</v>
      </c>
      <c r="J47">
        <f t="shared" si="0"/>
        <v>0.84985835694050982</v>
      </c>
      <c r="K47">
        <v>2.9999999999999997E-4</v>
      </c>
      <c r="L47" t="s">
        <v>17</v>
      </c>
      <c r="M47">
        <v>296</v>
      </c>
      <c r="N47" t="s">
        <v>1032</v>
      </c>
      <c r="O47" t="s">
        <v>1232</v>
      </c>
    </row>
    <row r="48" spans="1:15" x14ac:dyDescent="0.2">
      <c r="A48" t="s">
        <v>190</v>
      </c>
      <c r="B48" t="s">
        <v>376</v>
      </c>
      <c r="C48">
        <v>11</v>
      </c>
      <c r="D48">
        <v>7</v>
      </c>
      <c r="E48">
        <v>5</v>
      </c>
      <c r="F48">
        <v>10</v>
      </c>
      <c r="G48">
        <v>5</v>
      </c>
      <c r="H48">
        <v>6</v>
      </c>
      <c r="I48">
        <v>2.98E-2</v>
      </c>
      <c r="J48">
        <f t="shared" si="0"/>
        <v>0.67114093959731547</v>
      </c>
      <c r="K48">
        <v>2.0000000000000001E-4</v>
      </c>
      <c r="L48" t="s">
        <v>17</v>
      </c>
      <c r="M48">
        <v>296</v>
      </c>
      <c r="N48" t="s">
        <v>1032</v>
      </c>
      <c r="O48" t="s">
        <v>1233</v>
      </c>
    </row>
    <row r="49" spans="1:15" x14ac:dyDescent="0.2">
      <c r="A49" t="s">
        <v>190</v>
      </c>
      <c r="B49" t="s">
        <v>376</v>
      </c>
      <c r="C49">
        <v>12</v>
      </c>
      <c r="D49">
        <v>2</v>
      </c>
      <c r="E49">
        <v>10</v>
      </c>
      <c r="F49">
        <v>11</v>
      </c>
      <c r="G49">
        <v>0</v>
      </c>
      <c r="H49">
        <v>11</v>
      </c>
      <c r="I49">
        <v>2.3800000000000002E-2</v>
      </c>
      <c r="J49">
        <f t="shared" si="0"/>
        <v>0.84033613445378152</v>
      </c>
      <c r="K49">
        <v>2.0000000000000001E-4</v>
      </c>
      <c r="L49" t="s">
        <v>17</v>
      </c>
      <c r="M49">
        <v>296</v>
      </c>
      <c r="N49" t="s">
        <v>1032</v>
      </c>
      <c r="O49" t="s">
        <v>1234</v>
      </c>
    </row>
    <row r="50" spans="1:15" x14ac:dyDescent="0.2">
      <c r="A50" t="s">
        <v>190</v>
      </c>
      <c r="B50" t="s">
        <v>376</v>
      </c>
      <c r="C50">
        <v>12</v>
      </c>
      <c r="D50">
        <v>3</v>
      </c>
      <c r="E50">
        <v>10</v>
      </c>
      <c r="F50">
        <v>11</v>
      </c>
      <c r="G50">
        <v>1</v>
      </c>
      <c r="H50">
        <v>11</v>
      </c>
      <c r="I50">
        <v>2.1100000000000001E-2</v>
      </c>
      <c r="J50">
        <f t="shared" si="0"/>
        <v>1.4218009478672984</v>
      </c>
      <c r="K50">
        <v>2.9999999999999997E-4</v>
      </c>
      <c r="L50" t="s">
        <v>17</v>
      </c>
      <c r="M50">
        <v>296</v>
      </c>
      <c r="N50" t="s">
        <v>1032</v>
      </c>
      <c r="O50" t="s">
        <v>1235</v>
      </c>
    </row>
    <row r="51" spans="1:15" x14ac:dyDescent="0.2">
      <c r="A51" t="s">
        <v>190</v>
      </c>
      <c r="B51" t="s">
        <v>376</v>
      </c>
      <c r="C51">
        <v>12</v>
      </c>
      <c r="D51">
        <v>3</v>
      </c>
      <c r="E51">
        <v>9</v>
      </c>
      <c r="F51">
        <v>11</v>
      </c>
      <c r="G51">
        <v>1</v>
      </c>
      <c r="H51">
        <v>10</v>
      </c>
      <c r="I51">
        <v>3.04E-2</v>
      </c>
      <c r="J51">
        <f t="shared" si="0"/>
        <v>1.3157894736842106</v>
      </c>
      <c r="K51">
        <v>4.0000000000000002E-4</v>
      </c>
      <c r="L51" t="s">
        <v>17</v>
      </c>
      <c r="M51">
        <v>296</v>
      </c>
      <c r="N51" t="s">
        <v>1032</v>
      </c>
      <c r="O51" t="s">
        <v>1236</v>
      </c>
    </row>
    <row r="52" spans="1:15" x14ac:dyDescent="0.2">
      <c r="A52" t="s">
        <v>190</v>
      </c>
      <c r="B52" t="s">
        <v>376</v>
      </c>
      <c r="C52">
        <v>12</v>
      </c>
      <c r="D52">
        <v>2</v>
      </c>
      <c r="E52">
        <v>10</v>
      </c>
      <c r="F52">
        <v>11</v>
      </c>
      <c r="G52">
        <v>2</v>
      </c>
      <c r="H52">
        <v>9</v>
      </c>
      <c r="I52">
        <v>2.23E-2</v>
      </c>
      <c r="J52">
        <f t="shared" si="0"/>
        <v>0.89686098654708524</v>
      </c>
      <c r="K52">
        <v>2.0000000000000001E-4</v>
      </c>
      <c r="L52" t="s">
        <v>17</v>
      </c>
      <c r="M52">
        <v>296</v>
      </c>
      <c r="N52" t="s">
        <v>1032</v>
      </c>
      <c r="O52" t="s">
        <v>1237</v>
      </c>
    </row>
    <row r="53" spans="1:15" x14ac:dyDescent="0.2">
      <c r="A53" t="s">
        <v>190</v>
      </c>
      <c r="B53" t="s">
        <v>376</v>
      </c>
      <c r="C53">
        <v>13</v>
      </c>
      <c r="D53">
        <v>3</v>
      </c>
      <c r="E53">
        <v>11</v>
      </c>
      <c r="F53">
        <v>12</v>
      </c>
      <c r="G53">
        <v>1</v>
      </c>
      <c r="H53">
        <v>12</v>
      </c>
      <c r="I53">
        <v>2.1899999999999999E-2</v>
      </c>
      <c r="J53">
        <f t="shared" si="0"/>
        <v>1.3698630136986301</v>
      </c>
      <c r="K53">
        <v>2.9999999999999997E-4</v>
      </c>
      <c r="L53" t="s">
        <v>17</v>
      </c>
      <c r="M53">
        <v>296</v>
      </c>
      <c r="N53" t="s">
        <v>1032</v>
      </c>
      <c r="O53" t="s">
        <v>1238</v>
      </c>
    </row>
    <row r="54" spans="1:15" x14ac:dyDescent="0.2">
      <c r="A54" t="s">
        <v>190</v>
      </c>
      <c r="B54" t="s">
        <v>376</v>
      </c>
      <c r="C54">
        <v>13</v>
      </c>
      <c r="D54">
        <v>1</v>
      </c>
      <c r="E54">
        <v>12</v>
      </c>
      <c r="F54">
        <v>12</v>
      </c>
      <c r="G54">
        <v>1</v>
      </c>
      <c r="H54">
        <v>11</v>
      </c>
      <c r="I54">
        <v>1.5900000000000001E-2</v>
      </c>
      <c r="J54">
        <f t="shared" si="0"/>
        <v>0.62893081761006298</v>
      </c>
      <c r="K54">
        <v>1E-4</v>
      </c>
      <c r="L54" t="s">
        <v>17</v>
      </c>
      <c r="M54">
        <v>296</v>
      </c>
      <c r="N54" t="s">
        <v>1032</v>
      </c>
      <c r="O54" t="s">
        <v>1239</v>
      </c>
    </row>
    <row r="55" spans="1:15" x14ac:dyDescent="0.2">
      <c r="A55" t="s">
        <v>190</v>
      </c>
      <c r="B55" t="s">
        <v>376</v>
      </c>
      <c r="C55">
        <v>13</v>
      </c>
      <c r="D55">
        <v>4</v>
      </c>
      <c r="E55">
        <v>10</v>
      </c>
      <c r="F55">
        <v>12</v>
      </c>
      <c r="G55">
        <v>2</v>
      </c>
      <c r="H55">
        <v>11</v>
      </c>
      <c r="I55">
        <v>2.3199999999999998E-2</v>
      </c>
      <c r="J55">
        <f t="shared" si="0"/>
        <v>0.86206896551724155</v>
      </c>
      <c r="K55">
        <v>2.0000000000000001E-4</v>
      </c>
      <c r="L55" t="s">
        <v>17</v>
      </c>
      <c r="M55">
        <v>296</v>
      </c>
      <c r="N55" t="s">
        <v>1032</v>
      </c>
      <c r="O55" t="s">
        <v>1240</v>
      </c>
    </row>
    <row r="56" spans="1:15" x14ac:dyDescent="0.2">
      <c r="A56" t="s">
        <v>190</v>
      </c>
      <c r="B56" t="s">
        <v>376</v>
      </c>
      <c r="C56">
        <v>13</v>
      </c>
      <c r="D56">
        <v>2</v>
      </c>
      <c r="E56">
        <v>11</v>
      </c>
      <c r="F56">
        <v>12</v>
      </c>
      <c r="G56">
        <v>2</v>
      </c>
      <c r="H56">
        <v>10</v>
      </c>
      <c r="I56">
        <v>1.9099999999999999E-2</v>
      </c>
      <c r="J56">
        <f t="shared" si="0"/>
        <v>1.0471204188481675</v>
      </c>
      <c r="K56">
        <v>2.0000000000000001E-4</v>
      </c>
      <c r="L56" t="s">
        <v>17</v>
      </c>
      <c r="M56">
        <v>296</v>
      </c>
      <c r="N56" t="s">
        <v>1032</v>
      </c>
      <c r="O56" t="s">
        <v>1241</v>
      </c>
    </row>
    <row r="57" spans="1:15" x14ac:dyDescent="0.2">
      <c r="A57" t="s">
        <v>190</v>
      </c>
      <c r="B57" t="s">
        <v>376</v>
      </c>
      <c r="C57">
        <v>14</v>
      </c>
      <c r="D57">
        <v>2</v>
      </c>
      <c r="E57">
        <v>12</v>
      </c>
      <c r="F57">
        <v>13</v>
      </c>
      <c r="G57">
        <v>0</v>
      </c>
      <c r="H57">
        <v>13</v>
      </c>
      <c r="I57">
        <v>1.52E-2</v>
      </c>
      <c r="J57">
        <f t="shared" si="0"/>
        <v>0.65789473684210531</v>
      </c>
      <c r="K57">
        <v>1E-4</v>
      </c>
      <c r="L57" t="s">
        <v>17</v>
      </c>
      <c r="M57">
        <v>296</v>
      </c>
      <c r="N57" t="s">
        <v>1032</v>
      </c>
      <c r="O57" t="s">
        <v>1242</v>
      </c>
    </row>
    <row r="58" spans="1:15" x14ac:dyDescent="0.2">
      <c r="A58" t="s">
        <v>190</v>
      </c>
      <c r="B58" t="s">
        <v>376</v>
      </c>
      <c r="C58">
        <v>14</v>
      </c>
      <c r="D58">
        <v>3</v>
      </c>
      <c r="E58">
        <v>12</v>
      </c>
      <c r="F58">
        <v>13</v>
      </c>
      <c r="G58">
        <v>1</v>
      </c>
      <c r="H58">
        <v>13</v>
      </c>
      <c r="I58">
        <v>1.47E-2</v>
      </c>
      <c r="J58">
        <f t="shared" si="0"/>
        <v>0.6802721088435375</v>
      </c>
      <c r="K58">
        <v>1E-4</v>
      </c>
      <c r="L58" t="s">
        <v>17</v>
      </c>
      <c r="M58">
        <v>296</v>
      </c>
      <c r="N58" t="s">
        <v>1032</v>
      </c>
      <c r="O58" t="s">
        <v>1202</v>
      </c>
    </row>
    <row r="59" spans="1:15" x14ac:dyDescent="0.2">
      <c r="A59" t="s">
        <v>190</v>
      </c>
      <c r="B59" t="s">
        <v>376</v>
      </c>
      <c r="C59">
        <v>14</v>
      </c>
      <c r="D59">
        <v>3</v>
      </c>
      <c r="E59">
        <v>11</v>
      </c>
      <c r="F59">
        <v>13</v>
      </c>
      <c r="G59">
        <v>1</v>
      </c>
      <c r="H59">
        <v>12</v>
      </c>
      <c r="I59">
        <v>2.1499999999999998E-2</v>
      </c>
      <c r="J59">
        <f t="shared" si="0"/>
        <v>0.93023255813953509</v>
      </c>
      <c r="K59">
        <v>2.0000000000000001E-4</v>
      </c>
      <c r="L59" t="s">
        <v>17</v>
      </c>
      <c r="M59">
        <v>296</v>
      </c>
      <c r="N59" t="s">
        <v>1032</v>
      </c>
      <c r="O59" t="s">
        <v>1243</v>
      </c>
    </row>
    <row r="60" spans="1:15" x14ac:dyDescent="0.2">
      <c r="A60" t="s">
        <v>190</v>
      </c>
      <c r="B60" t="s">
        <v>376</v>
      </c>
      <c r="C60">
        <v>14</v>
      </c>
      <c r="D60">
        <v>4</v>
      </c>
      <c r="E60">
        <v>11</v>
      </c>
      <c r="F60">
        <v>13</v>
      </c>
      <c r="G60">
        <v>2</v>
      </c>
      <c r="H60">
        <v>12</v>
      </c>
      <c r="I60">
        <v>2.35E-2</v>
      </c>
      <c r="J60">
        <f t="shared" si="0"/>
        <v>1.2765957446808509</v>
      </c>
      <c r="K60">
        <v>2.9999999999999997E-4</v>
      </c>
      <c r="L60" t="s">
        <v>17</v>
      </c>
      <c r="M60">
        <v>296</v>
      </c>
      <c r="N60" t="s">
        <v>1032</v>
      </c>
      <c r="O60" t="s">
        <v>1244</v>
      </c>
    </row>
    <row r="61" spans="1:15" x14ac:dyDescent="0.2">
      <c r="A61" t="s">
        <v>190</v>
      </c>
      <c r="B61" t="s">
        <v>376</v>
      </c>
      <c r="C61">
        <v>14</v>
      </c>
      <c r="D61">
        <v>2</v>
      </c>
      <c r="E61">
        <v>12</v>
      </c>
      <c r="F61">
        <v>13</v>
      </c>
      <c r="G61">
        <v>2</v>
      </c>
      <c r="H61">
        <v>11</v>
      </c>
      <c r="I61">
        <v>2.0500000000000001E-2</v>
      </c>
      <c r="J61">
        <f t="shared" si="0"/>
        <v>0.97560975609756095</v>
      </c>
      <c r="K61">
        <v>2.0000000000000001E-4</v>
      </c>
      <c r="L61" t="s">
        <v>17</v>
      </c>
      <c r="M61">
        <v>296</v>
      </c>
      <c r="N61" t="s">
        <v>1032</v>
      </c>
      <c r="O61" t="s">
        <v>1245</v>
      </c>
    </row>
    <row r="62" spans="1:15" x14ac:dyDescent="0.2">
      <c r="A62" t="s">
        <v>190</v>
      </c>
      <c r="B62" t="s">
        <v>376</v>
      </c>
      <c r="C62">
        <v>15</v>
      </c>
      <c r="D62">
        <v>1</v>
      </c>
      <c r="E62">
        <v>14</v>
      </c>
      <c r="F62">
        <v>14</v>
      </c>
      <c r="G62">
        <v>1</v>
      </c>
      <c r="H62">
        <v>13</v>
      </c>
      <c r="I62">
        <v>1.41E-2</v>
      </c>
      <c r="J62">
        <f t="shared" si="0"/>
        <v>0.70921985815602839</v>
      </c>
      <c r="K62">
        <v>1E-4</v>
      </c>
      <c r="L62" t="s">
        <v>17</v>
      </c>
      <c r="M62">
        <v>296</v>
      </c>
      <c r="N62" t="s">
        <v>1032</v>
      </c>
      <c r="O62" t="s">
        <v>1246</v>
      </c>
    </row>
    <row r="63" spans="1:15" x14ac:dyDescent="0.2">
      <c r="A63" t="s">
        <v>190</v>
      </c>
      <c r="B63" t="s">
        <v>376</v>
      </c>
      <c r="C63">
        <v>15</v>
      </c>
      <c r="D63">
        <v>2</v>
      </c>
      <c r="E63">
        <v>14</v>
      </c>
      <c r="F63">
        <v>14</v>
      </c>
      <c r="G63">
        <v>0</v>
      </c>
      <c r="H63">
        <v>14</v>
      </c>
      <c r="I63">
        <v>1.6500000000000001E-2</v>
      </c>
      <c r="J63">
        <f t="shared" si="0"/>
        <v>1.2121212121212122</v>
      </c>
      <c r="K63">
        <v>2.0000000000000001E-4</v>
      </c>
      <c r="L63" t="s">
        <v>17</v>
      </c>
      <c r="M63">
        <v>296</v>
      </c>
      <c r="N63" t="s">
        <v>1032</v>
      </c>
      <c r="O63" t="s">
        <v>1247</v>
      </c>
    </row>
    <row r="64" spans="1:15" x14ac:dyDescent="0.2">
      <c r="A64" t="s">
        <v>190</v>
      </c>
      <c r="B64" t="s">
        <v>376</v>
      </c>
      <c r="C64">
        <v>15</v>
      </c>
      <c r="D64">
        <v>3</v>
      </c>
      <c r="E64">
        <v>13</v>
      </c>
      <c r="F64">
        <v>14</v>
      </c>
      <c r="G64">
        <v>1</v>
      </c>
      <c r="H64">
        <v>12</v>
      </c>
      <c r="I64">
        <v>2.0299999999999999E-2</v>
      </c>
      <c r="J64">
        <f t="shared" si="0"/>
        <v>0.49261083743842371</v>
      </c>
      <c r="K64">
        <v>1E-4</v>
      </c>
      <c r="L64" t="s">
        <v>17</v>
      </c>
      <c r="M64">
        <v>296</v>
      </c>
      <c r="N64" t="s">
        <v>1032</v>
      </c>
      <c r="O64" t="s">
        <v>1248</v>
      </c>
    </row>
    <row r="65" spans="1:15" x14ac:dyDescent="0.2">
      <c r="A65" t="s">
        <v>190</v>
      </c>
      <c r="B65" t="s">
        <v>376</v>
      </c>
      <c r="C65">
        <v>15</v>
      </c>
      <c r="D65">
        <v>3</v>
      </c>
      <c r="E65">
        <v>12</v>
      </c>
      <c r="F65">
        <v>14</v>
      </c>
      <c r="G65">
        <v>1</v>
      </c>
      <c r="H65">
        <v>11</v>
      </c>
      <c r="I65">
        <v>2.1000000000000001E-2</v>
      </c>
      <c r="J65">
        <f t="shared" si="0"/>
        <v>0.95238095238095233</v>
      </c>
      <c r="K65">
        <v>2.0000000000000001E-4</v>
      </c>
      <c r="L65" t="s">
        <v>17</v>
      </c>
      <c r="M65">
        <v>296</v>
      </c>
      <c r="N65" t="s">
        <v>1032</v>
      </c>
      <c r="O65" t="s">
        <v>1249</v>
      </c>
    </row>
    <row r="66" spans="1:15" x14ac:dyDescent="0.2">
      <c r="A66" t="s">
        <v>190</v>
      </c>
      <c r="B66" t="s">
        <v>376</v>
      </c>
      <c r="C66">
        <v>15</v>
      </c>
      <c r="D66">
        <v>4</v>
      </c>
      <c r="E66">
        <v>12</v>
      </c>
      <c r="F66">
        <v>14</v>
      </c>
      <c r="G66">
        <v>2</v>
      </c>
      <c r="H66">
        <v>11</v>
      </c>
      <c r="I66">
        <v>2.2700000000000001E-2</v>
      </c>
      <c r="J66">
        <f t="shared" si="0"/>
        <v>1.3215859030837003</v>
      </c>
      <c r="K66">
        <v>2.9999999999999997E-4</v>
      </c>
      <c r="L66" t="s">
        <v>17</v>
      </c>
      <c r="M66">
        <v>296</v>
      </c>
      <c r="N66" t="s">
        <v>1032</v>
      </c>
      <c r="O66" t="s">
        <v>1202</v>
      </c>
    </row>
    <row r="67" spans="1:15" x14ac:dyDescent="0.2">
      <c r="A67" t="s">
        <v>190</v>
      </c>
      <c r="B67" t="s">
        <v>376</v>
      </c>
      <c r="C67">
        <v>15</v>
      </c>
      <c r="D67">
        <v>2</v>
      </c>
      <c r="E67">
        <v>13</v>
      </c>
      <c r="F67">
        <v>14</v>
      </c>
      <c r="G67">
        <v>2</v>
      </c>
      <c r="H67">
        <v>12</v>
      </c>
      <c r="I67">
        <v>1.9599999999999999E-2</v>
      </c>
      <c r="J67">
        <f t="shared" ref="J67:J98" si="1">K67/I67*100</f>
        <v>1.0204081632653061</v>
      </c>
      <c r="K67">
        <v>2.0000000000000001E-4</v>
      </c>
      <c r="L67" t="s">
        <v>17</v>
      </c>
      <c r="M67">
        <v>296</v>
      </c>
      <c r="N67" t="s">
        <v>1032</v>
      </c>
      <c r="O67" t="s">
        <v>1235</v>
      </c>
    </row>
    <row r="68" spans="1:15" x14ac:dyDescent="0.2">
      <c r="A68" t="s">
        <v>190</v>
      </c>
      <c r="B68" t="s">
        <v>376</v>
      </c>
      <c r="C68">
        <v>15</v>
      </c>
      <c r="D68">
        <v>4</v>
      </c>
      <c r="E68">
        <v>11</v>
      </c>
      <c r="F68">
        <v>14</v>
      </c>
      <c r="G68">
        <v>3</v>
      </c>
      <c r="H68">
        <v>10</v>
      </c>
      <c r="I68">
        <v>2.35E-2</v>
      </c>
      <c r="J68">
        <f t="shared" si="1"/>
        <v>0.85106382978723405</v>
      </c>
      <c r="K68">
        <v>2.0000000000000001E-4</v>
      </c>
      <c r="L68" t="s">
        <v>17</v>
      </c>
      <c r="M68">
        <v>296</v>
      </c>
      <c r="N68" t="s">
        <v>1032</v>
      </c>
      <c r="O68" t="s">
        <v>1250</v>
      </c>
    </row>
    <row r="69" spans="1:15" x14ac:dyDescent="0.2">
      <c r="A69" t="s">
        <v>190</v>
      </c>
      <c r="B69" t="s">
        <v>376</v>
      </c>
      <c r="C69">
        <v>16</v>
      </c>
      <c r="D69">
        <v>1</v>
      </c>
      <c r="E69">
        <v>15</v>
      </c>
      <c r="F69">
        <v>15</v>
      </c>
      <c r="G69">
        <v>1</v>
      </c>
      <c r="H69">
        <v>14</v>
      </c>
      <c r="I69">
        <v>1.4E-2</v>
      </c>
      <c r="J69">
        <f t="shared" si="1"/>
        <v>0.7142857142857143</v>
      </c>
      <c r="K69">
        <v>1E-4</v>
      </c>
      <c r="L69" t="s">
        <v>17</v>
      </c>
      <c r="M69">
        <v>296</v>
      </c>
      <c r="N69" t="s">
        <v>1032</v>
      </c>
      <c r="O69" t="s">
        <v>1251</v>
      </c>
    </row>
    <row r="70" spans="1:15" x14ac:dyDescent="0.2">
      <c r="A70" t="s">
        <v>190</v>
      </c>
      <c r="B70" t="s">
        <v>376</v>
      </c>
      <c r="C70">
        <v>16</v>
      </c>
      <c r="D70">
        <v>2</v>
      </c>
      <c r="E70">
        <v>15</v>
      </c>
      <c r="F70">
        <v>15</v>
      </c>
      <c r="G70">
        <v>0</v>
      </c>
      <c r="H70">
        <v>15</v>
      </c>
      <c r="I70">
        <v>1.55E-2</v>
      </c>
      <c r="J70">
        <f t="shared" si="1"/>
        <v>0.64516129032258063</v>
      </c>
      <c r="K70">
        <v>1E-4</v>
      </c>
      <c r="L70" t="s">
        <v>17</v>
      </c>
      <c r="M70">
        <v>296</v>
      </c>
      <c r="N70" t="s">
        <v>1032</v>
      </c>
      <c r="O70" t="s">
        <v>1252</v>
      </c>
    </row>
    <row r="71" spans="1:15" x14ac:dyDescent="0.2">
      <c r="A71" t="s">
        <v>190</v>
      </c>
      <c r="B71" t="s">
        <v>376</v>
      </c>
      <c r="C71">
        <v>16</v>
      </c>
      <c r="D71">
        <v>3</v>
      </c>
      <c r="E71">
        <v>14</v>
      </c>
      <c r="F71">
        <v>15</v>
      </c>
      <c r="G71">
        <v>1</v>
      </c>
      <c r="H71">
        <v>13</v>
      </c>
      <c r="I71">
        <v>2.0199999999999999E-2</v>
      </c>
      <c r="J71">
        <f t="shared" si="1"/>
        <v>0.99009900990099009</v>
      </c>
      <c r="K71">
        <v>2.0000000000000001E-4</v>
      </c>
      <c r="L71" t="s">
        <v>17</v>
      </c>
      <c r="M71">
        <v>296</v>
      </c>
      <c r="N71" t="s">
        <v>1032</v>
      </c>
      <c r="O71" t="s">
        <v>1253</v>
      </c>
    </row>
    <row r="72" spans="1:15" x14ac:dyDescent="0.2">
      <c r="A72" t="s">
        <v>190</v>
      </c>
      <c r="B72" t="s">
        <v>376</v>
      </c>
      <c r="C72">
        <v>16</v>
      </c>
      <c r="D72">
        <v>4</v>
      </c>
      <c r="E72">
        <v>14</v>
      </c>
      <c r="F72">
        <v>15</v>
      </c>
      <c r="G72">
        <v>2</v>
      </c>
      <c r="H72">
        <v>13</v>
      </c>
      <c r="I72">
        <v>2.1899999999999999E-2</v>
      </c>
      <c r="J72">
        <f t="shared" si="1"/>
        <v>0.91324200913242026</v>
      </c>
      <c r="K72">
        <v>2.0000000000000001E-4</v>
      </c>
      <c r="L72" t="s">
        <v>17</v>
      </c>
      <c r="M72">
        <v>296</v>
      </c>
      <c r="N72" t="s">
        <v>1032</v>
      </c>
      <c r="O72" t="s">
        <v>1254</v>
      </c>
    </row>
    <row r="73" spans="1:15" x14ac:dyDescent="0.2">
      <c r="A73" t="s">
        <v>190</v>
      </c>
      <c r="B73" t="s">
        <v>376</v>
      </c>
      <c r="C73">
        <v>16</v>
      </c>
      <c r="D73">
        <v>3</v>
      </c>
      <c r="E73">
        <v>13</v>
      </c>
      <c r="F73">
        <v>15</v>
      </c>
      <c r="G73">
        <v>1</v>
      </c>
      <c r="H73">
        <v>12</v>
      </c>
      <c r="I73">
        <v>1.9599999999999999E-2</v>
      </c>
      <c r="J73">
        <f t="shared" si="1"/>
        <v>1.0204081632653061</v>
      </c>
      <c r="K73">
        <v>2.0000000000000001E-4</v>
      </c>
      <c r="L73" t="s">
        <v>17</v>
      </c>
      <c r="M73">
        <v>296</v>
      </c>
      <c r="N73" t="s">
        <v>1032</v>
      </c>
      <c r="O73" t="s">
        <v>1218</v>
      </c>
    </row>
    <row r="74" spans="1:15" x14ac:dyDescent="0.2">
      <c r="A74" t="s">
        <v>190</v>
      </c>
      <c r="B74" t="s">
        <v>376</v>
      </c>
      <c r="C74">
        <v>16</v>
      </c>
      <c r="D74">
        <v>2</v>
      </c>
      <c r="E74">
        <v>14</v>
      </c>
      <c r="F74">
        <v>15</v>
      </c>
      <c r="G74">
        <v>2</v>
      </c>
      <c r="H74">
        <v>13</v>
      </c>
      <c r="I74">
        <v>1.84E-2</v>
      </c>
      <c r="J74">
        <f t="shared" si="1"/>
        <v>0.5434782608695653</v>
      </c>
      <c r="K74">
        <v>1E-4</v>
      </c>
      <c r="L74" t="s">
        <v>17</v>
      </c>
      <c r="M74">
        <v>296</v>
      </c>
      <c r="N74" t="s">
        <v>1032</v>
      </c>
      <c r="O74" t="s">
        <v>1255</v>
      </c>
    </row>
    <row r="75" spans="1:15" x14ac:dyDescent="0.2">
      <c r="A75" t="s">
        <v>190</v>
      </c>
      <c r="B75" t="s">
        <v>376</v>
      </c>
      <c r="C75">
        <v>16</v>
      </c>
      <c r="D75">
        <v>5</v>
      </c>
      <c r="E75">
        <v>12</v>
      </c>
      <c r="F75">
        <v>15</v>
      </c>
      <c r="G75">
        <v>3</v>
      </c>
      <c r="H75">
        <v>12</v>
      </c>
      <c r="I75">
        <v>2.3800000000000002E-2</v>
      </c>
      <c r="J75">
        <f t="shared" si="1"/>
        <v>1.2605042016806722</v>
      </c>
      <c r="K75">
        <v>2.9999999999999997E-4</v>
      </c>
      <c r="L75" t="s">
        <v>17</v>
      </c>
      <c r="M75">
        <v>296</v>
      </c>
      <c r="N75" t="s">
        <v>1032</v>
      </c>
      <c r="O75" t="s">
        <v>1256</v>
      </c>
    </row>
    <row r="76" spans="1:15" x14ac:dyDescent="0.2">
      <c r="A76" t="s">
        <v>190</v>
      </c>
      <c r="B76" t="s">
        <v>376</v>
      </c>
      <c r="C76">
        <v>17</v>
      </c>
      <c r="D76">
        <v>1</v>
      </c>
      <c r="E76">
        <v>16</v>
      </c>
      <c r="F76">
        <v>16</v>
      </c>
      <c r="G76">
        <v>1</v>
      </c>
      <c r="H76">
        <v>15</v>
      </c>
      <c r="I76">
        <v>1.47E-2</v>
      </c>
      <c r="J76">
        <f t="shared" si="1"/>
        <v>0.6802721088435375</v>
      </c>
      <c r="K76">
        <v>1E-4</v>
      </c>
      <c r="L76" t="s">
        <v>17</v>
      </c>
      <c r="M76">
        <v>296</v>
      </c>
      <c r="N76" t="s">
        <v>1032</v>
      </c>
      <c r="O76" t="s">
        <v>1257</v>
      </c>
    </row>
    <row r="77" spans="1:15" x14ac:dyDescent="0.2">
      <c r="A77" t="s">
        <v>190</v>
      </c>
      <c r="B77" t="s">
        <v>376</v>
      </c>
      <c r="C77">
        <v>17</v>
      </c>
      <c r="D77">
        <v>2</v>
      </c>
      <c r="E77">
        <v>16</v>
      </c>
      <c r="F77">
        <v>16</v>
      </c>
      <c r="G77">
        <v>0</v>
      </c>
      <c r="H77">
        <v>16</v>
      </c>
      <c r="I77">
        <v>1.7100000000000001E-2</v>
      </c>
      <c r="J77">
        <f t="shared" si="1"/>
        <v>0.58479532163742687</v>
      </c>
      <c r="K77">
        <v>1E-4</v>
      </c>
      <c r="L77" t="s">
        <v>17</v>
      </c>
      <c r="M77">
        <v>296</v>
      </c>
      <c r="N77" t="s">
        <v>1032</v>
      </c>
      <c r="O77" t="s">
        <v>1258</v>
      </c>
    </row>
    <row r="78" spans="1:15" x14ac:dyDescent="0.2">
      <c r="A78" t="s">
        <v>190</v>
      </c>
      <c r="B78" t="s">
        <v>376</v>
      </c>
      <c r="C78">
        <v>17</v>
      </c>
      <c r="D78">
        <v>3</v>
      </c>
      <c r="E78">
        <v>15</v>
      </c>
      <c r="F78">
        <v>16</v>
      </c>
      <c r="G78">
        <v>1</v>
      </c>
      <c r="H78">
        <v>14</v>
      </c>
      <c r="I78">
        <v>1.9800000000000002E-2</v>
      </c>
      <c r="J78">
        <f t="shared" si="1"/>
        <v>1.0101010101010099</v>
      </c>
      <c r="K78">
        <v>2.0000000000000001E-4</v>
      </c>
      <c r="L78" t="s">
        <v>17</v>
      </c>
      <c r="M78">
        <v>296</v>
      </c>
      <c r="N78" t="s">
        <v>1032</v>
      </c>
      <c r="O78" t="s">
        <v>1259</v>
      </c>
    </row>
    <row r="79" spans="1:15" x14ac:dyDescent="0.2">
      <c r="A79" t="s">
        <v>190</v>
      </c>
      <c r="B79" t="s">
        <v>376</v>
      </c>
      <c r="C79">
        <v>17</v>
      </c>
      <c r="D79">
        <v>4</v>
      </c>
      <c r="E79">
        <v>15</v>
      </c>
      <c r="F79">
        <v>16</v>
      </c>
      <c r="G79">
        <v>2</v>
      </c>
      <c r="H79">
        <v>14</v>
      </c>
      <c r="I79">
        <v>2.12E-2</v>
      </c>
      <c r="J79">
        <f t="shared" si="1"/>
        <v>0.94339622641509435</v>
      </c>
      <c r="K79">
        <v>2.0000000000000001E-4</v>
      </c>
      <c r="L79" t="s">
        <v>17</v>
      </c>
      <c r="M79">
        <v>296</v>
      </c>
      <c r="N79" t="s">
        <v>1032</v>
      </c>
      <c r="O79" t="s">
        <v>1229</v>
      </c>
    </row>
    <row r="80" spans="1:15" x14ac:dyDescent="0.2">
      <c r="A80" t="s">
        <v>190</v>
      </c>
      <c r="B80" t="s">
        <v>376</v>
      </c>
      <c r="C80">
        <v>17</v>
      </c>
      <c r="D80">
        <v>3</v>
      </c>
      <c r="E80">
        <v>14</v>
      </c>
      <c r="F80">
        <v>16</v>
      </c>
      <c r="G80">
        <v>1</v>
      </c>
      <c r="H80">
        <v>13</v>
      </c>
      <c r="I80">
        <v>1.77E-2</v>
      </c>
      <c r="J80">
        <f t="shared" si="1"/>
        <v>0.56497175141242939</v>
      </c>
      <c r="K80">
        <v>1E-4</v>
      </c>
      <c r="L80" t="s">
        <v>17</v>
      </c>
      <c r="M80">
        <v>296</v>
      </c>
      <c r="N80" t="s">
        <v>1032</v>
      </c>
      <c r="O80" t="s">
        <v>1235</v>
      </c>
    </row>
    <row r="81" spans="1:15" x14ac:dyDescent="0.2">
      <c r="A81" t="s">
        <v>190</v>
      </c>
      <c r="B81" t="s">
        <v>376</v>
      </c>
      <c r="C81">
        <v>18</v>
      </c>
      <c r="D81">
        <v>1</v>
      </c>
      <c r="E81">
        <v>17</v>
      </c>
      <c r="F81">
        <v>17</v>
      </c>
      <c r="G81">
        <v>1</v>
      </c>
      <c r="H81">
        <v>16</v>
      </c>
      <c r="I81">
        <v>1.41E-2</v>
      </c>
      <c r="J81">
        <f t="shared" si="1"/>
        <v>0.70921985815602839</v>
      </c>
      <c r="K81">
        <v>1E-4</v>
      </c>
      <c r="L81" t="s">
        <v>17</v>
      </c>
      <c r="M81">
        <v>296</v>
      </c>
      <c r="N81" t="s">
        <v>1032</v>
      </c>
      <c r="O81" t="s">
        <v>1260</v>
      </c>
    </row>
    <row r="82" spans="1:15" x14ac:dyDescent="0.2">
      <c r="A82" t="s">
        <v>190</v>
      </c>
      <c r="B82" t="s">
        <v>376</v>
      </c>
      <c r="C82">
        <v>18</v>
      </c>
      <c r="D82">
        <v>2</v>
      </c>
      <c r="E82">
        <v>17</v>
      </c>
      <c r="F82">
        <v>17</v>
      </c>
      <c r="G82">
        <v>0</v>
      </c>
      <c r="H82">
        <v>17</v>
      </c>
      <c r="I82">
        <v>1.61E-2</v>
      </c>
      <c r="J82">
        <f t="shared" si="1"/>
        <v>0.62111801242236031</v>
      </c>
      <c r="K82">
        <v>1E-4</v>
      </c>
      <c r="L82" t="s">
        <v>17</v>
      </c>
      <c r="M82">
        <v>296</v>
      </c>
      <c r="N82" t="s">
        <v>1032</v>
      </c>
      <c r="O82" t="s">
        <v>1218</v>
      </c>
    </row>
    <row r="83" spans="1:15" x14ac:dyDescent="0.2">
      <c r="A83" t="s">
        <v>190</v>
      </c>
      <c r="B83" t="s">
        <v>376</v>
      </c>
      <c r="C83">
        <v>18</v>
      </c>
      <c r="D83">
        <v>3</v>
      </c>
      <c r="E83">
        <v>16</v>
      </c>
      <c r="F83">
        <v>17</v>
      </c>
      <c r="G83">
        <v>1</v>
      </c>
      <c r="H83">
        <v>15</v>
      </c>
      <c r="I83">
        <v>2.01E-2</v>
      </c>
      <c r="J83">
        <f t="shared" si="1"/>
        <v>0.99502487562189057</v>
      </c>
      <c r="K83">
        <v>2.0000000000000001E-4</v>
      </c>
      <c r="L83" t="s">
        <v>17</v>
      </c>
      <c r="M83">
        <v>296</v>
      </c>
      <c r="N83" t="s">
        <v>1032</v>
      </c>
      <c r="O83" t="s">
        <v>1261</v>
      </c>
    </row>
    <row r="84" spans="1:15" x14ac:dyDescent="0.2">
      <c r="A84" t="s">
        <v>190</v>
      </c>
      <c r="B84" t="s">
        <v>376</v>
      </c>
      <c r="C84">
        <v>18</v>
      </c>
      <c r="D84">
        <v>4</v>
      </c>
      <c r="E84">
        <v>16</v>
      </c>
      <c r="F84">
        <v>17</v>
      </c>
      <c r="G84">
        <v>2</v>
      </c>
      <c r="H84">
        <v>15</v>
      </c>
      <c r="I84">
        <v>2.1899999999999999E-2</v>
      </c>
      <c r="J84">
        <f t="shared" si="1"/>
        <v>0.91324200913242026</v>
      </c>
      <c r="K84">
        <v>2.0000000000000001E-4</v>
      </c>
      <c r="L84" t="s">
        <v>17</v>
      </c>
      <c r="M84">
        <v>296</v>
      </c>
      <c r="N84" t="s">
        <v>1032</v>
      </c>
      <c r="O84" t="s">
        <v>1262</v>
      </c>
    </row>
    <row r="85" spans="1:15" x14ac:dyDescent="0.2">
      <c r="A85" t="s">
        <v>190</v>
      </c>
      <c r="B85" t="s">
        <v>376</v>
      </c>
      <c r="C85">
        <v>18</v>
      </c>
      <c r="D85">
        <v>3</v>
      </c>
      <c r="E85">
        <v>15</v>
      </c>
      <c r="F85">
        <v>17</v>
      </c>
      <c r="G85">
        <v>1</v>
      </c>
      <c r="H85">
        <v>14</v>
      </c>
      <c r="I85">
        <v>1.8499999999999999E-2</v>
      </c>
      <c r="J85">
        <f t="shared" si="1"/>
        <v>1.0810810810810811</v>
      </c>
      <c r="K85">
        <v>2.0000000000000001E-4</v>
      </c>
      <c r="L85" t="s">
        <v>17</v>
      </c>
      <c r="M85">
        <v>296</v>
      </c>
      <c r="N85" t="s">
        <v>1032</v>
      </c>
      <c r="O85" t="s">
        <v>1263</v>
      </c>
    </row>
    <row r="86" spans="1:15" x14ac:dyDescent="0.2">
      <c r="A86" t="s">
        <v>190</v>
      </c>
      <c r="B86" t="s">
        <v>376</v>
      </c>
      <c r="C86">
        <v>19</v>
      </c>
      <c r="D86">
        <v>1</v>
      </c>
      <c r="E86">
        <v>18</v>
      </c>
      <c r="F86">
        <v>18</v>
      </c>
      <c r="G86">
        <v>1</v>
      </c>
      <c r="H86">
        <v>17</v>
      </c>
      <c r="I86">
        <v>1.46E-2</v>
      </c>
      <c r="J86">
        <f t="shared" si="1"/>
        <v>0.68493150684931514</v>
      </c>
      <c r="K86">
        <v>1E-4</v>
      </c>
      <c r="L86" t="s">
        <v>17</v>
      </c>
      <c r="M86">
        <v>296</v>
      </c>
      <c r="N86" t="s">
        <v>1032</v>
      </c>
      <c r="O86" t="s">
        <v>1240</v>
      </c>
    </row>
    <row r="87" spans="1:15" x14ac:dyDescent="0.2">
      <c r="A87" t="s">
        <v>190</v>
      </c>
      <c r="B87" t="s">
        <v>376</v>
      </c>
      <c r="C87">
        <v>19</v>
      </c>
      <c r="D87">
        <v>2</v>
      </c>
      <c r="E87">
        <v>18</v>
      </c>
      <c r="F87">
        <v>18</v>
      </c>
      <c r="G87">
        <v>0</v>
      </c>
      <c r="H87">
        <v>18</v>
      </c>
      <c r="I87">
        <v>1.6400000000000001E-2</v>
      </c>
      <c r="J87">
        <f t="shared" si="1"/>
        <v>0.6097560975609756</v>
      </c>
      <c r="K87">
        <v>1E-4</v>
      </c>
      <c r="L87" t="s">
        <v>17</v>
      </c>
      <c r="M87">
        <v>296</v>
      </c>
      <c r="N87" t="s">
        <v>1032</v>
      </c>
      <c r="O87" t="s">
        <v>1264</v>
      </c>
    </row>
    <row r="88" spans="1:15" x14ac:dyDescent="0.2">
      <c r="A88" t="s">
        <v>190</v>
      </c>
      <c r="B88" t="s">
        <v>376</v>
      </c>
      <c r="C88">
        <v>19</v>
      </c>
      <c r="D88">
        <v>3</v>
      </c>
      <c r="E88">
        <v>17</v>
      </c>
      <c r="F88">
        <v>18</v>
      </c>
      <c r="G88">
        <v>1</v>
      </c>
      <c r="H88">
        <v>16</v>
      </c>
      <c r="I88">
        <v>2.0400000000000001E-2</v>
      </c>
      <c r="J88">
        <f t="shared" si="1"/>
        <v>0.98039215686274506</v>
      </c>
      <c r="K88">
        <v>2.0000000000000001E-4</v>
      </c>
      <c r="L88" t="s">
        <v>17</v>
      </c>
      <c r="M88">
        <v>296</v>
      </c>
      <c r="N88" t="s">
        <v>1032</v>
      </c>
      <c r="O88" t="s">
        <v>1265</v>
      </c>
    </row>
    <row r="89" spans="1:15" x14ac:dyDescent="0.2">
      <c r="A89" t="s">
        <v>190</v>
      </c>
      <c r="B89" t="s">
        <v>376</v>
      </c>
      <c r="C89">
        <v>19</v>
      </c>
      <c r="D89">
        <v>4</v>
      </c>
      <c r="E89">
        <v>17</v>
      </c>
      <c r="F89">
        <v>18</v>
      </c>
      <c r="G89">
        <v>2</v>
      </c>
      <c r="H89">
        <v>16</v>
      </c>
      <c r="I89">
        <v>2.1999999999999999E-2</v>
      </c>
      <c r="J89">
        <f t="shared" si="1"/>
        <v>0.90909090909090917</v>
      </c>
      <c r="K89">
        <v>2.0000000000000001E-4</v>
      </c>
      <c r="L89" t="s">
        <v>17</v>
      </c>
      <c r="M89">
        <v>296</v>
      </c>
      <c r="N89" t="s">
        <v>1032</v>
      </c>
      <c r="O89" t="s">
        <v>1266</v>
      </c>
    </row>
    <row r="90" spans="1:15" x14ac:dyDescent="0.2">
      <c r="A90" t="s">
        <v>190</v>
      </c>
      <c r="B90" t="s">
        <v>376</v>
      </c>
      <c r="C90">
        <v>19</v>
      </c>
      <c r="D90">
        <v>3</v>
      </c>
      <c r="E90">
        <v>16</v>
      </c>
      <c r="F90">
        <v>18</v>
      </c>
      <c r="G90">
        <v>1</v>
      </c>
      <c r="H90">
        <v>15</v>
      </c>
      <c r="I90">
        <v>1.83E-2</v>
      </c>
      <c r="J90">
        <f t="shared" si="1"/>
        <v>0.54644808743169404</v>
      </c>
      <c r="K90">
        <v>1E-4</v>
      </c>
      <c r="L90" t="s">
        <v>17</v>
      </c>
      <c r="M90">
        <v>296</v>
      </c>
      <c r="N90" t="s">
        <v>1032</v>
      </c>
      <c r="O90" t="s">
        <v>1267</v>
      </c>
    </row>
    <row r="91" spans="1:15" x14ac:dyDescent="0.2">
      <c r="A91" t="s">
        <v>190</v>
      </c>
      <c r="B91" t="s">
        <v>376</v>
      </c>
      <c r="C91">
        <v>20</v>
      </c>
      <c r="D91">
        <v>1</v>
      </c>
      <c r="E91">
        <v>19</v>
      </c>
      <c r="F91">
        <v>19</v>
      </c>
      <c r="G91">
        <v>1</v>
      </c>
      <c r="H91">
        <v>18</v>
      </c>
      <c r="I91">
        <v>1.43E-2</v>
      </c>
      <c r="J91">
        <f t="shared" si="1"/>
        <v>0.69930069930069927</v>
      </c>
      <c r="K91">
        <v>1E-4</v>
      </c>
      <c r="L91" t="s">
        <v>17</v>
      </c>
      <c r="M91">
        <v>296</v>
      </c>
      <c r="N91" t="s">
        <v>1032</v>
      </c>
      <c r="O91" t="s">
        <v>1229</v>
      </c>
    </row>
    <row r="92" spans="1:15" x14ac:dyDescent="0.2">
      <c r="A92" t="s">
        <v>190</v>
      </c>
      <c r="B92" t="s">
        <v>376</v>
      </c>
      <c r="C92">
        <v>20</v>
      </c>
      <c r="D92">
        <v>2</v>
      </c>
      <c r="E92">
        <v>19</v>
      </c>
      <c r="F92">
        <v>19</v>
      </c>
      <c r="G92">
        <v>0</v>
      </c>
      <c r="H92">
        <v>19</v>
      </c>
      <c r="I92">
        <v>1.5800000000000002E-2</v>
      </c>
      <c r="J92">
        <f t="shared" si="1"/>
        <v>0.63291139240506333</v>
      </c>
      <c r="K92">
        <v>1E-4</v>
      </c>
      <c r="L92" t="s">
        <v>17</v>
      </c>
      <c r="M92">
        <v>296</v>
      </c>
      <c r="N92" t="s">
        <v>1032</v>
      </c>
      <c r="O92" t="s">
        <v>1237</v>
      </c>
    </row>
    <row r="93" spans="1:15" x14ac:dyDescent="0.2">
      <c r="A93" t="s">
        <v>190</v>
      </c>
      <c r="B93" t="s">
        <v>376</v>
      </c>
      <c r="C93">
        <v>20</v>
      </c>
      <c r="D93">
        <v>3</v>
      </c>
      <c r="E93">
        <v>18</v>
      </c>
      <c r="F93">
        <v>19</v>
      </c>
      <c r="G93">
        <v>1</v>
      </c>
      <c r="H93">
        <v>17</v>
      </c>
      <c r="I93">
        <v>1.9900000000000001E-2</v>
      </c>
      <c r="J93">
        <f t="shared" si="1"/>
        <v>1.0050251256281406</v>
      </c>
      <c r="K93">
        <v>2.0000000000000001E-4</v>
      </c>
      <c r="L93" t="s">
        <v>17</v>
      </c>
      <c r="M93">
        <v>296</v>
      </c>
      <c r="N93" t="s">
        <v>1032</v>
      </c>
      <c r="O93" t="s">
        <v>1268</v>
      </c>
    </row>
    <row r="94" spans="1:15" x14ac:dyDescent="0.2">
      <c r="A94" t="s">
        <v>190</v>
      </c>
      <c r="B94" t="s">
        <v>376</v>
      </c>
      <c r="C94">
        <v>20</v>
      </c>
      <c r="D94">
        <v>4</v>
      </c>
      <c r="E94">
        <v>18</v>
      </c>
      <c r="F94">
        <v>19</v>
      </c>
      <c r="G94">
        <v>2</v>
      </c>
      <c r="H94">
        <v>17</v>
      </c>
      <c r="I94">
        <v>2.1399999999999999E-2</v>
      </c>
      <c r="J94">
        <f t="shared" si="1"/>
        <v>0.93457943925233655</v>
      </c>
      <c r="K94">
        <v>2.0000000000000001E-4</v>
      </c>
      <c r="L94" t="s">
        <v>17</v>
      </c>
      <c r="M94">
        <v>296</v>
      </c>
      <c r="N94" t="s">
        <v>1032</v>
      </c>
      <c r="O94" t="s">
        <v>1269</v>
      </c>
    </row>
    <row r="95" spans="1:15" x14ac:dyDescent="0.2">
      <c r="A95" t="s">
        <v>190</v>
      </c>
      <c r="B95" t="s">
        <v>376</v>
      </c>
      <c r="C95">
        <v>21</v>
      </c>
      <c r="D95">
        <v>1</v>
      </c>
      <c r="E95">
        <v>20</v>
      </c>
      <c r="F95">
        <v>20</v>
      </c>
      <c r="G95">
        <v>1</v>
      </c>
      <c r="H95">
        <v>19</v>
      </c>
      <c r="I95">
        <v>1.49E-2</v>
      </c>
      <c r="J95">
        <f t="shared" si="1"/>
        <v>0.67114093959731547</v>
      </c>
      <c r="K95">
        <v>1E-4</v>
      </c>
      <c r="L95" t="s">
        <v>17</v>
      </c>
      <c r="M95">
        <v>296</v>
      </c>
      <c r="N95" t="s">
        <v>1032</v>
      </c>
      <c r="O95" t="s">
        <v>1255</v>
      </c>
    </row>
    <row r="96" spans="1:15" x14ac:dyDescent="0.2">
      <c r="A96" t="s">
        <v>190</v>
      </c>
      <c r="B96" t="s">
        <v>376</v>
      </c>
      <c r="C96">
        <v>21</v>
      </c>
      <c r="D96">
        <v>2</v>
      </c>
      <c r="E96">
        <v>20</v>
      </c>
      <c r="F96">
        <v>20</v>
      </c>
      <c r="G96">
        <v>0</v>
      </c>
      <c r="H96">
        <v>20</v>
      </c>
      <c r="I96">
        <v>1.6899999999999998E-2</v>
      </c>
      <c r="J96">
        <f t="shared" si="1"/>
        <v>0.59171597633136097</v>
      </c>
      <c r="K96">
        <v>1E-4</v>
      </c>
      <c r="L96" t="s">
        <v>17</v>
      </c>
      <c r="M96">
        <v>296</v>
      </c>
      <c r="N96" t="s">
        <v>1032</v>
      </c>
      <c r="O96" t="s">
        <v>1249</v>
      </c>
    </row>
    <row r="97" spans="1:15" x14ac:dyDescent="0.2">
      <c r="A97" t="s">
        <v>190</v>
      </c>
      <c r="B97" t="s">
        <v>376</v>
      </c>
      <c r="C97">
        <v>21</v>
      </c>
      <c r="D97">
        <v>3</v>
      </c>
      <c r="E97">
        <v>19</v>
      </c>
      <c r="F97">
        <v>20</v>
      </c>
      <c r="G97">
        <v>1</v>
      </c>
      <c r="H97">
        <v>18</v>
      </c>
      <c r="I97">
        <v>2.06E-2</v>
      </c>
      <c r="J97">
        <f t="shared" si="1"/>
        <v>0.97087378640776711</v>
      </c>
      <c r="K97">
        <v>2.0000000000000001E-4</v>
      </c>
      <c r="L97" t="s">
        <v>17</v>
      </c>
      <c r="M97">
        <v>296</v>
      </c>
      <c r="N97" t="s">
        <v>1032</v>
      </c>
      <c r="O97" t="s">
        <v>1270</v>
      </c>
    </row>
    <row r="98" spans="1:15" x14ac:dyDescent="0.2">
      <c r="A98" t="s">
        <v>190</v>
      </c>
      <c r="B98" t="s">
        <v>376</v>
      </c>
      <c r="C98">
        <v>21</v>
      </c>
      <c r="D98">
        <v>4</v>
      </c>
      <c r="E98">
        <v>19</v>
      </c>
      <c r="F98">
        <v>20</v>
      </c>
      <c r="G98">
        <v>2</v>
      </c>
      <c r="H98">
        <v>18</v>
      </c>
      <c r="I98">
        <v>2.2100000000000002E-2</v>
      </c>
      <c r="J98">
        <f t="shared" si="1"/>
        <v>1.3574660633484161</v>
      </c>
      <c r="K98">
        <v>2.9999999999999997E-4</v>
      </c>
      <c r="L98" t="s">
        <v>17</v>
      </c>
      <c r="M98">
        <v>296</v>
      </c>
      <c r="N98" t="s">
        <v>1032</v>
      </c>
      <c r="O98" t="s">
        <v>1271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F1625-D275-204B-B9E1-6721FE4DCB96}">
  <dimension ref="A1:O73"/>
  <sheetViews>
    <sheetView workbookViewId="0">
      <selection activeCell="L26" sqref="L2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407</v>
      </c>
      <c r="C2">
        <v>1</v>
      </c>
      <c r="D2">
        <v>0</v>
      </c>
      <c r="E2">
        <v>1</v>
      </c>
      <c r="F2">
        <v>0</v>
      </c>
      <c r="G2">
        <v>0</v>
      </c>
      <c r="H2">
        <v>0</v>
      </c>
      <c r="I2">
        <v>7.7609999999999998E-2</v>
      </c>
      <c r="J2">
        <f>K2/I2*100</f>
        <v>1.2884937508053087</v>
      </c>
      <c r="K2">
        <v>1E-3</v>
      </c>
      <c r="L2" t="s">
        <v>17</v>
      </c>
      <c r="M2">
        <v>296</v>
      </c>
      <c r="N2" t="s">
        <v>413</v>
      </c>
      <c r="O2" t="s">
        <v>1272</v>
      </c>
    </row>
    <row r="3" spans="1:15" x14ac:dyDescent="0.2">
      <c r="A3" t="s">
        <v>190</v>
      </c>
      <c r="B3" t="s">
        <v>407</v>
      </c>
      <c r="C3">
        <v>0</v>
      </c>
      <c r="D3">
        <v>0</v>
      </c>
      <c r="E3">
        <v>0</v>
      </c>
      <c r="F3">
        <v>1</v>
      </c>
      <c r="G3">
        <v>0</v>
      </c>
      <c r="H3">
        <v>1</v>
      </c>
      <c r="I3">
        <v>7.2220000000000006E-2</v>
      </c>
      <c r="J3">
        <f>K3/I3*100</f>
        <v>1.3846579894765991</v>
      </c>
      <c r="K3">
        <v>1E-3</v>
      </c>
      <c r="L3" t="s">
        <v>17</v>
      </c>
      <c r="M3">
        <v>296</v>
      </c>
      <c r="N3" t="s">
        <v>413</v>
      </c>
      <c r="O3" t="s">
        <v>1273</v>
      </c>
    </row>
    <row r="4" spans="1:15" x14ac:dyDescent="0.2">
      <c r="A4" t="s">
        <v>190</v>
      </c>
      <c r="B4" t="s">
        <v>407</v>
      </c>
      <c r="C4">
        <v>2</v>
      </c>
      <c r="D4">
        <v>1</v>
      </c>
      <c r="E4">
        <v>2</v>
      </c>
      <c r="F4">
        <v>1</v>
      </c>
      <c r="G4">
        <v>1</v>
      </c>
      <c r="H4">
        <v>1</v>
      </c>
      <c r="I4">
        <v>7.2020000000000001E-2</v>
      </c>
      <c r="J4">
        <f t="shared" ref="J4:J67" si="0">K4/I4*100</f>
        <v>1.3885031935573451</v>
      </c>
      <c r="K4">
        <v>1E-3</v>
      </c>
      <c r="L4" t="s">
        <v>17</v>
      </c>
      <c r="M4">
        <v>296</v>
      </c>
      <c r="N4" t="s">
        <v>413</v>
      </c>
      <c r="O4" t="s">
        <v>1274</v>
      </c>
    </row>
    <row r="5" spans="1:15" x14ac:dyDescent="0.2">
      <c r="A5" t="s">
        <v>190</v>
      </c>
      <c r="B5" t="s">
        <v>407</v>
      </c>
      <c r="C5">
        <v>1</v>
      </c>
      <c r="D5">
        <v>0</v>
      </c>
      <c r="E5">
        <v>1</v>
      </c>
      <c r="F5">
        <v>2</v>
      </c>
      <c r="G5">
        <v>0</v>
      </c>
      <c r="H5">
        <v>2</v>
      </c>
      <c r="I5">
        <v>8.2820000000000005E-2</v>
      </c>
      <c r="J5">
        <f t="shared" si="0"/>
        <v>1.2074378169524269</v>
      </c>
      <c r="K5">
        <v>1E-3</v>
      </c>
      <c r="L5" t="s">
        <v>17</v>
      </c>
      <c r="M5">
        <v>296</v>
      </c>
      <c r="N5" t="s">
        <v>413</v>
      </c>
      <c r="O5" t="s">
        <v>1275</v>
      </c>
    </row>
    <row r="6" spans="1:15" x14ac:dyDescent="0.2">
      <c r="A6" t="s">
        <v>190</v>
      </c>
      <c r="B6" t="s">
        <v>407</v>
      </c>
      <c r="C6">
        <v>2</v>
      </c>
      <c r="D6">
        <v>1</v>
      </c>
      <c r="E6">
        <v>1</v>
      </c>
      <c r="F6">
        <v>2</v>
      </c>
      <c r="G6">
        <v>1</v>
      </c>
      <c r="H6">
        <v>2</v>
      </c>
      <c r="I6">
        <v>7.6219999999999996E-2</v>
      </c>
      <c r="J6">
        <f t="shared" si="0"/>
        <v>1.3119916032537393</v>
      </c>
      <c r="K6">
        <v>1E-3</v>
      </c>
      <c r="L6" t="s">
        <v>17</v>
      </c>
      <c r="M6">
        <v>296</v>
      </c>
      <c r="N6" t="s">
        <v>413</v>
      </c>
      <c r="O6" t="s">
        <v>1276</v>
      </c>
    </row>
    <row r="7" spans="1:15" x14ac:dyDescent="0.2">
      <c r="A7" t="s">
        <v>190</v>
      </c>
      <c r="B7" t="s">
        <v>407</v>
      </c>
      <c r="C7">
        <v>2</v>
      </c>
      <c r="D7">
        <v>1</v>
      </c>
      <c r="E7">
        <v>2</v>
      </c>
      <c r="F7">
        <v>2</v>
      </c>
      <c r="G7">
        <v>1</v>
      </c>
      <c r="H7">
        <v>1</v>
      </c>
      <c r="I7">
        <v>7.9020000000000007E-2</v>
      </c>
      <c r="J7">
        <f t="shared" si="0"/>
        <v>1.2655024044545684</v>
      </c>
      <c r="K7">
        <v>1E-3</v>
      </c>
      <c r="L7" t="s">
        <v>17</v>
      </c>
      <c r="M7">
        <v>296</v>
      </c>
      <c r="N7" t="s">
        <v>413</v>
      </c>
      <c r="O7" t="s">
        <v>1277</v>
      </c>
    </row>
    <row r="8" spans="1:15" x14ac:dyDescent="0.2">
      <c r="A8" t="s">
        <v>190</v>
      </c>
      <c r="B8" t="s">
        <v>407</v>
      </c>
      <c r="C8">
        <v>3</v>
      </c>
      <c r="D8">
        <v>1</v>
      </c>
      <c r="E8">
        <v>2</v>
      </c>
      <c r="F8">
        <v>2</v>
      </c>
      <c r="G8">
        <v>1</v>
      </c>
      <c r="H8">
        <v>1</v>
      </c>
      <c r="I8">
        <v>7.6009999999999994E-2</v>
      </c>
      <c r="J8">
        <f t="shared" si="0"/>
        <v>1.3156163662675964</v>
      </c>
      <c r="K8">
        <v>1E-3</v>
      </c>
      <c r="L8" t="s">
        <v>17</v>
      </c>
      <c r="M8">
        <v>296</v>
      </c>
      <c r="N8" t="s">
        <v>413</v>
      </c>
      <c r="O8" t="s">
        <v>1278</v>
      </c>
    </row>
    <row r="9" spans="1:15" x14ac:dyDescent="0.2">
      <c r="A9" t="s">
        <v>190</v>
      </c>
      <c r="B9" t="s">
        <v>407</v>
      </c>
      <c r="C9">
        <v>2</v>
      </c>
      <c r="D9">
        <v>2</v>
      </c>
      <c r="E9">
        <v>1</v>
      </c>
      <c r="F9">
        <v>2</v>
      </c>
      <c r="G9">
        <v>2</v>
      </c>
      <c r="H9">
        <v>0</v>
      </c>
      <c r="I9">
        <v>7.1319999999999995E-2</v>
      </c>
      <c r="J9">
        <f t="shared" si="0"/>
        <v>1.4021312394840157</v>
      </c>
      <c r="K9">
        <v>1E-3</v>
      </c>
      <c r="L9" t="s">
        <v>17</v>
      </c>
      <c r="M9">
        <v>296</v>
      </c>
      <c r="N9" t="s">
        <v>413</v>
      </c>
      <c r="O9" t="s">
        <v>1279</v>
      </c>
    </row>
    <row r="10" spans="1:15" x14ac:dyDescent="0.2">
      <c r="A10" t="s">
        <v>190</v>
      </c>
      <c r="B10" t="s">
        <v>407</v>
      </c>
      <c r="C10">
        <v>3</v>
      </c>
      <c r="D10">
        <v>2</v>
      </c>
      <c r="E10">
        <v>1</v>
      </c>
      <c r="F10">
        <v>2</v>
      </c>
      <c r="G10">
        <v>2</v>
      </c>
      <c r="H10">
        <v>0</v>
      </c>
      <c r="I10">
        <v>7.2270000000000001E-2</v>
      </c>
      <c r="J10">
        <f t="shared" si="0"/>
        <v>1.3837000138370001</v>
      </c>
      <c r="K10">
        <v>1E-3</v>
      </c>
      <c r="L10" t="s">
        <v>17</v>
      </c>
      <c r="M10">
        <v>296</v>
      </c>
      <c r="N10" t="s">
        <v>413</v>
      </c>
      <c r="O10" t="s">
        <v>1280</v>
      </c>
    </row>
    <row r="11" spans="1:15" x14ac:dyDescent="0.2">
      <c r="A11" t="s">
        <v>190</v>
      </c>
      <c r="B11" t="s">
        <v>407</v>
      </c>
      <c r="C11">
        <v>3</v>
      </c>
      <c r="D11">
        <v>2</v>
      </c>
      <c r="E11">
        <v>2</v>
      </c>
      <c r="F11">
        <v>3</v>
      </c>
      <c r="G11">
        <v>0</v>
      </c>
      <c r="H11">
        <v>3</v>
      </c>
      <c r="I11">
        <v>7.3969999999999994E-2</v>
      </c>
      <c r="J11">
        <f t="shared" si="0"/>
        <v>1.35189941868325</v>
      </c>
      <c r="K11">
        <v>1E-3</v>
      </c>
      <c r="L11" t="s">
        <v>17</v>
      </c>
      <c r="M11">
        <v>296</v>
      </c>
      <c r="N11" t="s">
        <v>413</v>
      </c>
      <c r="O11" t="s">
        <v>1281</v>
      </c>
    </row>
    <row r="12" spans="1:15" x14ac:dyDescent="0.2">
      <c r="A12" t="s">
        <v>190</v>
      </c>
      <c r="B12" t="s">
        <v>407</v>
      </c>
      <c r="C12">
        <v>4</v>
      </c>
      <c r="D12">
        <v>2</v>
      </c>
      <c r="E12">
        <v>2</v>
      </c>
      <c r="F12">
        <v>3</v>
      </c>
      <c r="G12">
        <v>0</v>
      </c>
      <c r="H12">
        <v>3</v>
      </c>
      <c r="I12">
        <v>7.3169999999999999E-2</v>
      </c>
      <c r="J12">
        <f t="shared" si="0"/>
        <v>1.3666803334700015</v>
      </c>
      <c r="K12">
        <v>1E-3</v>
      </c>
      <c r="L12" t="s">
        <v>17</v>
      </c>
      <c r="M12">
        <v>296</v>
      </c>
      <c r="N12" t="s">
        <v>413</v>
      </c>
      <c r="O12" t="s">
        <v>1282</v>
      </c>
    </row>
    <row r="13" spans="1:15" x14ac:dyDescent="0.2">
      <c r="A13" t="s">
        <v>190</v>
      </c>
      <c r="B13" t="s">
        <v>407</v>
      </c>
      <c r="C13">
        <v>3</v>
      </c>
      <c r="D13">
        <v>1</v>
      </c>
      <c r="E13">
        <v>2</v>
      </c>
      <c r="F13">
        <v>3</v>
      </c>
      <c r="G13">
        <v>1</v>
      </c>
      <c r="H13">
        <v>3</v>
      </c>
      <c r="I13">
        <v>7.535E-2</v>
      </c>
      <c r="J13">
        <f t="shared" si="0"/>
        <v>1.3271400132714002</v>
      </c>
      <c r="K13">
        <v>1E-3</v>
      </c>
      <c r="L13" t="s">
        <v>17</v>
      </c>
      <c r="M13">
        <v>296</v>
      </c>
      <c r="N13" t="s">
        <v>413</v>
      </c>
      <c r="O13" t="s">
        <v>1283</v>
      </c>
    </row>
    <row r="14" spans="1:15" x14ac:dyDescent="0.2">
      <c r="A14" t="s">
        <v>190</v>
      </c>
      <c r="B14" t="s">
        <v>407</v>
      </c>
      <c r="C14">
        <v>4</v>
      </c>
      <c r="D14">
        <v>1</v>
      </c>
      <c r="E14">
        <v>4</v>
      </c>
      <c r="F14">
        <v>3</v>
      </c>
      <c r="G14">
        <v>1</v>
      </c>
      <c r="H14">
        <v>3</v>
      </c>
      <c r="I14">
        <v>7.0010000000000003E-2</v>
      </c>
      <c r="J14">
        <f t="shared" si="0"/>
        <v>1.4283673760891302</v>
      </c>
      <c r="K14">
        <v>1E-3</v>
      </c>
      <c r="L14" t="s">
        <v>17</v>
      </c>
      <c r="M14">
        <v>296</v>
      </c>
      <c r="N14" t="s">
        <v>413</v>
      </c>
      <c r="O14" t="s">
        <v>1284</v>
      </c>
    </row>
    <row r="15" spans="1:15" x14ac:dyDescent="0.2">
      <c r="A15" t="s">
        <v>190</v>
      </c>
      <c r="B15" t="s">
        <v>407</v>
      </c>
      <c r="C15">
        <v>2</v>
      </c>
      <c r="D15">
        <v>1</v>
      </c>
      <c r="E15">
        <v>1</v>
      </c>
      <c r="F15">
        <v>3</v>
      </c>
      <c r="G15">
        <v>1</v>
      </c>
      <c r="H15">
        <v>2</v>
      </c>
      <c r="I15">
        <v>6.8220000000000003E-2</v>
      </c>
      <c r="J15">
        <f t="shared" si="0"/>
        <v>1.4658457930225739</v>
      </c>
      <c r="K15">
        <v>1E-3</v>
      </c>
      <c r="L15" t="s">
        <v>17</v>
      </c>
      <c r="M15">
        <v>296</v>
      </c>
      <c r="N15" t="s">
        <v>413</v>
      </c>
      <c r="O15" t="s">
        <v>1285</v>
      </c>
    </row>
    <row r="16" spans="1:15" x14ac:dyDescent="0.2">
      <c r="A16" t="s">
        <v>190</v>
      </c>
      <c r="B16" t="s">
        <v>407</v>
      </c>
      <c r="C16">
        <v>4</v>
      </c>
      <c r="D16">
        <v>2</v>
      </c>
      <c r="E16">
        <v>3</v>
      </c>
      <c r="F16">
        <v>3</v>
      </c>
      <c r="G16">
        <v>2</v>
      </c>
      <c r="H16">
        <v>2</v>
      </c>
      <c r="I16">
        <v>7.2020000000000001E-2</v>
      </c>
      <c r="J16">
        <f t="shared" si="0"/>
        <v>1.3885031935573451</v>
      </c>
      <c r="K16">
        <v>1E-3</v>
      </c>
      <c r="L16" t="s">
        <v>17</v>
      </c>
      <c r="M16">
        <v>296</v>
      </c>
      <c r="N16" t="s">
        <v>413</v>
      </c>
      <c r="O16" t="s">
        <v>1286</v>
      </c>
    </row>
    <row r="17" spans="1:15" x14ac:dyDescent="0.2">
      <c r="A17" t="s">
        <v>190</v>
      </c>
      <c r="B17" t="s">
        <v>407</v>
      </c>
      <c r="C17">
        <v>2</v>
      </c>
      <c r="D17">
        <v>2</v>
      </c>
      <c r="E17">
        <v>0</v>
      </c>
      <c r="F17">
        <v>3</v>
      </c>
      <c r="G17">
        <v>2</v>
      </c>
      <c r="H17">
        <v>1</v>
      </c>
      <c r="I17">
        <v>6.7030000000000006E-2</v>
      </c>
      <c r="J17">
        <f t="shared" si="0"/>
        <v>1.4918693122482469</v>
      </c>
      <c r="K17">
        <v>1E-3</v>
      </c>
      <c r="L17" t="s">
        <v>17</v>
      </c>
      <c r="M17">
        <v>296</v>
      </c>
      <c r="N17" t="s">
        <v>413</v>
      </c>
      <c r="O17" t="s">
        <v>1287</v>
      </c>
    </row>
    <row r="18" spans="1:15" x14ac:dyDescent="0.2">
      <c r="A18" t="s">
        <v>190</v>
      </c>
      <c r="B18" t="s">
        <v>407</v>
      </c>
      <c r="C18">
        <v>3</v>
      </c>
      <c r="D18">
        <v>0</v>
      </c>
      <c r="E18">
        <v>3</v>
      </c>
      <c r="F18">
        <v>4</v>
      </c>
      <c r="G18">
        <v>0</v>
      </c>
      <c r="H18">
        <v>4</v>
      </c>
      <c r="I18">
        <v>7.7340000000000006E-2</v>
      </c>
      <c r="J18">
        <f t="shared" si="0"/>
        <v>1.2929919834497026</v>
      </c>
      <c r="K18">
        <v>1E-3</v>
      </c>
      <c r="L18" t="s">
        <v>17</v>
      </c>
      <c r="M18">
        <v>296</v>
      </c>
      <c r="N18" t="s">
        <v>413</v>
      </c>
      <c r="O18" t="s">
        <v>1288</v>
      </c>
    </row>
    <row r="19" spans="1:15" x14ac:dyDescent="0.2">
      <c r="A19" t="s">
        <v>190</v>
      </c>
      <c r="B19" t="s">
        <v>407</v>
      </c>
      <c r="C19">
        <v>5</v>
      </c>
      <c r="D19">
        <v>0</v>
      </c>
      <c r="E19">
        <v>5</v>
      </c>
      <c r="F19">
        <v>4</v>
      </c>
      <c r="G19">
        <v>0</v>
      </c>
      <c r="H19">
        <v>4</v>
      </c>
      <c r="I19">
        <v>6.9750000000000006E-2</v>
      </c>
      <c r="J19">
        <f t="shared" si="0"/>
        <v>1.4336917562724012</v>
      </c>
      <c r="K19">
        <v>1E-3</v>
      </c>
      <c r="L19" t="s">
        <v>17</v>
      </c>
      <c r="M19">
        <v>296</v>
      </c>
      <c r="N19" t="s">
        <v>413</v>
      </c>
      <c r="O19" t="s">
        <v>1289</v>
      </c>
    </row>
    <row r="20" spans="1:15" x14ac:dyDescent="0.2">
      <c r="A20" t="s">
        <v>190</v>
      </c>
      <c r="B20" t="s">
        <v>407</v>
      </c>
      <c r="C20">
        <v>4</v>
      </c>
      <c r="D20">
        <v>1</v>
      </c>
      <c r="E20">
        <v>3</v>
      </c>
      <c r="F20">
        <v>4</v>
      </c>
      <c r="G20">
        <v>1</v>
      </c>
      <c r="H20">
        <v>4</v>
      </c>
      <c r="I20">
        <v>7.3959999999999998E-2</v>
      </c>
      <c r="J20">
        <f t="shared" si="0"/>
        <v>1.3520822065981613</v>
      </c>
      <c r="K20">
        <v>1E-3</v>
      </c>
      <c r="L20" t="s">
        <v>17</v>
      </c>
      <c r="M20">
        <v>296</v>
      </c>
      <c r="N20" t="s">
        <v>413</v>
      </c>
      <c r="O20" t="s">
        <v>1290</v>
      </c>
    </row>
    <row r="21" spans="1:15" x14ac:dyDescent="0.2">
      <c r="A21" t="s">
        <v>190</v>
      </c>
      <c r="B21" t="s">
        <v>407</v>
      </c>
      <c r="C21">
        <v>3</v>
      </c>
      <c r="D21">
        <v>1</v>
      </c>
      <c r="E21">
        <v>2</v>
      </c>
      <c r="F21">
        <v>4</v>
      </c>
      <c r="G21">
        <v>1</v>
      </c>
      <c r="H21">
        <v>3</v>
      </c>
      <c r="I21">
        <v>6.8650000000000003E-2</v>
      </c>
      <c r="J21">
        <f t="shared" si="0"/>
        <v>1.4566642388929352</v>
      </c>
      <c r="K21">
        <v>1E-3</v>
      </c>
      <c r="L21" t="s">
        <v>17</v>
      </c>
      <c r="M21">
        <v>296</v>
      </c>
      <c r="N21" t="s">
        <v>413</v>
      </c>
      <c r="O21" t="s">
        <v>1291</v>
      </c>
    </row>
    <row r="22" spans="1:15" x14ac:dyDescent="0.2">
      <c r="A22" t="s">
        <v>190</v>
      </c>
      <c r="B22" t="s">
        <v>407</v>
      </c>
      <c r="C22">
        <v>3</v>
      </c>
      <c r="D22">
        <v>2</v>
      </c>
      <c r="E22">
        <v>2</v>
      </c>
      <c r="F22">
        <v>4</v>
      </c>
      <c r="G22">
        <v>2</v>
      </c>
      <c r="H22">
        <v>3</v>
      </c>
      <c r="I22">
        <v>6.8940000000000001E-2</v>
      </c>
      <c r="J22">
        <f t="shared" si="0"/>
        <v>1.450536698578474</v>
      </c>
      <c r="K22">
        <v>1E-3</v>
      </c>
      <c r="L22" t="s">
        <v>17</v>
      </c>
      <c r="M22">
        <v>296</v>
      </c>
      <c r="N22" t="s">
        <v>413</v>
      </c>
      <c r="O22" t="s">
        <v>1292</v>
      </c>
    </row>
    <row r="23" spans="1:15" x14ac:dyDescent="0.2">
      <c r="A23" t="s">
        <v>190</v>
      </c>
      <c r="B23" t="s">
        <v>407</v>
      </c>
      <c r="C23">
        <v>4</v>
      </c>
      <c r="D23">
        <v>2</v>
      </c>
      <c r="E23">
        <v>2</v>
      </c>
      <c r="F23">
        <v>4</v>
      </c>
      <c r="G23">
        <v>2</v>
      </c>
      <c r="H23">
        <v>3</v>
      </c>
      <c r="I23">
        <v>7.0730000000000001E-2</v>
      </c>
      <c r="J23">
        <f t="shared" si="0"/>
        <v>1.4138272303124559</v>
      </c>
      <c r="K23">
        <v>1E-3</v>
      </c>
      <c r="L23" t="s">
        <v>17</v>
      </c>
      <c r="M23">
        <v>296</v>
      </c>
      <c r="N23" t="s">
        <v>413</v>
      </c>
      <c r="O23" t="s">
        <v>1293</v>
      </c>
    </row>
    <row r="24" spans="1:15" x14ac:dyDescent="0.2">
      <c r="A24" t="s">
        <v>190</v>
      </c>
      <c r="B24" t="s">
        <v>407</v>
      </c>
      <c r="C24">
        <v>3</v>
      </c>
      <c r="D24">
        <v>2</v>
      </c>
      <c r="E24">
        <v>1</v>
      </c>
      <c r="F24">
        <v>4</v>
      </c>
      <c r="G24">
        <v>2</v>
      </c>
      <c r="H24">
        <v>2</v>
      </c>
      <c r="I24">
        <v>7.3340000000000002E-2</v>
      </c>
      <c r="J24">
        <f t="shared" si="0"/>
        <v>1.3635124079629124</v>
      </c>
      <c r="K24">
        <v>1E-3</v>
      </c>
      <c r="L24" t="s">
        <v>17</v>
      </c>
      <c r="M24">
        <v>296</v>
      </c>
      <c r="N24" t="s">
        <v>413</v>
      </c>
      <c r="O24" t="s">
        <v>1294</v>
      </c>
    </row>
    <row r="25" spans="1:15" x14ac:dyDescent="0.2">
      <c r="A25" t="s">
        <v>190</v>
      </c>
      <c r="B25" t="s">
        <v>407</v>
      </c>
      <c r="C25">
        <v>4</v>
      </c>
      <c r="D25">
        <v>2</v>
      </c>
      <c r="E25">
        <v>3</v>
      </c>
      <c r="F25">
        <v>4</v>
      </c>
      <c r="G25">
        <v>2</v>
      </c>
      <c r="H25">
        <v>2</v>
      </c>
      <c r="I25">
        <v>7.3440000000000005E-2</v>
      </c>
      <c r="J25">
        <f t="shared" si="0"/>
        <v>1.3616557734204793</v>
      </c>
      <c r="K25">
        <v>1E-3</v>
      </c>
      <c r="L25" t="s">
        <v>17</v>
      </c>
      <c r="M25">
        <v>296</v>
      </c>
      <c r="N25" t="s">
        <v>413</v>
      </c>
      <c r="O25" t="s">
        <v>1295</v>
      </c>
    </row>
    <row r="26" spans="1:15" x14ac:dyDescent="0.2">
      <c r="A26" t="s">
        <v>190</v>
      </c>
      <c r="B26" t="s">
        <v>407</v>
      </c>
      <c r="C26">
        <v>5</v>
      </c>
      <c r="D26">
        <v>2</v>
      </c>
      <c r="E26">
        <v>3</v>
      </c>
      <c r="F26">
        <v>4</v>
      </c>
      <c r="G26">
        <v>2</v>
      </c>
      <c r="H26">
        <v>2</v>
      </c>
      <c r="I26">
        <v>7.1739999999999998E-2</v>
      </c>
      <c r="J26">
        <f t="shared" si="0"/>
        <v>1.3939224979091163</v>
      </c>
      <c r="K26">
        <v>1E-3</v>
      </c>
      <c r="L26" t="s">
        <v>17</v>
      </c>
      <c r="M26">
        <v>296</v>
      </c>
      <c r="N26" t="s">
        <v>413</v>
      </c>
      <c r="O26" t="s">
        <v>1296</v>
      </c>
    </row>
    <row r="27" spans="1:15" x14ac:dyDescent="0.2">
      <c r="A27" t="s">
        <v>190</v>
      </c>
      <c r="B27" t="s">
        <v>407</v>
      </c>
      <c r="C27">
        <v>3</v>
      </c>
      <c r="D27">
        <v>3</v>
      </c>
      <c r="E27">
        <v>1</v>
      </c>
      <c r="F27">
        <v>4</v>
      </c>
      <c r="G27">
        <v>3</v>
      </c>
      <c r="H27">
        <v>2</v>
      </c>
      <c r="I27">
        <v>6.173E-2</v>
      </c>
      <c r="J27">
        <f t="shared" si="0"/>
        <v>1.6199578810950916</v>
      </c>
      <c r="K27">
        <v>1E-3</v>
      </c>
      <c r="L27" t="s">
        <v>17</v>
      </c>
      <c r="M27">
        <v>296</v>
      </c>
      <c r="N27" t="s">
        <v>413</v>
      </c>
      <c r="O27" t="s">
        <v>1297</v>
      </c>
    </row>
    <row r="28" spans="1:15" x14ac:dyDescent="0.2">
      <c r="A28" t="s">
        <v>190</v>
      </c>
      <c r="B28" t="s">
        <v>407</v>
      </c>
      <c r="C28">
        <v>4</v>
      </c>
      <c r="D28">
        <v>3</v>
      </c>
      <c r="E28">
        <v>1</v>
      </c>
      <c r="F28">
        <v>4</v>
      </c>
      <c r="G28">
        <v>3</v>
      </c>
      <c r="H28">
        <v>2</v>
      </c>
      <c r="I28">
        <v>6.3229999999999995E-2</v>
      </c>
      <c r="J28">
        <f t="shared" si="0"/>
        <v>1.5815277558121146</v>
      </c>
      <c r="K28">
        <v>1E-3</v>
      </c>
      <c r="L28" t="s">
        <v>17</v>
      </c>
      <c r="M28">
        <v>296</v>
      </c>
      <c r="N28" t="s">
        <v>413</v>
      </c>
      <c r="O28" t="s">
        <v>1298</v>
      </c>
    </row>
    <row r="29" spans="1:15" x14ac:dyDescent="0.2">
      <c r="A29" t="s">
        <v>190</v>
      </c>
      <c r="B29" t="s">
        <v>407</v>
      </c>
      <c r="C29">
        <v>5</v>
      </c>
      <c r="D29">
        <v>3</v>
      </c>
      <c r="E29">
        <v>3</v>
      </c>
      <c r="F29">
        <v>4</v>
      </c>
      <c r="G29">
        <v>3</v>
      </c>
      <c r="H29">
        <v>2</v>
      </c>
      <c r="I29">
        <v>6.8839999999999998E-2</v>
      </c>
      <c r="J29">
        <f t="shared" si="0"/>
        <v>1.4526438117373621</v>
      </c>
      <c r="K29">
        <v>1E-3</v>
      </c>
      <c r="L29" t="s">
        <v>17</v>
      </c>
      <c r="M29">
        <v>296</v>
      </c>
      <c r="N29" t="s">
        <v>413</v>
      </c>
      <c r="O29" t="s">
        <v>1299</v>
      </c>
    </row>
    <row r="30" spans="1:15" x14ac:dyDescent="0.2">
      <c r="A30" t="s">
        <v>190</v>
      </c>
      <c r="B30" t="s">
        <v>407</v>
      </c>
      <c r="C30">
        <v>3</v>
      </c>
      <c r="D30">
        <v>3</v>
      </c>
      <c r="E30">
        <v>0</v>
      </c>
      <c r="F30">
        <v>4</v>
      </c>
      <c r="G30">
        <v>3</v>
      </c>
      <c r="H30">
        <v>1</v>
      </c>
      <c r="I30">
        <v>6.1539999999999997E-2</v>
      </c>
      <c r="J30">
        <f t="shared" si="0"/>
        <v>1.6249593760155996</v>
      </c>
      <c r="K30">
        <v>1E-3</v>
      </c>
      <c r="L30" t="s">
        <v>17</v>
      </c>
      <c r="M30">
        <v>296</v>
      </c>
      <c r="N30" t="s">
        <v>413</v>
      </c>
      <c r="O30" t="s">
        <v>1300</v>
      </c>
    </row>
    <row r="31" spans="1:15" x14ac:dyDescent="0.2">
      <c r="A31" t="s">
        <v>190</v>
      </c>
      <c r="B31" t="s">
        <v>407</v>
      </c>
      <c r="C31">
        <v>4</v>
      </c>
      <c r="D31">
        <v>3</v>
      </c>
      <c r="E31">
        <v>2</v>
      </c>
      <c r="F31">
        <v>4</v>
      </c>
      <c r="G31">
        <v>3</v>
      </c>
      <c r="H31">
        <v>1</v>
      </c>
      <c r="I31">
        <v>6.5140000000000003E-2</v>
      </c>
      <c r="J31">
        <f t="shared" si="0"/>
        <v>1.5351550506601166</v>
      </c>
      <c r="K31">
        <v>1E-3</v>
      </c>
      <c r="L31" t="s">
        <v>17</v>
      </c>
      <c r="M31">
        <v>296</v>
      </c>
      <c r="N31" t="s">
        <v>413</v>
      </c>
      <c r="O31" t="s">
        <v>1301</v>
      </c>
    </row>
    <row r="32" spans="1:15" x14ac:dyDescent="0.2">
      <c r="A32" t="s">
        <v>190</v>
      </c>
      <c r="B32" t="s">
        <v>407</v>
      </c>
      <c r="C32">
        <v>5</v>
      </c>
      <c r="D32">
        <v>3</v>
      </c>
      <c r="E32">
        <v>2</v>
      </c>
      <c r="F32">
        <v>4</v>
      </c>
      <c r="G32">
        <v>3</v>
      </c>
      <c r="H32">
        <v>1</v>
      </c>
      <c r="I32">
        <v>6.7640000000000006E-2</v>
      </c>
      <c r="J32">
        <f t="shared" si="0"/>
        <v>1.4784151389710229</v>
      </c>
      <c r="K32">
        <v>1E-3</v>
      </c>
      <c r="L32" t="s">
        <v>17</v>
      </c>
      <c r="M32">
        <v>296</v>
      </c>
      <c r="N32" t="s">
        <v>413</v>
      </c>
      <c r="O32" t="s">
        <v>1302</v>
      </c>
    </row>
    <row r="33" spans="1:15" x14ac:dyDescent="0.2">
      <c r="A33" t="s">
        <v>190</v>
      </c>
      <c r="B33" t="s">
        <v>407</v>
      </c>
      <c r="C33">
        <v>4</v>
      </c>
      <c r="D33">
        <v>4</v>
      </c>
      <c r="E33">
        <v>0</v>
      </c>
      <c r="F33">
        <v>4</v>
      </c>
      <c r="G33">
        <v>4</v>
      </c>
      <c r="H33">
        <v>1</v>
      </c>
      <c r="I33">
        <v>5.8040000000000001E-2</v>
      </c>
      <c r="J33">
        <f t="shared" si="0"/>
        <v>1.7229496898690559</v>
      </c>
      <c r="K33">
        <v>1E-3</v>
      </c>
      <c r="L33" t="s">
        <v>17</v>
      </c>
      <c r="M33">
        <v>296</v>
      </c>
      <c r="N33" t="s">
        <v>413</v>
      </c>
      <c r="O33" t="s">
        <v>1303</v>
      </c>
    </row>
    <row r="34" spans="1:15" x14ac:dyDescent="0.2">
      <c r="A34" t="s">
        <v>190</v>
      </c>
      <c r="B34" t="s">
        <v>407</v>
      </c>
      <c r="C34">
        <v>5</v>
      </c>
      <c r="D34">
        <v>4</v>
      </c>
      <c r="E34">
        <v>2</v>
      </c>
      <c r="F34">
        <v>4</v>
      </c>
      <c r="G34">
        <v>4</v>
      </c>
      <c r="H34">
        <v>1</v>
      </c>
      <c r="I34">
        <v>6.2939999999999996E-2</v>
      </c>
      <c r="J34">
        <f t="shared" si="0"/>
        <v>1.5888147442008262</v>
      </c>
      <c r="K34">
        <v>1E-3</v>
      </c>
      <c r="L34" t="s">
        <v>17</v>
      </c>
      <c r="M34">
        <v>296</v>
      </c>
      <c r="N34" t="s">
        <v>413</v>
      </c>
      <c r="O34" t="s">
        <v>1304</v>
      </c>
    </row>
    <row r="35" spans="1:15" x14ac:dyDescent="0.2">
      <c r="A35" t="s">
        <v>190</v>
      </c>
      <c r="B35" t="s">
        <v>407</v>
      </c>
      <c r="C35">
        <v>5</v>
      </c>
      <c r="D35">
        <v>4</v>
      </c>
      <c r="E35">
        <v>1</v>
      </c>
      <c r="F35">
        <v>4</v>
      </c>
      <c r="G35">
        <v>4</v>
      </c>
      <c r="H35">
        <v>0</v>
      </c>
      <c r="I35">
        <v>6.3839999999999994E-2</v>
      </c>
      <c r="J35">
        <f t="shared" si="0"/>
        <v>1.5664160401002509</v>
      </c>
      <c r="K35">
        <v>1E-3</v>
      </c>
      <c r="L35" t="s">
        <v>17</v>
      </c>
      <c r="M35">
        <v>296</v>
      </c>
      <c r="N35" t="s">
        <v>413</v>
      </c>
      <c r="O35" t="s">
        <v>1305</v>
      </c>
    </row>
    <row r="36" spans="1:15" x14ac:dyDescent="0.2">
      <c r="A36" t="s">
        <v>190</v>
      </c>
      <c r="B36" t="s">
        <v>407</v>
      </c>
      <c r="C36">
        <v>4</v>
      </c>
      <c r="D36">
        <v>1</v>
      </c>
      <c r="E36">
        <v>4</v>
      </c>
      <c r="F36">
        <v>5</v>
      </c>
      <c r="G36">
        <v>1</v>
      </c>
      <c r="H36">
        <v>5</v>
      </c>
      <c r="I36">
        <v>7.4130000000000001E-2</v>
      </c>
      <c r="J36">
        <f t="shared" si="0"/>
        <v>1.3489815189531902</v>
      </c>
      <c r="K36">
        <v>1E-3</v>
      </c>
      <c r="L36" t="s">
        <v>17</v>
      </c>
      <c r="M36">
        <v>296</v>
      </c>
      <c r="N36" t="s">
        <v>413</v>
      </c>
      <c r="O36" t="s">
        <v>1306</v>
      </c>
    </row>
    <row r="37" spans="1:15" x14ac:dyDescent="0.2">
      <c r="A37" t="s">
        <v>190</v>
      </c>
      <c r="B37" t="s">
        <v>407</v>
      </c>
      <c r="C37">
        <v>4</v>
      </c>
      <c r="D37">
        <v>1</v>
      </c>
      <c r="E37">
        <v>3</v>
      </c>
      <c r="F37">
        <v>5</v>
      </c>
      <c r="G37">
        <v>1</v>
      </c>
      <c r="H37">
        <v>4</v>
      </c>
      <c r="I37">
        <v>7.1029999999999996E-2</v>
      </c>
      <c r="J37">
        <f t="shared" si="0"/>
        <v>1.4078558355624387</v>
      </c>
      <c r="K37">
        <v>1E-3</v>
      </c>
      <c r="L37" t="s">
        <v>17</v>
      </c>
      <c r="M37">
        <v>296</v>
      </c>
      <c r="N37" t="s">
        <v>413</v>
      </c>
      <c r="O37" t="s">
        <v>1307</v>
      </c>
    </row>
    <row r="38" spans="1:15" x14ac:dyDescent="0.2">
      <c r="A38" t="s">
        <v>190</v>
      </c>
      <c r="B38" t="s">
        <v>407</v>
      </c>
      <c r="C38">
        <v>5</v>
      </c>
      <c r="D38">
        <v>1</v>
      </c>
      <c r="E38">
        <v>5</v>
      </c>
      <c r="F38">
        <v>5</v>
      </c>
      <c r="G38">
        <v>1</v>
      </c>
      <c r="H38">
        <v>4</v>
      </c>
      <c r="I38">
        <v>7.5509999999999994E-2</v>
      </c>
      <c r="J38">
        <f t="shared" si="0"/>
        <v>1.3243279035889288</v>
      </c>
      <c r="K38">
        <v>1E-3</v>
      </c>
      <c r="L38" t="s">
        <v>17</v>
      </c>
      <c r="M38">
        <v>296</v>
      </c>
      <c r="N38" t="s">
        <v>413</v>
      </c>
      <c r="O38" t="s">
        <v>1308</v>
      </c>
    </row>
    <row r="39" spans="1:15" x14ac:dyDescent="0.2">
      <c r="A39" t="s">
        <v>190</v>
      </c>
      <c r="B39" t="s">
        <v>407</v>
      </c>
      <c r="C39">
        <v>4</v>
      </c>
      <c r="D39">
        <v>2</v>
      </c>
      <c r="E39">
        <v>3</v>
      </c>
      <c r="F39">
        <v>5</v>
      </c>
      <c r="G39">
        <v>2</v>
      </c>
      <c r="H39">
        <v>4</v>
      </c>
      <c r="I39">
        <v>7.3819999999999997E-2</v>
      </c>
      <c r="J39">
        <f t="shared" si="0"/>
        <v>1.3546464372798701</v>
      </c>
      <c r="K39">
        <v>1E-3</v>
      </c>
      <c r="L39" t="s">
        <v>17</v>
      </c>
      <c r="M39">
        <v>296</v>
      </c>
      <c r="N39" t="s">
        <v>413</v>
      </c>
      <c r="O39" t="s">
        <v>1309</v>
      </c>
    </row>
    <row r="40" spans="1:15" x14ac:dyDescent="0.2">
      <c r="A40" t="s">
        <v>190</v>
      </c>
      <c r="B40" t="s">
        <v>407</v>
      </c>
      <c r="C40">
        <v>6</v>
      </c>
      <c r="D40">
        <v>2</v>
      </c>
      <c r="E40">
        <v>5</v>
      </c>
      <c r="F40">
        <v>5</v>
      </c>
      <c r="G40">
        <v>2</v>
      </c>
      <c r="H40">
        <v>4</v>
      </c>
      <c r="I40">
        <v>6.9419999999999996E-2</v>
      </c>
      <c r="J40">
        <f t="shared" si="0"/>
        <v>1.4405070584845867</v>
      </c>
      <c r="K40">
        <v>1E-3</v>
      </c>
      <c r="L40" t="s">
        <v>17</v>
      </c>
      <c r="M40">
        <v>296</v>
      </c>
      <c r="N40" t="s">
        <v>413</v>
      </c>
      <c r="O40" t="s">
        <v>1310</v>
      </c>
    </row>
    <row r="41" spans="1:15" x14ac:dyDescent="0.2">
      <c r="A41" t="s">
        <v>190</v>
      </c>
      <c r="B41" t="s">
        <v>407</v>
      </c>
      <c r="C41">
        <v>4</v>
      </c>
      <c r="D41">
        <v>2</v>
      </c>
      <c r="E41">
        <v>2</v>
      </c>
      <c r="F41">
        <v>5</v>
      </c>
      <c r="G41">
        <v>2</v>
      </c>
      <c r="H41">
        <v>3</v>
      </c>
      <c r="I41">
        <v>6.7919999999999994E-2</v>
      </c>
      <c r="J41">
        <f t="shared" si="0"/>
        <v>1.4723203769140167</v>
      </c>
      <c r="K41">
        <v>1E-3</v>
      </c>
      <c r="L41" t="s">
        <v>17</v>
      </c>
      <c r="M41">
        <v>296</v>
      </c>
      <c r="N41" t="s">
        <v>413</v>
      </c>
      <c r="O41" t="s">
        <v>1311</v>
      </c>
    </row>
    <row r="42" spans="1:15" x14ac:dyDescent="0.2">
      <c r="A42" t="s">
        <v>190</v>
      </c>
      <c r="B42" t="s">
        <v>407</v>
      </c>
      <c r="C42">
        <v>6</v>
      </c>
      <c r="D42">
        <v>2</v>
      </c>
      <c r="E42">
        <v>4</v>
      </c>
      <c r="F42">
        <v>5</v>
      </c>
      <c r="G42">
        <v>2</v>
      </c>
      <c r="H42">
        <v>3</v>
      </c>
      <c r="I42">
        <v>6.9019999999999998E-2</v>
      </c>
      <c r="J42">
        <f t="shared" si="0"/>
        <v>1.4488554042306578</v>
      </c>
      <c r="K42">
        <v>1E-3</v>
      </c>
      <c r="L42" t="s">
        <v>17</v>
      </c>
      <c r="M42">
        <v>296</v>
      </c>
      <c r="N42" t="s">
        <v>413</v>
      </c>
      <c r="O42" t="s">
        <v>1312</v>
      </c>
    </row>
    <row r="43" spans="1:15" x14ac:dyDescent="0.2">
      <c r="A43" t="s">
        <v>190</v>
      </c>
      <c r="B43" t="s">
        <v>407</v>
      </c>
      <c r="C43">
        <v>6</v>
      </c>
      <c r="D43">
        <v>3</v>
      </c>
      <c r="E43">
        <v>4</v>
      </c>
      <c r="F43">
        <v>5</v>
      </c>
      <c r="G43">
        <v>3</v>
      </c>
      <c r="H43">
        <v>3</v>
      </c>
      <c r="I43">
        <v>6.8129999999999996E-2</v>
      </c>
      <c r="J43">
        <f t="shared" si="0"/>
        <v>1.4677821811243212</v>
      </c>
      <c r="K43">
        <v>1E-3</v>
      </c>
      <c r="L43" t="s">
        <v>17</v>
      </c>
      <c r="M43">
        <v>296</v>
      </c>
      <c r="N43" t="s">
        <v>413</v>
      </c>
      <c r="O43" t="s">
        <v>1313</v>
      </c>
    </row>
    <row r="44" spans="1:15" x14ac:dyDescent="0.2">
      <c r="A44" t="s">
        <v>190</v>
      </c>
      <c r="B44" t="s">
        <v>407</v>
      </c>
      <c r="C44">
        <v>4</v>
      </c>
      <c r="D44">
        <v>3</v>
      </c>
      <c r="E44">
        <v>1</v>
      </c>
      <c r="F44">
        <v>5</v>
      </c>
      <c r="G44">
        <v>3</v>
      </c>
      <c r="H44">
        <v>2</v>
      </c>
      <c r="I44">
        <v>6.4740000000000006E-2</v>
      </c>
      <c r="J44">
        <f t="shared" si="0"/>
        <v>1.5446400988569662</v>
      </c>
      <c r="K44">
        <v>1E-3</v>
      </c>
      <c r="L44" t="s">
        <v>17</v>
      </c>
      <c r="M44">
        <v>296</v>
      </c>
      <c r="N44" t="s">
        <v>413</v>
      </c>
      <c r="O44" t="s">
        <v>1314</v>
      </c>
    </row>
    <row r="45" spans="1:15" x14ac:dyDescent="0.2">
      <c r="A45" t="s">
        <v>190</v>
      </c>
      <c r="B45" t="s">
        <v>407</v>
      </c>
      <c r="C45">
        <v>6</v>
      </c>
      <c r="D45">
        <v>3</v>
      </c>
      <c r="E45">
        <v>3</v>
      </c>
      <c r="F45">
        <v>5</v>
      </c>
      <c r="G45">
        <v>3</v>
      </c>
      <c r="H45">
        <v>2</v>
      </c>
      <c r="I45">
        <v>6.8650000000000003E-2</v>
      </c>
      <c r="J45">
        <f t="shared" si="0"/>
        <v>1.4566642388929352</v>
      </c>
      <c r="K45">
        <v>1E-3</v>
      </c>
      <c r="L45" t="s">
        <v>17</v>
      </c>
      <c r="M45">
        <v>296</v>
      </c>
      <c r="N45" t="s">
        <v>413</v>
      </c>
      <c r="O45" t="s">
        <v>1315</v>
      </c>
    </row>
    <row r="46" spans="1:15" x14ac:dyDescent="0.2">
      <c r="A46" t="s">
        <v>190</v>
      </c>
      <c r="B46" t="s">
        <v>407</v>
      </c>
      <c r="C46">
        <v>4</v>
      </c>
      <c r="D46">
        <v>4</v>
      </c>
      <c r="E46">
        <v>0</v>
      </c>
      <c r="F46">
        <v>5</v>
      </c>
      <c r="G46">
        <v>4</v>
      </c>
      <c r="H46">
        <v>1</v>
      </c>
      <c r="I46">
        <v>5.5559999999999998E-2</v>
      </c>
      <c r="J46">
        <f t="shared" si="0"/>
        <v>1.7998560115190785</v>
      </c>
      <c r="K46">
        <v>1E-3</v>
      </c>
      <c r="L46" t="s">
        <v>17</v>
      </c>
      <c r="M46">
        <v>296</v>
      </c>
      <c r="N46" t="s">
        <v>413</v>
      </c>
      <c r="O46" t="s">
        <v>1316</v>
      </c>
    </row>
    <row r="47" spans="1:15" x14ac:dyDescent="0.2">
      <c r="A47" t="s">
        <v>190</v>
      </c>
      <c r="B47" t="s">
        <v>407</v>
      </c>
      <c r="C47">
        <v>6</v>
      </c>
      <c r="D47">
        <v>4</v>
      </c>
      <c r="E47">
        <v>2</v>
      </c>
      <c r="F47">
        <v>5</v>
      </c>
      <c r="G47">
        <v>4</v>
      </c>
      <c r="H47">
        <v>1</v>
      </c>
      <c r="I47">
        <v>6.2460000000000002E-2</v>
      </c>
      <c r="J47">
        <f t="shared" si="0"/>
        <v>1.6010246557796992</v>
      </c>
      <c r="K47">
        <v>1E-3</v>
      </c>
      <c r="L47" t="s">
        <v>17</v>
      </c>
      <c r="M47">
        <v>296</v>
      </c>
      <c r="N47" t="s">
        <v>413</v>
      </c>
      <c r="O47" t="s">
        <v>1317</v>
      </c>
    </row>
    <row r="48" spans="1:15" x14ac:dyDescent="0.2">
      <c r="A48" t="s">
        <v>190</v>
      </c>
      <c r="B48" t="s">
        <v>407</v>
      </c>
      <c r="C48">
        <v>5</v>
      </c>
      <c r="D48">
        <v>1</v>
      </c>
      <c r="E48">
        <v>5</v>
      </c>
      <c r="F48">
        <v>6</v>
      </c>
      <c r="G48">
        <v>1</v>
      </c>
      <c r="H48">
        <v>6</v>
      </c>
      <c r="I48">
        <v>6.9750000000000006E-2</v>
      </c>
      <c r="J48">
        <f t="shared" si="0"/>
        <v>1.4336917562724012</v>
      </c>
      <c r="K48">
        <v>1E-3</v>
      </c>
      <c r="L48" t="s">
        <v>17</v>
      </c>
      <c r="M48">
        <v>296</v>
      </c>
      <c r="N48" t="s">
        <v>413</v>
      </c>
      <c r="O48" t="s">
        <v>1318</v>
      </c>
    </row>
    <row r="49" spans="1:15" x14ac:dyDescent="0.2">
      <c r="A49" t="s">
        <v>190</v>
      </c>
      <c r="B49" t="s">
        <v>407</v>
      </c>
      <c r="C49">
        <v>7</v>
      </c>
      <c r="D49">
        <v>1</v>
      </c>
      <c r="E49">
        <v>6</v>
      </c>
      <c r="F49">
        <v>6</v>
      </c>
      <c r="G49">
        <v>1</v>
      </c>
      <c r="H49">
        <v>5</v>
      </c>
      <c r="I49">
        <v>7.0440000000000003E-2</v>
      </c>
      <c r="J49">
        <f t="shared" si="0"/>
        <v>1.4196479273140261</v>
      </c>
      <c r="K49">
        <v>1E-3</v>
      </c>
      <c r="L49" t="s">
        <v>17</v>
      </c>
      <c r="M49">
        <v>296</v>
      </c>
      <c r="N49" t="s">
        <v>413</v>
      </c>
      <c r="O49" t="s">
        <v>1319</v>
      </c>
    </row>
    <row r="50" spans="1:15" x14ac:dyDescent="0.2">
      <c r="A50" t="s">
        <v>190</v>
      </c>
      <c r="B50" t="s">
        <v>407</v>
      </c>
      <c r="C50">
        <v>5</v>
      </c>
      <c r="D50">
        <v>2</v>
      </c>
      <c r="E50">
        <v>4</v>
      </c>
      <c r="F50">
        <v>6</v>
      </c>
      <c r="G50">
        <v>2</v>
      </c>
      <c r="H50">
        <v>5</v>
      </c>
      <c r="I50">
        <v>6.9330000000000003E-2</v>
      </c>
      <c r="J50">
        <f t="shared" si="0"/>
        <v>1.4423770373575653</v>
      </c>
      <c r="K50">
        <v>1E-3</v>
      </c>
      <c r="L50" t="s">
        <v>17</v>
      </c>
      <c r="M50">
        <v>296</v>
      </c>
      <c r="N50" t="s">
        <v>413</v>
      </c>
      <c r="O50" t="s">
        <v>1320</v>
      </c>
    </row>
    <row r="51" spans="1:15" x14ac:dyDescent="0.2">
      <c r="A51" t="s">
        <v>190</v>
      </c>
      <c r="B51" t="s">
        <v>407</v>
      </c>
      <c r="C51">
        <v>6</v>
      </c>
      <c r="D51">
        <v>0</v>
      </c>
      <c r="E51">
        <v>6</v>
      </c>
      <c r="F51">
        <v>6</v>
      </c>
      <c r="G51">
        <v>2</v>
      </c>
      <c r="H51">
        <v>5</v>
      </c>
      <c r="I51">
        <v>7.2340000000000002E-2</v>
      </c>
      <c r="J51">
        <f t="shared" si="0"/>
        <v>1.3823610727121924</v>
      </c>
      <c r="K51">
        <v>1E-3</v>
      </c>
      <c r="L51" t="s">
        <v>17</v>
      </c>
      <c r="M51">
        <v>296</v>
      </c>
      <c r="N51" t="s">
        <v>413</v>
      </c>
      <c r="O51" t="s">
        <v>1321</v>
      </c>
    </row>
    <row r="52" spans="1:15" x14ac:dyDescent="0.2">
      <c r="A52" t="s">
        <v>190</v>
      </c>
      <c r="B52" t="s">
        <v>407</v>
      </c>
      <c r="C52">
        <v>7</v>
      </c>
      <c r="D52">
        <v>2</v>
      </c>
      <c r="E52">
        <v>6</v>
      </c>
      <c r="F52">
        <v>6</v>
      </c>
      <c r="G52">
        <v>2</v>
      </c>
      <c r="H52">
        <v>5</v>
      </c>
      <c r="I52">
        <v>6.7229999999999998E-2</v>
      </c>
      <c r="J52">
        <f t="shared" si="0"/>
        <v>1.4874312063067083</v>
      </c>
      <c r="K52">
        <v>1E-3</v>
      </c>
      <c r="L52" t="s">
        <v>17</v>
      </c>
      <c r="M52">
        <v>296</v>
      </c>
      <c r="N52" t="s">
        <v>413</v>
      </c>
      <c r="O52" t="s">
        <v>1322</v>
      </c>
    </row>
    <row r="53" spans="1:15" x14ac:dyDescent="0.2">
      <c r="A53" t="s">
        <v>190</v>
      </c>
      <c r="B53" t="s">
        <v>407</v>
      </c>
      <c r="C53">
        <v>5</v>
      </c>
      <c r="D53">
        <v>2</v>
      </c>
      <c r="E53">
        <v>3</v>
      </c>
      <c r="F53">
        <v>6</v>
      </c>
      <c r="G53">
        <v>2</v>
      </c>
      <c r="H53">
        <v>4</v>
      </c>
      <c r="I53">
        <v>6.7839999999999998E-2</v>
      </c>
      <c r="J53">
        <f t="shared" si="0"/>
        <v>1.4740566037735849</v>
      </c>
      <c r="K53">
        <v>1E-3</v>
      </c>
      <c r="L53" t="s">
        <v>17</v>
      </c>
      <c r="M53">
        <v>296</v>
      </c>
      <c r="N53" t="s">
        <v>413</v>
      </c>
      <c r="O53" t="s">
        <v>1323</v>
      </c>
    </row>
    <row r="54" spans="1:15" x14ac:dyDescent="0.2">
      <c r="A54" t="s">
        <v>190</v>
      </c>
      <c r="B54" t="s">
        <v>407</v>
      </c>
      <c r="C54">
        <v>7</v>
      </c>
      <c r="D54">
        <v>2</v>
      </c>
      <c r="E54">
        <v>5</v>
      </c>
      <c r="F54">
        <v>6</v>
      </c>
      <c r="G54">
        <v>2</v>
      </c>
      <c r="H54">
        <v>4</v>
      </c>
      <c r="I54">
        <v>7.2050000000000003E-2</v>
      </c>
      <c r="J54">
        <f t="shared" si="0"/>
        <v>1.3879250520471893</v>
      </c>
      <c r="K54">
        <v>1E-3</v>
      </c>
      <c r="L54" t="s">
        <v>17</v>
      </c>
      <c r="M54">
        <v>296</v>
      </c>
      <c r="N54" t="s">
        <v>413</v>
      </c>
      <c r="O54" t="s">
        <v>1324</v>
      </c>
    </row>
    <row r="55" spans="1:15" x14ac:dyDescent="0.2">
      <c r="A55" t="s">
        <v>190</v>
      </c>
      <c r="B55" t="s">
        <v>407</v>
      </c>
      <c r="C55">
        <v>7</v>
      </c>
      <c r="D55">
        <v>3</v>
      </c>
      <c r="E55">
        <v>4</v>
      </c>
      <c r="F55">
        <v>6</v>
      </c>
      <c r="G55">
        <v>3</v>
      </c>
      <c r="H55">
        <v>3</v>
      </c>
      <c r="I55">
        <v>6.8860000000000005E-2</v>
      </c>
      <c r="J55">
        <f t="shared" si="0"/>
        <v>1.4522218995062446</v>
      </c>
      <c r="K55">
        <v>1E-3</v>
      </c>
      <c r="L55" t="s">
        <v>17</v>
      </c>
      <c r="M55">
        <v>296</v>
      </c>
      <c r="N55" t="s">
        <v>413</v>
      </c>
      <c r="O55" t="s">
        <v>1325</v>
      </c>
    </row>
    <row r="56" spans="1:15" x14ac:dyDescent="0.2">
      <c r="A56" t="s">
        <v>190</v>
      </c>
      <c r="B56" t="s">
        <v>407</v>
      </c>
      <c r="C56">
        <v>7</v>
      </c>
      <c r="D56">
        <v>4</v>
      </c>
      <c r="E56">
        <v>4</v>
      </c>
      <c r="F56">
        <v>6</v>
      </c>
      <c r="G56">
        <v>4</v>
      </c>
      <c r="H56">
        <v>3</v>
      </c>
      <c r="I56">
        <v>6.3969999999999999E-2</v>
      </c>
      <c r="J56">
        <f t="shared" si="0"/>
        <v>1.5632327653587619</v>
      </c>
      <c r="K56">
        <v>1E-3</v>
      </c>
      <c r="L56" t="s">
        <v>17</v>
      </c>
      <c r="M56">
        <v>296</v>
      </c>
      <c r="N56" t="s">
        <v>413</v>
      </c>
      <c r="O56" t="s">
        <v>1326</v>
      </c>
    </row>
    <row r="57" spans="1:15" x14ac:dyDescent="0.2">
      <c r="A57" t="s">
        <v>190</v>
      </c>
      <c r="B57" t="s">
        <v>407</v>
      </c>
      <c r="C57">
        <v>7</v>
      </c>
      <c r="D57">
        <v>4</v>
      </c>
      <c r="E57">
        <v>3</v>
      </c>
      <c r="F57">
        <v>6</v>
      </c>
      <c r="G57">
        <v>4</v>
      </c>
      <c r="H57">
        <v>2</v>
      </c>
      <c r="I57">
        <v>6.368E-2</v>
      </c>
      <c r="J57">
        <f t="shared" si="0"/>
        <v>1.5703517587939697</v>
      </c>
      <c r="K57">
        <v>1E-3</v>
      </c>
      <c r="L57" t="s">
        <v>17</v>
      </c>
      <c r="M57">
        <v>296</v>
      </c>
      <c r="N57" t="s">
        <v>413</v>
      </c>
      <c r="O57" t="s">
        <v>1327</v>
      </c>
    </row>
    <row r="58" spans="1:15" x14ac:dyDescent="0.2">
      <c r="A58" t="s">
        <v>190</v>
      </c>
      <c r="B58" t="s">
        <v>407</v>
      </c>
      <c r="C58">
        <v>6</v>
      </c>
      <c r="D58">
        <v>0</v>
      </c>
      <c r="E58">
        <v>6</v>
      </c>
      <c r="F58">
        <v>7</v>
      </c>
      <c r="G58">
        <v>0</v>
      </c>
      <c r="H58">
        <v>7</v>
      </c>
      <c r="I58">
        <v>6.6680000000000003E-2</v>
      </c>
      <c r="J58">
        <f t="shared" si="0"/>
        <v>1.4997000599880024</v>
      </c>
      <c r="K58">
        <v>1E-3</v>
      </c>
      <c r="L58" t="s">
        <v>17</v>
      </c>
      <c r="M58">
        <v>296</v>
      </c>
      <c r="N58" t="s">
        <v>413</v>
      </c>
      <c r="O58" t="s">
        <v>1328</v>
      </c>
    </row>
    <row r="59" spans="1:15" x14ac:dyDescent="0.2">
      <c r="A59" t="s">
        <v>190</v>
      </c>
      <c r="B59" t="s">
        <v>407</v>
      </c>
      <c r="C59">
        <v>8</v>
      </c>
      <c r="D59">
        <v>0</v>
      </c>
      <c r="E59">
        <v>8</v>
      </c>
      <c r="F59">
        <v>7</v>
      </c>
      <c r="G59">
        <v>0</v>
      </c>
      <c r="H59">
        <v>7</v>
      </c>
      <c r="I59">
        <v>5.919E-2</v>
      </c>
      <c r="J59">
        <f t="shared" si="0"/>
        <v>1.6894745734076702</v>
      </c>
      <c r="K59">
        <v>1E-3</v>
      </c>
      <c r="L59" t="s">
        <v>17</v>
      </c>
      <c r="M59">
        <v>296</v>
      </c>
      <c r="N59" t="s">
        <v>413</v>
      </c>
      <c r="O59" t="s">
        <v>1329</v>
      </c>
    </row>
    <row r="60" spans="1:15" x14ac:dyDescent="0.2">
      <c r="A60" t="s">
        <v>190</v>
      </c>
      <c r="B60" t="s">
        <v>407</v>
      </c>
      <c r="C60">
        <v>8</v>
      </c>
      <c r="D60">
        <v>1</v>
      </c>
      <c r="E60">
        <v>8</v>
      </c>
      <c r="F60">
        <v>7</v>
      </c>
      <c r="G60">
        <v>1</v>
      </c>
      <c r="H60">
        <v>7</v>
      </c>
      <c r="I60">
        <v>5.876E-2</v>
      </c>
      <c r="J60">
        <f t="shared" si="0"/>
        <v>1.7018379850238259</v>
      </c>
      <c r="K60">
        <v>1E-3</v>
      </c>
      <c r="L60" t="s">
        <v>17</v>
      </c>
      <c r="M60">
        <v>296</v>
      </c>
      <c r="N60" t="s">
        <v>413</v>
      </c>
      <c r="O60" t="s">
        <v>1330</v>
      </c>
    </row>
    <row r="61" spans="1:15" x14ac:dyDescent="0.2">
      <c r="A61" t="s">
        <v>190</v>
      </c>
      <c r="B61" t="s">
        <v>407</v>
      </c>
      <c r="C61">
        <v>8</v>
      </c>
      <c r="D61">
        <v>1</v>
      </c>
      <c r="E61">
        <v>7</v>
      </c>
      <c r="F61">
        <v>7</v>
      </c>
      <c r="G61">
        <v>1</v>
      </c>
      <c r="H61">
        <v>6</v>
      </c>
      <c r="I61">
        <v>6.8940000000000001E-2</v>
      </c>
      <c r="J61">
        <f t="shared" si="0"/>
        <v>1.450536698578474</v>
      </c>
      <c r="K61">
        <v>1E-3</v>
      </c>
      <c r="L61" t="s">
        <v>17</v>
      </c>
      <c r="M61">
        <v>296</v>
      </c>
      <c r="N61" t="s">
        <v>413</v>
      </c>
      <c r="O61" t="s">
        <v>1331</v>
      </c>
    </row>
    <row r="62" spans="1:15" x14ac:dyDescent="0.2">
      <c r="A62" t="s">
        <v>190</v>
      </c>
      <c r="B62" t="s">
        <v>407</v>
      </c>
      <c r="C62">
        <v>8</v>
      </c>
      <c r="D62">
        <v>2</v>
      </c>
      <c r="E62">
        <v>6</v>
      </c>
      <c r="F62">
        <v>7</v>
      </c>
      <c r="G62">
        <v>2</v>
      </c>
      <c r="H62">
        <v>5</v>
      </c>
      <c r="I62">
        <v>6.9349999999999995E-2</v>
      </c>
      <c r="J62">
        <f t="shared" si="0"/>
        <v>1.4419610670511898</v>
      </c>
      <c r="K62">
        <v>1E-3</v>
      </c>
      <c r="L62" t="s">
        <v>17</v>
      </c>
      <c r="M62">
        <v>296</v>
      </c>
      <c r="N62" t="s">
        <v>413</v>
      </c>
      <c r="O62" t="s">
        <v>1332</v>
      </c>
    </row>
    <row r="63" spans="1:15" x14ac:dyDescent="0.2">
      <c r="A63" t="s">
        <v>190</v>
      </c>
      <c r="B63" t="s">
        <v>407</v>
      </c>
      <c r="C63">
        <v>8</v>
      </c>
      <c r="D63">
        <v>3</v>
      </c>
      <c r="E63">
        <v>6</v>
      </c>
      <c r="F63">
        <v>7</v>
      </c>
      <c r="G63">
        <v>3</v>
      </c>
      <c r="H63">
        <v>5</v>
      </c>
      <c r="I63">
        <v>6.6540000000000002E-2</v>
      </c>
      <c r="J63">
        <f t="shared" si="0"/>
        <v>1.5028554253080852</v>
      </c>
      <c r="K63">
        <v>1E-3</v>
      </c>
      <c r="L63" t="s">
        <v>17</v>
      </c>
      <c r="M63">
        <v>296</v>
      </c>
      <c r="N63" t="s">
        <v>413</v>
      </c>
      <c r="O63" t="s">
        <v>1333</v>
      </c>
    </row>
    <row r="64" spans="1:15" x14ac:dyDescent="0.2">
      <c r="A64" t="s">
        <v>190</v>
      </c>
      <c r="B64" t="s">
        <v>407</v>
      </c>
      <c r="C64">
        <v>6</v>
      </c>
      <c r="D64">
        <v>3</v>
      </c>
      <c r="E64">
        <v>3</v>
      </c>
      <c r="F64">
        <v>7</v>
      </c>
      <c r="G64">
        <v>3</v>
      </c>
      <c r="H64">
        <v>4</v>
      </c>
      <c r="I64">
        <v>6.6339999999999996E-2</v>
      </c>
      <c r="J64">
        <f t="shared" si="0"/>
        <v>1.5073861923424783</v>
      </c>
      <c r="K64">
        <v>1E-3</v>
      </c>
      <c r="L64" t="s">
        <v>17</v>
      </c>
      <c r="M64">
        <v>296</v>
      </c>
      <c r="N64" t="s">
        <v>413</v>
      </c>
      <c r="O64" t="s">
        <v>1334</v>
      </c>
    </row>
    <row r="65" spans="1:15" x14ac:dyDescent="0.2">
      <c r="A65" t="s">
        <v>190</v>
      </c>
      <c r="B65" t="s">
        <v>407</v>
      </c>
      <c r="C65">
        <v>9</v>
      </c>
      <c r="D65">
        <v>0</v>
      </c>
      <c r="E65">
        <v>9</v>
      </c>
      <c r="F65">
        <v>8</v>
      </c>
      <c r="G65">
        <v>0</v>
      </c>
      <c r="H65">
        <v>8</v>
      </c>
      <c r="I65">
        <v>5.704E-2</v>
      </c>
      <c r="J65">
        <f t="shared" si="0"/>
        <v>1.7531556802244039</v>
      </c>
      <c r="K65">
        <v>1E-3</v>
      </c>
      <c r="L65" t="s">
        <v>17</v>
      </c>
      <c r="M65">
        <v>296</v>
      </c>
      <c r="N65" t="s">
        <v>413</v>
      </c>
      <c r="O65" t="s">
        <v>1335</v>
      </c>
    </row>
    <row r="66" spans="1:15" x14ac:dyDescent="0.2">
      <c r="A66" t="s">
        <v>190</v>
      </c>
      <c r="B66" t="s">
        <v>407</v>
      </c>
      <c r="C66">
        <v>9</v>
      </c>
      <c r="D66">
        <v>1</v>
      </c>
      <c r="E66">
        <v>9</v>
      </c>
      <c r="F66">
        <v>8</v>
      </c>
      <c r="G66">
        <v>1</v>
      </c>
      <c r="H66">
        <v>8</v>
      </c>
      <c r="I66">
        <v>5.5629999999999999E-2</v>
      </c>
      <c r="J66">
        <f t="shared" si="0"/>
        <v>1.7975912277548085</v>
      </c>
      <c r="K66">
        <v>1E-3</v>
      </c>
      <c r="L66" t="s">
        <v>17</v>
      </c>
      <c r="M66">
        <v>296</v>
      </c>
      <c r="N66" t="s">
        <v>413</v>
      </c>
      <c r="O66" t="s">
        <v>1336</v>
      </c>
    </row>
    <row r="67" spans="1:15" x14ac:dyDescent="0.2">
      <c r="A67" t="s">
        <v>190</v>
      </c>
      <c r="B67" t="s">
        <v>407</v>
      </c>
      <c r="C67">
        <v>7</v>
      </c>
      <c r="D67">
        <v>2</v>
      </c>
      <c r="E67">
        <v>6</v>
      </c>
      <c r="F67">
        <v>8</v>
      </c>
      <c r="G67">
        <v>2</v>
      </c>
      <c r="H67">
        <v>7</v>
      </c>
      <c r="I67">
        <v>6.6030000000000005E-2</v>
      </c>
      <c r="J67">
        <f t="shared" si="0"/>
        <v>1.5144631228229593</v>
      </c>
      <c r="K67">
        <v>1E-3</v>
      </c>
      <c r="L67" t="s">
        <v>17</v>
      </c>
      <c r="M67">
        <v>296</v>
      </c>
      <c r="N67" t="s">
        <v>413</v>
      </c>
      <c r="O67" t="s">
        <v>1337</v>
      </c>
    </row>
    <row r="68" spans="1:15" x14ac:dyDescent="0.2">
      <c r="A68" t="s">
        <v>190</v>
      </c>
      <c r="B68" t="s">
        <v>407</v>
      </c>
      <c r="C68">
        <v>9</v>
      </c>
      <c r="D68">
        <v>2</v>
      </c>
      <c r="E68">
        <v>8</v>
      </c>
      <c r="F68">
        <v>8</v>
      </c>
      <c r="G68">
        <v>2</v>
      </c>
      <c r="H68">
        <v>7</v>
      </c>
      <c r="I68">
        <v>6.0040000000000003E-2</v>
      </c>
      <c r="J68">
        <f t="shared" ref="J68:J73" si="1">K68/I68*100</f>
        <v>1.6655562958027983</v>
      </c>
      <c r="K68">
        <v>1E-3</v>
      </c>
      <c r="L68" t="s">
        <v>17</v>
      </c>
      <c r="M68">
        <v>296</v>
      </c>
      <c r="N68" t="s">
        <v>413</v>
      </c>
      <c r="O68" t="s">
        <v>1338</v>
      </c>
    </row>
    <row r="69" spans="1:15" x14ac:dyDescent="0.2">
      <c r="A69" t="s">
        <v>190</v>
      </c>
      <c r="B69" t="s">
        <v>407</v>
      </c>
      <c r="C69">
        <v>7</v>
      </c>
      <c r="D69">
        <v>3</v>
      </c>
      <c r="E69">
        <v>5</v>
      </c>
      <c r="F69">
        <v>8</v>
      </c>
      <c r="G69">
        <v>3</v>
      </c>
      <c r="H69">
        <v>6</v>
      </c>
      <c r="I69">
        <v>6.4229999999999995E-2</v>
      </c>
      <c r="J69">
        <f t="shared" si="1"/>
        <v>1.556904873112253</v>
      </c>
      <c r="K69">
        <v>1E-3</v>
      </c>
      <c r="L69" t="s">
        <v>17</v>
      </c>
      <c r="M69">
        <v>296</v>
      </c>
      <c r="N69" t="s">
        <v>413</v>
      </c>
      <c r="O69" t="s">
        <v>1339</v>
      </c>
    </row>
    <row r="70" spans="1:15" x14ac:dyDescent="0.2">
      <c r="A70" t="s">
        <v>190</v>
      </c>
      <c r="B70" t="s">
        <v>407</v>
      </c>
      <c r="C70">
        <v>7</v>
      </c>
      <c r="D70">
        <v>4</v>
      </c>
      <c r="E70">
        <v>4</v>
      </c>
      <c r="F70">
        <v>8</v>
      </c>
      <c r="G70">
        <v>4</v>
      </c>
      <c r="H70">
        <v>5</v>
      </c>
      <c r="I70">
        <v>6.2630000000000005E-2</v>
      </c>
      <c r="J70">
        <f t="shared" si="1"/>
        <v>1.5966789078716268</v>
      </c>
      <c r="K70">
        <v>1E-3</v>
      </c>
      <c r="L70" t="s">
        <v>17</v>
      </c>
      <c r="M70">
        <v>296</v>
      </c>
      <c r="N70" t="s">
        <v>413</v>
      </c>
      <c r="O70" t="s">
        <v>1340</v>
      </c>
    </row>
    <row r="71" spans="1:15" x14ac:dyDescent="0.2">
      <c r="A71" t="s">
        <v>190</v>
      </c>
      <c r="B71" t="s">
        <v>407</v>
      </c>
      <c r="C71">
        <v>8</v>
      </c>
      <c r="D71">
        <v>0</v>
      </c>
      <c r="E71">
        <v>8</v>
      </c>
      <c r="F71">
        <v>9</v>
      </c>
      <c r="G71">
        <v>0</v>
      </c>
      <c r="H71">
        <v>9</v>
      </c>
      <c r="I71">
        <v>5.8029999999999998E-2</v>
      </c>
      <c r="J71">
        <f t="shared" si="1"/>
        <v>1.723246596587972</v>
      </c>
      <c r="K71">
        <v>1E-3</v>
      </c>
      <c r="L71" t="s">
        <v>17</v>
      </c>
      <c r="M71">
        <v>296</v>
      </c>
      <c r="N71" t="s">
        <v>413</v>
      </c>
      <c r="O71" t="s">
        <v>1341</v>
      </c>
    </row>
    <row r="72" spans="1:15" x14ac:dyDescent="0.2">
      <c r="A72" t="s">
        <v>190</v>
      </c>
      <c r="B72" t="s">
        <v>407</v>
      </c>
      <c r="C72">
        <v>10</v>
      </c>
      <c r="D72">
        <v>0</v>
      </c>
      <c r="E72">
        <v>10</v>
      </c>
      <c r="F72">
        <v>9</v>
      </c>
      <c r="G72">
        <v>0</v>
      </c>
      <c r="H72">
        <v>9</v>
      </c>
      <c r="I72">
        <v>5.2830000000000002E-2</v>
      </c>
      <c r="J72">
        <f t="shared" si="1"/>
        <v>1.8928639030853682</v>
      </c>
      <c r="K72">
        <v>1E-3</v>
      </c>
      <c r="L72" t="s">
        <v>17</v>
      </c>
      <c r="M72">
        <v>296</v>
      </c>
      <c r="N72" t="s">
        <v>413</v>
      </c>
      <c r="O72" t="s">
        <v>1342</v>
      </c>
    </row>
    <row r="73" spans="1:15" x14ac:dyDescent="0.2">
      <c r="A73" t="s">
        <v>190</v>
      </c>
      <c r="B73" t="s">
        <v>407</v>
      </c>
      <c r="C73">
        <v>10</v>
      </c>
      <c r="D73">
        <v>1</v>
      </c>
      <c r="E73">
        <v>9</v>
      </c>
      <c r="F73">
        <v>9</v>
      </c>
      <c r="G73">
        <v>1</v>
      </c>
      <c r="H73">
        <v>8</v>
      </c>
      <c r="I73">
        <v>5.833E-2</v>
      </c>
      <c r="J73">
        <f t="shared" si="1"/>
        <v>1.7143836790673754</v>
      </c>
      <c r="K73">
        <v>1E-3</v>
      </c>
      <c r="L73" t="s">
        <v>17</v>
      </c>
      <c r="M73">
        <v>296</v>
      </c>
      <c r="N73" t="s">
        <v>413</v>
      </c>
      <c r="O73" t="s">
        <v>1343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1578-187D-044B-BD1D-50823C7C1691}">
  <dimension ref="A1:O22"/>
  <sheetViews>
    <sheetView workbookViewId="0">
      <selection activeCell="F19" sqref="F19"/>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32</v>
      </c>
      <c r="C2">
        <v>6</v>
      </c>
      <c r="D2">
        <v>0</v>
      </c>
      <c r="E2">
        <v>6</v>
      </c>
      <c r="F2">
        <v>7</v>
      </c>
      <c r="G2">
        <v>0</v>
      </c>
      <c r="H2">
        <v>7</v>
      </c>
      <c r="I2">
        <v>9.0999999999999998E-2</v>
      </c>
      <c r="J2">
        <v>0.76900000000000002</v>
      </c>
      <c r="K2">
        <v>6.9999999999999999E-4</v>
      </c>
      <c r="L2" t="s">
        <v>17</v>
      </c>
      <c r="M2">
        <v>296.3</v>
      </c>
      <c r="N2" t="s">
        <v>413</v>
      </c>
      <c r="O2" t="s">
        <v>1344</v>
      </c>
    </row>
    <row r="3" spans="1:15" x14ac:dyDescent="0.2">
      <c r="A3" t="s">
        <v>190</v>
      </c>
      <c r="B3" t="s">
        <v>32</v>
      </c>
      <c r="C3">
        <v>5</v>
      </c>
      <c r="D3">
        <v>1</v>
      </c>
      <c r="E3">
        <v>5</v>
      </c>
      <c r="F3">
        <v>6</v>
      </c>
      <c r="G3">
        <v>1</v>
      </c>
      <c r="H3">
        <v>6</v>
      </c>
      <c r="I3">
        <v>0.1016</v>
      </c>
      <c r="J3">
        <v>9.8000000000000004E-2</v>
      </c>
      <c r="K3">
        <v>1E-4</v>
      </c>
      <c r="L3" t="s">
        <v>17</v>
      </c>
      <c r="M3">
        <v>296.3</v>
      </c>
      <c r="N3" t="s">
        <v>413</v>
      </c>
      <c r="O3" t="s">
        <v>1345</v>
      </c>
    </row>
    <row r="4" spans="1:15" x14ac:dyDescent="0.2">
      <c r="A4" t="s">
        <v>190</v>
      </c>
      <c r="B4" t="s">
        <v>32</v>
      </c>
      <c r="C4">
        <v>4</v>
      </c>
      <c r="D4">
        <v>1</v>
      </c>
      <c r="E4">
        <v>3</v>
      </c>
      <c r="F4">
        <v>5</v>
      </c>
      <c r="G4">
        <v>1</v>
      </c>
      <c r="H4">
        <v>4</v>
      </c>
      <c r="I4">
        <v>0.16</v>
      </c>
      <c r="J4">
        <v>0.375</v>
      </c>
      <c r="K4">
        <v>5.9999999999999995E-4</v>
      </c>
      <c r="L4" t="s">
        <v>17</v>
      </c>
      <c r="M4">
        <v>296.3</v>
      </c>
      <c r="N4" t="s">
        <v>413</v>
      </c>
      <c r="O4" t="s">
        <v>1346</v>
      </c>
    </row>
    <row r="5" spans="1:15" x14ac:dyDescent="0.2">
      <c r="A5" t="s">
        <v>190</v>
      </c>
      <c r="B5" t="s">
        <v>32</v>
      </c>
      <c r="C5">
        <v>4</v>
      </c>
      <c r="D5">
        <v>0</v>
      </c>
      <c r="E5">
        <v>4</v>
      </c>
      <c r="F5">
        <v>5</v>
      </c>
      <c r="G5">
        <v>0</v>
      </c>
      <c r="H5">
        <v>5</v>
      </c>
      <c r="I5">
        <v>0.123</v>
      </c>
      <c r="J5">
        <v>0.56899999999999995</v>
      </c>
      <c r="K5">
        <v>6.9999999999999999E-4</v>
      </c>
      <c r="L5" t="s">
        <v>17</v>
      </c>
      <c r="M5">
        <v>296.3</v>
      </c>
      <c r="N5" t="s">
        <v>413</v>
      </c>
      <c r="O5" t="s">
        <v>1347</v>
      </c>
    </row>
    <row r="6" spans="1:15" x14ac:dyDescent="0.2">
      <c r="A6" t="s">
        <v>190</v>
      </c>
      <c r="B6" t="s">
        <v>32</v>
      </c>
      <c r="C6">
        <v>3</v>
      </c>
      <c r="D6">
        <v>2</v>
      </c>
      <c r="E6">
        <v>2</v>
      </c>
      <c r="F6">
        <v>4</v>
      </c>
      <c r="G6">
        <v>2</v>
      </c>
      <c r="H6">
        <v>3</v>
      </c>
      <c r="I6">
        <v>0.1198</v>
      </c>
      <c r="J6">
        <v>0.58399999999999996</v>
      </c>
      <c r="K6">
        <v>6.9999999999999999E-4</v>
      </c>
      <c r="L6" t="s">
        <v>17</v>
      </c>
      <c r="M6">
        <v>296.3</v>
      </c>
      <c r="N6" t="s">
        <v>413</v>
      </c>
      <c r="O6" t="s">
        <v>1348</v>
      </c>
    </row>
    <row r="7" spans="1:15" x14ac:dyDescent="0.2">
      <c r="A7" t="s">
        <v>190</v>
      </c>
      <c r="B7" t="s">
        <v>32</v>
      </c>
      <c r="C7">
        <v>3</v>
      </c>
      <c r="D7">
        <v>0</v>
      </c>
      <c r="E7">
        <v>3</v>
      </c>
      <c r="F7">
        <v>4</v>
      </c>
      <c r="G7">
        <v>0</v>
      </c>
      <c r="H7">
        <v>4</v>
      </c>
      <c r="I7">
        <v>0.16489999999999999</v>
      </c>
      <c r="J7">
        <v>0.36399999999999999</v>
      </c>
      <c r="K7">
        <v>5.9999999999999995E-4</v>
      </c>
      <c r="L7" t="s">
        <v>17</v>
      </c>
      <c r="M7">
        <v>296.3</v>
      </c>
      <c r="N7" t="s">
        <v>413</v>
      </c>
      <c r="O7" t="s">
        <v>1349</v>
      </c>
    </row>
    <row r="8" spans="1:15" x14ac:dyDescent="0.2">
      <c r="A8" t="s">
        <v>190</v>
      </c>
      <c r="B8" t="s">
        <v>32</v>
      </c>
      <c r="C8">
        <v>3</v>
      </c>
      <c r="D8">
        <v>1</v>
      </c>
      <c r="E8">
        <v>3</v>
      </c>
      <c r="F8">
        <v>4</v>
      </c>
      <c r="G8">
        <v>1</v>
      </c>
      <c r="H8">
        <v>4</v>
      </c>
      <c r="I8">
        <v>0.1308</v>
      </c>
      <c r="J8">
        <v>0.38200000000000001</v>
      </c>
      <c r="K8">
        <v>5.0000000000000001E-4</v>
      </c>
      <c r="L8" t="s">
        <v>17</v>
      </c>
      <c r="M8">
        <v>296.3</v>
      </c>
      <c r="N8" t="s">
        <v>413</v>
      </c>
      <c r="O8" t="s">
        <v>1350</v>
      </c>
    </row>
    <row r="9" spans="1:15" x14ac:dyDescent="0.2">
      <c r="A9" t="s">
        <v>190</v>
      </c>
      <c r="B9" t="s">
        <v>32</v>
      </c>
      <c r="C9">
        <v>2</v>
      </c>
      <c r="D9">
        <v>2</v>
      </c>
      <c r="E9">
        <v>0</v>
      </c>
      <c r="F9">
        <v>3</v>
      </c>
      <c r="G9">
        <v>2</v>
      </c>
      <c r="H9">
        <v>1</v>
      </c>
      <c r="I9">
        <v>0.1573</v>
      </c>
      <c r="J9">
        <v>0.127</v>
      </c>
      <c r="K9">
        <v>2.0000000000000001E-4</v>
      </c>
      <c r="L9" t="s">
        <v>17</v>
      </c>
      <c r="M9">
        <v>296.3</v>
      </c>
      <c r="N9" t="s">
        <v>413</v>
      </c>
      <c r="O9" t="s">
        <v>1351</v>
      </c>
    </row>
    <row r="10" spans="1:15" x14ac:dyDescent="0.2">
      <c r="A10" t="s">
        <v>190</v>
      </c>
      <c r="B10" t="s">
        <v>32</v>
      </c>
      <c r="C10">
        <v>2</v>
      </c>
      <c r="D10">
        <v>1</v>
      </c>
      <c r="E10">
        <v>1</v>
      </c>
      <c r="F10">
        <v>3</v>
      </c>
      <c r="G10">
        <v>1</v>
      </c>
      <c r="H10">
        <v>2</v>
      </c>
      <c r="I10">
        <v>0.191</v>
      </c>
      <c r="J10">
        <v>0.20899999999999999</v>
      </c>
      <c r="K10">
        <v>4.0000000000000002E-4</v>
      </c>
      <c r="L10" t="s">
        <v>17</v>
      </c>
      <c r="M10">
        <v>296.3</v>
      </c>
      <c r="N10" t="s">
        <v>413</v>
      </c>
      <c r="O10" t="s">
        <v>1352</v>
      </c>
    </row>
    <row r="11" spans="1:15" x14ac:dyDescent="0.2">
      <c r="A11" t="s">
        <v>190</v>
      </c>
      <c r="B11" t="s">
        <v>32</v>
      </c>
      <c r="C11">
        <v>1</v>
      </c>
      <c r="D11">
        <v>0</v>
      </c>
      <c r="E11">
        <v>1</v>
      </c>
      <c r="F11">
        <v>2</v>
      </c>
      <c r="G11">
        <v>0</v>
      </c>
      <c r="H11">
        <v>2</v>
      </c>
      <c r="I11">
        <v>0.21079999999999999</v>
      </c>
      <c r="J11">
        <v>0.28499999999999998</v>
      </c>
      <c r="K11">
        <v>5.9999999999999995E-4</v>
      </c>
      <c r="L11" t="s">
        <v>17</v>
      </c>
      <c r="M11">
        <v>296.3</v>
      </c>
      <c r="N11" t="s">
        <v>413</v>
      </c>
      <c r="O11" t="s">
        <v>1353</v>
      </c>
    </row>
    <row r="12" spans="1:15" x14ac:dyDescent="0.2">
      <c r="A12" t="s">
        <v>190</v>
      </c>
      <c r="B12" t="s">
        <v>32</v>
      </c>
      <c r="C12">
        <v>1</v>
      </c>
      <c r="D12">
        <v>1</v>
      </c>
      <c r="E12">
        <v>1</v>
      </c>
      <c r="F12">
        <v>2</v>
      </c>
      <c r="G12">
        <v>1</v>
      </c>
      <c r="H12">
        <v>2</v>
      </c>
      <c r="I12">
        <v>0.18049999999999999</v>
      </c>
      <c r="J12">
        <v>0.33200000000000002</v>
      </c>
      <c r="K12">
        <v>5.9999999999999995E-4</v>
      </c>
      <c r="L12" t="s">
        <v>17</v>
      </c>
      <c r="M12">
        <v>296.3</v>
      </c>
      <c r="N12" t="s">
        <v>413</v>
      </c>
      <c r="O12" t="s">
        <v>1354</v>
      </c>
    </row>
    <row r="13" spans="1:15" x14ac:dyDescent="0.2">
      <c r="A13" t="s">
        <v>190</v>
      </c>
      <c r="B13" t="s">
        <v>32</v>
      </c>
      <c r="C13">
        <v>4</v>
      </c>
      <c r="D13">
        <v>4</v>
      </c>
      <c r="E13">
        <v>0</v>
      </c>
      <c r="F13">
        <v>4</v>
      </c>
      <c r="G13">
        <v>4</v>
      </c>
      <c r="H13">
        <v>1</v>
      </c>
      <c r="I13">
        <v>0.1018</v>
      </c>
      <c r="J13">
        <v>0.49099999999999999</v>
      </c>
      <c r="K13">
        <v>5.0000000000000001E-4</v>
      </c>
      <c r="L13" t="s">
        <v>17</v>
      </c>
      <c r="M13">
        <v>296.3</v>
      </c>
      <c r="N13" t="s">
        <v>413</v>
      </c>
      <c r="O13" t="s">
        <v>1355</v>
      </c>
    </row>
    <row r="14" spans="1:15" x14ac:dyDescent="0.2">
      <c r="A14" t="s">
        <v>190</v>
      </c>
      <c r="B14" t="s">
        <v>32</v>
      </c>
      <c r="C14">
        <v>0</v>
      </c>
      <c r="D14">
        <v>0</v>
      </c>
      <c r="E14">
        <v>0</v>
      </c>
      <c r="F14">
        <v>1</v>
      </c>
      <c r="G14">
        <v>0</v>
      </c>
      <c r="H14">
        <v>1</v>
      </c>
      <c r="I14">
        <v>0.21390000000000001</v>
      </c>
      <c r="J14">
        <v>0.32700000000000001</v>
      </c>
      <c r="K14">
        <v>6.9999999999999999E-4</v>
      </c>
      <c r="L14" t="s">
        <v>17</v>
      </c>
      <c r="M14">
        <v>296.3</v>
      </c>
      <c r="N14" t="s">
        <v>413</v>
      </c>
      <c r="O14" t="s">
        <v>1356</v>
      </c>
    </row>
    <row r="15" spans="1:15" x14ac:dyDescent="0.2">
      <c r="A15" t="s">
        <v>190</v>
      </c>
      <c r="B15" t="s">
        <v>32</v>
      </c>
      <c r="C15">
        <v>1</v>
      </c>
      <c r="D15">
        <v>1</v>
      </c>
      <c r="E15">
        <v>0</v>
      </c>
      <c r="F15">
        <v>1</v>
      </c>
      <c r="G15">
        <v>1</v>
      </c>
      <c r="H15">
        <v>1</v>
      </c>
      <c r="I15">
        <v>0.2046</v>
      </c>
      <c r="J15">
        <v>0.34200000000000003</v>
      </c>
      <c r="K15">
        <v>6.9999999999999999E-4</v>
      </c>
      <c r="L15" t="s">
        <v>17</v>
      </c>
      <c r="M15">
        <v>296.3</v>
      </c>
      <c r="N15" t="s">
        <v>413</v>
      </c>
      <c r="O15" t="s">
        <v>1357</v>
      </c>
    </row>
    <row r="16" spans="1:15" x14ac:dyDescent="0.2">
      <c r="A16" t="s">
        <v>190</v>
      </c>
      <c r="B16" t="s">
        <v>32</v>
      </c>
      <c r="C16">
        <v>2</v>
      </c>
      <c r="D16">
        <v>1</v>
      </c>
      <c r="E16">
        <v>1</v>
      </c>
      <c r="F16">
        <v>2</v>
      </c>
      <c r="G16">
        <v>1</v>
      </c>
      <c r="H16">
        <v>2</v>
      </c>
      <c r="I16">
        <v>0.1948</v>
      </c>
      <c r="J16">
        <v>0.308</v>
      </c>
      <c r="K16">
        <v>5.9999999999999995E-4</v>
      </c>
      <c r="L16" t="s">
        <v>17</v>
      </c>
      <c r="M16">
        <v>296.3</v>
      </c>
      <c r="N16" t="s">
        <v>413</v>
      </c>
      <c r="O16" t="s">
        <v>1358</v>
      </c>
    </row>
    <row r="17" spans="1:15" x14ac:dyDescent="0.2">
      <c r="A17" t="s">
        <v>190</v>
      </c>
      <c r="B17" t="s">
        <v>32</v>
      </c>
      <c r="C17">
        <v>2</v>
      </c>
      <c r="D17">
        <v>1</v>
      </c>
      <c r="E17">
        <v>2</v>
      </c>
      <c r="F17">
        <v>1</v>
      </c>
      <c r="G17">
        <v>1</v>
      </c>
      <c r="H17">
        <v>1</v>
      </c>
      <c r="I17">
        <v>0.17899999999999999</v>
      </c>
      <c r="J17">
        <v>0.27900000000000003</v>
      </c>
      <c r="K17">
        <v>5.0000000000000001E-4</v>
      </c>
      <c r="L17" t="s">
        <v>17</v>
      </c>
      <c r="M17">
        <v>296.3</v>
      </c>
      <c r="N17" t="s">
        <v>413</v>
      </c>
      <c r="O17" t="s">
        <v>1359</v>
      </c>
    </row>
    <row r="18" spans="1:15" x14ac:dyDescent="0.2">
      <c r="A18" t="s">
        <v>190</v>
      </c>
      <c r="B18" t="s">
        <v>32</v>
      </c>
      <c r="C18">
        <v>2</v>
      </c>
      <c r="D18">
        <v>0</v>
      </c>
      <c r="E18">
        <v>2</v>
      </c>
      <c r="F18">
        <v>1</v>
      </c>
      <c r="G18">
        <v>0</v>
      </c>
      <c r="H18">
        <v>1</v>
      </c>
      <c r="I18">
        <v>0.2026</v>
      </c>
      <c r="J18">
        <v>0.29599999999999999</v>
      </c>
      <c r="K18">
        <v>5.9999999999999995E-4</v>
      </c>
      <c r="L18" t="s">
        <v>17</v>
      </c>
      <c r="M18">
        <v>296.3</v>
      </c>
      <c r="N18" t="s">
        <v>413</v>
      </c>
      <c r="O18" t="s">
        <v>1360</v>
      </c>
    </row>
    <row r="19" spans="1:15" x14ac:dyDescent="0.2">
      <c r="A19" t="s">
        <v>190</v>
      </c>
      <c r="B19" t="s">
        <v>32</v>
      </c>
      <c r="C19">
        <v>2</v>
      </c>
      <c r="D19">
        <v>1</v>
      </c>
      <c r="E19">
        <v>1</v>
      </c>
      <c r="F19">
        <v>1</v>
      </c>
      <c r="G19">
        <v>1</v>
      </c>
      <c r="H19">
        <v>0</v>
      </c>
      <c r="I19">
        <v>0.19650000000000001</v>
      </c>
      <c r="J19">
        <v>0.254</v>
      </c>
      <c r="K19">
        <v>5.0000000000000001E-4</v>
      </c>
      <c r="L19" t="s">
        <v>17</v>
      </c>
      <c r="M19">
        <v>296.3</v>
      </c>
      <c r="N19" t="s">
        <v>413</v>
      </c>
      <c r="O19" t="s">
        <v>1361</v>
      </c>
    </row>
    <row r="20" spans="1:15" x14ac:dyDescent="0.2">
      <c r="A20" t="s">
        <v>190</v>
      </c>
      <c r="B20" t="s">
        <v>32</v>
      </c>
      <c r="C20">
        <v>3</v>
      </c>
      <c r="D20">
        <v>2</v>
      </c>
      <c r="E20">
        <v>2</v>
      </c>
      <c r="F20">
        <v>2</v>
      </c>
      <c r="G20">
        <v>2</v>
      </c>
      <c r="H20">
        <v>1</v>
      </c>
      <c r="I20">
        <v>0.13159999999999999</v>
      </c>
      <c r="J20">
        <v>0.53200000000000003</v>
      </c>
      <c r="K20">
        <v>6.9999999999999999E-4</v>
      </c>
      <c r="L20" t="s">
        <v>17</v>
      </c>
      <c r="M20">
        <v>296.3</v>
      </c>
      <c r="N20" t="s">
        <v>413</v>
      </c>
      <c r="O20" t="s">
        <v>1362</v>
      </c>
    </row>
    <row r="21" spans="1:15" x14ac:dyDescent="0.2">
      <c r="A21" t="s">
        <v>190</v>
      </c>
      <c r="B21" t="s">
        <v>32</v>
      </c>
      <c r="C21">
        <v>3</v>
      </c>
      <c r="D21">
        <v>0</v>
      </c>
      <c r="E21">
        <v>3</v>
      </c>
      <c r="F21">
        <v>2</v>
      </c>
      <c r="G21">
        <v>0</v>
      </c>
      <c r="H21">
        <v>2</v>
      </c>
      <c r="I21">
        <v>0.187</v>
      </c>
      <c r="J21">
        <v>0.32100000000000001</v>
      </c>
      <c r="K21">
        <v>5.9999999999999995E-4</v>
      </c>
      <c r="L21" t="s">
        <v>17</v>
      </c>
      <c r="M21">
        <v>296.3</v>
      </c>
      <c r="N21" t="s">
        <v>413</v>
      </c>
      <c r="O21" t="s">
        <v>1363</v>
      </c>
    </row>
    <row r="22" spans="1:15" x14ac:dyDescent="0.2">
      <c r="A22" t="s">
        <v>190</v>
      </c>
      <c r="B22" t="s">
        <v>32</v>
      </c>
      <c r="C22">
        <v>3</v>
      </c>
      <c r="D22">
        <v>1</v>
      </c>
      <c r="E22">
        <v>2</v>
      </c>
      <c r="F22">
        <v>2</v>
      </c>
      <c r="G22">
        <v>1</v>
      </c>
      <c r="H22">
        <v>1</v>
      </c>
      <c r="I22">
        <v>0.19850000000000001</v>
      </c>
      <c r="J22">
        <v>0.30199999999999999</v>
      </c>
      <c r="K22">
        <v>5.9999999999999995E-4</v>
      </c>
      <c r="L22" t="s">
        <v>17</v>
      </c>
      <c r="M22">
        <v>296.3</v>
      </c>
      <c r="N22" t="s">
        <v>413</v>
      </c>
      <c r="O22" t="s">
        <v>1364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2EFB-40CE-404B-BD79-D7AD5A847E32}">
  <dimension ref="A1:O122"/>
  <sheetViews>
    <sheetView workbookViewId="0">
      <selection activeCell="E19" sqref="E19"/>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407</v>
      </c>
      <c r="C2">
        <v>4</v>
      </c>
      <c r="D2">
        <v>2</v>
      </c>
      <c r="E2">
        <v>2</v>
      </c>
      <c r="F2">
        <v>3</v>
      </c>
      <c r="G2">
        <v>2</v>
      </c>
      <c r="H2">
        <v>1</v>
      </c>
      <c r="I2">
        <v>6.4229999999999995E-2</v>
      </c>
      <c r="J2">
        <v>0.95</v>
      </c>
      <c r="K2">
        <v>6.0999999999999997E-4</v>
      </c>
      <c r="L2" t="s">
        <v>17</v>
      </c>
      <c r="M2">
        <v>296</v>
      </c>
      <c r="N2" t="s">
        <v>201</v>
      </c>
      <c r="O2" t="s">
        <v>1365</v>
      </c>
    </row>
    <row r="3" spans="1:15" x14ac:dyDescent="0.2">
      <c r="A3" t="s">
        <v>190</v>
      </c>
      <c r="B3" t="s">
        <v>407</v>
      </c>
      <c r="C3">
        <v>5</v>
      </c>
      <c r="D3">
        <v>1</v>
      </c>
      <c r="E3">
        <v>5</v>
      </c>
      <c r="F3">
        <v>4</v>
      </c>
      <c r="G3">
        <v>1</v>
      </c>
      <c r="H3">
        <v>4</v>
      </c>
      <c r="I3">
        <v>6.0560000000000003E-2</v>
      </c>
      <c r="J3">
        <v>1.1599999999999999</v>
      </c>
      <c r="K3">
        <v>6.9999999999999999E-4</v>
      </c>
      <c r="L3" t="s">
        <v>17</v>
      </c>
      <c r="M3">
        <v>296</v>
      </c>
      <c r="N3" t="s">
        <v>201</v>
      </c>
      <c r="O3" t="s">
        <v>1366</v>
      </c>
    </row>
    <row r="4" spans="1:15" x14ac:dyDescent="0.2">
      <c r="A4" t="s">
        <v>190</v>
      </c>
      <c r="B4" t="s">
        <v>407</v>
      </c>
      <c r="C4">
        <v>6</v>
      </c>
      <c r="D4">
        <v>5</v>
      </c>
      <c r="E4">
        <v>1</v>
      </c>
      <c r="F4">
        <v>5</v>
      </c>
      <c r="G4">
        <v>3</v>
      </c>
      <c r="H4">
        <v>2</v>
      </c>
      <c r="I4">
        <v>5.9859999999999997E-2</v>
      </c>
      <c r="J4">
        <v>0.84</v>
      </c>
      <c r="K4">
        <v>5.0000000000000001E-4</v>
      </c>
      <c r="L4" t="s">
        <v>17</v>
      </c>
      <c r="M4">
        <v>296</v>
      </c>
      <c r="N4" t="s">
        <v>201</v>
      </c>
      <c r="O4" t="s">
        <v>1366</v>
      </c>
    </row>
    <row r="5" spans="1:15" x14ac:dyDescent="0.2">
      <c r="A5" t="s">
        <v>190</v>
      </c>
      <c r="B5" t="s">
        <v>407</v>
      </c>
      <c r="C5">
        <v>6</v>
      </c>
      <c r="D5">
        <v>1</v>
      </c>
      <c r="E5">
        <v>6</v>
      </c>
      <c r="F5">
        <v>5</v>
      </c>
      <c r="G5">
        <v>2</v>
      </c>
      <c r="H5">
        <v>3</v>
      </c>
      <c r="I5">
        <v>7.3469999999999994E-2</v>
      </c>
      <c r="J5">
        <v>1.03</v>
      </c>
      <c r="K5">
        <v>7.6000000000000004E-4</v>
      </c>
      <c r="L5" t="s">
        <v>17</v>
      </c>
      <c r="M5">
        <v>296</v>
      </c>
      <c r="N5" t="s">
        <v>201</v>
      </c>
      <c r="O5" t="s">
        <v>1366</v>
      </c>
    </row>
    <row r="6" spans="1:15" x14ac:dyDescent="0.2">
      <c r="A6" t="s">
        <v>190</v>
      </c>
      <c r="B6" t="s">
        <v>407</v>
      </c>
      <c r="C6">
        <v>5</v>
      </c>
      <c r="D6">
        <v>4</v>
      </c>
      <c r="E6">
        <v>1</v>
      </c>
      <c r="F6">
        <v>4</v>
      </c>
      <c r="G6">
        <v>0</v>
      </c>
      <c r="H6">
        <v>4</v>
      </c>
      <c r="I6">
        <v>6.5019999999999994E-2</v>
      </c>
      <c r="J6">
        <v>1.01</v>
      </c>
      <c r="K6">
        <v>6.6E-4</v>
      </c>
      <c r="L6" t="s">
        <v>17</v>
      </c>
      <c r="M6">
        <v>296</v>
      </c>
      <c r="N6" t="s">
        <v>201</v>
      </c>
      <c r="O6" t="s">
        <v>1366</v>
      </c>
    </row>
    <row r="7" spans="1:15" x14ac:dyDescent="0.2">
      <c r="A7" t="s">
        <v>190</v>
      </c>
      <c r="B7" t="s">
        <v>407</v>
      </c>
      <c r="C7">
        <v>5</v>
      </c>
      <c r="D7">
        <v>5</v>
      </c>
      <c r="E7">
        <v>1</v>
      </c>
      <c r="F7">
        <v>4</v>
      </c>
      <c r="G7">
        <v>3</v>
      </c>
      <c r="H7">
        <v>2</v>
      </c>
      <c r="I7">
        <v>4.1369999999999997E-2</v>
      </c>
      <c r="J7">
        <v>1.96</v>
      </c>
      <c r="K7">
        <v>8.0999999999999996E-4</v>
      </c>
      <c r="L7" t="s">
        <v>17</v>
      </c>
      <c r="M7">
        <v>296</v>
      </c>
      <c r="N7" t="s">
        <v>201</v>
      </c>
      <c r="O7" t="s">
        <v>1366</v>
      </c>
    </row>
    <row r="8" spans="1:15" x14ac:dyDescent="0.2">
      <c r="A8" t="s">
        <v>190</v>
      </c>
      <c r="B8" t="s">
        <v>407</v>
      </c>
      <c r="C8">
        <v>5</v>
      </c>
      <c r="D8">
        <v>5</v>
      </c>
      <c r="E8">
        <v>0</v>
      </c>
      <c r="F8">
        <v>4</v>
      </c>
      <c r="G8">
        <v>3</v>
      </c>
      <c r="H8">
        <v>1</v>
      </c>
      <c r="I8">
        <v>4.1259999999999998E-2</v>
      </c>
      <c r="J8">
        <v>1.72</v>
      </c>
      <c r="K8">
        <v>7.1000000000000002E-4</v>
      </c>
      <c r="L8" t="s">
        <v>17</v>
      </c>
      <c r="M8">
        <v>296</v>
      </c>
      <c r="N8" t="s">
        <v>201</v>
      </c>
      <c r="O8" t="s">
        <v>1366</v>
      </c>
    </row>
    <row r="9" spans="1:15" x14ac:dyDescent="0.2">
      <c r="A9" t="s">
        <v>190</v>
      </c>
      <c r="B9" t="s">
        <v>407</v>
      </c>
      <c r="C9">
        <v>6</v>
      </c>
      <c r="D9">
        <v>4</v>
      </c>
      <c r="E9">
        <v>2</v>
      </c>
      <c r="F9">
        <v>5</v>
      </c>
      <c r="G9">
        <v>0</v>
      </c>
      <c r="H9">
        <v>5</v>
      </c>
      <c r="I9">
        <v>6.139E-2</v>
      </c>
      <c r="J9">
        <v>0.83</v>
      </c>
      <c r="K9">
        <v>5.1000000000000004E-4</v>
      </c>
      <c r="L9" t="s">
        <v>17</v>
      </c>
      <c r="M9">
        <v>296</v>
      </c>
      <c r="N9" t="s">
        <v>201</v>
      </c>
      <c r="O9" t="s">
        <v>1366</v>
      </c>
    </row>
    <row r="10" spans="1:15" x14ac:dyDescent="0.2">
      <c r="A10" t="s">
        <v>190</v>
      </c>
      <c r="B10" t="s">
        <v>407</v>
      </c>
      <c r="C10">
        <v>6</v>
      </c>
      <c r="D10">
        <v>3</v>
      </c>
      <c r="E10">
        <v>4</v>
      </c>
      <c r="F10">
        <v>5</v>
      </c>
      <c r="G10">
        <v>1</v>
      </c>
      <c r="H10">
        <v>5</v>
      </c>
      <c r="I10">
        <v>5.8459999999999998E-2</v>
      </c>
      <c r="J10">
        <v>1.06</v>
      </c>
      <c r="K10">
        <v>6.2E-4</v>
      </c>
      <c r="L10" t="s">
        <v>17</v>
      </c>
      <c r="M10">
        <v>296</v>
      </c>
      <c r="N10" t="s">
        <v>201</v>
      </c>
      <c r="O10" t="s">
        <v>1366</v>
      </c>
    </row>
    <row r="11" spans="1:15" x14ac:dyDescent="0.2">
      <c r="A11" t="s">
        <v>190</v>
      </c>
      <c r="B11" t="s">
        <v>407</v>
      </c>
      <c r="C11">
        <v>6</v>
      </c>
      <c r="D11">
        <v>4</v>
      </c>
      <c r="E11">
        <v>3</v>
      </c>
      <c r="F11">
        <v>5</v>
      </c>
      <c r="G11">
        <v>2</v>
      </c>
      <c r="H11">
        <v>4</v>
      </c>
      <c r="I11">
        <v>4.9549999999999997E-2</v>
      </c>
      <c r="J11">
        <v>1.43</v>
      </c>
      <c r="K11">
        <v>7.1000000000000002E-4</v>
      </c>
      <c r="L11" t="s">
        <v>17</v>
      </c>
      <c r="M11">
        <v>296</v>
      </c>
      <c r="N11" t="s">
        <v>201</v>
      </c>
      <c r="O11" t="s">
        <v>1366</v>
      </c>
    </row>
    <row r="12" spans="1:15" x14ac:dyDescent="0.2">
      <c r="A12" t="s">
        <v>190</v>
      </c>
      <c r="B12" t="s">
        <v>407</v>
      </c>
      <c r="C12">
        <v>6</v>
      </c>
      <c r="D12">
        <v>5</v>
      </c>
      <c r="E12">
        <v>2</v>
      </c>
      <c r="F12">
        <v>5</v>
      </c>
      <c r="G12">
        <v>3</v>
      </c>
      <c r="H12">
        <v>3</v>
      </c>
      <c r="I12">
        <v>4.2229999999999997E-2</v>
      </c>
      <c r="J12">
        <v>1.68</v>
      </c>
      <c r="K12">
        <v>7.1000000000000002E-4</v>
      </c>
      <c r="L12" t="s">
        <v>17</v>
      </c>
      <c r="M12">
        <v>296</v>
      </c>
      <c r="N12" t="s">
        <v>201</v>
      </c>
      <c r="O12" t="s">
        <v>1366</v>
      </c>
    </row>
    <row r="13" spans="1:15" x14ac:dyDescent="0.2">
      <c r="A13" t="s">
        <v>190</v>
      </c>
      <c r="B13" t="s">
        <v>407</v>
      </c>
      <c r="C13">
        <v>6</v>
      </c>
      <c r="D13">
        <v>5</v>
      </c>
      <c r="E13">
        <v>1</v>
      </c>
      <c r="F13">
        <v>5</v>
      </c>
      <c r="G13">
        <v>3</v>
      </c>
      <c r="H13">
        <v>2</v>
      </c>
      <c r="I13">
        <v>4.4609999999999997E-2</v>
      </c>
      <c r="J13">
        <v>1.34</v>
      </c>
      <c r="K13">
        <v>5.9999999999999995E-4</v>
      </c>
      <c r="L13" t="s">
        <v>17</v>
      </c>
      <c r="M13">
        <v>296</v>
      </c>
      <c r="N13" t="s">
        <v>201</v>
      </c>
      <c r="O13" t="s">
        <v>1366</v>
      </c>
    </row>
    <row r="14" spans="1:15" x14ac:dyDescent="0.2">
      <c r="A14" t="s">
        <v>190</v>
      </c>
      <c r="B14" t="s">
        <v>407</v>
      </c>
      <c r="C14">
        <v>6</v>
      </c>
      <c r="D14">
        <v>6</v>
      </c>
      <c r="E14">
        <v>1</v>
      </c>
      <c r="F14">
        <v>5</v>
      </c>
      <c r="G14">
        <v>4</v>
      </c>
      <c r="H14">
        <v>2</v>
      </c>
      <c r="I14">
        <v>3.5000000000000003E-2</v>
      </c>
      <c r="J14">
        <v>2.06</v>
      </c>
      <c r="K14">
        <v>7.2000000000000005E-4</v>
      </c>
      <c r="L14" t="s">
        <v>17</v>
      </c>
      <c r="M14">
        <v>296</v>
      </c>
      <c r="N14" t="s">
        <v>201</v>
      </c>
      <c r="O14" t="s">
        <v>1366</v>
      </c>
    </row>
    <row r="15" spans="1:15" x14ac:dyDescent="0.2">
      <c r="A15" t="s">
        <v>190</v>
      </c>
      <c r="B15" t="s">
        <v>407</v>
      </c>
      <c r="C15">
        <v>6</v>
      </c>
      <c r="D15">
        <v>6</v>
      </c>
      <c r="E15">
        <v>0</v>
      </c>
      <c r="F15">
        <v>5</v>
      </c>
      <c r="G15">
        <v>4</v>
      </c>
      <c r="H15">
        <v>1</v>
      </c>
      <c r="I15">
        <v>3.4439999999999998E-2</v>
      </c>
      <c r="J15">
        <v>1.57</v>
      </c>
      <c r="K15">
        <v>5.4000000000000001E-4</v>
      </c>
      <c r="L15" t="s">
        <v>17</v>
      </c>
      <c r="M15">
        <v>296</v>
      </c>
      <c r="N15" t="s">
        <v>201</v>
      </c>
      <c r="O15" t="s">
        <v>1366</v>
      </c>
    </row>
    <row r="16" spans="1:15" x14ac:dyDescent="0.2">
      <c r="A16" t="s">
        <v>190</v>
      </c>
      <c r="B16" t="s">
        <v>407</v>
      </c>
      <c r="C16">
        <v>7</v>
      </c>
      <c r="D16">
        <v>2</v>
      </c>
      <c r="E16">
        <v>5</v>
      </c>
      <c r="F16">
        <v>6</v>
      </c>
      <c r="G16">
        <v>0</v>
      </c>
      <c r="H16">
        <v>6</v>
      </c>
      <c r="I16">
        <v>6.1190000000000001E-2</v>
      </c>
      <c r="J16">
        <v>1.41</v>
      </c>
      <c r="K16">
        <v>8.5999999999999998E-4</v>
      </c>
      <c r="L16" t="s">
        <v>17</v>
      </c>
      <c r="M16">
        <v>296</v>
      </c>
      <c r="N16" t="s">
        <v>201</v>
      </c>
      <c r="O16" t="s">
        <v>1366</v>
      </c>
    </row>
    <row r="17" spans="1:15" x14ac:dyDescent="0.2">
      <c r="A17" t="s">
        <v>190</v>
      </c>
      <c r="B17" t="s">
        <v>407</v>
      </c>
      <c r="C17">
        <v>7</v>
      </c>
      <c r="D17">
        <v>4</v>
      </c>
      <c r="E17">
        <v>3</v>
      </c>
      <c r="F17">
        <v>6</v>
      </c>
      <c r="G17">
        <v>0</v>
      </c>
      <c r="H17">
        <v>6</v>
      </c>
      <c r="I17">
        <v>5.7770000000000002E-2</v>
      </c>
      <c r="J17">
        <v>1.1599999999999999</v>
      </c>
      <c r="K17">
        <v>6.7000000000000002E-4</v>
      </c>
      <c r="L17" t="s">
        <v>17</v>
      </c>
      <c r="M17">
        <v>296</v>
      </c>
      <c r="N17" t="s">
        <v>201</v>
      </c>
      <c r="O17" t="s">
        <v>1366</v>
      </c>
    </row>
    <row r="18" spans="1:15" x14ac:dyDescent="0.2">
      <c r="A18" t="s">
        <v>190</v>
      </c>
      <c r="B18" t="s">
        <v>407</v>
      </c>
      <c r="C18">
        <v>7</v>
      </c>
      <c r="D18">
        <v>3</v>
      </c>
      <c r="E18">
        <v>5</v>
      </c>
      <c r="F18">
        <v>6</v>
      </c>
      <c r="G18">
        <v>1</v>
      </c>
      <c r="H18">
        <v>6</v>
      </c>
      <c r="I18">
        <v>4.8529999999999997E-2</v>
      </c>
      <c r="J18">
        <v>1.59</v>
      </c>
      <c r="K18">
        <v>7.6999999999999996E-4</v>
      </c>
      <c r="L18" t="s">
        <v>17</v>
      </c>
      <c r="M18">
        <v>296</v>
      </c>
      <c r="N18" t="s">
        <v>201</v>
      </c>
      <c r="O18" t="s">
        <v>1366</v>
      </c>
    </row>
    <row r="19" spans="1:15" x14ac:dyDescent="0.2">
      <c r="A19" t="s">
        <v>190</v>
      </c>
      <c r="B19" t="s">
        <v>407</v>
      </c>
      <c r="C19">
        <v>7</v>
      </c>
      <c r="D19">
        <v>5</v>
      </c>
      <c r="E19">
        <v>2</v>
      </c>
      <c r="F19">
        <v>6</v>
      </c>
      <c r="G19">
        <v>1</v>
      </c>
      <c r="H19">
        <v>5</v>
      </c>
      <c r="I19">
        <v>6.2109999999999999E-2</v>
      </c>
      <c r="J19">
        <v>1.08</v>
      </c>
      <c r="K19">
        <v>6.7000000000000002E-4</v>
      </c>
      <c r="L19" t="s">
        <v>17</v>
      </c>
      <c r="M19">
        <v>296</v>
      </c>
      <c r="N19" t="s">
        <v>201</v>
      </c>
      <c r="O19" t="s">
        <v>1366</v>
      </c>
    </row>
    <row r="20" spans="1:15" x14ac:dyDescent="0.2">
      <c r="A20" t="s">
        <v>190</v>
      </c>
      <c r="B20" t="s">
        <v>407</v>
      </c>
      <c r="C20">
        <v>7</v>
      </c>
      <c r="D20">
        <v>4</v>
      </c>
      <c r="E20">
        <v>4</v>
      </c>
      <c r="F20">
        <v>6</v>
      </c>
      <c r="G20">
        <v>2</v>
      </c>
      <c r="H20">
        <v>5</v>
      </c>
      <c r="I20">
        <v>4.4380000000000003E-2</v>
      </c>
      <c r="J20">
        <v>1.24</v>
      </c>
      <c r="K20">
        <v>5.5000000000000003E-4</v>
      </c>
      <c r="L20" t="s">
        <v>17</v>
      </c>
      <c r="M20">
        <v>296</v>
      </c>
      <c r="N20" t="s">
        <v>201</v>
      </c>
      <c r="O20" t="s">
        <v>1366</v>
      </c>
    </row>
    <row r="21" spans="1:15" x14ac:dyDescent="0.2">
      <c r="A21" t="s">
        <v>190</v>
      </c>
      <c r="B21" t="s">
        <v>407</v>
      </c>
      <c r="C21">
        <v>7</v>
      </c>
      <c r="D21">
        <v>4</v>
      </c>
      <c r="E21">
        <v>3</v>
      </c>
      <c r="F21">
        <v>6</v>
      </c>
      <c r="G21">
        <v>2</v>
      </c>
      <c r="H21">
        <v>4</v>
      </c>
      <c r="I21">
        <v>5.0959999999999998E-2</v>
      </c>
      <c r="J21">
        <v>1.04</v>
      </c>
      <c r="K21">
        <v>5.2999999999999998E-4</v>
      </c>
      <c r="L21" t="s">
        <v>17</v>
      </c>
      <c r="M21">
        <v>296</v>
      </c>
      <c r="N21" t="s">
        <v>201</v>
      </c>
      <c r="O21" t="s">
        <v>1366</v>
      </c>
    </row>
    <row r="22" spans="1:15" x14ac:dyDescent="0.2">
      <c r="A22" t="s">
        <v>190</v>
      </c>
      <c r="B22" t="s">
        <v>407</v>
      </c>
      <c r="C22">
        <v>7</v>
      </c>
      <c r="D22">
        <v>5</v>
      </c>
      <c r="E22">
        <v>3</v>
      </c>
      <c r="F22">
        <v>6</v>
      </c>
      <c r="G22">
        <v>3</v>
      </c>
      <c r="H22">
        <v>4</v>
      </c>
      <c r="I22">
        <v>4.2790000000000002E-2</v>
      </c>
      <c r="J22">
        <v>1.82</v>
      </c>
      <c r="K22">
        <v>7.7999999999999999E-4</v>
      </c>
      <c r="L22" t="s">
        <v>17</v>
      </c>
      <c r="M22">
        <v>296</v>
      </c>
      <c r="N22" t="s">
        <v>201</v>
      </c>
      <c r="O22" t="s">
        <v>1366</v>
      </c>
    </row>
    <row r="23" spans="1:15" x14ac:dyDescent="0.2">
      <c r="A23" t="s">
        <v>190</v>
      </c>
      <c r="B23" t="s">
        <v>407</v>
      </c>
      <c r="C23">
        <v>7</v>
      </c>
      <c r="D23">
        <v>5</v>
      </c>
      <c r="E23">
        <v>2</v>
      </c>
      <c r="F23">
        <v>6</v>
      </c>
      <c r="G23">
        <v>3</v>
      </c>
      <c r="H23">
        <v>3</v>
      </c>
      <c r="I23">
        <v>4.7620000000000003E-2</v>
      </c>
      <c r="J23">
        <v>1.41</v>
      </c>
      <c r="K23">
        <v>6.7000000000000002E-4</v>
      </c>
      <c r="L23" t="s">
        <v>17</v>
      </c>
      <c r="M23">
        <v>296</v>
      </c>
      <c r="N23" t="s">
        <v>201</v>
      </c>
      <c r="O23" t="s">
        <v>1366</v>
      </c>
    </row>
    <row r="24" spans="1:15" x14ac:dyDescent="0.2">
      <c r="A24" t="s">
        <v>190</v>
      </c>
      <c r="B24" t="s">
        <v>407</v>
      </c>
      <c r="C24">
        <v>7</v>
      </c>
      <c r="D24">
        <v>6</v>
      </c>
      <c r="E24">
        <v>2</v>
      </c>
      <c r="F24">
        <v>6</v>
      </c>
      <c r="G24">
        <v>4</v>
      </c>
      <c r="H24">
        <v>3</v>
      </c>
      <c r="I24">
        <v>3.61E-2</v>
      </c>
      <c r="J24">
        <v>1.55</v>
      </c>
      <c r="K24">
        <v>5.5999999999999995E-4</v>
      </c>
      <c r="L24" t="s">
        <v>17</v>
      </c>
      <c r="M24">
        <v>296</v>
      </c>
      <c r="N24" t="s">
        <v>201</v>
      </c>
      <c r="O24" t="s">
        <v>1366</v>
      </c>
    </row>
    <row r="25" spans="1:15" x14ac:dyDescent="0.2">
      <c r="A25" t="s">
        <v>190</v>
      </c>
      <c r="B25" t="s">
        <v>407</v>
      </c>
      <c r="C25">
        <v>7</v>
      </c>
      <c r="D25">
        <v>6</v>
      </c>
      <c r="E25">
        <v>1</v>
      </c>
      <c r="F25">
        <v>6</v>
      </c>
      <c r="G25">
        <v>4</v>
      </c>
      <c r="H25">
        <v>2</v>
      </c>
      <c r="I25">
        <v>3.7620000000000001E-2</v>
      </c>
      <c r="J25">
        <v>1.46</v>
      </c>
      <c r="K25">
        <v>5.5000000000000003E-4</v>
      </c>
      <c r="L25" t="s">
        <v>17</v>
      </c>
      <c r="M25">
        <v>296</v>
      </c>
      <c r="N25" t="s">
        <v>201</v>
      </c>
      <c r="O25" t="s">
        <v>1366</v>
      </c>
    </row>
    <row r="26" spans="1:15" x14ac:dyDescent="0.2">
      <c r="A26" t="s">
        <v>190</v>
      </c>
      <c r="B26" t="s">
        <v>407</v>
      </c>
      <c r="C26">
        <v>8</v>
      </c>
      <c r="D26">
        <v>2</v>
      </c>
      <c r="E26">
        <v>6</v>
      </c>
      <c r="F26">
        <v>7</v>
      </c>
      <c r="G26">
        <v>0</v>
      </c>
      <c r="H26">
        <v>7</v>
      </c>
      <c r="I26">
        <v>5.7669999999999999E-2</v>
      </c>
      <c r="J26">
        <v>1.08</v>
      </c>
      <c r="K26">
        <v>6.2E-4</v>
      </c>
      <c r="L26" t="s">
        <v>17</v>
      </c>
      <c r="M26">
        <v>296</v>
      </c>
      <c r="N26" t="s">
        <v>201</v>
      </c>
      <c r="O26" t="s">
        <v>1366</v>
      </c>
    </row>
    <row r="27" spans="1:15" x14ac:dyDescent="0.2">
      <c r="A27" t="s">
        <v>190</v>
      </c>
      <c r="B27" t="s">
        <v>407</v>
      </c>
      <c r="C27">
        <v>8</v>
      </c>
      <c r="D27">
        <v>4</v>
      </c>
      <c r="E27">
        <v>4</v>
      </c>
      <c r="F27">
        <v>7</v>
      </c>
      <c r="G27">
        <v>0</v>
      </c>
      <c r="H27">
        <v>7</v>
      </c>
      <c r="I27">
        <v>5.6349999999999997E-2</v>
      </c>
      <c r="J27">
        <v>1.03</v>
      </c>
      <c r="K27">
        <v>5.8E-4</v>
      </c>
      <c r="L27" t="s">
        <v>17</v>
      </c>
      <c r="M27">
        <v>296</v>
      </c>
      <c r="N27" t="s">
        <v>201</v>
      </c>
      <c r="O27" t="s">
        <v>1367</v>
      </c>
    </row>
    <row r="28" spans="1:15" x14ac:dyDescent="0.2">
      <c r="A28" t="s">
        <v>190</v>
      </c>
      <c r="B28" t="s">
        <v>407</v>
      </c>
      <c r="C28">
        <v>8</v>
      </c>
      <c r="D28">
        <v>3</v>
      </c>
      <c r="E28">
        <v>6</v>
      </c>
      <c r="F28">
        <v>7</v>
      </c>
      <c r="G28">
        <v>1</v>
      </c>
      <c r="H28">
        <v>7</v>
      </c>
      <c r="I28">
        <v>4.9669999999999999E-2</v>
      </c>
      <c r="J28">
        <v>1.23</v>
      </c>
      <c r="K28">
        <v>6.0999999999999997E-4</v>
      </c>
      <c r="L28" t="s">
        <v>17</v>
      </c>
      <c r="M28">
        <v>296</v>
      </c>
      <c r="N28" t="s">
        <v>201</v>
      </c>
      <c r="O28" t="s">
        <v>1367</v>
      </c>
    </row>
    <row r="29" spans="1:15" x14ac:dyDescent="0.2">
      <c r="A29" t="s">
        <v>190</v>
      </c>
      <c r="B29" t="s">
        <v>407</v>
      </c>
      <c r="C29">
        <v>8</v>
      </c>
      <c r="D29">
        <v>5</v>
      </c>
      <c r="E29">
        <v>3</v>
      </c>
      <c r="F29">
        <v>7</v>
      </c>
      <c r="G29">
        <v>1</v>
      </c>
      <c r="H29">
        <v>6</v>
      </c>
      <c r="I29">
        <v>4.5879999999999997E-2</v>
      </c>
      <c r="J29">
        <v>1.81</v>
      </c>
      <c r="K29">
        <v>8.3000000000000001E-4</v>
      </c>
      <c r="L29" t="s">
        <v>17</v>
      </c>
      <c r="M29">
        <v>296</v>
      </c>
      <c r="N29" t="s">
        <v>201</v>
      </c>
      <c r="O29" t="s">
        <v>1367</v>
      </c>
    </row>
    <row r="30" spans="1:15" x14ac:dyDescent="0.2">
      <c r="A30" t="s">
        <v>190</v>
      </c>
      <c r="B30" t="s">
        <v>407</v>
      </c>
      <c r="C30">
        <v>8</v>
      </c>
      <c r="D30">
        <v>4</v>
      </c>
      <c r="E30">
        <v>5</v>
      </c>
      <c r="F30">
        <v>7</v>
      </c>
      <c r="G30">
        <v>2</v>
      </c>
      <c r="H30">
        <v>6</v>
      </c>
      <c r="I30">
        <v>4.428E-2</v>
      </c>
      <c r="J30">
        <v>1.56</v>
      </c>
      <c r="K30">
        <v>6.8999999999999997E-4</v>
      </c>
      <c r="L30" t="s">
        <v>17</v>
      </c>
      <c r="M30">
        <v>296</v>
      </c>
      <c r="N30" t="s">
        <v>201</v>
      </c>
      <c r="O30" t="s">
        <v>1367</v>
      </c>
    </row>
    <row r="31" spans="1:15" x14ac:dyDescent="0.2">
      <c r="A31" t="s">
        <v>190</v>
      </c>
      <c r="B31" t="s">
        <v>407</v>
      </c>
      <c r="C31">
        <v>8</v>
      </c>
      <c r="D31">
        <v>5</v>
      </c>
      <c r="E31">
        <v>4</v>
      </c>
      <c r="F31">
        <v>7</v>
      </c>
      <c r="G31">
        <v>3</v>
      </c>
      <c r="H31">
        <v>5</v>
      </c>
      <c r="I31">
        <v>4.1889999999999997E-2</v>
      </c>
      <c r="J31">
        <v>1.7</v>
      </c>
      <c r="K31">
        <v>7.1000000000000002E-4</v>
      </c>
      <c r="L31" t="s">
        <v>17</v>
      </c>
      <c r="M31">
        <v>296</v>
      </c>
      <c r="N31" t="s">
        <v>201</v>
      </c>
      <c r="O31" t="s">
        <v>1367</v>
      </c>
    </row>
    <row r="32" spans="1:15" x14ac:dyDescent="0.2">
      <c r="A32" t="s">
        <v>190</v>
      </c>
      <c r="B32" t="s">
        <v>407</v>
      </c>
      <c r="C32">
        <v>8</v>
      </c>
      <c r="D32">
        <v>5</v>
      </c>
      <c r="E32">
        <v>3</v>
      </c>
      <c r="F32">
        <v>7</v>
      </c>
      <c r="G32">
        <v>3</v>
      </c>
      <c r="H32">
        <v>4</v>
      </c>
      <c r="I32">
        <v>4.8680000000000001E-2</v>
      </c>
      <c r="J32">
        <v>1.23</v>
      </c>
      <c r="K32">
        <v>5.9999999999999995E-4</v>
      </c>
      <c r="L32" t="s">
        <v>17</v>
      </c>
      <c r="M32">
        <v>296</v>
      </c>
      <c r="N32" t="s">
        <v>201</v>
      </c>
      <c r="O32" t="s">
        <v>1367</v>
      </c>
    </row>
    <row r="33" spans="1:15" x14ac:dyDescent="0.2">
      <c r="A33" t="s">
        <v>190</v>
      </c>
      <c r="B33" t="s">
        <v>407</v>
      </c>
      <c r="C33">
        <v>8</v>
      </c>
      <c r="D33">
        <v>6</v>
      </c>
      <c r="E33">
        <v>3</v>
      </c>
      <c r="F33">
        <v>7</v>
      </c>
      <c r="G33">
        <v>4</v>
      </c>
      <c r="H33">
        <v>4</v>
      </c>
      <c r="I33">
        <v>3.8300000000000001E-2</v>
      </c>
      <c r="J33">
        <v>1.57</v>
      </c>
      <c r="K33">
        <v>5.9999999999999995E-4</v>
      </c>
      <c r="L33" t="s">
        <v>17</v>
      </c>
      <c r="M33">
        <v>296</v>
      </c>
      <c r="N33" t="s">
        <v>201</v>
      </c>
      <c r="O33" t="s">
        <v>1367</v>
      </c>
    </row>
    <row r="34" spans="1:15" x14ac:dyDescent="0.2">
      <c r="A34" t="s">
        <v>190</v>
      </c>
      <c r="B34" t="s">
        <v>407</v>
      </c>
      <c r="C34">
        <v>8</v>
      </c>
      <c r="D34">
        <v>6</v>
      </c>
      <c r="E34">
        <v>2</v>
      </c>
      <c r="F34">
        <v>7</v>
      </c>
      <c r="G34">
        <v>4</v>
      </c>
      <c r="H34">
        <v>3</v>
      </c>
      <c r="I34">
        <v>4.0140000000000002E-2</v>
      </c>
      <c r="J34">
        <v>1.62</v>
      </c>
      <c r="K34">
        <v>6.4999999999999997E-4</v>
      </c>
      <c r="L34" t="s">
        <v>17</v>
      </c>
      <c r="M34">
        <v>296</v>
      </c>
      <c r="N34" t="s">
        <v>201</v>
      </c>
      <c r="O34" t="s">
        <v>1367</v>
      </c>
    </row>
    <row r="35" spans="1:15" x14ac:dyDescent="0.2">
      <c r="A35" t="s">
        <v>190</v>
      </c>
      <c r="B35" t="s">
        <v>407</v>
      </c>
      <c r="C35">
        <v>8</v>
      </c>
      <c r="D35">
        <v>7</v>
      </c>
      <c r="E35">
        <v>2</v>
      </c>
      <c r="F35">
        <v>7</v>
      </c>
      <c r="G35">
        <v>5</v>
      </c>
      <c r="H35">
        <v>3</v>
      </c>
      <c r="I35">
        <v>3.1199999999999999E-2</v>
      </c>
      <c r="J35">
        <v>2.11</v>
      </c>
      <c r="K35">
        <v>6.6E-4</v>
      </c>
      <c r="L35" t="s">
        <v>17</v>
      </c>
      <c r="M35">
        <v>296</v>
      </c>
      <c r="N35" t="s">
        <v>201</v>
      </c>
      <c r="O35" t="s">
        <v>1367</v>
      </c>
    </row>
    <row r="36" spans="1:15" x14ac:dyDescent="0.2">
      <c r="A36" t="s">
        <v>190</v>
      </c>
      <c r="B36" t="s">
        <v>407</v>
      </c>
      <c r="C36">
        <v>8</v>
      </c>
      <c r="D36">
        <v>7</v>
      </c>
      <c r="E36">
        <v>1</v>
      </c>
      <c r="F36">
        <v>7</v>
      </c>
      <c r="G36">
        <v>5</v>
      </c>
      <c r="H36">
        <v>2</v>
      </c>
      <c r="I36">
        <v>3.1530000000000002E-2</v>
      </c>
      <c r="J36">
        <v>1.97</v>
      </c>
      <c r="K36">
        <v>6.2E-4</v>
      </c>
      <c r="L36" t="s">
        <v>17</v>
      </c>
      <c r="M36">
        <v>296</v>
      </c>
      <c r="N36" t="s">
        <v>201</v>
      </c>
      <c r="O36" t="s">
        <v>1367</v>
      </c>
    </row>
    <row r="37" spans="1:15" x14ac:dyDescent="0.2">
      <c r="A37" t="s">
        <v>190</v>
      </c>
      <c r="B37" t="s">
        <v>407</v>
      </c>
      <c r="C37">
        <v>8</v>
      </c>
      <c r="D37">
        <v>8</v>
      </c>
      <c r="E37">
        <v>0</v>
      </c>
      <c r="F37">
        <v>7</v>
      </c>
      <c r="G37">
        <v>6</v>
      </c>
      <c r="H37">
        <v>1</v>
      </c>
      <c r="I37">
        <v>2.7060000000000001E-2</v>
      </c>
      <c r="J37">
        <v>2.2200000000000002</v>
      </c>
      <c r="K37">
        <v>5.9999999999999995E-4</v>
      </c>
      <c r="L37" t="s">
        <v>17</v>
      </c>
      <c r="M37">
        <v>296</v>
      </c>
      <c r="N37" t="s">
        <v>201</v>
      </c>
      <c r="O37" t="s">
        <v>1367</v>
      </c>
    </row>
    <row r="38" spans="1:15" x14ac:dyDescent="0.2">
      <c r="A38" t="s">
        <v>190</v>
      </c>
      <c r="B38" t="s">
        <v>407</v>
      </c>
      <c r="C38">
        <v>9</v>
      </c>
      <c r="D38">
        <v>2</v>
      </c>
      <c r="E38">
        <v>7</v>
      </c>
      <c r="F38">
        <v>8</v>
      </c>
      <c r="G38">
        <v>0</v>
      </c>
      <c r="H38">
        <v>8</v>
      </c>
      <c r="I38">
        <v>5.2319999999999998E-2</v>
      </c>
      <c r="J38">
        <v>1.34</v>
      </c>
      <c r="K38">
        <v>6.9999999999999999E-4</v>
      </c>
      <c r="L38" t="s">
        <v>17</v>
      </c>
      <c r="M38">
        <v>296</v>
      </c>
      <c r="N38" t="s">
        <v>201</v>
      </c>
      <c r="O38" t="s">
        <v>1367</v>
      </c>
    </row>
    <row r="39" spans="1:15" x14ac:dyDescent="0.2">
      <c r="A39" t="s">
        <v>190</v>
      </c>
      <c r="B39" t="s">
        <v>407</v>
      </c>
      <c r="C39">
        <v>9</v>
      </c>
      <c r="D39">
        <v>3</v>
      </c>
      <c r="E39">
        <v>7</v>
      </c>
      <c r="F39">
        <v>8</v>
      </c>
      <c r="G39">
        <v>1</v>
      </c>
      <c r="H39">
        <v>8</v>
      </c>
      <c r="I39">
        <v>4.5199999999999997E-2</v>
      </c>
      <c r="J39">
        <v>1.44</v>
      </c>
      <c r="K39">
        <v>6.4999999999999997E-4</v>
      </c>
      <c r="L39" t="s">
        <v>17</v>
      </c>
      <c r="M39">
        <v>296</v>
      </c>
      <c r="N39" t="s">
        <v>201</v>
      </c>
      <c r="O39" t="s">
        <v>1367</v>
      </c>
    </row>
    <row r="40" spans="1:15" x14ac:dyDescent="0.2">
      <c r="A40" t="s">
        <v>190</v>
      </c>
      <c r="B40" t="s">
        <v>407</v>
      </c>
      <c r="C40">
        <v>9</v>
      </c>
      <c r="D40">
        <v>3</v>
      </c>
      <c r="E40">
        <v>6</v>
      </c>
      <c r="F40">
        <v>8</v>
      </c>
      <c r="G40">
        <v>1</v>
      </c>
      <c r="H40">
        <v>7</v>
      </c>
      <c r="I40">
        <v>5.1860000000000003E-2</v>
      </c>
      <c r="J40">
        <v>1.19</v>
      </c>
      <c r="K40">
        <v>6.2E-4</v>
      </c>
      <c r="L40" t="s">
        <v>17</v>
      </c>
      <c r="M40">
        <v>296</v>
      </c>
      <c r="N40" t="s">
        <v>201</v>
      </c>
      <c r="O40" t="s">
        <v>1367</v>
      </c>
    </row>
    <row r="41" spans="1:15" x14ac:dyDescent="0.2">
      <c r="A41" t="s">
        <v>190</v>
      </c>
      <c r="B41" t="s">
        <v>407</v>
      </c>
      <c r="C41">
        <v>9</v>
      </c>
      <c r="D41">
        <v>4</v>
      </c>
      <c r="E41">
        <v>6</v>
      </c>
      <c r="F41">
        <v>8</v>
      </c>
      <c r="G41">
        <v>2</v>
      </c>
      <c r="H41">
        <v>7</v>
      </c>
      <c r="I41">
        <v>4.1480000000000003E-2</v>
      </c>
      <c r="J41">
        <v>1.71</v>
      </c>
      <c r="K41">
        <v>7.1000000000000002E-4</v>
      </c>
      <c r="L41" t="s">
        <v>17</v>
      </c>
      <c r="M41">
        <v>296</v>
      </c>
      <c r="N41" t="s">
        <v>201</v>
      </c>
      <c r="O41" t="s">
        <v>1367</v>
      </c>
    </row>
    <row r="42" spans="1:15" x14ac:dyDescent="0.2">
      <c r="A42" t="s">
        <v>190</v>
      </c>
      <c r="B42" t="s">
        <v>407</v>
      </c>
      <c r="C42">
        <v>9</v>
      </c>
      <c r="D42">
        <v>4</v>
      </c>
      <c r="E42">
        <v>5</v>
      </c>
      <c r="F42">
        <v>8</v>
      </c>
      <c r="G42">
        <v>2</v>
      </c>
      <c r="H42">
        <v>6</v>
      </c>
      <c r="I42">
        <v>4.6710000000000002E-2</v>
      </c>
      <c r="J42">
        <v>1.5</v>
      </c>
      <c r="K42">
        <v>6.9999999999999999E-4</v>
      </c>
      <c r="L42" t="s">
        <v>17</v>
      </c>
      <c r="M42">
        <v>296</v>
      </c>
      <c r="N42" t="s">
        <v>201</v>
      </c>
      <c r="O42" t="s">
        <v>1367</v>
      </c>
    </row>
    <row r="43" spans="1:15" x14ac:dyDescent="0.2">
      <c r="A43" t="s">
        <v>190</v>
      </c>
      <c r="B43" t="s">
        <v>407</v>
      </c>
      <c r="C43">
        <v>9</v>
      </c>
      <c r="D43">
        <v>5</v>
      </c>
      <c r="E43">
        <v>5</v>
      </c>
      <c r="F43">
        <v>8</v>
      </c>
      <c r="G43">
        <v>3</v>
      </c>
      <c r="H43">
        <v>6</v>
      </c>
      <c r="I43">
        <v>4.0059999999999998E-2</v>
      </c>
      <c r="J43">
        <v>1.95</v>
      </c>
      <c r="K43">
        <v>7.7999999999999999E-4</v>
      </c>
      <c r="L43" t="s">
        <v>17</v>
      </c>
      <c r="M43">
        <v>296</v>
      </c>
      <c r="N43" t="s">
        <v>201</v>
      </c>
      <c r="O43" t="s">
        <v>1367</v>
      </c>
    </row>
    <row r="44" spans="1:15" x14ac:dyDescent="0.2">
      <c r="A44" t="s">
        <v>190</v>
      </c>
      <c r="B44" t="s">
        <v>407</v>
      </c>
      <c r="C44">
        <v>9</v>
      </c>
      <c r="D44">
        <v>5</v>
      </c>
      <c r="E44">
        <v>4</v>
      </c>
      <c r="F44">
        <v>8</v>
      </c>
      <c r="G44">
        <v>3</v>
      </c>
      <c r="H44">
        <v>5</v>
      </c>
      <c r="I44">
        <v>4.8860000000000001E-2</v>
      </c>
      <c r="J44">
        <v>1.58</v>
      </c>
      <c r="K44">
        <v>7.6999999999999996E-4</v>
      </c>
      <c r="L44" t="s">
        <v>17</v>
      </c>
      <c r="M44">
        <v>296</v>
      </c>
      <c r="N44" t="s">
        <v>201</v>
      </c>
      <c r="O44" t="s">
        <v>1367</v>
      </c>
    </row>
    <row r="45" spans="1:15" x14ac:dyDescent="0.2">
      <c r="A45" t="s">
        <v>190</v>
      </c>
      <c r="B45" t="s">
        <v>407</v>
      </c>
      <c r="C45">
        <v>9</v>
      </c>
      <c r="D45">
        <v>6</v>
      </c>
      <c r="E45">
        <v>4</v>
      </c>
      <c r="F45">
        <v>8</v>
      </c>
      <c r="G45">
        <v>4</v>
      </c>
      <c r="H45">
        <v>5</v>
      </c>
      <c r="I45">
        <v>3.8649999999999997E-2</v>
      </c>
      <c r="J45">
        <v>1.97</v>
      </c>
      <c r="K45">
        <v>7.6000000000000004E-4</v>
      </c>
      <c r="L45" t="s">
        <v>17</v>
      </c>
      <c r="M45">
        <v>296</v>
      </c>
      <c r="N45" t="s">
        <v>201</v>
      </c>
      <c r="O45" t="s">
        <v>1367</v>
      </c>
    </row>
    <row r="46" spans="1:15" x14ac:dyDescent="0.2">
      <c r="A46" t="s">
        <v>190</v>
      </c>
      <c r="B46" t="s">
        <v>407</v>
      </c>
      <c r="C46">
        <v>9</v>
      </c>
      <c r="D46">
        <v>6</v>
      </c>
      <c r="E46">
        <v>3</v>
      </c>
      <c r="F46">
        <v>8</v>
      </c>
      <c r="G46">
        <v>4</v>
      </c>
      <c r="H46">
        <v>4</v>
      </c>
      <c r="I46">
        <v>4.36E-2</v>
      </c>
      <c r="J46">
        <v>1.58</v>
      </c>
      <c r="K46">
        <v>6.8999999999999997E-4</v>
      </c>
      <c r="L46" t="s">
        <v>17</v>
      </c>
      <c r="M46">
        <v>296</v>
      </c>
      <c r="N46" t="s">
        <v>201</v>
      </c>
      <c r="O46" t="s">
        <v>1367</v>
      </c>
    </row>
    <row r="47" spans="1:15" x14ac:dyDescent="0.2">
      <c r="A47" t="s">
        <v>190</v>
      </c>
      <c r="B47" t="s">
        <v>407</v>
      </c>
      <c r="C47">
        <v>9</v>
      </c>
      <c r="D47">
        <v>7</v>
      </c>
      <c r="E47">
        <v>2</v>
      </c>
      <c r="F47">
        <v>8</v>
      </c>
      <c r="G47">
        <v>5</v>
      </c>
      <c r="H47">
        <v>3</v>
      </c>
      <c r="I47">
        <v>3.2599999999999997E-2</v>
      </c>
      <c r="J47">
        <v>1.84</v>
      </c>
      <c r="K47">
        <v>5.9999999999999995E-4</v>
      </c>
      <c r="L47" t="s">
        <v>17</v>
      </c>
      <c r="M47">
        <v>296</v>
      </c>
      <c r="N47" t="s">
        <v>201</v>
      </c>
      <c r="O47" t="s">
        <v>1367</v>
      </c>
    </row>
    <row r="48" spans="1:15" x14ac:dyDescent="0.2">
      <c r="A48" t="s">
        <v>190</v>
      </c>
      <c r="B48" t="s">
        <v>407</v>
      </c>
      <c r="C48">
        <v>10</v>
      </c>
      <c r="D48">
        <v>2</v>
      </c>
      <c r="E48">
        <v>8</v>
      </c>
      <c r="F48">
        <v>9</v>
      </c>
      <c r="G48">
        <v>0</v>
      </c>
      <c r="H48">
        <v>9</v>
      </c>
      <c r="I48">
        <v>4.4749999999999998E-2</v>
      </c>
      <c r="J48">
        <v>1.39</v>
      </c>
      <c r="K48">
        <v>6.2E-4</v>
      </c>
      <c r="L48" t="s">
        <v>17</v>
      </c>
      <c r="M48">
        <v>296</v>
      </c>
      <c r="N48" t="s">
        <v>201</v>
      </c>
      <c r="O48" t="s">
        <v>1367</v>
      </c>
    </row>
    <row r="49" spans="1:15" x14ac:dyDescent="0.2">
      <c r="A49" t="s">
        <v>190</v>
      </c>
      <c r="B49" t="s">
        <v>407</v>
      </c>
      <c r="C49">
        <v>10</v>
      </c>
      <c r="D49">
        <v>3</v>
      </c>
      <c r="E49">
        <v>8</v>
      </c>
      <c r="F49">
        <v>9</v>
      </c>
      <c r="G49">
        <v>1</v>
      </c>
      <c r="H49">
        <v>9</v>
      </c>
      <c r="I49">
        <v>4.0890000000000003E-2</v>
      </c>
      <c r="J49">
        <v>1.59</v>
      </c>
      <c r="K49">
        <v>6.4999999999999997E-4</v>
      </c>
      <c r="L49" t="s">
        <v>17</v>
      </c>
      <c r="M49">
        <v>296</v>
      </c>
      <c r="N49" t="s">
        <v>201</v>
      </c>
      <c r="O49" t="s">
        <v>1367</v>
      </c>
    </row>
    <row r="50" spans="1:15" x14ac:dyDescent="0.2">
      <c r="A50" t="s">
        <v>190</v>
      </c>
      <c r="B50" t="s">
        <v>407</v>
      </c>
      <c r="C50">
        <v>10</v>
      </c>
      <c r="D50">
        <v>3</v>
      </c>
      <c r="E50">
        <v>7</v>
      </c>
      <c r="F50">
        <v>9</v>
      </c>
      <c r="G50">
        <v>1</v>
      </c>
      <c r="H50">
        <v>8</v>
      </c>
      <c r="I50">
        <v>5.0700000000000002E-2</v>
      </c>
      <c r="J50">
        <v>1.02</v>
      </c>
      <c r="K50">
        <v>5.1999999999999995E-4</v>
      </c>
      <c r="L50" t="s">
        <v>17</v>
      </c>
      <c r="M50">
        <v>296</v>
      </c>
      <c r="N50" t="s">
        <v>201</v>
      </c>
      <c r="O50" t="s">
        <v>1367</v>
      </c>
    </row>
    <row r="51" spans="1:15" x14ac:dyDescent="0.2">
      <c r="A51" t="s">
        <v>190</v>
      </c>
      <c r="B51" t="s">
        <v>407</v>
      </c>
      <c r="C51">
        <v>10</v>
      </c>
      <c r="D51">
        <v>4</v>
      </c>
      <c r="E51">
        <v>7</v>
      </c>
      <c r="F51">
        <v>9</v>
      </c>
      <c r="G51">
        <v>2</v>
      </c>
      <c r="H51">
        <v>8</v>
      </c>
      <c r="I51">
        <v>3.8769999999999999E-2</v>
      </c>
      <c r="J51">
        <v>1.6</v>
      </c>
      <c r="K51">
        <v>6.2E-4</v>
      </c>
      <c r="L51" t="s">
        <v>17</v>
      </c>
      <c r="M51">
        <v>296</v>
      </c>
      <c r="N51" t="s">
        <v>201</v>
      </c>
      <c r="O51" t="s">
        <v>1367</v>
      </c>
    </row>
    <row r="52" spans="1:15" x14ac:dyDescent="0.2">
      <c r="A52" t="s">
        <v>190</v>
      </c>
      <c r="B52" t="s">
        <v>407</v>
      </c>
      <c r="C52">
        <v>10</v>
      </c>
      <c r="D52">
        <v>4</v>
      </c>
      <c r="E52">
        <v>6</v>
      </c>
      <c r="F52">
        <v>9</v>
      </c>
      <c r="G52">
        <v>2</v>
      </c>
      <c r="H52">
        <v>7</v>
      </c>
      <c r="I52">
        <v>4.4159999999999998E-2</v>
      </c>
      <c r="J52">
        <v>1.49</v>
      </c>
      <c r="K52">
        <v>6.6E-4</v>
      </c>
      <c r="L52" t="s">
        <v>17</v>
      </c>
      <c r="M52">
        <v>296</v>
      </c>
      <c r="N52" t="s">
        <v>201</v>
      </c>
      <c r="O52" t="s">
        <v>1367</v>
      </c>
    </row>
    <row r="53" spans="1:15" x14ac:dyDescent="0.2">
      <c r="A53" t="s">
        <v>190</v>
      </c>
      <c r="B53" t="s">
        <v>407</v>
      </c>
      <c r="C53">
        <v>10</v>
      </c>
      <c r="D53">
        <v>5</v>
      </c>
      <c r="E53">
        <v>6</v>
      </c>
      <c r="F53">
        <v>9</v>
      </c>
      <c r="G53">
        <v>3</v>
      </c>
      <c r="H53">
        <v>7</v>
      </c>
      <c r="I53">
        <v>3.764E-2</v>
      </c>
      <c r="J53">
        <v>1.83</v>
      </c>
      <c r="K53">
        <v>6.8999999999999997E-4</v>
      </c>
      <c r="L53" t="s">
        <v>17</v>
      </c>
      <c r="M53">
        <v>296</v>
      </c>
      <c r="N53" t="s">
        <v>201</v>
      </c>
      <c r="O53" t="s">
        <v>1367</v>
      </c>
    </row>
    <row r="54" spans="1:15" x14ac:dyDescent="0.2">
      <c r="A54" t="s">
        <v>190</v>
      </c>
      <c r="B54" t="s">
        <v>407</v>
      </c>
      <c r="C54">
        <v>10</v>
      </c>
      <c r="D54">
        <v>5</v>
      </c>
      <c r="E54">
        <v>5</v>
      </c>
      <c r="F54">
        <v>9</v>
      </c>
      <c r="G54">
        <v>3</v>
      </c>
      <c r="H54">
        <v>6</v>
      </c>
      <c r="I54">
        <v>4.7669999999999997E-2</v>
      </c>
      <c r="J54">
        <v>1.28</v>
      </c>
      <c r="K54">
        <v>6.0999999999999997E-4</v>
      </c>
      <c r="L54" t="s">
        <v>17</v>
      </c>
      <c r="M54">
        <v>296</v>
      </c>
      <c r="N54" t="s">
        <v>201</v>
      </c>
      <c r="O54" t="s">
        <v>1367</v>
      </c>
    </row>
    <row r="55" spans="1:15" x14ac:dyDescent="0.2">
      <c r="A55" t="s">
        <v>190</v>
      </c>
      <c r="B55" t="s">
        <v>407</v>
      </c>
      <c r="C55">
        <v>10</v>
      </c>
      <c r="D55">
        <v>6</v>
      </c>
      <c r="E55">
        <v>5</v>
      </c>
      <c r="F55">
        <v>9</v>
      </c>
      <c r="G55">
        <v>4</v>
      </c>
      <c r="H55">
        <v>6</v>
      </c>
      <c r="I55">
        <v>3.8399999999999997E-2</v>
      </c>
      <c r="J55">
        <v>1.56</v>
      </c>
      <c r="K55">
        <v>5.9999999999999995E-4</v>
      </c>
      <c r="L55" t="s">
        <v>17</v>
      </c>
      <c r="M55">
        <v>296</v>
      </c>
      <c r="N55" t="s">
        <v>201</v>
      </c>
      <c r="O55" t="s">
        <v>1367</v>
      </c>
    </row>
    <row r="56" spans="1:15" x14ac:dyDescent="0.2">
      <c r="A56" t="s">
        <v>190</v>
      </c>
      <c r="B56" t="s">
        <v>407</v>
      </c>
      <c r="C56">
        <v>10</v>
      </c>
      <c r="D56">
        <v>6</v>
      </c>
      <c r="E56">
        <v>4</v>
      </c>
      <c r="F56">
        <v>9</v>
      </c>
      <c r="G56">
        <v>4</v>
      </c>
      <c r="H56">
        <v>5</v>
      </c>
      <c r="I56">
        <v>4.4150000000000002E-2</v>
      </c>
      <c r="J56">
        <v>1.38</v>
      </c>
      <c r="K56">
        <v>6.0999999999999997E-4</v>
      </c>
      <c r="L56" t="s">
        <v>17</v>
      </c>
      <c r="M56">
        <v>296</v>
      </c>
      <c r="N56" t="s">
        <v>201</v>
      </c>
      <c r="O56" t="s">
        <v>1367</v>
      </c>
    </row>
    <row r="57" spans="1:15" x14ac:dyDescent="0.2">
      <c r="A57" t="s">
        <v>190</v>
      </c>
      <c r="B57" t="s">
        <v>407</v>
      </c>
      <c r="C57">
        <v>10</v>
      </c>
      <c r="D57">
        <v>7</v>
      </c>
      <c r="E57">
        <v>3</v>
      </c>
      <c r="F57">
        <v>9</v>
      </c>
      <c r="G57">
        <v>5</v>
      </c>
      <c r="H57">
        <v>4</v>
      </c>
      <c r="I57">
        <v>3.8179999999999999E-2</v>
      </c>
      <c r="J57">
        <v>1.78</v>
      </c>
      <c r="K57">
        <v>6.8000000000000005E-4</v>
      </c>
      <c r="L57" t="s">
        <v>17</v>
      </c>
      <c r="M57">
        <v>296</v>
      </c>
      <c r="N57" t="s">
        <v>201</v>
      </c>
      <c r="O57" t="s">
        <v>1367</v>
      </c>
    </row>
    <row r="58" spans="1:15" x14ac:dyDescent="0.2">
      <c r="A58" t="s">
        <v>190</v>
      </c>
      <c r="B58" t="s">
        <v>407</v>
      </c>
      <c r="C58">
        <v>11</v>
      </c>
      <c r="D58">
        <v>2</v>
      </c>
      <c r="E58">
        <v>9</v>
      </c>
      <c r="F58">
        <v>10</v>
      </c>
      <c r="G58">
        <v>0</v>
      </c>
      <c r="H58">
        <v>10</v>
      </c>
      <c r="I58">
        <v>3.8719999999999997E-2</v>
      </c>
      <c r="J58">
        <v>1.57</v>
      </c>
      <c r="K58">
        <v>6.0999999999999997E-4</v>
      </c>
      <c r="L58" t="s">
        <v>17</v>
      </c>
      <c r="M58">
        <v>296</v>
      </c>
      <c r="N58" t="s">
        <v>201</v>
      </c>
      <c r="O58" t="s">
        <v>1367</v>
      </c>
    </row>
    <row r="59" spans="1:15" x14ac:dyDescent="0.2">
      <c r="A59" t="s">
        <v>190</v>
      </c>
      <c r="B59" t="s">
        <v>407</v>
      </c>
      <c r="C59">
        <v>11</v>
      </c>
      <c r="D59">
        <v>3</v>
      </c>
      <c r="E59">
        <v>9</v>
      </c>
      <c r="F59">
        <v>10</v>
      </c>
      <c r="G59">
        <v>1</v>
      </c>
      <c r="H59">
        <v>10</v>
      </c>
      <c r="I59">
        <v>3.5139999999999998E-2</v>
      </c>
      <c r="J59">
        <v>1.45</v>
      </c>
      <c r="K59">
        <v>5.1000000000000004E-4</v>
      </c>
      <c r="L59" t="s">
        <v>17</v>
      </c>
      <c r="M59">
        <v>296</v>
      </c>
      <c r="N59" t="s">
        <v>201</v>
      </c>
      <c r="O59" t="s">
        <v>1367</v>
      </c>
    </row>
    <row r="60" spans="1:15" x14ac:dyDescent="0.2">
      <c r="A60" t="s">
        <v>190</v>
      </c>
      <c r="B60" t="s">
        <v>407</v>
      </c>
      <c r="C60">
        <v>11</v>
      </c>
      <c r="D60">
        <v>3</v>
      </c>
      <c r="E60">
        <v>8</v>
      </c>
      <c r="F60">
        <v>10</v>
      </c>
      <c r="G60">
        <v>1</v>
      </c>
      <c r="H60">
        <v>9</v>
      </c>
      <c r="I60">
        <v>4.5420000000000002E-2</v>
      </c>
      <c r="J60">
        <v>1.34</v>
      </c>
      <c r="K60">
        <v>6.0999999999999997E-4</v>
      </c>
      <c r="L60" t="s">
        <v>17</v>
      </c>
      <c r="M60">
        <v>296</v>
      </c>
      <c r="N60" t="s">
        <v>201</v>
      </c>
      <c r="O60" t="s">
        <v>1367</v>
      </c>
    </row>
    <row r="61" spans="1:15" x14ac:dyDescent="0.2">
      <c r="A61" t="s">
        <v>190</v>
      </c>
      <c r="B61" t="s">
        <v>407</v>
      </c>
      <c r="C61">
        <v>11</v>
      </c>
      <c r="D61">
        <v>4</v>
      </c>
      <c r="E61">
        <v>8</v>
      </c>
      <c r="F61">
        <v>10</v>
      </c>
      <c r="G61">
        <v>2</v>
      </c>
      <c r="H61">
        <v>9</v>
      </c>
      <c r="I61">
        <v>3.5700000000000003E-2</v>
      </c>
      <c r="J61">
        <v>1.76</v>
      </c>
      <c r="K61">
        <v>6.3000000000000003E-4</v>
      </c>
      <c r="L61" t="s">
        <v>17</v>
      </c>
      <c r="M61">
        <v>296</v>
      </c>
      <c r="N61" t="s">
        <v>201</v>
      </c>
      <c r="O61" t="s">
        <v>1367</v>
      </c>
    </row>
    <row r="62" spans="1:15" x14ac:dyDescent="0.2">
      <c r="A62" t="s">
        <v>190</v>
      </c>
      <c r="B62" t="s">
        <v>407</v>
      </c>
      <c r="C62">
        <v>11</v>
      </c>
      <c r="D62">
        <v>4</v>
      </c>
      <c r="E62">
        <v>7</v>
      </c>
      <c r="F62">
        <v>10</v>
      </c>
      <c r="G62">
        <v>2</v>
      </c>
      <c r="H62">
        <v>8</v>
      </c>
      <c r="I62">
        <v>4.419E-2</v>
      </c>
      <c r="J62">
        <v>1.49</v>
      </c>
      <c r="K62">
        <v>6.6E-4</v>
      </c>
      <c r="L62" t="s">
        <v>17</v>
      </c>
      <c r="M62">
        <v>296</v>
      </c>
      <c r="N62" t="s">
        <v>201</v>
      </c>
      <c r="O62" t="s">
        <v>1367</v>
      </c>
    </row>
    <row r="63" spans="1:15" x14ac:dyDescent="0.2">
      <c r="A63" t="s">
        <v>190</v>
      </c>
      <c r="B63" t="s">
        <v>407</v>
      </c>
      <c r="C63">
        <v>11</v>
      </c>
      <c r="D63">
        <v>5</v>
      </c>
      <c r="E63">
        <v>6</v>
      </c>
      <c r="F63">
        <v>10</v>
      </c>
      <c r="G63">
        <v>3</v>
      </c>
      <c r="H63">
        <v>7</v>
      </c>
      <c r="I63">
        <v>4.5150000000000003E-2</v>
      </c>
      <c r="J63">
        <v>1.33</v>
      </c>
      <c r="K63">
        <v>5.9999999999999995E-4</v>
      </c>
      <c r="L63" t="s">
        <v>17</v>
      </c>
      <c r="M63">
        <v>296</v>
      </c>
      <c r="N63" t="s">
        <v>201</v>
      </c>
      <c r="O63" t="s">
        <v>1367</v>
      </c>
    </row>
    <row r="64" spans="1:15" x14ac:dyDescent="0.2">
      <c r="A64" t="s">
        <v>190</v>
      </c>
      <c r="B64" t="s">
        <v>407</v>
      </c>
      <c r="C64">
        <v>11</v>
      </c>
      <c r="D64">
        <v>6</v>
      </c>
      <c r="E64">
        <v>6</v>
      </c>
      <c r="F64">
        <v>10</v>
      </c>
      <c r="G64">
        <v>4</v>
      </c>
      <c r="H64">
        <v>7</v>
      </c>
      <c r="I64">
        <v>3.5970000000000002E-2</v>
      </c>
      <c r="J64">
        <v>1.75</v>
      </c>
      <c r="K64">
        <v>6.3000000000000003E-4</v>
      </c>
      <c r="L64" t="s">
        <v>17</v>
      </c>
      <c r="M64">
        <v>296</v>
      </c>
      <c r="N64" t="s">
        <v>201</v>
      </c>
      <c r="O64" t="s">
        <v>1367</v>
      </c>
    </row>
    <row r="65" spans="1:15" x14ac:dyDescent="0.2">
      <c r="A65" t="s">
        <v>190</v>
      </c>
      <c r="B65" t="s">
        <v>407</v>
      </c>
      <c r="C65">
        <v>11</v>
      </c>
      <c r="D65">
        <v>6</v>
      </c>
      <c r="E65">
        <v>5</v>
      </c>
      <c r="F65">
        <v>10</v>
      </c>
      <c r="G65">
        <v>4</v>
      </c>
      <c r="H65">
        <v>6</v>
      </c>
      <c r="I65">
        <v>4.6449999999999998E-2</v>
      </c>
      <c r="J65">
        <v>1.36</v>
      </c>
      <c r="K65">
        <v>6.3000000000000003E-4</v>
      </c>
      <c r="L65" t="s">
        <v>17</v>
      </c>
      <c r="M65">
        <v>296</v>
      </c>
      <c r="N65" t="s">
        <v>201</v>
      </c>
      <c r="O65" t="s">
        <v>1367</v>
      </c>
    </row>
    <row r="66" spans="1:15" x14ac:dyDescent="0.2">
      <c r="A66" t="s">
        <v>190</v>
      </c>
      <c r="B66" t="s">
        <v>407</v>
      </c>
      <c r="C66">
        <v>11</v>
      </c>
      <c r="D66">
        <v>7</v>
      </c>
      <c r="E66">
        <v>5</v>
      </c>
      <c r="F66">
        <v>10</v>
      </c>
      <c r="G66">
        <v>5</v>
      </c>
      <c r="H66">
        <v>6</v>
      </c>
      <c r="I66">
        <v>3.6600000000000001E-2</v>
      </c>
      <c r="J66">
        <v>1.69</v>
      </c>
      <c r="K66">
        <v>6.2E-4</v>
      </c>
      <c r="L66" t="s">
        <v>17</v>
      </c>
      <c r="M66">
        <v>296</v>
      </c>
      <c r="N66" t="s">
        <v>201</v>
      </c>
      <c r="O66" t="s">
        <v>1367</v>
      </c>
    </row>
    <row r="67" spans="1:15" x14ac:dyDescent="0.2">
      <c r="A67" t="s">
        <v>190</v>
      </c>
      <c r="B67" t="s">
        <v>407</v>
      </c>
      <c r="C67">
        <v>12</v>
      </c>
      <c r="D67">
        <v>2</v>
      </c>
      <c r="E67">
        <v>10</v>
      </c>
      <c r="F67">
        <v>11</v>
      </c>
      <c r="G67">
        <v>0</v>
      </c>
      <c r="H67">
        <v>11</v>
      </c>
      <c r="I67">
        <v>3.3079999999999998E-2</v>
      </c>
      <c r="J67">
        <v>1.84</v>
      </c>
      <c r="K67">
        <v>6.0999999999999997E-4</v>
      </c>
      <c r="L67" t="s">
        <v>17</v>
      </c>
      <c r="M67">
        <v>296</v>
      </c>
      <c r="N67" t="s">
        <v>201</v>
      </c>
      <c r="O67" t="s">
        <v>1367</v>
      </c>
    </row>
    <row r="68" spans="1:15" x14ac:dyDescent="0.2">
      <c r="A68" t="s">
        <v>190</v>
      </c>
      <c r="B68" t="s">
        <v>407</v>
      </c>
      <c r="C68">
        <v>12</v>
      </c>
      <c r="D68">
        <v>3</v>
      </c>
      <c r="E68">
        <v>10</v>
      </c>
      <c r="F68">
        <v>11</v>
      </c>
      <c r="G68">
        <v>1</v>
      </c>
      <c r="H68">
        <v>11</v>
      </c>
      <c r="I68">
        <v>3.039E-2</v>
      </c>
      <c r="J68">
        <v>1.97</v>
      </c>
      <c r="K68">
        <v>5.9999999999999995E-4</v>
      </c>
      <c r="L68" t="s">
        <v>17</v>
      </c>
      <c r="M68">
        <v>296</v>
      </c>
      <c r="N68" t="s">
        <v>201</v>
      </c>
      <c r="O68" t="s">
        <v>1367</v>
      </c>
    </row>
    <row r="69" spans="1:15" x14ac:dyDescent="0.2">
      <c r="A69" t="s">
        <v>190</v>
      </c>
      <c r="B69" t="s">
        <v>407</v>
      </c>
      <c r="C69">
        <v>12</v>
      </c>
      <c r="D69">
        <v>3</v>
      </c>
      <c r="E69">
        <v>9</v>
      </c>
      <c r="F69">
        <v>11</v>
      </c>
      <c r="G69">
        <v>1</v>
      </c>
      <c r="H69">
        <v>10</v>
      </c>
      <c r="I69">
        <v>4.1349999999999998E-2</v>
      </c>
      <c r="J69">
        <v>1.48</v>
      </c>
      <c r="K69">
        <v>6.0999999999999997E-4</v>
      </c>
      <c r="L69" t="s">
        <v>17</v>
      </c>
      <c r="M69">
        <v>296</v>
      </c>
      <c r="N69" t="s">
        <v>201</v>
      </c>
      <c r="O69" t="s">
        <v>1367</v>
      </c>
    </row>
    <row r="70" spans="1:15" x14ac:dyDescent="0.2">
      <c r="A70" t="s">
        <v>190</v>
      </c>
      <c r="B70" t="s">
        <v>407</v>
      </c>
      <c r="C70">
        <v>12</v>
      </c>
      <c r="D70">
        <v>4</v>
      </c>
      <c r="E70">
        <v>9</v>
      </c>
      <c r="F70">
        <v>11</v>
      </c>
      <c r="G70">
        <v>2</v>
      </c>
      <c r="H70">
        <v>10</v>
      </c>
      <c r="I70">
        <v>3.2399999999999998E-2</v>
      </c>
      <c r="J70">
        <v>1.85</v>
      </c>
      <c r="K70">
        <v>5.9999999999999995E-4</v>
      </c>
      <c r="L70" t="s">
        <v>17</v>
      </c>
      <c r="M70">
        <v>296</v>
      </c>
      <c r="N70" t="s">
        <v>201</v>
      </c>
      <c r="O70" t="s">
        <v>1367</v>
      </c>
    </row>
    <row r="71" spans="1:15" x14ac:dyDescent="0.2">
      <c r="A71" t="s">
        <v>190</v>
      </c>
      <c r="B71" t="s">
        <v>407</v>
      </c>
      <c r="C71">
        <v>12</v>
      </c>
      <c r="D71">
        <v>4</v>
      </c>
      <c r="E71">
        <v>8</v>
      </c>
      <c r="F71">
        <v>11</v>
      </c>
      <c r="G71">
        <v>2</v>
      </c>
      <c r="H71">
        <v>9</v>
      </c>
      <c r="I71">
        <v>4.6559999999999997E-2</v>
      </c>
      <c r="J71">
        <v>1.22</v>
      </c>
      <c r="K71">
        <v>5.6999999999999998E-4</v>
      </c>
      <c r="L71" t="s">
        <v>17</v>
      </c>
      <c r="M71">
        <v>296</v>
      </c>
      <c r="N71" t="s">
        <v>201</v>
      </c>
      <c r="O71" t="s">
        <v>1367</v>
      </c>
    </row>
    <row r="72" spans="1:15" x14ac:dyDescent="0.2">
      <c r="A72" t="s">
        <v>190</v>
      </c>
      <c r="B72" t="s">
        <v>407</v>
      </c>
      <c r="C72">
        <v>12</v>
      </c>
      <c r="D72">
        <v>5</v>
      </c>
      <c r="E72">
        <v>8</v>
      </c>
      <c r="F72">
        <v>11</v>
      </c>
      <c r="G72">
        <v>3</v>
      </c>
      <c r="H72">
        <v>9</v>
      </c>
      <c r="I72">
        <v>3.4500000000000003E-2</v>
      </c>
      <c r="J72">
        <v>1.77</v>
      </c>
      <c r="K72">
        <v>6.0999999999999997E-4</v>
      </c>
      <c r="L72" t="s">
        <v>17</v>
      </c>
      <c r="M72">
        <v>296</v>
      </c>
      <c r="N72" t="s">
        <v>201</v>
      </c>
      <c r="O72" t="s">
        <v>1367</v>
      </c>
    </row>
    <row r="73" spans="1:15" x14ac:dyDescent="0.2">
      <c r="A73" t="s">
        <v>190</v>
      </c>
      <c r="B73" t="s">
        <v>407</v>
      </c>
      <c r="C73">
        <v>12</v>
      </c>
      <c r="D73">
        <v>5</v>
      </c>
      <c r="E73">
        <v>7</v>
      </c>
      <c r="F73">
        <v>11</v>
      </c>
      <c r="G73">
        <v>3</v>
      </c>
      <c r="H73">
        <v>8</v>
      </c>
      <c r="I73">
        <v>4.2259999999999999E-2</v>
      </c>
      <c r="J73">
        <v>1.47</v>
      </c>
      <c r="K73">
        <v>6.2E-4</v>
      </c>
      <c r="L73" t="s">
        <v>17</v>
      </c>
      <c r="M73">
        <v>296</v>
      </c>
      <c r="N73" t="s">
        <v>201</v>
      </c>
      <c r="O73" t="s">
        <v>1367</v>
      </c>
    </row>
    <row r="74" spans="1:15" x14ac:dyDescent="0.2">
      <c r="A74" t="s">
        <v>190</v>
      </c>
      <c r="B74" t="s">
        <v>407</v>
      </c>
      <c r="C74">
        <v>12</v>
      </c>
      <c r="D74">
        <v>4</v>
      </c>
      <c r="E74">
        <v>8</v>
      </c>
      <c r="F74">
        <v>11</v>
      </c>
      <c r="G74">
        <v>4</v>
      </c>
      <c r="H74">
        <v>7</v>
      </c>
      <c r="I74">
        <v>4.6399999999999997E-2</v>
      </c>
      <c r="J74">
        <v>1.29</v>
      </c>
      <c r="K74">
        <v>5.9999999999999995E-4</v>
      </c>
      <c r="L74" t="s">
        <v>17</v>
      </c>
      <c r="M74">
        <v>296</v>
      </c>
      <c r="N74" t="s">
        <v>201</v>
      </c>
      <c r="O74" t="s">
        <v>1367</v>
      </c>
    </row>
    <row r="75" spans="1:15" x14ac:dyDescent="0.2">
      <c r="A75" t="s">
        <v>190</v>
      </c>
      <c r="B75" t="s">
        <v>407</v>
      </c>
      <c r="C75">
        <v>12</v>
      </c>
      <c r="D75">
        <v>6</v>
      </c>
      <c r="E75">
        <v>6</v>
      </c>
      <c r="F75">
        <v>11</v>
      </c>
      <c r="G75">
        <v>4</v>
      </c>
      <c r="H75">
        <v>7</v>
      </c>
      <c r="I75">
        <v>4.4639999999999999E-2</v>
      </c>
      <c r="J75">
        <v>1.1399999999999999</v>
      </c>
      <c r="K75">
        <v>5.1000000000000004E-4</v>
      </c>
      <c r="L75" t="s">
        <v>17</v>
      </c>
      <c r="M75">
        <v>296</v>
      </c>
      <c r="N75" t="s">
        <v>201</v>
      </c>
      <c r="O75" t="s">
        <v>1367</v>
      </c>
    </row>
    <row r="76" spans="1:15" x14ac:dyDescent="0.2">
      <c r="A76" t="s">
        <v>190</v>
      </c>
      <c r="B76" t="s">
        <v>407</v>
      </c>
      <c r="C76">
        <v>13</v>
      </c>
      <c r="D76">
        <v>3</v>
      </c>
      <c r="E76">
        <v>11</v>
      </c>
      <c r="F76">
        <v>12</v>
      </c>
      <c r="G76">
        <v>1</v>
      </c>
      <c r="H76">
        <v>12</v>
      </c>
      <c r="I76">
        <v>2.8240000000000001E-2</v>
      </c>
      <c r="J76">
        <v>1.81</v>
      </c>
      <c r="K76">
        <v>5.1000000000000004E-4</v>
      </c>
      <c r="L76" t="s">
        <v>17</v>
      </c>
      <c r="M76">
        <v>296</v>
      </c>
      <c r="N76" t="s">
        <v>201</v>
      </c>
      <c r="O76" t="s">
        <v>1367</v>
      </c>
    </row>
    <row r="77" spans="1:15" x14ac:dyDescent="0.2">
      <c r="A77" t="s">
        <v>190</v>
      </c>
      <c r="B77" t="s">
        <v>407</v>
      </c>
      <c r="C77">
        <v>13</v>
      </c>
      <c r="D77">
        <v>4</v>
      </c>
      <c r="E77">
        <v>10</v>
      </c>
      <c r="F77">
        <v>12</v>
      </c>
      <c r="G77">
        <v>2</v>
      </c>
      <c r="H77">
        <v>11</v>
      </c>
      <c r="I77">
        <v>3.5180000000000003E-2</v>
      </c>
      <c r="J77">
        <v>1.59</v>
      </c>
      <c r="K77">
        <v>5.5999999999999995E-4</v>
      </c>
      <c r="L77" t="s">
        <v>17</v>
      </c>
      <c r="M77">
        <v>296</v>
      </c>
      <c r="N77" t="s">
        <v>201</v>
      </c>
      <c r="O77" t="s">
        <v>1367</v>
      </c>
    </row>
    <row r="78" spans="1:15" x14ac:dyDescent="0.2">
      <c r="A78" t="s">
        <v>190</v>
      </c>
      <c r="B78" t="s">
        <v>407</v>
      </c>
      <c r="C78">
        <v>13</v>
      </c>
      <c r="D78">
        <v>5</v>
      </c>
      <c r="E78">
        <v>9</v>
      </c>
      <c r="F78">
        <v>12</v>
      </c>
      <c r="G78">
        <v>3</v>
      </c>
      <c r="H78">
        <v>10</v>
      </c>
      <c r="I78">
        <v>3.141E-2</v>
      </c>
      <c r="J78">
        <v>1.91</v>
      </c>
      <c r="K78">
        <v>5.9999999999999995E-4</v>
      </c>
      <c r="L78" t="s">
        <v>17</v>
      </c>
      <c r="M78">
        <v>296</v>
      </c>
      <c r="N78" t="s">
        <v>201</v>
      </c>
      <c r="O78" t="s">
        <v>1367</v>
      </c>
    </row>
    <row r="79" spans="1:15" x14ac:dyDescent="0.2">
      <c r="A79" t="s">
        <v>190</v>
      </c>
      <c r="B79" t="s">
        <v>407</v>
      </c>
      <c r="C79">
        <v>13</v>
      </c>
      <c r="D79">
        <v>4</v>
      </c>
      <c r="E79">
        <v>9</v>
      </c>
      <c r="F79">
        <v>12</v>
      </c>
      <c r="G79">
        <v>4</v>
      </c>
      <c r="H79">
        <v>8</v>
      </c>
      <c r="I79">
        <v>4.5010000000000001E-2</v>
      </c>
      <c r="J79">
        <v>1.36</v>
      </c>
      <c r="K79">
        <v>6.0999999999999997E-4</v>
      </c>
      <c r="L79" t="s">
        <v>17</v>
      </c>
      <c r="M79">
        <v>296</v>
      </c>
      <c r="N79" t="s">
        <v>201</v>
      </c>
      <c r="O79" t="s">
        <v>1367</v>
      </c>
    </row>
    <row r="80" spans="1:15" x14ac:dyDescent="0.2">
      <c r="A80" t="s">
        <v>190</v>
      </c>
      <c r="B80" t="s">
        <v>407</v>
      </c>
      <c r="C80">
        <v>14</v>
      </c>
      <c r="D80">
        <v>3</v>
      </c>
      <c r="E80">
        <v>11</v>
      </c>
      <c r="F80">
        <v>13</v>
      </c>
      <c r="G80">
        <v>3</v>
      </c>
      <c r="H80">
        <v>10</v>
      </c>
      <c r="I80">
        <v>0.03</v>
      </c>
      <c r="J80">
        <v>2</v>
      </c>
      <c r="K80">
        <v>5.9999999999999995E-4</v>
      </c>
      <c r="L80" t="s">
        <v>17</v>
      </c>
      <c r="M80">
        <v>296</v>
      </c>
      <c r="N80" t="s">
        <v>201</v>
      </c>
      <c r="O80" t="s">
        <v>1367</v>
      </c>
    </row>
    <row r="81" spans="1:15" x14ac:dyDescent="0.2">
      <c r="A81" t="s">
        <v>190</v>
      </c>
      <c r="B81" t="s">
        <v>407</v>
      </c>
      <c r="C81">
        <v>2</v>
      </c>
      <c r="D81">
        <v>1</v>
      </c>
      <c r="E81">
        <v>2</v>
      </c>
      <c r="F81">
        <v>1</v>
      </c>
      <c r="G81">
        <v>0</v>
      </c>
      <c r="H81">
        <v>1</v>
      </c>
      <c r="I81">
        <v>6.7360000000000003E-2</v>
      </c>
      <c r="J81">
        <v>0.92</v>
      </c>
      <c r="K81">
        <v>6.2E-4</v>
      </c>
      <c r="L81" t="s">
        <v>17</v>
      </c>
      <c r="M81">
        <v>296</v>
      </c>
      <c r="N81" t="s">
        <v>201</v>
      </c>
      <c r="O81" t="s">
        <v>1368</v>
      </c>
    </row>
    <row r="82" spans="1:15" x14ac:dyDescent="0.2">
      <c r="A82" t="s">
        <v>190</v>
      </c>
      <c r="B82" t="s">
        <v>407</v>
      </c>
      <c r="C82">
        <v>2</v>
      </c>
      <c r="D82">
        <v>2</v>
      </c>
      <c r="E82">
        <v>0</v>
      </c>
      <c r="F82">
        <v>1</v>
      </c>
      <c r="G82">
        <v>1</v>
      </c>
      <c r="H82">
        <v>1</v>
      </c>
      <c r="I82">
        <v>7.0440000000000003E-2</v>
      </c>
      <c r="J82">
        <v>0.92</v>
      </c>
      <c r="K82">
        <v>6.4999999999999997E-4</v>
      </c>
      <c r="L82" t="s">
        <v>17</v>
      </c>
      <c r="M82">
        <v>296</v>
      </c>
      <c r="N82" t="s">
        <v>201</v>
      </c>
      <c r="O82" t="s">
        <v>1367</v>
      </c>
    </row>
    <row r="83" spans="1:15" x14ac:dyDescent="0.2">
      <c r="A83" t="s">
        <v>190</v>
      </c>
      <c r="B83" t="s">
        <v>407</v>
      </c>
      <c r="C83">
        <v>2</v>
      </c>
      <c r="D83">
        <v>1</v>
      </c>
      <c r="E83">
        <v>1</v>
      </c>
      <c r="F83">
        <v>2</v>
      </c>
      <c r="G83">
        <v>0</v>
      </c>
      <c r="H83">
        <v>2</v>
      </c>
      <c r="I83">
        <v>6.8309999999999996E-2</v>
      </c>
      <c r="J83">
        <v>1.04</v>
      </c>
      <c r="K83">
        <v>7.1000000000000002E-4</v>
      </c>
      <c r="L83" t="s">
        <v>17</v>
      </c>
      <c r="M83">
        <v>296</v>
      </c>
      <c r="N83" t="s">
        <v>201</v>
      </c>
      <c r="O83" t="s">
        <v>1367</v>
      </c>
    </row>
    <row r="84" spans="1:15" x14ac:dyDescent="0.2">
      <c r="A84" t="s">
        <v>190</v>
      </c>
      <c r="B84" t="s">
        <v>407</v>
      </c>
      <c r="C84">
        <v>3</v>
      </c>
      <c r="D84">
        <v>0</v>
      </c>
      <c r="E84">
        <v>3</v>
      </c>
      <c r="F84">
        <v>2</v>
      </c>
      <c r="G84">
        <v>1</v>
      </c>
      <c r="H84">
        <v>2</v>
      </c>
      <c r="I84">
        <v>7.1999999999999995E-2</v>
      </c>
      <c r="J84">
        <v>1.01</v>
      </c>
      <c r="K84">
        <v>7.2999999999999996E-4</v>
      </c>
      <c r="L84" t="s">
        <v>17</v>
      </c>
      <c r="M84">
        <v>296</v>
      </c>
      <c r="N84" t="s">
        <v>201</v>
      </c>
      <c r="O84" t="s">
        <v>1367</v>
      </c>
    </row>
    <row r="85" spans="1:15" x14ac:dyDescent="0.2">
      <c r="A85" t="s">
        <v>190</v>
      </c>
      <c r="B85" t="s">
        <v>407</v>
      </c>
      <c r="C85">
        <v>3</v>
      </c>
      <c r="D85">
        <v>2</v>
      </c>
      <c r="E85">
        <v>1</v>
      </c>
      <c r="F85">
        <v>2</v>
      </c>
      <c r="G85">
        <v>1</v>
      </c>
      <c r="H85">
        <v>2</v>
      </c>
      <c r="I85">
        <v>7.1970000000000006E-2</v>
      </c>
      <c r="J85">
        <v>0.9</v>
      </c>
      <c r="K85">
        <v>6.4999999999999997E-4</v>
      </c>
      <c r="L85" t="s">
        <v>17</v>
      </c>
      <c r="M85">
        <v>296</v>
      </c>
      <c r="N85" t="s">
        <v>201</v>
      </c>
      <c r="O85" t="s">
        <v>1367</v>
      </c>
    </row>
    <row r="86" spans="1:15" x14ac:dyDescent="0.2">
      <c r="A86" t="s">
        <v>190</v>
      </c>
      <c r="B86" t="s">
        <v>407</v>
      </c>
      <c r="C86">
        <v>3</v>
      </c>
      <c r="D86">
        <v>2</v>
      </c>
      <c r="E86">
        <v>2</v>
      </c>
      <c r="F86">
        <v>2</v>
      </c>
      <c r="G86">
        <v>1</v>
      </c>
      <c r="H86">
        <v>1</v>
      </c>
      <c r="I86">
        <v>6.8430000000000005E-2</v>
      </c>
      <c r="J86">
        <v>1.1000000000000001</v>
      </c>
      <c r="K86">
        <v>7.5000000000000002E-4</v>
      </c>
      <c r="L86" t="s">
        <v>17</v>
      </c>
      <c r="M86">
        <v>296</v>
      </c>
      <c r="N86" t="s">
        <v>201</v>
      </c>
      <c r="O86" t="s">
        <v>1367</v>
      </c>
    </row>
    <row r="87" spans="1:15" x14ac:dyDescent="0.2">
      <c r="A87" t="s">
        <v>190</v>
      </c>
      <c r="B87" t="s">
        <v>407</v>
      </c>
      <c r="C87">
        <v>3</v>
      </c>
      <c r="D87">
        <v>3</v>
      </c>
      <c r="E87">
        <v>0</v>
      </c>
      <c r="F87">
        <v>2</v>
      </c>
      <c r="G87">
        <v>2</v>
      </c>
      <c r="H87">
        <v>1</v>
      </c>
      <c r="I87">
        <v>6.3140000000000002E-2</v>
      </c>
      <c r="J87">
        <v>0.95</v>
      </c>
      <c r="K87">
        <v>5.9999999999999995E-4</v>
      </c>
      <c r="L87" t="s">
        <v>17</v>
      </c>
      <c r="M87">
        <v>296</v>
      </c>
      <c r="N87" t="s">
        <v>201</v>
      </c>
      <c r="O87" t="s">
        <v>1367</v>
      </c>
    </row>
    <row r="88" spans="1:15" x14ac:dyDescent="0.2">
      <c r="A88" t="s">
        <v>190</v>
      </c>
      <c r="B88" t="s">
        <v>407</v>
      </c>
      <c r="C88">
        <v>3</v>
      </c>
      <c r="D88">
        <v>1</v>
      </c>
      <c r="E88">
        <v>2</v>
      </c>
      <c r="F88">
        <v>3</v>
      </c>
      <c r="G88">
        <v>0</v>
      </c>
      <c r="H88">
        <v>3</v>
      </c>
      <c r="I88">
        <v>7.1429999999999993E-2</v>
      </c>
      <c r="J88">
        <v>0.85</v>
      </c>
      <c r="K88">
        <v>6.0999999999999997E-4</v>
      </c>
      <c r="L88" t="s">
        <v>17</v>
      </c>
      <c r="M88">
        <v>296</v>
      </c>
      <c r="N88" t="s">
        <v>201</v>
      </c>
      <c r="O88" t="s">
        <v>1367</v>
      </c>
    </row>
    <row r="89" spans="1:15" x14ac:dyDescent="0.2">
      <c r="A89" t="s">
        <v>190</v>
      </c>
      <c r="B89" t="s">
        <v>407</v>
      </c>
      <c r="C89">
        <v>3</v>
      </c>
      <c r="D89">
        <v>2</v>
      </c>
      <c r="E89">
        <v>1</v>
      </c>
      <c r="F89">
        <v>3</v>
      </c>
      <c r="G89">
        <v>1</v>
      </c>
      <c r="H89">
        <v>2</v>
      </c>
      <c r="I89">
        <v>6.4729999999999996E-2</v>
      </c>
      <c r="J89">
        <v>0.93</v>
      </c>
      <c r="K89">
        <v>5.9999999999999995E-4</v>
      </c>
      <c r="L89" t="s">
        <v>17</v>
      </c>
      <c r="M89">
        <v>296</v>
      </c>
      <c r="N89" t="s">
        <v>201</v>
      </c>
      <c r="O89" t="s">
        <v>1367</v>
      </c>
    </row>
    <row r="90" spans="1:15" x14ac:dyDescent="0.2">
      <c r="A90" t="s">
        <v>190</v>
      </c>
      <c r="B90" t="s">
        <v>407</v>
      </c>
      <c r="C90">
        <v>4</v>
      </c>
      <c r="D90">
        <v>2</v>
      </c>
      <c r="E90">
        <v>3</v>
      </c>
      <c r="F90">
        <v>3</v>
      </c>
      <c r="G90">
        <v>1</v>
      </c>
      <c r="H90">
        <v>2</v>
      </c>
      <c r="I90">
        <v>6.6559999999999994E-2</v>
      </c>
      <c r="J90">
        <v>1.01</v>
      </c>
      <c r="K90">
        <v>6.7000000000000002E-4</v>
      </c>
      <c r="L90" t="s">
        <v>17</v>
      </c>
      <c r="M90">
        <v>296</v>
      </c>
      <c r="N90" t="s">
        <v>201</v>
      </c>
      <c r="O90" t="s">
        <v>1367</v>
      </c>
    </row>
    <row r="91" spans="1:15" x14ac:dyDescent="0.2">
      <c r="A91" t="s">
        <v>190</v>
      </c>
      <c r="B91" t="s">
        <v>407</v>
      </c>
      <c r="C91">
        <v>4</v>
      </c>
      <c r="D91">
        <v>3</v>
      </c>
      <c r="E91">
        <v>1</v>
      </c>
      <c r="F91">
        <v>3</v>
      </c>
      <c r="G91">
        <v>2</v>
      </c>
      <c r="H91">
        <v>2</v>
      </c>
      <c r="I91">
        <v>6.6610000000000003E-2</v>
      </c>
      <c r="J91">
        <v>1.03</v>
      </c>
      <c r="K91">
        <v>6.8999999999999997E-4</v>
      </c>
      <c r="L91" t="s">
        <v>17</v>
      </c>
      <c r="M91">
        <v>296</v>
      </c>
      <c r="N91" t="s">
        <v>201</v>
      </c>
      <c r="O91" t="s">
        <v>1367</v>
      </c>
    </row>
    <row r="92" spans="1:15" x14ac:dyDescent="0.2">
      <c r="A92" t="s">
        <v>190</v>
      </c>
      <c r="B92" t="s">
        <v>407</v>
      </c>
      <c r="C92">
        <v>3</v>
      </c>
      <c r="D92">
        <v>3</v>
      </c>
      <c r="E92">
        <v>0</v>
      </c>
      <c r="F92">
        <v>3</v>
      </c>
      <c r="G92">
        <v>2</v>
      </c>
      <c r="H92">
        <v>1</v>
      </c>
      <c r="I92">
        <v>6.1650000000000003E-2</v>
      </c>
      <c r="J92">
        <v>1.06</v>
      </c>
      <c r="K92">
        <v>6.4999999999999997E-4</v>
      </c>
      <c r="L92" t="s">
        <v>17</v>
      </c>
      <c r="M92">
        <v>296</v>
      </c>
      <c r="N92" t="s">
        <v>201</v>
      </c>
      <c r="O92" t="s">
        <v>1367</v>
      </c>
    </row>
    <row r="93" spans="1:15" x14ac:dyDescent="0.2">
      <c r="A93" t="s">
        <v>190</v>
      </c>
      <c r="B93" t="s">
        <v>407</v>
      </c>
      <c r="C93">
        <v>4</v>
      </c>
      <c r="D93">
        <v>3</v>
      </c>
      <c r="E93">
        <v>2</v>
      </c>
      <c r="F93">
        <v>3</v>
      </c>
      <c r="G93">
        <v>2</v>
      </c>
      <c r="H93">
        <v>1</v>
      </c>
      <c r="I93">
        <v>6.2579999999999997E-2</v>
      </c>
      <c r="J93">
        <v>1.1000000000000001</v>
      </c>
      <c r="K93">
        <v>6.8999999999999997E-4</v>
      </c>
      <c r="L93" t="s">
        <v>17</v>
      </c>
      <c r="M93">
        <v>296</v>
      </c>
      <c r="N93" t="s">
        <v>201</v>
      </c>
      <c r="O93" t="s">
        <v>1367</v>
      </c>
    </row>
    <row r="94" spans="1:15" x14ac:dyDescent="0.2">
      <c r="A94" t="s">
        <v>190</v>
      </c>
      <c r="B94" t="s">
        <v>407</v>
      </c>
      <c r="C94">
        <v>4</v>
      </c>
      <c r="D94">
        <v>4</v>
      </c>
      <c r="E94">
        <v>0</v>
      </c>
      <c r="F94">
        <v>3</v>
      </c>
      <c r="G94">
        <v>3</v>
      </c>
      <c r="H94">
        <v>1</v>
      </c>
      <c r="I94">
        <v>5.7849999999999999E-2</v>
      </c>
      <c r="J94">
        <v>1.23</v>
      </c>
      <c r="K94">
        <v>7.1000000000000002E-4</v>
      </c>
      <c r="L94" t="s">
        <v>17</v>
      </c>
      <c r="M94">
        <v>296</v>
      </c>
      <c r="N94" t="s">
        <v>201</v>
      </c>
      <c r="O94" t="s">
        <v>1367</v>
      </c>
    </row>
    <row r="95" spans="1:15" x14ac:dyDescent="0.2">
      <c r="A95" t="s">
        <v>190</v>
      </c>
      <c r="B95" t="s">
        <v>407</v>
      </c>
      <c r="C95">
        <v>4</v>
      </c>
      <c r="D95">
        <v>4</v>
      </c>
      <c r="E95">
        <v>1</v>
      </c>
      <c r="F95">
        <v>3</v>
      </c>
      <c r="G95">
        <v>3</v>
      </c>
      <c r="H95">
        <v>0</v>
      </c>
      <c r="I95">
        <v>5.8749999999999997E-2</v>
      </c>
      <c r="J95">
        <v>1.17</v>
      </c>
      <c r="K95">
        <v>6.8999999999999997E-4</v>
      </c>
      <c r="L95" t="s">
        <v>17</v>
      </c>
      <c r="M95">
        <v>296</v>
      </c>
      <c r="N95" t="s">
        <v>201</v>
      </c>
      <c r="O95" t="s">
        <v>1367</v>
      </c>
    </row>
    <row r="96" spans="1:15" x14ac:dyDescent="0.2">
      <c r="A96" t="s">
        <v>190</v>
      </c>
      <c r="B96" t="s">
        <v>407</v>
      </c>
      <c r="C96">
        <v>4</v>
      </c>
      <c r="D96">
        <v>2</v>
      </c>
      <c r="E96">
        <v>3</v>
      </c>
      <c r="F96">
        <v>4</v>
      </c>
      <c r="G96">
        <v>1</v>
      </c>
      <c r="H96">
        <v>4</v>
      </c>
      <c r="I96">
        <v>7.1160000000000001E-2</v>
      </c>
      <c r="J96">
        <v>0.97</v>
      </c>
      <c r="K96">
        <v>6.8999999999999997E-4</v>
      </c>
      <c r="L96" t="s">
        <v>17</v>
      </c>
      <c r="M96">
        <v>296</v>
      </c>
      <c r="N96" t="s">
        <v>201</v>
      </c>
      <c r="O96" t="s">
        <v>1367</v>
      </c>
    </row>
    <row r="97" spans="1:15" x14ac:dyDescent="0.2">
      <c r="A97" t="s">
        <v>190</v>
      </c>
      <c r="B97" t="s">
        <v>407</v>
      </c>
      <c r="C97">
        <v>4</v>
      </c>
      <c r="D97">
        <v>2</v>
      </c>
      <c r="E97">
        <v>2</v>
      </c>
      <c r="F97">
        <v>4</v>
      </c>
      <c r="G97">
        <v>1</v>
      </c>
      <c r="H97">
        <v>3</v>
      </c>
      <c r="I97">
        <v>6.3750000000000001E-2</v>
      </c>
      <c r="J97">
        <v>1.1299999999999999</v>
      </c>
      <c r="K97">
        <v>7.2000000000000005E-4</v>
      </c>
      <c r="L97" t="s">
        <v>17</v>
      </c>
      <c r="M97">
        <v>296</v>
      </c>
      <c r="N97" t="s">
        <v>201</v>
      </c>
      <c r="O97" t="s">
        <v>1367</v>
      </c>
    </row>
    <row r="98" spans="1:15" x14ac:dyDescent="0.2">
      <c r="A98" t="s">
        <v>190</v>
      </c>
      <c r="B98" t="s">
        <v>407</v>
      </c>
      <c r="C98">
        <v>5</v>
      </c>
      <c r="D98">
        <v>3</v>
      </c>
      <c r="E98">
        <v>2</v>
      </c>
      <c r="F98">
        <v>4</v>
      </c>
      <c r="G98">
        <v>2</v>
      </c>
      <c r="H98">
        <v>3</v>
      </c>
      <c r="I98">
        <v>6.7330000000000001E-2</v>
      </c>
      <c r="J98">
        <v>0.95</v>
      </c>
      <c r="K98">
        <v>6.4000000000000005E-4</v>
      </c>
      <c r="L98" t="s">
        <v>17</v>
      </c>
      <c r="M98">
        <v>296</v>
      </c>
      <c r="N98" t="s">
        <v>201</v>
      </c>
      <c r="O98" t="s">
        <v>1367</v>
      </c>
    </row>
    <row r="99" spans="1:15" x14ac:dyDescent="0.2">
      <c r="A99" t="s">
        <v>190</v>
      </c>
      <c r="B99" t="s">
        <v>407</v>
      </c>
      <c r="C99">
        <v>5</v>
      </c>
      <c r="D99">
        <v>3</v>
      </c>
      <c r="E99">
        <v>3</v>
      </c>
      <c r="F99">
        <v>4</v>
      </c>
      <c r="G99">
        <v>2</v>
      </c>
      <c r="H99">
        <v>2</v>
      </c>
      <c r="I99">
        <v>6.447E-2</v>
      </c>
      <c r="J99">
        <v>1.01</v>
      </c>
      <c r="K99">
        <v>6.4999999999999997E-4</v>
      </c>
      <c r="L99" t="s">
        <v>17</v>
      </c>
      <c r="M99">
        <v>296</v>
      </c>
      <c r="N99" t="s">
        <v>201</v>
      </c>
      <c r="O99" t="s">
        <v>1367</v>
      </c>
    </row>
    <row r="100" spans="1:15" x14ac:dyDescent="0.2">
      <c r="A100" t="s">
        <v>190</v>
      </c>
      <c r="B100" t="s">
        <v>407</v>
      </c>
      <c r="C100">
        <v>5</v>
      </c>
      <c r="D100">
        <v>4</v>
      </c>
      <c r="E100">
        <v>1</v>
      </c>
      <c r="F100">
        <v>4</v>
      </c>
      <c r="G100">
        <v>3</v>
      </c>
      <c r="H100">
        <v>2</v>
      </c>
      <c r="I100">
        <v>5.8259999999999999E-2</v>
      </c>
      <c r="J100">
        <v>1.19</v>
      </c>
      <c r="K100">
        <v>6.8999999999999997E-4</v>
      </c>
      <c r="L100" t="s">
        <v>17</v>
      </c>
      <c r="M100">
        <v>296</v>
      </c>
      <c r="N100" t="s">
        <v>201</v>
      </c>
      <c r="O100" t="s">
        <v>1367</v>
      </c>
    </row>
    <row r="101" spans="1:15" x14ac:dyDescent="0.2">
      <c r="A101" t="s">
        <v>190</v>
      </c>
      <c r="B101" t="s">
        <v>407</v>
      </c>
      <c r="C101">
        <v>5</v>
      </c>
      <c r="D101">
        <v>4</v>
      </c>
      <c r="E101">
        <v>2</v>
      </c>
      <c r="F101">
        <v>4</v>
      </c>
      <c r="G101">
        <v>3</v>
      </c>
      <c r="H101">
        <v>1</v>
      </c>
      <c r="I101">
        <v>5.7869999999999998E-2</v>
      </c>
      <c r="J101">
        <v>1.1599999999999999</v>
      </c>
      <c r="K101">
        <v>6.7000000000000002E-4</v>
      </c>
      <c r="L101" t="s">
        <v>17</v>
      </c>
      <c r="M101">
        <v>296</v>
      </c>
      <c r="N101" t="s">
        <v>201</v>
      </c>
      <c r="O101" t="s">
        <v>1367</v>
      </c>
    </row>
    <row r="102" spans="1:15" x14ac:dyDescent="0.2">
      <c r="A102" t="s">
        <v>190</v>
      </c>
      <c r="B102" t="s">
        <v>407</v>
      </c>
      <c r="C102">
        <v>5</v>
      </c>
      <c r="D102">
        <v>5</v>
      </c>
      <c r="E102">
        <v>0</v>
      </c>
      <c r="F102">
        <v>4</v>
      </c>
      <c r="G102">
        <v>4</v>
      </c>
      <c r="H102">
        <v>1</v>
      </c>
      <c r="I102">
        <v>5.4190000000000002E-2</v>
      </c>
      <c r="J102">
        <v>1.1100000000000001</v>
      </c>
      <c r="K102">
        <v>5.9999999999999995E-4</v>
      </c>
      <c r="L102" t="s">
        <v>17</v>
      </c>
      <c r="M102">
        <v>296</v>
      </c>
      <c r="N102" t="s">
        <v>201</v>
      </c>
      <c r="O102" t="s">
        <v>1367</v>
      </c>
    </row>
    <row r="103" spans="1:15" x14ac:dyDescent="0.2">
      <c r="A103" t="s">
        <v>190</v>
      </c>
      <c r="B103" t="s">
        <v>407</v>
      </c>
      <c r="C103">
        <v>5</v>
      </c>
      <c r="D103">
        <v>3</v>
      </c>
      <c r="E103">
        <v>2</v>
      </c>
      <c r="F103">
        <v>5</v>
      </c>
      <c r="G103">
        <v>2</v>
      </c>
      <c r="H103">
        <v>3</v>
      </c>
      <c r="I103">
        <v>6.9169999999999995E-2</v>
      </c>
      <c r="J103">
        <v>1</v>
      </c>
      <c r="K103">
        <v>6.8999999999999997E-4</v>
      </c>
      <c r="L103" t="s">
        <v>17</v>
      </c>
      <c r="M103">
        <v>296</v>
      </c>
      <c r="N103" t="s">
        <v>201</v>
      </c>
      <c r="O103" t="s">
        <v>1367</v>
      </c>
    </row>
    <row r="104" spans="1:15" x14ac:dyDescent="0.2">
      <c r="A104" t="s">
        <v>190</v>
      </c>
      <c r="B104" t="s">
        <v>407</v>
      </c>
      <c r="C104">
        <v>6</v>
      </c>
      <c r="D104">
        <v>4</v>
      </c>
      <c r="E104">
        <v>2</v>
      </c>
      <c r="F104">
        <v>5</v>
      </c>
      <c r="G104">
        <v>3</v>
      </c>
      <c r="H104">
        <v>3</v>
      </c>
      <c r="I104">
        <v>5.969E-2</v>
      </c>
      <c r="J104">
        <v>1.1100000000000001</v>
      </c>
      <c r="K104">
        <v>6.6E-4</v>
      </c>
      <c r="L104" t="s">
        <v>17</v>
      </c>
      <c r="M104">
        <v>296</v>
      </c>
      <c r="N104" t="s">
        <v>201</v>
      </c>
      <c r="O104" t="s">
        <v>1367</v>
      </c>
    </row>
    <row r="105" spans="1:15" x14ac:dyDescent="0.2">
      <c r="A105" t="s">
        <v>190</v>
      </c>
      <c r="B105" t="s">
        <v>407</v>
      </c>
      <c r="C105">
        <v>5</v>
      </c>
      <c r="D105">
        <v>4</v>
      </c>
      <c r="E105">
        <v>1</v>
      </c>
      <c r="F105">
        <v>5</v>
      </c>
      <c r="G105">
        <v>3</v>
      </c>
      <c r="H105">
        <v>2</v>
      </c>
      <c r="I105">
        <v>7.3450000000000001E-2</v>
      </c>
      <c r="J105">
        <v>1.04</v>
      </c>
      <c r="K105">
        <v>7.6000000000000004E-4</v>
      </c>
      <c r="L105" t="s">
        <v>17</v>
      </c>
      <c r="M105">
        <v>296</v>
      </c>
      <c r="N105" t="s">
        <v>201</v>
      </c>
      <c r="O105" t="s">
        <v>1367</v>
      </c>
    </row>
    <row r="106" spans="1:15" x14ac:dyDescent="0.2">
      <c r="A106" t="s">
        <v>190</v>
      </c>
      <c r="B106" t="s">
        <v>407</v>
      </c>
      <c r="C106">
        <v>6</v>
      </c>
      <c r="D106">
        <v>4</v>
      </c>
      <c r="E106">
        <v>3</v>
      </c>
      <c r="F106">
        <v>5</v>
      </c>
      <c r="G106">
        <v>3</v>
      </c>
      <c r="H106">
        <v>2</v>
      </c>
      <c r="I106">
        <v>6.3299999999999995E-2</v>
      </c>
      <c r="J106">
        <v>1.1499999999999999</v>
      </c>
      <c r="K106">
        <v>7.2999999999999996E-4</v>
      </c>
      <c r="L106" t="s">
        <v>17</v>
      </c>
      <c r="M106">
        <v>296</v>
      </c>
      <c r="N106" t="s">
        <v>201</v>
      </c>
      <c r="O106" t="s">
        <v>1367</v>
      </c>
    </row>
    <row r="107" spans="1:15" x14ac:dyDescent="0.2">
      <c r="A107" t="s">
        <v>190</v>
      </c>
      <c r="B107" t="s">
        <v>407</v>
      </c>
      <c r="C107">
        <v>6</v>
      </c>
      <c r="D107">
        <v>5</v>
      </c>
      <c r="E107">
        <v>1</v>
      </c>
      <c r="F107">
        <v>5</v>
      </c>
      <c r="G107">
        <v>4</v>
      </c>
      <c r="H107">
        <v>2</v>
      </c>
      <c r="I107">
        <v>5.3429999999999998E-2</v>
      </c>
      <c r="J107">
        <v>1.31</v>
      </c>
      <c r="K107">
        <v>6.9999999999999999E-4</v>
      </c>
      <c r="L107" t="s">
        <v>17</v>
      </c>
      <c r="M107">
        <v>296</v>
      </c>
      <c r="N107" t="s">
        <v>201</v>
      </c>
      <c r="O107" t="s">
        <v>1367</v>
      </c>
    </row>
    <row r="108" spans="1:15" x14ac:dyDescent="0.2">
      <c r="A108" t="s">
        <v>190</v>
      </c>
      <c r="B108" t="s">
        <v>407</v>
      </c>
      <c r="C108">
        <v>6</v>
      </c>
      <c r="D108">
        <v>5</v>
      </c>
      <c r="E108">
        <v>2</v>
      </c>
      <c r="F108">
        <v>5</v>
      </c>
      <c r="G108">
        <v>4</v>
      </c>
      <c r="H108">
        <v>1</v>
      </c>
      <c r="I108">
        <v>5.4030000000000002E-2</v>
      </c>
      <c r="J108">
        <v>1.1299999999999999</v>
      </c>
      <c r="K108">
        <v>6.0999999999999997E-4</v>
      </c>
      <c r="L108" t="s">
        <v>17</v>
      </c>
      <c r="M108">
        <v>296</v>
      </c>
      <c r="N108" t="s">
        <v>201</v>
      </c>
      <c r="O108" t="s">
        <v>1367</v>
      </c>
    </row>
    <row r="109" spans="1:15" x14ac:dyDescent="0.2">
      <c r="A109" t="s">
        <v>190</v>
      </c>
      <c r="B109" t="s">
        <v>407</v>
      </c>
      <c r="C109">
        <v>7</v>
      </c>
      <c r="D109">
        <v>1</v>
      </c>
      <c r="E109">
        <v>7</v>
      </c>
      <c r="F109">
        <v>6</v>
      </c>
      <c r="G109">
        <v>2</v>
      </c>
      <c r="H109">
        <v>4</v>
      </c>
      <c r="I109">
        <v>7.5270000000000004E-2</v>
      </c>
      <c r="J109">
        <v>0.94</v>
      </c>
      <c r="K109">
        <v>7.1000000000000002E-4</v>
      </c>
      <c r="L109" t="s">
        <v>17</v>
      </c>
      <c r="M109">
        <v>296</v>
      </c>
      <c r="N109" t="s">
        <v>201</v>
      </c>
      <c r="O109" t="s">
        <v>1367</v>
      </c>
    </row>
    <row r="110" spans="1:15" x14ac:dyDescent="0.2">
      <c r="A110" t="s">
        <v>190</v>
      </c>
      <c r="B110" t="s">
        <v>407</v>
      </c>
      <c r="C110">
        <v>7</v>
      </c>
      <c r="D110">
        <v>4</v>
      </c>
      <c r="E110">
        <v>3</v>
      </c>
      <c r="F110">
        <v>6</v>
      </c>
      <c r="G110">
        <v>3</v>
      </c>
      <c r="H110">
        <v>4</v>
      </c>
      <c r="I110">
        <v>6.0630000000000003E-2</v>
      </c>
      <c r="J110">
        <v>1.07</v>
      </c>
      <c r="K110">
        <v>6.4999999999999997E-4</v>
      </c>
      <c r="L110" t="s">
        <v>17</v>
      </c>
      <c r="M110">
        <v>296</v>
      </c>
      <c r="N110" t="s">
        <v>201</v>
      </c>
      <c r="O110" t="s">
        <v>1367</v>
      </c>
    </row>
    <row r="111" spans="1:15" x14ac:dyDescent="0.2">
      <c r="A111" t="s">
        <v>190</v>
      </c>
      <c r="B111" t="s">
        <v>407</v>
      </c>
      <c r="C111">
        <v>7</v>
      </c>
      <c r="D111">
        <v>1</v>
      </c>
      <c r="E111">
        <v>6</v>
      </c>
      <c r="F111">
        <v>7</v>
      </c>
      <c r="G111">
        <v>0</v>
      </c>
      <c r="H111">
        <v>7</v>
      </c>
      <c r="I111">
        <v>6.4180000000000001E-2</v>
      </c>
      <c r="J111">
        <v>1.03</v>
      </c>
      <c r="K111">
        <v>6.6E-4</v>
      </c>
      <c r="L111" t="s">
        <v>17</v>
      </c>
      <c r="M111">
        <v>296</v>
      </c>
      <c r="N111" t="s">
        <v>201</v>
      </c>
      <c r="O111" t="s">
        <v>1367</v>
      </c>
    </row>
    <row r="112" spans="1:15" x14ac:dyDescent="0.2">
      <c r="A112" t="s">
        <v>190</v>
      </c>
      <c r="B112" t="s">
        <v>407</v>
      </c>
      <c r="C112">
        <v>7</v>
      </c>
      <c r="D112">
        <v>1</v>
      </c>
      <c r="E112">
        <v>7</v>
      </c>
      <c r="F112">
        <v>8</v>
      </c>
      <c r="G112">
        <v>2</v>
      </c>
      <c r="H112">
        <v>6</v>
      </c>
      <c r="I112">
        <v>6.9400000000000003E-2</v>
      </c>
      <c r="J112">
        <v>0.98</v>
      </c>
      <c r="K112">
        <v>6.8000000000000005E-4</v>
      </c>
      <c r="L112" t="s">
        <v>17</v>
      </c>
      <c r="M112">
        <v>296</v>
      </c>
      <c r="N112" t="s">
        <v>201</v>
      </c>
      <c r="O112" t="s">
        <v>1367</v>
      </c>
    </row>
    <row r="113" spans="1:15" x14ac:dyDescent="0.2">
      <c r="A113" t="s">
        <v>190</v>
      </c>
      <c r="B113" t="s">
        <v>407</v>
      </c>
      <c r="C113">
        <v>4</v>
      </c>
      <c r="D113">
        <v>3</v>
      </c>
      <c r="E113">
        <v>2</v>
      </c>
      <c r="F113">
        <v>3</v>
      </c>
      <c r="G113">
        <v>1</v>
      </c>
      <c r="H113">
        <v>3</v>
      </c>
      <c r="I113">
        <v>6.5589999999999996E-2</v>
      </c>
      <c r="J113">
        <v>0.93</v>
      </c>
      <c r="K113">
        <v>6.0999999999999997E-4</v>
      </c>
      <c r="L113" t="s">
        <v>17</v>
      </c>
      <c r="M113">
        <v>296</v>
      </c>
      <c r="N113" t="s">
        <v>201</v>
      </c>
      <c r="O113" t="s">
        <v>1369</v>
      </c>
    </row>
    <row r="114" spans="1:15" x14ac:dyDescent="0.2">
      <c r="A114" t="s">
        <v>190</v>
      </c>
      <c r="B114" t="s">
        <v>407</v>
      </c>
      <c r="C114">
        <v>4</v>
      </c>
      <c r="D114">
        <v>4</v>
      </c>
      <c r="E114">
        <v>1</v>
      </c>
      <c r="F114">
        <v>3</v>
      </c>
      <c r="G114">
        <v>2</v>
      </c>
      <c r="H114">
        <v>2</v>
      </c>
      <c r="I114">
        <v>5.3350000000000002E-2</v>
      </c>
      <c r="J114">
        <v>1.1599999999999999</v>
      </c>
      <c r="K114">
        <v>6.2E-4</v>
      </c>
      <c r="L114" t="s">
        <v>17</v>
      </c>
      <c r="M114">
        <v>296</v>
      </c>
      <c r="N114" t="s">
        <v>201</v>
      </c>
      <c r="O114" t="s">
        <v>1253</v>
      </c>
    </row>
    <row r="115" spans="1:15" x14ac:dyDescent="0.2">
      <c r="A115" t="s">
        <v>190</v>
      </c>
      <c r="B115" t="s">
        <v>407</v>
      </c>
      <c r="C115">
        <v>4</v>
      </c>
      <c r="D115">
        <v>4</v>
      </c>
      <c r="E115">
        <v>0</v>
      </c>
      <c r="F115">
        <v>3</v>
      </c>
      <c r="G115">
        <v>2</v>
      </c>
      <c r="H115">
        <v>1</v>
      </c>
      <c r="I115">
        <v>5.1400000000000001E-2</v>
      </c>
      <c r="J115">
        <v>0.99</v>
      </c>
      <c r="K115">
        <v>5.1000000000000004E-4</v>
      </c>
      <c r="L115" t="s">
        <v>17</v>
      </c>
      <c r="M115">
        <v>296</v>
      </c>
      <c r="N115" t="s">
        <v>201</v>
      </c>
      <c r="O115" t="s">
        <v>1253</v>
      </c>
    </row>
    <row r="116" spans="1:15" x14ac:dyDescent="0.2">
      <c r="A116" t="s">
        <v>190</v>
      </c>
      <c r="B116" t="s">
        <v>407</v>
      </c>
      <c r="C116">
        <v>5</v>
      </c>
      <c r="D116">
        <v>2</v>
      </c>
      <c r="E116">
        <v>3</v>
      </c>
      <c r="F116">
        <v>4</v>
      </c>
      <c r="G116">
        <v>0</v>
      </c>
      <c r="H116">
        <v>4</v>
      </c>
      <c r="I116">
        <v>6.694E-2</v>
      </c>
      <c r="J116">
        <v>0.93</v>
      </c>
      <c r="K116">
        <v>6.2E-4</v>
      </c>
      <c r="L116" t="s">
        <v>17</v>
      </c>
      <c r="M116">
        <v>296</v>
      </c>
      <c r="N116" t="s">
        <v>201</v>
      </c>
      <c r="O116" t="s">
        <v>1253</v>
      </c>
    </row>
    <row r="117" spans="1:15" x14ac:dyDescent="0.2">
      <c r="A117" t="s">
        <v>190</v>
      </c>
      <c r="B117" t="s">
        <v>407</v>
      </c>
      <c r="C117">
        <v>5</v>
      </c>
      <c r="D117">
        <v>3</v>
      </c>
      <c r="E117">
        <v>3</v>
      </c>
      <c r="F117">
        <v>4</v>
      </c>
      <c r="G117">
        <v>1</v>
      </c>
      <c r="H117">
        <v>4</v>
      </c>
      <c r="I117">
        <v>6.3399999999999998E-2</v>
      </c>
      <c r="J117">
        <v>0.96</v>
      </c>
      <c r="K117">
        <v>6.0999999999999997E-4</v>
      </c>
      <c r="L117" t="s">
        <v>17</v>
      </c>
      <c r="M117">
        <v>296</v>
      </c>
      <c r="N117" t="s">
        <v>201</v>
      </c>
      <c r="O117" t="s">
        <v>1253</v>
      </c>
    </row>
    <row r="118" spans="1:15" x14ac:dyDescent="0.2">
      <c r="A118" t="s">
        <v>190</v>
      </c>
      <c r="B118" t="s">
        <v>407</v>
      </c>
      <c r="C118">
        <v>5</v>
      </c>
      <c r="D118">
        <v>3</v>
      </c>
      <c r="E118">
        <v>2</v>
      </c>
      <c r="F118">
        <v>4</v>
      </c>
      <c r="G118">
        <v>1</v>
      </c>
      <c r="H118">
        <v>3</v>
      </c>
      <c r="I118">
        <v>5.6279999999999997E-2</v>
      </c>
      <c r="J118">
        <v>1.23</v>
      </c>
      <c r="K118">
        <v>6.8999999999999997E-4</v>
      </c>
      <c r="L118" t="s">
        <v>17</v>
      </c>
      <c r="M118">
        <v>296</v>
      </c>
      <c r="N118" t="s">
        <v>201</v>
      </c>
      <c r="O118" t="s">
        <v>1253</v>
      </c>
    </row>
    <row r="119" spans="1:15" x14ac:dyDescent="0.2">
      <c r="A119" t="s">
        <v>190</v>
      </c>
      <c r="B119" t="s">
        <v>407</v>
      </c>
      <c r="C119">
        <v>5</v>
      </c>
      <c r="D119">
        <v>4</v>
      </c>
      <c r="E119">
        <v>2</v>
      </c>
      <c r="F119">
        <v>4</v>
      </c>
      <c r="G119">
        <v>2</v>
      </c>
      <c r="H119">
        <v>3</v>
      </c>
      <c r="I119">
        <v>5.2589999999999998E-2</v>
      </c>
      <c r="J119">
        <v>1.25</v>
      </c>
      <c r="K119">
        <v>6.6E-4</v>
      </c>
      <c r="L119" t="s">
        <v>17</v>
      </c>
      <c r="M119">
        <v>296</v>
      </c>
      <c r="N119" t="s">
        <v>201</v>
      </c>
      <c r="O119" t="s">
        <v>1253</v>
      </c>
    </row>
    <row r="120" spans="1:15" x14ac:dyDescent="0.2">
      <c r="A120" t="s">
        <v>190</v>
      </c>
      <c r="B120" t="s">
        <v>407</v>
      </c>
      <c r="C120">
        <v>5</v>
      </c>
      <c r="D120">
        <v>4</v>
      </c>
      <c r="E120">
        <v>1</v>
      </c>
      <c r="F120">
        <v>4</v>
      </c>
      <c r="G120">
        <v>2</v>
      </c>
      <c r="H120">
        <v>2</v>
      </c>
      <c r="I120">
        <v>5.3490000000000003E-2</v>
      </c>
      <c r="J120">
        <v>1.23</v>
      </c>
      <c r="K120">
        <v>6.6E-4</v>
      </c>
      <c r="L120" t="s">
        <v>17</v>
      </c>
      <c r="M120">
        <v>296</v>
      </c>
      <c r="N120" t="s">
        <v>201</v>
      </c>
      <c r="O120" t="s">
        <v>1253</v>
      </c>
    </row>
    <row r="121" spans="1:15" x14ac:dyDescent="0.2">
      <c r="A121" t="s">
        <v>190</v>
      </c>
      <c r="B121" t="s">
        <v>407</v>
      </c>
      <c r="C121">
        <v>3</v>
      </c>
      <c r="D121">
        <v>1</v>
      </c>
      <c r="E121">
        <v>3</v>
      </c>
      <c r="F121">
        <v>4</v>
      </c>
      <c r="G121">
        <v>3</v>
      </c>
      <c r="H121">
        <v>2</v>
      </c>
      <c r="I121">
        <v>6.8860000000000005E-2</v>
      </c>
      <c r="J121">
        <v>0.94</v>
      </c>
      <c r="K121">
        <v>6.4999999999999997E-4</v>
      </c>
      <c r="L121" t="s">
        <v>17</v>
      </c>
      <c r="M121">
        <v>296</v>
      </c>
      <c r="N121" t="s">
        <v>201</v>
      </c>
      <c r="O121" t="s">
        <v>1253</v>
      </c>
    </row>
    <row r="122" spans="1:15" x14ac:dyDescent="0.2">
      <c r="A122" t="s">
        <v>190</v>
      </c>
      <c r="B122" t="s">
        <v>407</v>
      </c>
      <c r="C122">
        <v>5</v>
      </c>
      <c r="D122">
        <v>5</v>
      </c>
      <c r="E122">
        <v>1</v>
      </c>
      <c r="F122">
        <v>4</v>
      </c>
      <c r="G122">
        <v>3</v>
      </c>
      <c r="H122">
        <v>2</v>
      </c>
      <c r="I122">
        <v>4.5289999999999997E-2</v>
      </c>
      <c r="J122">
        <v>1.41</v>
      </c>
      <c r="K122">
        <v>6.4000000000000005E-4</v>
      </c>
      <c r="L122" t="s">
        <v>17</v>
      </c>
      <c r="M122">
        <v>296</v>
      </c>
      <c r="N122" t="s">
        <v>201</v>
      </c>
      <c r="O122" t="s">
        <v>1253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A0BF4-9BA7-B845-A9C6-D23039298573}">
  <dimension ref="A1:O41"/>
  <sheetViews>
    <sheetView workbookViewId="0">
      <selection activeCell="P33" sqref="P33"/>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32</v>
      </c>
      <c r="C2">
        <v>8</v>
      </c>
      <c r="D2">
        <v>1</v>
      </c>
      <c r="E2">
        <v>8</v>
      </c>
      <c r="F2">
        <v>7</v>
      </c>
      <c r="G2">
        <v>0</v>
      </c>
      <c r="H2">
        <v>7</v>
      </c>
      <c r="I2">
        <v>8.7599999999999997E-2</v>
      </c>
      <c r="J2">
        <f>K2/I2*100</f>
        <v>22.831050228310502</v>
      </c>
      <c r="K2">
        <v>0.02</v>
      </c>
      <c r="L2" t="s">
        <v>17</v>
      </c>
      <c r="M2">
        <v>296</v>
      </c>
      <c r="N2" t="s">
        <v>553</v>
      </c>
      <c r="O2" t="s">
        <v>1370</v>
      </c>
    </row>
    <row r="3" spans="1:15" x14ac:dyDescent="0.2">
      <c r="A3" t="s">
        <v>190</v>
      </c>
      <c r="B3" t="s">
        <v>32</v>
      </c>
      <c r="C3">
        <v>10</v>
      </c>
      <c r="D3">
        <v>0</v>
      </c>
      <c r="E3">
        <v>10</v>
      </c>
      <c r="F3">
        <v>9</v>
      </c>
      <c r="G3">
        <v>0</v>
      </c>
      <c r="H3">
        <v>9</v>
      </c>
      <c r="I3">
        <v>6.0699999999999997E-2</v>
      </c>
      <c r="J3">
        <f t="shared" ref="J3:J41" si="0">K3/I3*100</f>
        <v>32.948929159802312</v>
      </c>
      <c r="K3">
        <v>0.02</v>
      </c>
      <c r="L3" t="s">
        <v>17</v>
      </c>
      <c r="M3">
        <v>296</v>
      </c>
      <c r="N3" t="s">
        <v>553</v>
      </c>
      <c r="O3" t="s">
        <v>1371</v>
      </c>
    </row>
    <row r="4" spans="1:15" x14ac:dyDescent="0.2">
      <c r="A4" t="s">
        <v>190</v>
      </c>
      <c r="B4" t="s">
        <v>32</v>
      </c>
      <c r="C4">
        <v>6</v>
      </c>
      <c r="D4">
        <v>3</v>
      </c>
      <c r="E4">
        <v>3</v>
      </c>
      <c r="F4">
        <v>7</v>
      </c>
      <c r="G4">
        <v>3</v>
      </c>
      <c r="H4">
        <v>4</v>
      </c>
      <c r="I4">
        <v>0.12870000000000001</v>
      </c>
      <c r="J4">
        <f t="shared" si="0"/>
        <v>15.540015540015538</v>
      </c>
      <c r="K4">
        <v>0.02</v>
      </c>
      <c r="L4" t="s">
        <v>17</v>
      </c>
      <c r="M4">
        <v>296</v>
      </c>
      <c r="N4" t="s">
        <v>553</v>
      </c>
      <c r="O4" t="s">
        <v>1372</v>
      </c>
    </row>
    <row r="5" spans="1:15" x14ac:dyDescent="0.2">
      <c r="A5" t="s">
        <v>190</v>
      </c>
      <c r="B5" t="s">
        <v>32</v>
      </c>
      <c r="C5">
        <v>2</v>
      </c>
      <c r="D5">
        <v>2</v>
      </c>
      <c r="E5">
        <v>1</v>
      </c>
      <c r="F5">
        <v>3</v>
      </c>
      <c r="G5">
        <v>3</v>
      </c>
      <c r="H5">
        <v>0</v>
      </c>
      <c r="I5">
        <v>0.12889999999999999</v>
      </c>
      <c r="J5">
        <f t="shared" si="0"/>
        <v>15.515903801396433</v>
      </c>
      <c r="K5">
        <v>0.02</v>
      </c>
      <c r="L5" t="s">
        <v>17</v>
      </c>
      <c r="M5">
        <v>296</v>
      </c>
      <c r="N5" t="s">
        <v>553</v>
      </c>
      <c r="O5" t="s">
        <v>1372</v>
      </c>
    </row>
    <row r="6" spans="1:15" x14ac:dyDescent="0.2">
      <c r="A6" t="s">
        <v>190</v>
      </c>
      <c r="B6" t="s">
        <v>32</v>
      </c>
      <c r="C6">
        <v>6</v>
      </c>
      <c r="D6">
        <v>0</v>
      </c>
      <c r="E6">
        <v>6</v>
      </c>
      <c r="F6">
        <v>7</v>
      </c>
      <c r="G6">
        <v>1</v>
      </c>
      <c r="H6">
        <v>7</v>
      </c>
      <c r="I6">
        <v>9.3600000000000003E-2</v>
      </c>
      <c r="J6">
        <f t="shared" si="0"/>
        <v>21.367521367521366</v>
      </c>
      <c r="K6">
        <v>0.02</v>
      </c>
      <c r="L6" t="s">
        <v>17</v>
      </c>
      <c r="M6">
        <v>296</v>
      </c>
      <c r="N6" t="s">
        <v>553</v>
      </c>
      <c r="O6" t="s">
        <v>1372</v>
      </c>
    </row>
    <row r="7" spans="1:15" x14ac:dyDescent="0.2">
      <c r="A7" t="s">
        <v>190</v>
      </c>
      <c r="B7" t="s">
        <v>32</v>
      </c>
      <c r="C7">
        <v>7</v>
      </c>
      <c r="D7">
        <v>2</v>
      </c>
      <c r="E7">
        <v>6</v>
      </c>
      <c r="F7">
        <v>6</v>
      </c>
      <c r="G7">
        <v>2</v>
      </c>
      <c r="H7">
        <v>5</v>
      </c>
      <c r="I7">
        <v>9.9699999999999997E-2</v>
      </c>
      <c r="J7">
        <f t="shared" si="0"/>
        <v>20.060180541624874</v>
      </c>
      <c r="K7">
        <v>0.02</v>
      </c>
      <c r="L7" t="s">
        <v>17</v>
      </c>
      <c r="M7">
        <v>296</v>
      </c>
      <c r="N7" t="s">
        <v>553</v>
      </c>
      <c r="O7" t="s">
        <v>1372</v>
      </c>
    </row>
    <row r="8" spans="1:15" x14ac:dyDescent="0.2">
      <c r="A8" t="s">
        <v>190</v>
      </c>
      <c r="B8" t="s">
        <v>32</v>
      </c>
      <c r="C8">
        <v>6</v>
      </c>
      <c r="D8">
        <v>1</v>
      </c>
      <c r="E8">
        <v>6</v>
      </c>
      <c r="F8">
        <v>7</v>
      </c>
      <c r="G8">
        <v>0</v>
      </c>
      <c r="H8">
        <v>7</v>
      </c>
      <c r="I8">
        <v>8.8999999999999996E-2</v>
      </c>
      <c r="J8">
        <f t="shared" si="0"/>
        <v>22.471910112359552</v>
      </c>
      <c r="K8">
        <v>0.02</v>
      </c>
      <c r="L8" t="s">
        <v>17</v>
      </c>
      <c r="M8">
        <v>296</v>
      </c>
      <c r="N8" t="s">
        <v>553</v>
      </c>
      <c r="O8" t="s">
        <v>1372</v>
      </c>
    </row>
    <row r="9" spans="1:15" x14ac:dyDescent="0.2">
      <c r="A9" t="s">
        <v>190</v>
      </c>
      <c r="B9" t="s">
        <v>32</v>
      </c>
      <c r="C9">
        <v>2</v>
      </c>
      <c r="D9">
        <v>2</v>
      </c>
      <c r="E9">
        <v>0</v>
      </c>
      <c r="F9">
        <v>3</v>
      </c>
      <c r="G9">
        <v>3</v>
      </c>
      <c r="H9">
        <v>1</v>
      </c>
      <c r="I9">
        <v>0.14499999999999999</v>
      </c>
      <c r="J9">
        <f t="shared" si="0"/>
        <v>13.793103448275865</v>
      </c>
      <c r="K9">
        <v>0.02</v>
      </c>
      <c r="L9" t="s">
        <v>17</v>
      </c>
      <c r="M9">
        <v>296</v>
      </c>
      <c r="N9" t="s">
        <v>553</v>
      </c>
      <c r="O9" t="s">
        <v>1372</v>
      </c>
    </row>
    <row r="10" spans="1:15" x14ac:dyDescent="0.2">
      <c r="A10" t="s">
        <v>190</v>
      </c>
      <c r="B10" t="s">
        <v>32</v>
      </c>
      <c r="C10">
        <v>7</v>
      </c>
      <c r="D10">
        <v>1</v>
      </c>
      <c r="E10">
        <v>6</v>
      </c>
      <c r="F10">
        <v>8</v>
      </c>
      <c r="G10">
        <v>1</v>
      </c>
      <c r="H10">
        <v>7</v>
      </c>
      <c r="I10">
        <v>9.8199999999999996E-2</v>
      </c>
      <c r="J10">
        <f t="shared" si="0"/>
        <v>20.366598778004075</v>
      </c>
      <c r="K10">
        <v>0.02</v>
      </c>
      <c r="L10" t="s">
        <v>17</v>
      </c>
      <c r="M10">
        <v>296</v>
      </c>
      <c r="N10" t="s">
        <v>553</v>
      </c>
      <c r="O10" t="s">
        <v>1372</v>
      </c>
    </row>
    <row r="11" spans="1:15" x14ac:dyDescent="0.2">
      <c r="A11" t="s">
        <v>190</v>
      </c>
      <c r="B11" t="s">
        <v>32</v>
      </c>
      <c r="C11">
        <v>7</v>
      </c>
      <c r="D11">
        <v>2</v>
      </c>
      <c r="E11">
        <v>6</v>
      </c>
      <c r="F11">
        <v>8</v>
      </c>
      <c r="G11">
        <v>2</v>
      </c>
      <c r="H11">
        <v>7</v>
      </c>
      <c r="I11">
        <v>9.1899999999999996E-2</v>
      </c>
      <c r="J11">
        <f t="shared" si="0"/>
        <v>21.762785636561482</v>
      </c>
      <c r="K11">
        <v>0.02</v>
      </c>
      <c r="L11" t="s">
        <v>17</v>
      </c>
      <c r="M11">
        <v>296</v>
      </c>
      <c r="N11" t="s">
        <v>553</v>
      </c>
      <c r="O11" t="s">
        <v>1372</v>
      </c>
    </row>
    <row r="12" spans="1:15" x14ac:dyDescent="0.2">
      <c r="A12" t="s">
        <v>190</v>
      </c>
      <c r="B12" t="s">
        <v>32</v>
      </c>
      <c r="C12">
        <v>8</v>
      </c>
      <c r="D12">
        <v>0</v>
      </c>
      <c r="E12">
        <v>8</v>
      </c>
      <c r="F12">
        <v>9</v>
      </c>
      <c r="G12">
        <v>0</v>
      </c>
      <c r="H12">
        <v>9</v>
      </c>
      <c r="I12">
        <v>7.8399999999999997E-2</v>
      </c>
      <c r="J12">
        <f t="shared" si="0"/>
        <v>25.510204081632654</v>
      </c>
      <c r="K12">
        <v>0.02</v>
      </c>
      <c r="L12" t="s">
        <v>17</v>
      </c>
      <c r="M12">
        <v>296</v>
      </c>
      <c r="N12" t="s">
        <v>553</v>
      </c>
      <c r="O12" t="s">
        <v>1373</v>
      </c>
    </row>
    <row r="13" spans="1:15" x14ac:dyDescent="0.2">
      <c r="A13" t="s">
        <v>190</v>
      </c>
      <c r="B13" t="s">
        <v>32</v>
      </c>
      <c r="C13">
        <v>6</v>
      </c>
      <c r="D13">
        <v>2</v>
      </c>
      <c r="E13">
        <v>4</v>
      </c>
      <c r="F13">
        <v>5</v>
      </c>
      <c r="G13">
        <v>2</v>
      </c>
      <c r="H13">
        <v>3</v>
      </c>
      <c r="I13">
        <v>0.14530000000000001</v>
      </c>
      <c r="J13">
        <f t="shared" si="0"/>
        <v>13.764624913971094</v>
      </c>
      <c r="K13">
        <v>0.02</v>
      </c>
      <c r="L13" t="s">
        <v>17</v>
      </c>
      <c r="M13">
        <v>296</v>
      </c>
      <c r="N13" t="s">
        <v>553</v>
      </c>
      <c r="O13" t="s">
        <v>1372</v>
      </c>
    </row>
    <row r="14" spans="1:15" x14ac:dyDescent="0.2">
      <c r="A14" t="s">
        <v>190</v>
      </c>
      <c r="B14" t="s">
        <v>32</v>
      </c>
      <c r="C14">
        <v>6</v>
      </c>
      <c r="D14">
        <v>2</v>
      </c>
      <c r="E14">
        <v>4</v>
      </c>
      <c r="F14">
        <v>7</v>
      </c>
      <c r="G14">
        <v>2</v>
      </c>
      <c r="H14">
        <v>5</v>
      </c>
      <c r="I14">
        <v>0.12820000000000001</v>
      </c>
      <c r="J14">
        <f t="shared" si="0"/>
        <v>15.600624024960998</v>
      </c>
      <c r="K14">
        <v>0.02</v>
      </c>
      <c r="L14" t="s">
        <v>17</v>
      </c>
      <c r="M14">
        <v>296</v>
      </c>
      <c r="N14" t="s">
        <v>553</v>
      </c>
      <c r="O14" t="s">
        <v>1372</v>
      </c>
    </row>
    <row r="15" spans="1:15" x14ac:dyDescent="0.2">
      <c r="A15" t="s">
        <v>190</v>
      </c>
      <c r="B15" t="s">
        <v>32</v>
      </c>
      <c r="C15">
        <v>6</v>
      </c>
      <c r="D15">
        <v>3</v>
      </c>
      <c r="E15">
        <v>4</v>
      </c>
      <c r="F15">
        <v>6</v>
      </c>
      <c r="G15">
        <v>4</v>
      </c>
      <c r="H15">
        <v>3</v>
      </c>
      <c r="I15">
        <v>0.11749999999999999</v>
      </c>
      <c r="J15">
        <f t="shared" si="0"/>
        <v>17.021276595744684</v>
      </c>
      <c r="K15">
        <v>0.02</v>
      </c>
      <c r="L15" t="s">
        <v>17</v>
      </c>
      <c r="M15">
        <v>296</v>
      </c>
      <c r="N15" t="s">
        <v>553</v>
      </c>
      <c r="O15" t="s">
        <v>1374</v>
      </c>
    </row>
    <row r="16" spans="1:15" x14ac:dyDescent="0.2">
      <c r="A16" t="s">
        <v>190</v>
      </c>
      <c r="B16" t="s">
        <v>32</v>
      </c>
      <c r="C16">
        <v>2</v>
      </c>
      <c r="D16">
        <v>1</v>
      </c>
      <c r="E16">
        <v>2</v>
      </c>
      <c r="F16">
        <v>3</v>
      </c>
      <c r="G16">
        <v>2</v>
      </c>
      <c r="H16">
        <v>1</v>
      </c>
      <c r="I16">
        <v>0.1812</v>
      </c>
      <c r="J16">
        <f t="shared" si="0"/>
        <v>11.037527593818986</v>
      </c>
      <c r="K16">
        <v>0.02</v>
      </c>
      <c r="L16" t="s">
        <v>17</v>
      </c>
      <c r="M16">
        <v>296</v>
      </c>
      <c r="N16" t="s">
        <v>553</v>
      </c>
      <c r="O16" t="s">
        <v>1372</v>
      </c>
    </row>
    <row r="17" spans="1:15" x14ac:dyDescent="0.2">
      <c r="A17" t="s">
        <v>190</v>
      </c>
      <c r="B17" t="s">
        <v>32</v>
      </c>
      <c r="C17">
        <v>5</v>
      </c>
      <c r="D17">
        <v>0</v>
      </c>
      <c r="E17">
        <v>5</v>
      </c>
      <c r="F17">
        <v>6</v>
      </c>
      <c r="G17">
        <v>1</v>
      </c>
      <c r="H17">
        <v>6</v>
      </c>
      <c r="I17">
        <v>0.1003</v>
      </c>
      <c r="J17">
        <f t="shared" si="0"/>
        <v>19.940179461615156</v>
      </c>
      <c r="K17">
        <v>0.02</v>
      </c>
      <c r="L17" t="s">
        <v>17</v>
      </c>
      <c r="M17">
        <v>296</v>
      </c>
      <c r="N17" t="s">
        <v>553</v>
      </c>
      <c r="O17" t="s">
        <v>1372</v>
      </c>
    </row>
    <row r="18" spans="1:15" x14ac:dyDescent="0.2">
      <c r="A18" t="s">
        <v>190</v>
      </c>
      <c r="B18" t="s">
        <v>32</v>
      </c>
      <c r="C18">
        <v>7</v>
      </c>
      <c r="D18">
        <v>2</v>
      </c>
      <c r="E18">
        <v>6</v>
      </c>
      <c r="F18">
        <v>7</v>
      </c>
      <c r="G18">
        <v>3</v>
      </c>
      <c r="H18">
        <v>5</v>
      </c>
      <c r="I18">
        <v>0.1139</v>
      </c>
      <c r="J18">
        <f t="shared" si="0"/>
        <v>17.559262510974538</v>
      </c>
      <c r="K18">
        <v>0.02</v>
      </c>
      <c r="L18" t="s">
        <v>17</v>
      </c>
      <c r="M18">
        <v>296</v>
      </c>
      <c r="N18" t="s">
        <v>553</v>
      </c>
      <c r="O18" t="s">
        <v>1372</v>
      </c>
    </row>
    <row r="19" spans="1:15" x14ac:dyDescent="0.2">
      <c r="A19" t="s">
        <v>190</v>
      </c>
      <c r="B19" t="s">
        <v>32</v>
      </c>
      <c r="C19">
        <v>5</v>
      </c>
      <c r="D19">
        <v>4</v>
      </c>
      <c r="E19">
        <v>2</v>
      </c>
      <c r="F19">
        <v>4</v>
      </c>
      <c r="G19">
        <v>4</v>
      </c>
      <c r="H19">
        <v>1</v>
      </c>
      <c r="I19">
        <v>9.9599999999999994E-2</v>
      </c>
      <c r="J19">
        <f t="shared" si="0"/>
        <v>20.080321285140563</v>
      </c>
      <c r="K19">
        <v>0.02</v>
      </c>
      <c r="L19" t="s">
        <v>17</v>
      </c>
      <c r="M19">
        <v>296</v>
      </c>
      <c r="N19" t="s">
        <v>553</v>
      </c>
      <c r="O19" t="s">
        <v>1372</v>
      </c>
    </row>
    <row r="20" spans="1:15" x14ac:dyDescent="0.2">
      <c r="A20" t="s">
        <v>190</v>
      </c>
      <c r="B20" t="s">
        <v>32</v>
      </c>
      <c r="C20">
        <v>5</v>
      </c>
      <c r="D20">
        <v>4</v>
      </c>
      <c r="E20">
        <v>1</v>
      </c>
      <c r="F20">
        <v>6</v>
      </c>
      <c r="G20">
        <v>4</v>
      </c>
      <c r="H20">
        <v>2</v>
      </c>
      <c r="I20">
        <v>0.1024</v>
      </c>
      <c r="J20">
        <f t="shared" si="0"/>
        <v>19.53125</v>
      </c>
      <c r="K20">
        <v>0.02</v>
      </c>
      <c r="L20" t="s">
        <v>17</v>
      </c>
      <c r="M20">
        <v>296</v>
      </c>
      <c r="N20" t="s">
        <v>553</v>
      </c>
      <c r="O20" t="s">
        <v>1372</v>
      </c>
    </row>
    <row r="21" spans="1:15" x14ac:dyDescent="0.2">
      <c r="A21" t="s">
        <v>190</v>
      </c>
      <c r="B21" t="s">
        <v>32</v>
      </c>
      <c r="C21">
        <v>3</v>
      </c>
      <c r="D21">
        <v>1</v>
      </c>
      <c r="E21">
        <v>2</v>
      </c>
      <c r="F21">
        <v>4</v>
      </c>
      <c r="G21">
        <v>2</v>
      </c>
      <c r="H21">
        <v>3</v>
      </c>
      <c r="I21">
        <v>0.16889999999999999</v>
      </c>
      <c r="J21">
        <f t="shared" si="0"/>
        <v>11.841326228537596</v>
      </c>
      <c r="K21">
        <v>0.02</v>
      </c>
      <c r="L21" t="s">
        <v>17</v>
      </c>
      <c r="M21">
        <v>296</v>
      </c>
      <c r="N21" t="s">
        <v>553</v>
      </c>
      <c r="O21" t="s">
        <v>1372</v>
      </c>
    </row>
    <row r="22" spans="1:15" x14ac:dyDescent="0.2">
      <c r="A22" t="s">
        <v>190</v>
      </c>
      <c r="B22" t="s">
        <v>32</v>
      </c>
      <c r="C22">
        <v>5</v>
      </c>
      <c r="D22">
        <v>4</v>
      </c>
      <c r="E22">
        <v>2</v>
      </c>
      <c r="F22">
        <v>6</v>
      </c>
      <c r="G22">
        <v>4</v>
      </c>
      <c r="H22">
        <v>3</v>
      </c>
      <c r="I22">
        <v>9.3399999999999997E-2</v>
      </c>
      <c r="J22">
        <f t="shared" si="0"/>
        <v>21.413276231263385</v>
      </c>
      <c r="K22">
        <v>0.02</v>
      </c>
      <c r="L22" t="s">
        <v>17</v>
      </c>
      <c r="M22">
        <v>296</v>
      </c>
      <c r="N22" t="s">
        <v>553</v>
      </c>
      <c r="O22" t="s">
        <v>1372</v>
      </c>
    </row>
    <row r="23" spans="1:15" x14ac:dyDescent="0.2">
      <c r="A23" t="s">
        <v>190</v>
      </c>
      <c r="B23" t="s">
        <v>32</v>
      </c>
      <c r="C23">
        <v>5</v>
      </c>
      <c r="D23">
        <v>4</v>
      </c>
      <c r="E23">
        <v>2</v>
      </c>
      <c r="F23">
        <v>6</v>
      </c>
      <c r="G23">
        <v>4</v>
      </c>
      <c r="H23">
        <v>3</v>
      </c>
      <c r="I23">
        <v>9.7699999999999995E-2</v>
      </c>
      <c r="J23">
        <f t="shared" si="0"/>
        <v>20.470829068577277</v>
      </c>
      <c r="K23">
        <v>0.02</v>
      </c>
      <c r="L23" t="s">
        <v>17</v>
      </c>
      <c r="M23">
        <v>296</v>
      </c>
      <c r="N23" t="s">
        <v>553</v>
      </c>
      <c r="O23" t="s">
        <v>1372</v>
      </c>
    </row>
    <row r="24" spans="1:15" x14ac:dyDescent="0.2">
      <c r="A24" t="s">
        <v>190</v>
      </c>
      <c r="B24" t="s">
        <v>32</v>
      </c>
      <c r="C24">
        <v>6</v>
      </c>
      <c r="D24">
        <v>1</v>
      </c>
      <c r="E24">
        <v>5</v>
      </c>
      <c r="F24">
        <v>7</v>
      </c>
      <c r="G24">
        <v>1</v>
      </c>
      <c r="H24">
        <v>6</v>
      </c>
      <c r="I24">
        <v>0.1138</v>
      </c>
      <c r="J24">
        <f t="shared" si="0"/>
        <v>17.574692442882249</v>
      </c>
      <c r="K24">
        <v>0.02</v>
      </c>
      <c r="L24" t="s">
        <v>17</v>
      </c>
      <c r="M24">
        <v>296</v>
      </c>
      <c r="N24" t="s">
        <v>553</v>
      </c>
      <c r="O24" t="s">
        <v>1372</v>
      </c>
    </row>
    <row r="25" spans="1:15" x14ac:dyDescent="0.2">
      <c r="A25" t="s">
        <v>190</v>
      </c>
      <c r="B25" t="s">
        <v>32</v>
      </c>
      <c r="C25">
        <v>7</v>
      </c>
      <c r="D25">
        <v>1</v>
      </c>
      <c r="E25">
        <v>7</v>
      </c>
      <c r="F25">
        <v>8</v>
      </c>
      <c r="G25">
        <v>1</v>
      </c>
      <c r="H25">
        <v>8</v>
      </c>
      <c r="I25">
        <v>7.9600000000000004E-2</v>
      </c>
      <c r="J25">
        <f t="shared" si="0"/>
        <v>25.125628140703515</v>
      </c>
      <c r="K25">
        <v>0.02</v>
      </c>
      <c r="L25" t="s">
        <v>17</v>
      </c>
      <c r="M25">
        <v>296</v>
      </c>
      <c r="N25" t="s">
        <v>553</v>
      </c>
      <c r="O25" t="s">
        <v>1372</v>
      </c>
    </row>
    <row r="26" spans="1:15" x14ac:dyDescent="0.2">
      <c r="A26" t="s">
        <v>190</v>
      </c>
      <c r="B26" t="s">
        <v>32</v>
      </c>
      <c r="C26">
        <v>6</v>
      </c>
      <c r="D26">
        <v>2</v>
      </c>
      <c r="E26">
        <v>5</v>
      </c>
      <c r="F26">
        <v>7</v>
      </c>
      <c r="G26">
        <v>2</v>
      </c>
      <c r="H26">
        <v>6</v>
      </c>
      <c r="I26">
        <v>9.8199999999999996E-2</v>
      </c>
      <c r="J26">
        <f t="shared" si="0"/>
        <v>20.366598778004075</v>
      </c>
      <c r="K26">
        <v>0.02</v>
      </c>
      <c r="L26" t="s">
        <v>17</v>
      </c>
      <c r="M26">
        <v>296</v>
      </c>
      <c r="N26" t="s">
        <v>553</v>
      </c>
      <c r="O26" t="s">
        <v>1372</v>
      </c>
    </row>
    <row r="27" spans="1:15" x14ac:dyDescent="0.2">
      <c r="A27" t="s">
        <v>190</v>
      </c>
      <c r="B27" t="s">
        <v>32</v>
      </c>
      <c r="C27">
        <v>7</v>
      </c>
      <c r="D27">
        <v>2</v>
      </c>
      <c r="E27">
        <v>5</v>
      </c>
      <c r="F27">
        <v>6</v>
      </c>
      <c r="G27">
        <v>2</v>
      </c>
      <c r="H27">
        <v>4</v>
      </c>
      <c r="I27">
        <v>0.11210000000000001</v>
      </c>
      <c r="J27">
        <f t="shared" si="0"/>
        <v>17.841213202497769</v>
      </c>
      <c r="K27">
        <v>0.02</v>
      </c>
      <c r="L27" t="s">
        <v>17</v>
      </c>
      <c r="M27">
        <v>296</v>
      </c>
      <c r="N27" t="s">
        <v>553</v>
      </c>
      <c r="O27" t="s">
        <v>1374</v>
      </c>
    </row>
    <row r="28" spans="1:15" x14ac:dyDescent="0.2">
      <c r="A28" t="s">
        <v>190</v>
      </c>
      <c r="B28" t="s">
        <v>32</v>
      </c>
      <c r="C28">
        <v>5</v>
      </c>
      <c r="D28">
        <v>3</v>
      </c>
      <c r="E28">
        <v>2</v>
      </c>
      <c r="F28">
        <v>6</v>
      </c>
      <c r="G28">
        <v>3</v>
      </c>
      <c r="H28">
        <v>3</v>
      </c>
      <c r="I28">
        <v>0.129</v>
      </c>
      <c r="J28">
        <f t="shared" si="0"/>
        <v>15.503875968992247</v>
      </c>
      <c r="K28">
        <v>0.02</v>
      </c>
      <c r="L28" t="s">
        <v>17</v>
      </c>
      <c r="M28">
        <v>296</v>
      </c>
      <c r="N28" t="s">
        <v>553</v>
      </c>
      <c r="O28" t="s">
        <v>1372</v>
      </c>
    </row>
    <row r="29" spans="1:15" x14ac:dyDescent="0.2">
      <c r="A29" t="s">
        <v>190</v>
      </c>
      <c r="B29" t="s">
        <v>32</v>
      </c>
      <c r="C29">
        <v>5</v>
      </c>
      <c r="D29">
        <v>2</v>
      </c>
      <c r="E29">
        <v>3</v>
      </c>
      <c r="F29">
        <v>6</v>
      </c>
      <c r="G29">
        <v>2</v>
      </c>
      <c r="H29">
        <v>4</v>
      </c>
      <c r="I29">
        <v>0.14349999999999999</v>
      </c>
      <c r="J29">
        <f t="shared" si="0"/>
        <v>13.93728222996516</v>
      </c>
      <c r="K29">
        <v>0.02</v>
      </c>
      <c r="L29" t="s">
        <v>17</v>
      </c>
      <c r="M29">
        <v>296</v>
      </c>
      <c r="N29" t="s">
        <v>553</v>
      </c>
      <c r="O29" t="s">
        <v>1372</v>
      </c>
    </row>
    <row r="30" spans="1:15" x14ac:dyDescent="0.2">
      <c r="A30" t="s">
        <v>190</v>
      </c>
      <c r="B30" t="s">
        <v>32</v>
      </c>
      <c r="C30">
        <v>5</v>
      </c>
      <c r="D30">
        <v>3</v>
      </c>
      <c r="E30">
        <v>2</v>
      </c>
      <c r="F30">
        <v>5</v>
      </c>
      <c r="G30">
        <v>4</v>
      </c>
      <c r="H30">
        <v>1</v>
      </c>
      <c r="I30">
        <v>0.12690000000000001</v>
      </c>
      <c r="J30">
        <f t="shared" si="0"/>
        <v>15.760441292356184</v>
      </c>
      <c r="K30">
        <v>0.02</v>
      </c>
      <c r="L30" t="s">
        <v>17</v>
      </c>
      <c r="M30">
        <v>296</v>
      </c>
      <c r="N30" t="s">
        <v>553</v>
      </c>
      <c r="O30" t="s">
        <v>1375</v>
      </c>
    </row>
    <row r="31" spans="1:15" x14ac:dyDescent="0.2">
      <c r="A31" t="s">
        <v>190</v>
      </c>
      <c r="B31" t="s">
        <v>32</v>
      </c>
      <c r="C31">
        <v>5</v>
      </c>
      <c r="D31">
        <v>3</v>
      </c>
      <c r="E31">
        <v>3</v>
      </c>
      <c r="F31">
        <v>6</v>
      </c>
      <c r="G31">
        <v>3</v>
      </c>
      <c r="H31">
        <v>4</v>
      </c>
      <c r="I31">
        <v>9.7199999999999995E-2</v>
      </c>
      <c r="J31">
        <f t="shared" si="0"/>
        <v>20.5761316872428</v>
      </c>
      <c r="K31">
        <v>0.02</v>
      </c>
      <c r="L31" t="s">
        <v>17</v>
      </c>
      <c r="M31">
        <v>296</v>
      </c>
      <c r="N31" t="s">
        <v>553</v>
      </c>
      <c r="O31" t="s">
        <v>1372</v>
      </c>
    </row>
    <row r="32" spans="1:15" x14ac:dyDescent="0.2">
      <c r="A32" t="s">
        <v>190</v>
      </c>
      <c r="B32" t="s">
        <v>32</v>
      </c>
      <c r="C32">
        <v>9</v>
      </c>
      <c r="D32">
        <v>2</v>
      </c>
      <c r="E32">
        <v>8</v>
      </c>
      <c r="F32">
        <v>8</v>
      </c>
      <c r="G32">
        <v>2</v>
      </c>
      <c r="H32">
        <v>7</v>
      </c>
      <c r="I32">
        <v>8.3400000000000002E-2</v>
      </c>
      <c r="J32">
        <f t="shared" si="0"/>
        <v>23.980815347721823</v>
      </c>
      <c r="K32">
        <v>0.02</v>
      </c>
      <c r="L32" t="s">
        <v>17</v>
      </c>
      <c r="M32">
        <v>296</v>
      </c>
      <c r="N32" t="s">
        <v>553</v>
      </c>
      <c r="O32" t="s">
        <v>1374</v>
      </c>
    </row>
    <row r="33" spans="1:15" x14ac:dyDescent="0.2">
      <c r="A33" t="s">
        <v>190</v>
      </c>
      <c r="B33" t="s">
        <v>32</v>
      </c>
      <c r="C33">
        <v>7</v>
      </c>
      <c r="D33">
        <v>3</v>
      </c>
      <c r="E33">
        <v>5</v>
      </c>
      <c r="F33">
        <v>6</v>
      </c>
      <c r="G33">
        <v>3</v>
      </c>
      <c r="H33">
        <v>4</v>
      </c>
      <c r="I33">
        <v>9.35E-2</v>
      </c>
      <c r="J33">
        <f t="shared" si="0"/>
        <v>21.390374331550802</v>
      </c>
      <c r="K33">
        <v>0.02</v>
      </c>
      <c r="L33" t="s">
        <v>17</v>
      </c>
      <c r="M33">
        <v>296</v>
      </c>
      <c r="N33" t="s">
        <v>553</v>
      </c>
      <c r="O33" t="s">
        <v>1372</v>
      </c>
    </row>
    <row r="34" spans="1:15" x14ac:dyDescent="0.2">
      <c r="A34" t="s">
        <v>190</v>
      </c>
      <c r="B34" t="s">
        <v>32</v>
      </c>
      <c r="C34">
        <v>5</v>
      </c>
      <c r="D34">
        <v>3</v>
      </c>
      <c r="E34">
        <v>3</v>
      </c>
      <c r="F34">
        <v>6</v>
      </c>
      <c r="G34">
        <v>2</v>
      </c>
      <c r="H34">
        <v>4</v>
      </c>
      <c r="I34">
        <v>0.13320000000000001</v>
      </c>
      <c r="J34">
        <f t="shared" si="0"/>
        <v>15.015015015015015</v>
      </c>
      <c r="K34">
        <v>0.02</v>
      </c>
      <c r="L34" t="s">
        <v>17</v>
      </c>
      <c r="M34">
        <v>296</v>
      </c>
      <c r="N34" t="s">
        <v>553</v>
      </c>
      <c r="O34" t="s">
        <v>1372</v>
      </c>
    </row>
    <row r="35" spans="1:15" x14ac:dyDescent="0.2">
      <c r="A35" t="s">
        <v>190</v>
      </c>
      <c r="B35" t="s">
        <v>32</v>
      </c>
      <c r="C35">
        <v>2</v>
      </c>
      <c r="D35">
        <v>1</v>
      </c>
      <c r="E35">
        <v>1</v>
      </c>
      <c r="F35">
        <v>3</v>
      </c>
      <c r="G35">
        <v>2</v>
      </c>
      <c r="H35">
        <v>2</v>
      </c>
      <c r="I35">
        <v>0.17829999999999999</v>
      </c>
      <c r="J35">
        <f t="shared" si="0"/>
        <v>11.217049915872126</v>
      </c>
      <c r="K35">
        <v>0.02</v>
      </c>
      <c r="L35" t="s">
        <v>17</v>
      </c>
      <c r="M35">
        <v>296</v>
      </c>
      <c r="N35" t="s">
        <v>553</v>
      </c>
      <c r="O35" t="s">
        <v>1372</v>
      </c>
    </row>
    <row r="36" spans="1:15" x14ac:dyDescent="0.2">
      <c r="A36" t="s">
        <v>190</v>
      </c>
      <c r="B36" t="s">
        <v>32</v>
      </c>
      <c r="C36">
        <v>6</v>
      </c>
      <c r="D36">
        <v>0</v>
      </c>
      <c r="E36">
        <v>6</v>
      </c>
      <c r="F36">
        <v>6</v>
      </c>
      <c r="G36">
        <v>1</v>
      </c>
      <c r="H36">
        <v>5</v>
      </c>
      <c r="I36">
        <v>0.1072</v>
      </c>
      <c r="J36">
        <f t="shared" si="0"/>
        <v>18.656716417910449</v>
      </c>
      <c r="K36">
        <v>0.02</v>
      </c>
      <c r="L36" t="s">
        <v>17</v>
      </c>
      <c r="M36">
        <v>296</v>
      </c>
      <c r="N36" t="s">
        <v>553</v>
      </c>
      <c r="O36" t="s">
        <v>1374</v>
      </c>
    </row>
    <row r="37" spans="1:15" x14ac:dyDescent="0.2">
      <c r="A37" t="s">
        <v>190</v>
      </c>
      <c r="B37" t="s">
        <v>32</v>
      </c>
      <c r="C37">
        <v>4</v>
      </c>
      <c r="D37">
        <v>0</v>
      </c>
      <c r="E37">
        <v>4</v>
      </c>
      <c r="F37">
        <v>5</v>
      </c>
      <c r="G37">
        <v>1</v>
      </c>
      <c r="H37">
        <v>5</v>
      </c>
      <c r="I37">
        <v>0.1241</v>
      </c>
      <c r="J37">
        <f t="shared" si="0"/>
        <v>16.116035455278002</v>
      </c>
      <c r="K37">
        <v>0.02</v>
      </c>
      <c r="L37" t="s">
        <v>17</v>
      </c>
      <c r="M37">
        <v>296</v>
      </c>
      <c r="N37" t="s">
        <v>553</v>
      </c>
      <c r="O37" t="s">
        <v>1372</v>
      </c>
    </row>
    <row r="38" spans="1:15" x14ac:dyDescent="0.2">
      <c r="A38" t="s">
        <v>190</v>
      </c>
      <c r="B38" t="s">
        <v>32</v>
      </c>
      <c r="C38">
        <v>6</v>
      </c>
      <c r="D38">
        <v>4</v>
      </c>
      <c r="E38">
        <v>2</v>
      </c>
      <c r="F38">
        <v>5</v>
      </c>
      <c r="G38">
        <v>4</v>
      </c>
      <c r="H38">
        <v>1</v>
      </c>
      <c r="I38">
        <v>0.1011</v>
      </c>
      <c r="J38">
        <f t="shared" si="0"/>
        <v>19.782393669634025</v>
      </c>
      <c r="K38">
        <v>0.02</v>
      </c>
      <c r="L38" t="s">
        <v>17</v>
      </c>
      <c r="M38">
        <v>296</v>
      </c>
      <c r="N38" t="s">
        <v>553</v>
      </c>
      <c r="O38" t="s">
        <v>1372</v>
      </c>
    </row>
    <row r="39" spans="1:15" x14ac:dyDescent="0.2">
      <c r="A39" t="s">
        <v>190</v>
      </c>
      <c r="B39" t="s">
        <v>32</v>
      </c>
      <c r="C39">
        <v>4</v>
      </c>
      <c r="D39">
        <v>1</v>
      </c>
      <c r="E39">
        <v>4</v>
      </c>
      <c r="F39">
        <v>5</v>
      </c>
      <c r="G39">
        <v>0</v>
      </c>
      <c r="H39">
        <v>5</v>
      </c>
      <c r="I39">
        <v>0.1111</v>
      </c>
      <c r="J39">
        <f t="shared" si="0"/>
        <v>18.001800180018002</v>
      </c>
      <c r="K39">
        <v>0.02</v>
      </c>
      <c r="L39" t="s">
        <v>17</v>
      </c>
      <c r="M39">
        <v>296</v>
      </c>
      <c r="N39" t="s">
        <v>553</v>
      </c>
      <c r="O39" t="s">
        <v>1372</v>
      </c>
    </row>
    <row r="40" spans="1:15" x14ac:dyDescent="0.2">
      <c r="A40" t="s">
        <v>190</v>
      </c>
      <c r="B40" t="s">
        <v>32</v>
      </c>
      <c r="C40">
        <v>5</v>
      </c>
      <c r="D40">
        <v>1</v>
      </c>
      <c r="E40">
        <v>4</v>
      </c>
      <c r="F40">
        <v>6</v>
      </c>
      <c r="G40">
        <v>1</v>
      </c>
      <c r="H40">
        <v>5</v>
      </c>
      <c r="I40">
        <v>0.13700000000000001</v>
      </c>
      <c r="J40">
        <f t="shared" si="0"/>
        <v>14.5985401459854</v>
      </c>
      <c r="K40">
        <v>0.02</v>
      </c>
      <c r="L40" t="s">
        <v>17</v>
      </c>
      <c r="M40">
        <v>296</v>
      </c>
      <c r="N40" t="s">
        <v>553</v>
      </c>
      <c r="O40" t="s">
        <v>1372</v>
      </c>
    </row>
    <row r="41" spans="1:15" x14ac:dyDescent="0.2">
      <c r="A41" t="s">
        <v>190</v>
      </c>
      <c r="B41" t="s">
        <v>32</v>
      </c>
      <c r="C41">
        <v>6</v>
      </c>
      <c r="D41">
        <v>0</v>
      </c>
      <c r="E41">
        <v>6</v>
      </c>
      <c r="F41">
        <v>7</v>
      </c>
      <c r="G41">
        <v>0</v>
      </c>
      <c r="H41">
        <v>7</v>
      </c>
      <c r="I41">
        <v>9.0899999999999995E-2</v>
      </c>
      <c r="J41">
        <f t="shared" si="0"/>
        <v>22.002200220022004</v>
      </c>
      <c r="K41">
        <v>0.02</v>
      </c>
      <c r="L41" t="s">
        <v>17</v>
      </c>
      <c r="M41">
        <v>296</v>
      </c>
      <c r="N41" t="s">
        <v>553</v>
      </c>
      <c r="O41" t="s">
        <v>1372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C581-CB4B-FF4C-8B17-3B129CFEE84D}">
  <dimension ref="A1:O23"/>
  <sheetViews>
    <sheetView workbookViewId="0">
      <selection activeCell="G21" sqref="G2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190</v>
      </c>
      <c r="B2" t="s">
        <v>32</v>
      </c>
      <c r="C2">
        <v>4</v>
      </c>
      <c r="D2">
        <v>2</v>
      </c>
      <c r="E2">
        <v>2</v>
      </c>
      <c r="F2">
        <v>4</v>
      </c>
      <c r="G2">
        <v>2</v>
      </c>
      <c r="H2">
        <v>3</v>
      </c>
      <c r="I2">
        <v>0.1651</v>
      </c>
      <c r="J2">
        <v>0.60599999999999998</v>
      </c>
      <c r="K2">
        <v>1E-3</v>
      </c>
      <c r="L2" t="s">
        <v>17</v>
      </c>
      <c r="M2">
        <v>296</v>
      </c>
      <c r="N2" t="s">
        <v>1376</v>
      </c>
      <c r="O2" t="s">
        <v>1377</v>
      </c>
    </row>
    <row r="3" spans="1:15" x14ac:dyDescent="0.2">
      <c r="A3" t="s">
        <v>190</v>
      </c>
      <c r="B3" t="s">
        <v>32</v>
      </c>
      <c r="C3">
        <v>2</v>
      </c>
      <c r="D3">
        <v>1</v>
      </c>
      <c r="E3">
        <v>1</v>
      </c>
      <c r="F3">
        <v>2</v>
      </c>
      <c r="G3">
        <v>1</v>
      </c>
      <c r="H3">
        <v>2</v>
      </c>
      <c r="I3">
        <v>0.18729999999999999</v>
      </c>
      <c r="J3">
        <v>0.48099999999999998</v>
      </c>
      <c r="K3">
        <v>8.9999999999999998E-4</v>
      </c>
      <c r="L3" t="s">
        <v>17</v>
      </c>
      <c r="M3">
        <v>296</v>
      </c>
      <c r="N3" t="s">
        <v>1376</v>
      </c>
      <c r="O3" t="s">
        <v>1378</v>
      </c>
    </row>
    <row r="4" spans="1:15" x14ac:dyDescent="0.2">
      <c r="A4" t="s">
        <v>190</v>
      </c>
      <c r="B4" t="s">
        <v>32</v>
      </c>
      <c r="C4">
        <v>6</v>
      </c>
      <c r="D4">
        <v>1</v>
      </c>
      <c r="E4">
        <v>6</v>
      </c>
      <c r="F4">
        <v>5</v>
      </c>
      <c r="G4">
        <v>0</v>
      </c>
      <c r="H4">
        <v>5</v>
      </c>
      <c r="I4">
        <v>0.1081</v>
      </c>
      <c r="J4">
        <v>0.83299999999999996</v>
      </c>
      <c r="K4">
        <v>8.9999999999999998E-4</v>
      </c>
      <c r="L4" t="s">
        <v>17</v>
      </c>
      <c r="M4">
        <v>296</v>
      </c>
      <c r="N4" t="s">
        <v>1376</v>
      </c>
      <c r="O4" t="s">
        <v>1379</v>
      </c>
    </row>
    <row r="5" spans="1:15" x14ac:dyDescent="0.2">
      <c r="A5" t="s">
        <v>190</v>
      </c>
      <c r="B5" t="s">
        <v>32</v>
      </c>
      <c r="C5">
        <v>5</v>
      </c>
      <c r="D5">
        <v>5</v>
      </c>
      <c r="E5">
        <v>0</v>
      </c>
      <c r="F5">
        <v>5</v>
      </c>
      <c r="G5">
        <v>4</v>
      </c>
      <c r="H5">
        <v>1</v>
      </c>
      <c r="I5">
        <v>0.1028</v>
      </c>
      <c r="J5">
        <v>1.07</v>
      </c>
      <c r="K5">
        <v>1.1000000000000001E-3</v>
      </c>
      <c r="L5" t="s">
        <v>17</v>
      </c>
      <c r="M5">
        <v>296</v>
      </c>
      <c r="N5" t="s">
        <v>1376</v>
      </c>
      <c r="O5" t="s">
        <v>1380</v>
      </c>
    </row>
    <row r="6" spans="1:15" x14ac:dyDescent="0.2">
      <c r="A6" t="s">
        <v>190</v>
      </c>
      <c r="B6" t="s">
        <v>32</v>
      </c>
      <c r="C6">
        <v>6</v>
      </c>
      <c r="D6">
        <v>6</v>
      </c>
      <c r="E6">
        <v>0</v>
      </c>
      <c r="F6">
        <v>6</v>
      </c>
      <c r="G6">
        <v>5</v>
      </c>
      <c r="H6">
        <v>1</v>
      </c>
      <c r="I6">
        <v>9.8400000000000001E-2</v>
      </c>
      <c r="J6">
        <v>1.22</v>
      </c>
      <c r="K6">
        <v>1.1999999999999999E-3</v>
      </c>
      <c r="L6" t="s">
        <v>17</v>
      </c>
      <c r="M6">
        <v>296</v>
      </c>
      <c r="N6" t="s">
        <v>1376</v>
      </c>
      <c r="O6" t="s">
        <v>1381</v>
      </c>
    </row>
    <row r="7" spans="1:15" x14ac:dyDescent="0.2">
      <c r="A7" t="s">
        <v>190</v>
      </c>
      <c r="B7" t="s">
        <v>32</v>
      </c>
      <c r="C7">
        <v>6</v>
      </c>
      <c r="D7">
        <v>6</v>
      </c>
      <c r="E7">
        <v>1</v>
      </c>
      <c r="F7">
        <v>6</v>
      </c>
      <c r="G7">
        <v>5</v>
      </c>
      <c r="H7">
        <v>2</v>
      </c>
      <c r="I7">
        <v>9.7900000000000001E-2</v>
      </c>
      <c r="J7">
        <v>1.1240000000000001</v>
      </c>
      <c r="K7">
        <v>1.1000000000000001E-3</v>
      </c>
      <c r="L7" t="s">
        <v>17</v>
      </c>
      <c r="M7">
        <v>296</v>
      </c>
      <c r="N7" t="s">
        <v>1376</v>
      </c>
      <c r="O7" t="s">
        <v>1382</v>
      </c>
    </row>
    <row r="8" spans="1:15" x14ac:dyDescent="0.2">
      <c r="A8" t="s">
        <v>190</v>
      </c>
      <c r="B8" t="s">
        <v>32</v>
      </c>
      <c r="C8">
        <v>5</v>
      </c>
      <c r="D8">
        <v>2</v>
      </c>
      <c r="E8">
        <v>4</v>
      </c>
      <c r="F8">
        <v>4</v>
      </c>
      <c r="G8">
        <v>1</v>
      </c>
      <c r="H8">
        <v>3</v>
      </c>
      <c r="I8">
        <v>0.15210000000000001</v>
      </c>
      <c r="J8">
        <v>0.65700000000000003</v>
      </c>
      <c r="K8">
        <v>1E-3</v>
      </c>
      <c r="L8" t="s">
        <v>17</v>
      </c>
      <c r="M8">
        <v>296</v>
      </c>
      <c r="N8" t="s">
        <v>1376</v>
      </c>
      <c r="O8" t="s">
        <v>1383</v>
      </c>
    </row>
    <row r="9" spans="1:15" x14ac:dyDescent="0.2">
      <c r="A9" t="s">
        <v>190</v>
      </c>
      <c r="B9" t="s">
        <v>32</v>
      </c>
      <c r="C9">
        <v>2</v>
      </c>
      <c r="D9">
        <v>1</v>
      </c>
      <c r="E9">
        <v>2</v>
      </c>
      <c r="F9">
        <v>1</v>
      </c>
      <c r="G9">
        <v>1</v>
      </c>
      <c r="H9">
        <v>1</v>
      </c>
      <c r="I9">
        <v>0.1774</v>
      </c>
      <c r="J9">
        <v>0.50700000000000001</v>
      </c>
      <c r="K9">
        <v>8.9999999999999998E-4</v>
      </c>
      <c r="L9" t="s">
        <v>17</v>
      </c>
      <c r="M9">
        <v>296</v>
      </c>
      <c r="N9" t="s">
        <v>1376</v>
      </c>
      <c r="O9" t="s">
        <v>1384</v>
      </c>
    </row>
    <row r="10" spans="1:15" x14ac:dyDescent="0.2">
      <c r="A10" t="s">
        <v>190</v>
      </c>
      <c r="B10" t="s">
        <v>32</v>
      </c>
      <c r="C10">
        <v>6</v>
      </c>
      <c r="D10">
        <v>2</v>
      </c>
      <c r="E10">
        <v>4</v>
      </c>
      <c r="F10">
        <v>6</v>
      </c>
      <c r="G10">
        <v>2</v>
      </c>
      <c r="H10">
        <v>5</v>
      </c>
      <c r="I10">
        <v>0.12889999999999999</v>
      </c>
      <c r="J10">
        <v>0.69799999999999995</v>
      </c>
      <c r="K10">
        <v>8.9999999999999998E-4</v>
      </c>
      <c r="L10" t="s">
        <v>17</v>
      </c>
      <c r="M10">
        <v>296</v>
      </c>
      <c r="N10" t="s">
        <v>1376</v>
      </c>
      <c r="O10" t="s">
        <v>1385</v>
      </c>
    </row>
    <row r="11" spans="1:15" x14ac:dyDescent="0.2">
      <c r="A11" t="s">
        <v>190</v>
      </c>
      <c r="B11" t="s">
        <v>32</v>
      </c>
      <c r="C11">
        <v>3</v>
      </c>
      <c r="D11">
        <v>2</v>
      </c>
      <c r="E11">
        <v>2</v>
      </c>
      <c r="F11">
        <v>3</v>
      </c>
      <c r="G11">
        <v>0</v>
      </c>
      <c r="H11">
        <v>3</v>
      </c>
      <c r="I11">
        <v>0.1583</v>
      </c>
      <c r="J11">
        <v>0.505</v>
      </c>
      <c r="K11">
        <v>8.0000000000000004E-4</v>
      </c>
      <c r="L11" t="s">
        <v>17</v>
      </c>
      <c r="M11">
        <v>296</v>
      </c>
      <c r="N11" t="s">
        <v>1376</v>
      </c>
      <c r="O11" t="s">
        <v>1386</v>
      </c>
    </row>
    <row r="12" spans="1:15" x14ac:dyDescent="0.2">
      <c r="A12" t="s">
        <v>190</v>
      </c>
      <c r="B12" t="s">
        <v>32</v>
      </c>
      <c r="C12">
        <v>4</v>
      </c>
      <c r="D12">
        <v>3</v>
      </c>
      <c r="E12">
        <v>1</v>
      </c>
      <c r="F12">
        <v>3</v>
      </c>
      <c r="G12">
        <v>2</v>
      </c>
      <c r="H12">
        <v>2</v>
      </c>
      <c r="I12">
        <v>0.1186</v>
      </c>
      <c r="J12">
        <v>0.67500000000000004</v>
      </c>
      <c r="K12">
        <v>8.0000000000000004E-4</v>
      </c>
      <c r="L12" t="s">
        <v>17</v>
      </c>
      <c r="M12">
        <v>296</v>
      </c>
      <c r="N12" t="s">
        <v>1376</v>
      </c>
      <c r="O12" t="s">
        <v>1387</v>
      </c>
    </row>
    <row r="13" spans="1:15" x14ac:dyDescent="0.2">
      <c r="A13" t="s">
        <v>190</v>
      </c>
      <c r="B13" t="s">
        <v>32</v>
      </c>
      <c r="C13">
        <v>3</v>
      </c>
      <c r="D13">
        <v>2</v>
      </c>
      <c r="E13">
        <v>1</v>
      </c>
      <c r="F13">
        <v>2</v>
      </c>
      <c r="G13">
        <v>2</v>
      </c>
      <c r="H13">
        <v>0</v>
      </c>
      <c r="I13">
        <v>0.16</v>
      </c>
      <c r="J13">
        <v>0.375</v>
      </c>
      <c r="K13">
        <v>5.9999999999999995E-4</v>
      </c>
      <c r="L13" t="s">
        <v>17</v>
      </c>
      <c r="M13">
        <v>296</v>
      </c>
      <c r="N13" t="s">
        <v>1376</v>
      </c>
      <c r="O13" t="s">
        <v>1388</v>
      </c>
    </row>
    <row r="14" spans="1:15" x14ac:dyDescent="0.2">
      <c r="A14" t="s">
        <v>190</v>
      </c>
      <c r="B14" t="s">
        <v>32</v>
      </c>
      <c r="C14">
        <v>4</v>
      </c>
      <c r="D14">
        <v>2</v>
      </c>
      <c r="E14">
        <v>3</v>
      </c>
      <c r="F14">
        <v>4</v>
      </c>
      <c r="G14">
        <v>0</v>
      </c>
      <c r="H14">
        <v>4</v>
      </c>
      <c r="I14">
        <v>0.13020000000000001</v>
      </c>
      <c r="J14">
        <v>0.84499999999999997</v>
      </c>
      <c r="K14">
        <v>1.1000000000000001E-3</v>
      </c>
      <c r="L14" t="s">
        <v>17</v>
      </c>
      <c r="M14">
        <v>296</v>
      </c>
      <c r="N14" t="s">
        <v>1376</v>
      </c>
      <c r="O14" t="s">
        <v>1389</v>
      </c>
    </row>
    <row r="15" spans="1:15" x14ac:dyDescent="0.2">
      <c r="A15" t="s">
        <v>190</v>
      </c>
      <c r="B15" t="s">
        <v>32</v>
      </c>
      <c r="C15">
        <v>3</v>
      </c>
      <c r="D15">
        <v>1</v>
      </c>
      <c r="E15">
        <v>2</v>
      </c>
      <c r="F15">
        <v>2</v>
      </c>
      <c r="G15">
        <v>1</v>
      </c>
      <c r="H15">
        <v>1</v>
      </c>
      <c r="I15">
        <v>0.18529999999999999</v>
      </c>
      <c r="J15">
        <v>0.64800000000000002</v>
      </c>
      <c r="K15">
        <v>1.1999999999999999E-3</v>
      </c>
      <c r="L15" t="s">
        <v>17</v>
      </c>
      <c r="M15">
        <v>296</v>
      </c>
      <c r="N15" t="s">
        <v>1376</v>
      </c>
      <c r="O15" t="s">
        <v>1390</v>
      </c>
    </row>
    <row r="16" spans="1:15" x14ac:dyDescent="0.2">
      <c r="A16" t="s">
        <v>190</v>
      </c>
      <c r="B16" t="s">
        <v>32</v>
      </c>
      <c r="C16">
        <v>4</v>
      </c>
      <c r="D16">
        <v>3</v>
      </c>
      <c r="E16">
        <v>2</v>
      </c>
      <c r="F16">
        <v>3</v>
      </c>
      <c r="G16">
        <v>3</v>
      </c>
      <c r="H16">
        <v>1</v>
      </c>
      <c r="I16">
        <v>0.1142</v>
      </c>
      <c r="J16">
        <v>0.70099999999999996</v>
      </c>
      <c r="K16">
        <v>8.0000000000000004E-4</v>
      </c>
      <c r="L16" t="s">
        <v>17</v>
      </c>
      <c r="M16">
        <v>296</v>
      </c>
      <c r="N16" t="s">
        <v>1376</v>
      </c>
      <c r="O16" t="s">
        <v>1391</v>
      </c>
    </row>
    <row r="17" spans="1:15" x14ac:dyDescent="0.2">
      <c r="A17" t="s">
        <v>190</v>
      </c>
      <c r="B17" t="s">
        <v>32</v>
      </c>
      <c r="C17">
        <v>5</v>
      </c>
      <c r="D17">
        <v>2</v>
      </c>
      <c r="E17">
        <v>4</v>
      </c>
      <c r="F17">
        <v>5</v>
      </c>
      <c r="G17">
        <v>0</v>
      </c>
      <c r="H17">
        <v>5</v>
      </c>
      <c r="I17">
        <v>0.11210000000000001</v>
      </c>
      <c r="J17">
        <v>0.71399999999999997</v>
      </c>
      <c r="K17">
        <v>8.0000000000000004E-4</v>
      </c>
      <c r="L17" t="s">
        <v>17</v>
      </c>
      <c r="M17">
        <v>296</v>
      </c>
      <c r="N17" t="s">
        <v>1376</v>
      </c>
      <c r="O17" t="s">
        <v>1392</v>
      </c>
    </row>
    <row r="18" spans="1:15" x14ac:dyDescent="0.2">
      <c r="A18" t="s">
        <v>190</v>
      </c>
      <c r="B18" t="s">
        <v>32</v>
      </c>
      <c r="C18">
        <v>4</v>
      </c>
      <c r="D18">
        <v>3</v>
      </c>
      <c r="E18">
        <v>1</v>
      </c>
      <c r="F18">
        <v>3</v>
      </c>
      <c r="G18">
        <v>3</v>
      </c>
      <c r="H18">
        <v>0</v>
      </c>
      <c r="I18">
        <v>0.1133</v>
      </c>
      <c r="J18">
        <v>0.97099999999999997</v>
      </c>
      <c r="K18">
        <v>1.1000000000000001E-3</v>
      </c>
      <c r="L18" t="s">
        <v>17</v>
      </c>
      <c r="M18">
        <v>296</v>
      </c>
      <c r="N18" t="s">
        <v>1376</v>
      </c>
      <c r="O18" t="s">
        <v>1393</v>
      </c>
    </row>
    <row r="19" spans="1:15" x14ac:dyDescent="0.2">
      <c r="A19" t="s">
        <v>190</v>
      </c>
      <c r="B19" t="s">
        <v>32</v>
      </c>
      <c r="C19">
        <v>6</v>
      </c>
      <c r="D19">
        <v>1</v>
      </c>
      <c r="E19">
        <v>5</v>
      </c>
      <c r="F19">
        <v>6</v>
      </c>
      <c r="G19">
        <v>1</v>
      </c>
      <c r="H19">
        <v>6</v>
      </c>
      <c r="I19">
        <v>0.1308</v>
      </c>
      <c r="J19">
        <v>0.76500000000000001</v>
      </c>
      <c r="K19">
        <v>1E-3</v>
      </c>
      <c r="L19" t="s">
        <v>17</v>
      </c>
      <c r="M19">
        <v>296</v>
      </c>
      <c r="N19" t="s">
        <v>1376</v>
      </c>
      <c r="O19" t="s">
        <v>1394</v>
      </c>
    </row>
    <row r="20" spans="1:15" x14ac:dyDescent="0.2">
      <c r="A20" t="s">
        <v>190</v>
      </c>
      <c r="B20" t="s">
        <v>32</v>
      </c>
      <c r="C20">
        <v>4</v>
      </c>
      <c r="D20">
        <v>2</v>
      </c>
      <c r="E20">
        <v>3</v>
      </c>
      <c r="F20">
        <v>3</v>
      </c>
      <c r="G20">
        <v>2</v>
      </c>
      <c r="H20">
        <v>2</v>
      </c>
      <c r="I20">
        <v>0.1167</v>
      </c>
      <c r="J20">
        <v>0.77100000000000002</v>
      </c>
      <c r="K20">
        <v>8.9999999999999998E-4</v>
      </c>
      <c r="L20" t="s">
        <v>17</v>
      </c>
      <c r="M20">
        <v>296</v>
      </c>
      <c r="N20" t="s">
        <v>1376</v>
      </c>
      <c r="O20" t="s">
        <v>1395</v>
      </c>
    </row>
    <row r="21" spans="1:15" x14ac:dyDescent="0.2">
      <c r="A21" t="s">
        <v>190</v>
      </c>
      <c r="B21" t="s">
        <v>32</v>
      </c>
      <c r="C21">
        <v>5</v>
      </c>
      <c r="D21">
        <v>3</v>
      </c>
      <c r="E21">
        <v>3</v>
      </c>
      <c r="F21">
        <v>5</v>
      </c>
      <c r="G21">
        <v>1</v>
      </c>
      <c r="H21">
        <v>4</v>
      </c>
      <c r="I21">
        <v>0.1406</v>
      </c>
      <c r="J21">
        <v>0.56899999999999995</v>
      </c>
      <c r="K21">
        <v>8.0000000000000004E-4</v>
      </c>
      <c r="L21" t="s">
        <v>17</v>
      </c>
      <c r="M21">
        <v>296</v>
      </c>
      <c r="N21" t="s">
        <v>1376</v>
      </c>
      <c r="O21" t="s">
        <v>1396</v>
      </c>
    </row>
    <row r="22" spans="1:15" x14ac:dyDescent="0.2">
      <c r="A22" t="s">
        <v>190</v>
      </c>
      <c r="B22" t="s">
        <v>32</v>
      </c>
      <c r="C22">
        <v>5</v>
      </c>
      <c r="D22">
        <v>4</v>
      </c>
      <c r="E22">
        <v>2</v>
      </c>
      <c r="F22">
        <v>4</v>
      </c>
      <c r="G22">
        <v>4</v>
      </c>
      <c r="H22">
        <v>1</v>
      </c>
      <c r="I22">
        <v>9.8799999999999999E-2</v>
      </c>
      <c r="J22">
        <v>0.91100000000000003</v>
      </c>
      <c r="K22">
        <v>8.9999999999999998E-4</v>
      </c>
      <c r="L22" t="s">
        <v>17</v>
      </c>
      <c r="M22">
        <v>296</v>
      </c>
      <c r="N22" t="s">
        <v>1376</v>
      </c>
      <c r="O22" t="s">
        <v>1397</v>
      </c>
    </row>
    <row r="23" spans="1:15" x14ac:dyDescent="0.2">
      <c r="A23" t="s">
        <v>190</v>
      </c>
      <c r="B23" t="s">
        <v>32</v>
      </c>
      <c r="C23">
        <v>5</v>
      </c>
      <c r="D23">
        <v>4</v>
      </c>
      <c r="E23">
        <v>1</v>
      </c>
      <c r="F23">
        <v>4</v>
      </c>
      <c r="G23">
        <v>4</v>
      </c>
      <c r="H23">
        <v>0</v>
      </c>
      <c r="I23">
        <v>0.1019</v>
      </c>
      <c r="J23">
        <v>0.78500000000000003</v>
      </c>
      <c r="K23">
        <v>8.0000000000000004E-4</v>
      </c>
      <c r="L23" t="s">
        <v>17</v>
      </c>
      <c r="M23">
        <v>296</v>
      </c>
      <c r="N23" t="s">
        <v>1376</v>
      </c>
      <c r="O23" t="s">
        <v>1398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A72A5-F68A-2D49-9725-28E24507A713}">
  <dimension ref="A1:O21"/>
  <sheetViews>
    <sheetView workbookViewId="0">
      <selection activeCell="L23" sqref="L23"/>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1399</v>
      </c>
      <c r="B2" t="s">
        <v>32</v>
      </c>
      <c r="C2">
        <v>6</v>
      </c>
      <c r="D2">
        <v>3</v>
      </c>
      <c r="E2">
        <v>4</v>
      </c>
      <c r="F2">
        <v>5</v>
      </c>
      <c r="G2">
        <v>3</v>
      </c>
      <c r="H2">
        <v>3</v>
      </c>
      <c r="I2">
        <v>0.115</v>
      </c>
      <c r="J2">
        <v>2.609</v>
      </c>
      <c r="K2">
        <v>3.0000000000000001E-3</v>
      </c>
      <c r="L2" t="s">
        <v>17</v>
      </c>
      <c r="M2">
        <v>297</v>
      </c>
      <c r="N2" t="s">
        <v>1400</v>
      </c>
      <c r="O2" t="s">
        <v>1401</v>
      </c>
    </row>
    <row r="3" spans="1:15" x14ac:dyDescent="0.2">
      <c r="A3" t="s">
        <v>1399</v>
      </c>
      <c r="B3" t="s">
        <v>32</v>
      </c>
      <c r="C3">
        <v>10</v>
      </c>
      <c r="D3">
        <v>0</v>
      </c>
      <c r="E3">
        <v>10</v>
      </c>
      <c r="F3">
        <v>11</v>
      </c>
      <c r="G3">
        <v>0</v>
      </c>
      <c r="H3">
        <v>11</v>
      </c>
      <c r="I3">
        <v>7.8E-2</v>
      </c>
      <c r="J3">
        <v>1.282</v>
      </c>
      <c r="K3">
        <v>1E-3</v>
      </c>
      <c r="L3" t="s">
        <v>17</v>
      </c>
      <c r="M3">
        <v>297</v>
      </c>
      <c r="N3" t="s">
        <v>1400</v>
      </c>
      <c r="O3" t="s">
        <v>1402</v>
      </c>
    </row>
    <row r="4" spans="1:15" x14ac:dyDescent="0.2">
      <c r="A4" t="s">
        <v>1399</v>
      </c>
      <c r="B4" t="s">
        <v>32</v>
      </c>
      <c r="C4">
        <v>10</v>
      </c>
      <c r="D4">
        <v>1</v>
      </c>
      <c r="E4">
        <v>10</v>
      </c>
      <c r="F4">
        <v>11</v>
      </c>
      <c r="G4">
        <v>1</v>
      </c>
      <c r="H4">
        <v>11</v>
      </c>
      <c r="I4">
        <v>7.3999999999999996E-2</v>
      </c>
      <c r="J4">
        <v>2.7029999999999998</v>
      </c>
      <c r="K4">
        <v>2E-3</v>
      </c>
      <c r="L4" t="s">
        <v>17</v>
      </c>
      <c r="M4">
        <v>297</v>
      </c>
      <c r="N4" t="s">
        <v>1400</v>
      </c>
      <c r="O4" t="s">
        <v>1403</v>
      </c>
    </row>
    <row r="5" spans="1:15" x14ac:dyDescent="0.2">
      <c r="A5" t="s">
        <v>1399</v>
      </c>
      <c r="B5" t="s">
        <v>32</v>
      </c>
      <c r="C5">
        <v>8</v>
      </c>
      <c r="D5">
        <v>1</v>
      </c>
      <c r="E5">
        <v>8</v>
      </c>
      <c r="F5">
        <v>7</v>
      </c>
      <c r="G5">
        <v>1</v>
      </c>
      <c r="H5">
        <v>7</v>
      </c>
      <c r="I5">
        <v>9.6000000000000002E-2</v>
      </c>
      <c r="J5">
        <v>2.0830000000000002</v>
      </c>
      <c r="K5">
        <v>2E-3</v>
      </c>
      <c r="L5" t="s">
        <v>17</v>
      </c>
      <c r="M5">
        <v>297</v>
      </c>
      <c r="N5" t="s">
        <v>1400</v>
      </c>
      <c r="O5" t="s">
        <v>1404</v>
      </c>
    </row>
    <row r="6" spans="1:15" x14ac:dyDescent="0.2">
      <c r="A6" t="s">
        <v>1399</v>
      </c>
      <c r="B6" t="s">
        <v>32</v>
      </c>
      <c r="C6">
        <v>8</v>
      </c>
      <c r="D6">
        <v>2</v>
      </c>
      <c r="E6">
        <v>6</v>
      </c>
      <c r="F6">
        <v>9</v>
      </c>
      <c r="G6">
        <v>2</v>
      </c>
      <c r="H6">
        <v>7</v>
      </c>
      <c r="I6">
        <v>0.106</v>
      </c>
      <c r="J6">
        <v>0.94299999999999995</v>
      </c>
      <c r="K6">
        <v>1E-3</v>
      </c>
      <c r="L6" t="s">
        <v>17</v>
      </c>
      <c r="M6">
        <v>297</v>
      </c>
      <c r="N6" t="s">
        <v>1400</v>
      </c>
      <c r="O6" t="s">
        <v>1405</v>
      </c>
    </row>
    <row r="7" spans="1:15" x14ac:dyDescent="0.2">
      <c r="A7" t="s">
        <v>1399</v>
      </c>
      <c r="B7" t="s">
        <v>32</v>
      </c>
      <c r="C7">
        <v>8</v>
      </c>
      <c r="D7">
        <v>0</v>
      </c>
      <c r="E7">
        <v>8</v>
      </c>
      <c r="F7">
        <v>7</v>
      </c>
      <c r="G7">
        <v>0</v>
      </c>
      <c r="H7">
        <v>7</v>
      </c>
      <c r="I7">
        <v>9.8000000000000004E-2</v>
      </c>
      <c r="J7">
        <v>2.0409999999999999</v>
      </c>
      <c r="K7">
        <v>2E-3</v>
      </c>
      <c r="L7" t="s">
        <v>17</v>
      </c>
      <c r="M7">
        <v>297</v>
      </c>
      <c r="N7" t="s">
        <v>1400</v>
      </c>
      <c r="O7" t="s">
        <v>1406</v>
      </c>
    </row>
    <row r="8" spans="1:15" x14ac:dyDescent="0.2">
      <c r="A8" t="s">
        <v>1399</v>
      </c>
      <c r="B8" t="s">
        <v>32</v>
      </c>
      <c r="C8">
        <v>6</v>
      </c>
      <c r="D8">
        <v>3</v>
      </c>
      <c r="E8">
        <v>3</v>
      </c>
      <c r="F8">
        <v>5</v>
      </c>
      <c r="G8">
        <v>3</v>
      </c>
      <c r="H8">
        <v>2</v>
      </c>
      <c r="I8">
        <v>0.13</v>
      </c>
      <c r="J8">
        <v>1.538</v>
      </c>
      <c r="K8">
        <v>2E-3</v>
      </c>
      <c r="L8" t="s">
        <v>17</v>
      </c>
      <c r="M8">
        <v>297</v>
      </c>
      <c r="N8" t="s">
        <v>1400</v>
      </c>
      <c r="O8" t="s">
        <v>1407</v>
      </c>
    </row>
    <row r="9" spans="1:15" x14ac:dyDescent="0.2">
      <c r="A9" t="s">
        <v>1399</v>
      </c>
      <c r="B9" t="s">
        <v>32</v>
      </c>
      <c r="C9">
        <v>4</v>
      </c>
      <c r="D9">
        <v>2</v>
      </c>
      <c r="E9">
        <v>3</v>
      </c>
      <c r="F9">
        <v>3</v>
      </c>
      <c r="G9">
        <v>1</v>
      </c>
      <c r="H9">
        <v>2</v>
      </c>
      <c r="I9">
        <v>0.17299999999999999</v>
      </c>
      <c r="J9">
        <v>1.1559999999999999</v>
      </c>
      <c r="K9">
        <v>2E-3</v>
      </c>
      <c r="L9" t="s">
        <v>17</v>
      </c>
      <c r="M9">
        <v>297</v>
      </c>
      <c r="N9" t="s">
        <v>1400</v>
      </c>
      <c r="O9" t="s">
        <v>1408</v>
      </c>
    </row>
    <row r="10" spans="1:15" x14ac:dyDescent="0.2">
      <c r="A10" t="s">
        <v>1399</v>
      </c>
      <c r="B10" t="s">
        <v>32</v>
      </c>
      <c r="C10">
        <v>6</v>
      </c>
      <c r="D10">
        <v>2</v>
      </c>
      <c r="E10">
        <v>4</v>
      </c>
      <c r="F10">
        <v>5</v>
      </c>
      <c r="G10">
        <v>2</v>
      </c>
      <c r="H10">
        <v>3</v>
      </c>
      <c r="I10">
        <v>0.157</v>
      </c>
      <c r="J10">
        <v>1.274</v>
      </c>
      <c r="K10">
        <v>2E-3</v>
      </c>
      <c r="L10" t="s">
        <v>17</v>
      </c>
      <c r="M10">
        <v>297</v>
      </c>
      <c r="N10" t="s">
        <v>1400</v>
      </c>
      <c r="O10" t="s">
        <v>1409</v>
      </c>
    </row>
    <row r="11" spans="1:15" x14ac:dyDescent="0.2">
      <c r="A11" t="s">
        <v>1399</v>
      </c>
      <c r="B11" t="s">
        <v>32</v>
      </c>
      <c r="C11">
        <v>9</v>
      </c>
      <c r="D11">
        <v>3</v>
      </c>
      <c r="E11">
        <v>7</v>
      </c>
      <c r="F11">
        <v>9</v>
      </c>
      <c r="G11">
        <v>2</v>
      </c>
      <c r="H11">
        <v>8</v>
      </c>
      <c r="I11">
        <v>8.3000000000000004E-2</v>
      </c>
      <c r="J11">
        <v>1.2050000000000001</v>
      </c>
      <c r="K11">
        <v>1E-3</v>
      </c>
      <c r="L11" t="s">
        <v>17</v>
      </c>
      <c r="M11">
        <v>297</v>
      </c>
      <c r="N11" t="s">
        <v>1400</v>
      </c>
      <c r="O11" t="s">
        <v>1410</v>
      </c>
    </row>
    <row r="12" spans="1:15" x14ac:dyDescent="0.2">
      <c r="A12" t="s">
        <v>1399</v>
      </c>
      <c r="B12" t="s">
        <v>32</v>
      </c>
      <c r="C12">
        <v>6</v>
      </c>
      <c r="D12">
        <v>4</v>
      </c>
      <c r="E12">
        <v>3</v>
      </c>
      <c r="F12">
        <v>5</v>
      </c>
      <c r="G12">
        <v>4</v>
      </c>
      <c r="H12">
        <v>2</v>
      </c>
      <c r="I12">
        <v>0.111</v>
      </c>
      <c r="J12">
        <v>1.802</v>
      </c>
      <c r="K12">
        <v>2E-3</v>
      </c>
      <c r="L12" t="s">
        <v>17</v>
      </c>
      <c r="M12">
        <v>297</v>
      </c>
      <c r="N12" t="s">
        <v>1400</v>
      </c>
      <c r="O12" t="s">
        <v>1411</v>
      </c>
    </row>
    <row r="13" spans="1:15" x14ac:dyDescent="0.2">
      <c r="A13" t="s">
        <v>1399</v>
      </c>
      <c r="B13" t="s">
        <v>32</v>
      </c>
      <c r="C13">
        <v>6</v>
      </c>
      <c r="D13">
        <v>4</v>
      </c>
      <c r="E13">
        <v>2</v>
      </c>
      <c r="F13">
        <v>5</v>
      </c>
      <c r="G13">
        <v>4</v>
      </c>
      <c r="H13">
        <v>1</v>
      </c>
      <c r="I13">
        <v>0.112</v>
      </c>
      <c r="J13">
        <v>2.6789999999999998</v>
      </c>
      <c r="K13">
        <v>3.0000000000000001E-3</v>
      </c>
      <c r="L13" t="s">
        <v>17</v>
      </c>
      <c r="M13">
        <v>297</v>
      </c>
      <c r="N13" t="s">
        <v>1400</v>
      </c>
      <c r="O13" t="s">
        <v>1412</v>
      </c>
    </row>
    <row r="14" spans="1:15" x14ac:dyDescent="0.2">
      <c r="A14" t="s">
        <v>1399</v>
      </c>
      <c r="B14" t="s">
        <v>32</v>
      </c>
      <c r="C14">
        <v>8</v>
      </c>
      <c r="D14">
        <v>1</v>
      </c>
      <c r="E14">
        <v>8</v>
      </c>
      <c r="F14">
        <v>7</v>
      </c>
      <c r="G14">
        <v>0</v>
      </c>
      <c r="H14">
        <v>7</v>
      </c>
      <c r="I14">
        <v>0.11799999999999999</v>
      </c>
      <c r="J14">
        <v>0.84699999999999998</v>
      </c>
      <c r="K14">
        <v>1E-3</v>
      </c>
      <c r="L14" t="s">
        <v>17</v>
      </c>
      <c r="M14">
        <v>297</v>
      </c>
      <c r="N14" t="s">
        <v>1400</v>
      </c>
      <c r="O14" t="s">
        <v>1413</v>
      </c>
    </row>
    <row r="15" spans="1:15" x14ac:dyDescent="0.2">
      <c r="A15" t="s">
        <v>1414</v>
      </c>
      <c r="B15" t="s">
        <v>32</v>
      </c>
      <c r="C15">
        <v>7</v>
      </c>
      <c r="D15">
        <v>2</v>
      </c>
      <c r="E15">
        <v>6</v>
      </c>
      <c r="F15">
        <v>6</v>
      </c>
      <c r="G15">
        <v>2</v>
      </c>
      <c r="H15">
        <v>5</v>
      </c>
      <c r="I15">
        <v>0.11700000000000001</v>
      </c>
      <c r="J15">
        <v>1.7090000000000001</v>
      </c>
      <c r="K15">
        <v>2E-3</v>
      </c>
      <c r="L15" t="s">
        <v>17</v>
      </c>
      <c r="M15">
        <v>297</v>
      </c>
      <c r="N15" t="s">
        <v>1400</v>
      </c>
      <c r="O15" t="s">
        <v>1415</v>
      </c>
    </row>
    <row r="16" spans="1:15" x14ac:dyDescent="0.2">
      <c r="A16" t="s">
        <v>1414</v>
      </c>
      <c r="B16" t="s">
        <v>32</v>
      </c>
      <c r="C16">
        <v>7</v>
      </c>
      <c r="D16">
        <v>2</v>
      </c>
      <c r="E16">
        <v>6</v>
      </c>
      <c r="F16">
        <v>8</v>
      </c>
      <c r="G16">
        <v>1</v>
      </c>
      <c r="H16">
        <v>7</v>
      </c>
      <c r="I16">
        <v>0.11600000000000001</v>
      </c>
      <c r="J16">
        <v>1.724</v>
      </c>
      <c r="K16">
        <v>2E-3</v>
      </c>
      <c r="L16" t="s">
        <v>17</v>
      </c>
      <c r="M16">
        <v>297</v>
      </c>
      <c r="N16" t="s">
        <v>1400</v>
      </c>
      <c r="O16" t="s">
        <v>1416</v>
      </c>
    </row>
    <row r="17" spans="1:15" x14ac:dyDescent="0.2">
      <c r="A17" t="s">
        <v>1414</v>
      </c>
      <c r="B17" t="s">
        <v>32</v>
      </c>
      <c r="C17">
        <v>7</v>
      </c>
      <c r="D17">
        <v>1</v>
      </c>
      <c r="E17">
        <v>6</v>
      </c>
      <c r="F17">
        <v>6</v>
      </c>
      <c r="G17">
        <v>1</v>
      </c>
      <c r="H17">
        <v>5</v>
      </c>
      <c r="I17">
        <v>0.122</v>
      </c>
      <c r="J17">
        <v>1.639</v>
      </c>
      <c r="K17">
        <v>2E-3</v>
      </c>
      <c r="L17" t="s">
        <v>17</v>
      </c>
      <c r="M17">
        <v>297</v>
      </c>
      <c r="N17" t="s">
        <v>1400</v>
      </c>
      <c r="O17" t="s">
        <v>1417</v>
      </c>
    </row>
    <row r="18" spans="1:15" x14ac:dyDescent="0.2">
      <c r="A18" t="s">
        <v>1414</v>
      </c>
      <c r="B18" t="s">
        <v>32</v>
      </c>
      <c r="C18">
        <v>6</v>
      </c>
      <c r="D18">
        <v>1</v>
      </c>
      <c r="E18">
        <v>5</v>
      </c>
      <c r="F18">
        <v>7</v>
      </c>
      <c r="G18">
        <v>2</v>
      </c>
      <c r="H18">
        <v>6</v>
      </c>
      <c r="I18">
        <v>0.14099999999999999</v>
      </c>
      <c r="J18">
        <v>2.1280000000000001</v>
      </c>
      <c r="K18">
        <v>3.0000000000000001E-3</v>
      </c>
      <c r="L18" t="s">
        <v>17</v>
      </c>
      <c r="M18">
        <v>297</v>
      </c>
      <c r="N18" t="s">
        <v>1400</v>
      </c>
      <c r="O18" t="s">
        <v>1418</v>
      </c>
    </row>
    <row r="19" spans="1:15" x14ac:dyDescent="0.2">
      <c r="A19" t="s">
        <v>1414</v>
      </c>
      <c r="B19" t="s">
        <v>32</v>
      </c>
      <c r="C19">
        <v>3</v>
      </c>
      <c r="D19">
        <v>2</v>
      </c>
      <c r="E19">
        <v>1</v>
      </c>
      <c r="F19">
        <v>4</v>
      </c>
      <c r="G19">
        <v>3</v>
      </c>
      <c r="H19">
        <v>2</v>
      </c>
      <c r="I19">
        <v>0.154</v>
      </c>
      <c r="J19">
        <v>0.64900000000000002</v>
      </c>
      <c r="K19">
        <v>1E-3</v>
      </c>
      <c r="L19" t="s">
        <v>17</v>
      </c>
      <c r="M19">
        <v>297</v>
      </c>
      <c r="N19" t="s">
        <v>1400</v>
      </c>
      <c r="O19" t="s">
        <v>1419</v>
      </c>
    </row>
    <row r="20" spans="1:15" x14ac:dyDescent="0.2">
      <c r="A20" t="s">
        <v>1414</v>
      </c>
      <c r="B20" t="s">
        <v>32</v>
      </c>
      <c r="C20">
        <v>8</v>
      </c>
      <c r="D20">
        <v>4</v>
      </c>
      <c r="E20">
        <v>4</v>
      </c>
      <c r="F20">
        <v>8</v>
      </c>
      <c r="G20">
        <v>5</v>
      </c>
      <c r="H20">
        <v>3</v>
      </c>
      <c r="I20">
        <v>0.114</v>
      </c>
      <c r="J20">
        <v>1.754</v>
      </c>
      <c r="K20">
        <v>2E-3</v>
      </c>
      <c r="L20" t="s">
        <v>17</v>
      </c>
      <c r="M20">
        <v>297</v>
      </c>
      <c r="N20" t="s">
        <v>1400</v>
      </c>
      <c r="O20" t="s">
        <v>1420</v>
      </c>
    </row>
    <row r="21" spans="1:15" x14ac:dyDescent="0.2">
      <c r="A21" t="s">
        <v>1414</v>
      </c>
      <c r="B21" t="s">
        <v>32</v>
      </c>
      <c r="C21">
        <v>6</v>
      </c>
      <c r="D21">
        <v>3</v>
      </c>
      <c r="E21">
        <v>4</v>
      </c>
      <c r="F21">
        <v>5</v>
      </c>
      <c r="G21">
        <v>3</v>
      </c>
      <c r="H21">
        <v>3</v>
      </c>
      <c r="I21">
        <v>0.109</v>
      </c>
      <c r="J21">
        <v>0.91700000000000004</v>
      </c>
      <c r="K21">
        <v>1E-3</v>
      </c>
      <c r="L21" t="s">
        <v>17</v>
      </c>
      <c r="M21">
        <v>297</v>
      </c>
      <c r="N21" t="s">
        <v>1400</v>
      </c>
      <c r="O21" t="s">
        <v>1421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83409-6FE4-BF48-AA08-72012EC411C1}">
  <dimension ref="A1:O6"/>
  <sheetViews>
    <sheetView workbookViewId="0">
      <selection activeCell="B6" sqref="B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1428</v>
      </c>
      <c r="B2" t="s">
        <v>239</v>
      </c>
      <c r="C2" t="s">
        <v>17</v>
      </c>
      <c r="D2" t="s">
        <v>17</v>
      </c>
      <c r="E2" t="s">
        <v>17</v>
      </c>
      <c r="F2" t="s">
        <v>17</v>
      </c>
      <c r="G2" t="s">
        <v>17</v>
      </c>
      <c r="H2" t="s">
        <v>17</v>
      </c>
      <c r="I2">
        <v>0.25</v>
      </c>
      <c r="J2" t="s">
        <v>192</v>
      </c>
      <c r="K2" t="s">
        <v>192</v>
      </c>
      <c r="L2" t="s">
        <v>17</v>
      </c>
      <c r="M2">
        <v>295</v>
      </c>
      <c r="N2" t="s">
        <v>201</v>
      </c>
      <c r="O2" t="s">
        <v>1429</v>
      </c>
    </row>
    <row r="3" spans="1:15" x14ac:dyDescent="0.2">
      <c r="A3" t="s">
        <v>1428</v>
      </c>
      <c r="B3" t="s">
        <v>203</v>
      </c>
      <c r="C3" t="s">
        <v>17</v>
      </c>
      <c r="D3" t="s">
        <v>17</v>
      </c>
      <c r="E3" t="s">
        <v>17</v>
      </c>
      <c r="F3" t="s">
        <v>17</v>
      </c>
      <c r="G3" t="s">
        <v>17</v>
      </c>
      <c r="H3" t="s">
        <v>17</v>
      </c>
      <c r="I3">
        <v>0.26500000000000001</v>
      </c>
      <c r="J3" t="s">
        <v>192</v>
      </c>
      <c r="K3" t="s">
        <v>192</v>
      </c>
      <c r="L3" t="s">
        <v>17</v>
      </c>
      <c r="M3">
        <v>295</v>
      </c>
      <c r="N3" t="s">
        <v>201</v>
      </c>
      <c r="O3" t="s">
        <v>1430</v>
      </c>
    </row>
    <row r="4" spans="1:15" x14ac:dyDescent="0.2">
      <c r="A4" t="s">
        <v>1428</v>
      </c>
      <c r="B4" t="s">
        <v>1428</v>
      </c>
      <c r="C4" t="s">
        <v>17</v>
      </c>
      <c r="D4" t="s">
        <v>17</v>
      </c>
      <c r="E4" t="s">
        <v>17</v>
      </c>
      <c r="F4" t="s">
        <v>17</v>
      </c>
      <c r="G4" t="s">
        <v>17</v>
      </c>
      <c r="H4" t="s">
        <v>17</v>
      </c>
      <c r="I4">
        <v>0.27500000000000002</v>
      </c>
      <c r="J4" t="s">
        <v>192</v>
      </c>
      <c r="K4" t="s">
        <v>192</v>
      </c>
      <c r="L4" t="s">
        <v>17</v>
      </c>
      <c r="M4">
        <v>295</v>
      </c>
      <c r="N4" t="s">
        <v>201</v>
      </c>
      <c r="O4" t="s">
        <v>1431</v>
      </c>
    </row>
    <row r="5" spans="1:15" x14ac:dyDescent="0.2">
      <c r="A5" t="s">
        <v>1428</v>
      </c>
      <c r="B5" t="s">
        <v>57</v>
      </c>
      <c r="C5" t="s">
        <v>17</v>
      </c>
      <c r="D5" t="s">
        <v>17</v>
      </c>
      <c r="E5" t="s">
        <v>17</v>
      </c>
      <c r="F5" t="s">
        <v>17</v>
      </c>
      <c r="G5" t="s">
        <v>17</v>
      </c>
      <c r="H5" t="s">
        <v>17</v>
      </c>
      <c r="I5">
        <v>0.28999999999999998</v>
      </c>
      <c r="J5" t="s">
        <v>192</v>
      </c>
      <c r="K5" t="s">
        <v>192</v>
      </c>
      <c r="L5" t="s">
        <v>17</v>
      </c>
      <c r="M5">
        <v>295</v>
      </c>
      <c r="N5" t="s">
        <v>201</v>
      </c>
      <c r="O5" t="s">
        <v>1432</v>
      </c>
    </row>
    <row r="6" spans="1:15" ht="409.6" x14ac:dyDescent="0.2">
      <c r="A6" t="s">
        <v>1428</v>
      </c>
      <c r="B6" t="s">
        <v>190</v>
      </c>
      <c r="C6" t="s">
        <v>17</v>
      </c>
      <c r="D6" t="s">
        <v>17</v>
      </c>
      <c r="E6" t="s">
        <v>17</v>
      </c>
      <c r="F6" t="s">
        <v>17</v>
      </c>
      <c r="G6" t="s">
        <v>17</v>
      </c>
      <c r="H6" t="s">
        <v>17</v>
      </c>
      <c r="I6">
        <v>0.39500000000000002</v>
      </c>
      <c r="J6" t="s">
        <v>192</v>
      </c>
      <c r="K6" t="s">
        <v>192</v>
      </c>
      <c r="L6" t="s">
        <v>17</v>
      </c>
      <c r="M6">
        <v>295</v>
      </c>
      <c r="N6" t="s">
        <v>201</v>
      </c>
      <c r="O6" s="6" t="s">
        <v>1433</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4B45B-1508-6249-9E8E-08DAA7EE278A}">
  <dimension ref="A1:O13"/>
  <sheetViews>
    <sheetView workbookViewId="0">
      <selection activeCell="D12" sqref="D12"/>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1422</v>
      </c>
      <c r="B2" t="s">
        <v>1422</v>
      </c>
      <c r="C2" t="s">
        <v>17</v>
      </c>
      <c r="D2" t="s">
        <v>17</v>
      </c>
      <c r="E2" t="s">
        <v>17</v>
      </c>
      <c r="F2" t="s">
        <v>17</v>
      </c>
      <c r="G2" t="s">
        <v>17</v>
      </c>
      <c r="H2" t="s">
        <v>17</v>
      </c>
      <c r="I2">
        <v>0.10299999999999999</v>
      </c>
      <c r="J2">
        <v>3.88</v>
      </c>
      <c r="K2">
        <v>4.0000000000000001E-3</v>
      </c>
      <c r="L2" t="s">
        <v>17</v>
      </c>
      <c r="M2">
        <v>300</v>
      </c>
      <c r="N2" t="s">
        <v>17</v>
      </c>
      <c r="O2" t="s">
        <v>1434</v>
      </c>
    </row>
    <row r="3" spans="1:15" x14ac:dyDescent="0.2">
      <c r="A3" t="s">
        <v>1423</v>
      </c>
      <c r="B3" t="s">
        <v>1423</v>
      </c>
      <c r="C3" t="s">
        <v>17</v>
      </c>
      <c r="D3" t="s">
        <v>17</v>
      </c>
      <c r="E3" t="s">
        <v>17</v>
      </c>
      <c r="F3" t="s">
        <v>17</v>
      </c>
      <c r="G3" t="s">
        <v>17</v>
      </c>
      <c r="H3" t="s">
        <v>17</v>
      </c>
      <c r="I3">
        <v>8.4000000000000005E-2</v>
      </c>
      <c r="J3">
        <v>6.55</v>
      </c>
      <c r="K3">
        <v>1.0999999999999999E-2</v>
      </c>
      <c r="L3" t="s">
        <v>17</v>
      </c>
      <c r="M3">
        <v>300</v>
      </c>
      <c r="N3" t="s">
        <v>17</v>
      </c>
      <c r="O3" t="s">
        <v>1435</v>
      </c>
    </row>
    <row r="4" spans="1:15" x14ac:dyDescent="0.2">
      <c r="A4" t="s">
        <v>1424</v>
      </c>
      <c r="B4" t="s">
        <v>1424</v>
      </c>
      <c r="C4" t="s">
        <v>17</v>
      </c>
      <c r="D4" t="s">
        <v>17</v>
      </c>
      <c r="E4" t="s">
        <v>17</v>
      </c>
      <c r="F4" t="s">
        <v>17</v>
      </c>
      <c r="G4" t="s">
        <v>17</v>
      </c>
      <c r="H4" t="s">
        <v>17</v>
      </c>
      <c r="I4">
        <v>0.1</v>
      </c>
      <c r="J4">
        <v>25</v>
      </c>
      <c r="K4">
        <v>2.5000000000000001E-2</v>
      </c>
      <c r="L4" t="s">
        <v>17</v>
      </c>
      <c r="M4">
        <v>300</v>
      </c>
      <c r="N4" t="s">
        <v>17</v>
      </c>
      <c r="O4" t="s">
        <v>1436</v>
      </c>
    </row>
    <row r="5" spans="1:15" x14ac:dyDescent="0.2">
      <c r="A5" t="s">
        <v>203</v>
      </c>
      <c r="B5" t="s">
        <v>203</v>
      </c>
      <c r="C5" t="s">
        <v>17</v>
      </c>
      <c r="D5" t="s">
        <v>17</v>
      </c>
      <c r="E5" t="s">
        <v>17</v>
      </c>
      <c r="F5" t="s">
        <v>17</v>
      </c>
      <c r="G5" t="s">
        <v>17</v>
      </c>
      <c r="H5" t="s">
        <v>17</v>
      </c>
      <c r="I5">
        <v>0.05</v>
      </c>
      <c r="J5" t="s">
        <v>17</v>
      </c>
      <c r="K5" t="s">
        <v>17</v>
      </c>
      <c r="L5" t="s">
        <v>17</v>
      </c>
      <c r="M5">
        <v>300</v>
      </c>
      <c r="N5" t="s">
        <v>17</v>
      </c>
      <c r="O5" t="s">
        <v>1437</v>
      </c>
    </row>
    <row r="6" spans="1:15" x14ac:dyDescent="0.2">
      <c r="A6" t="s">
        <v>1425</v>
      </c>
      <c r="B6" t="s">
        <v>1425</v>
      </c>
      <c r="C6" t="s">
        <v>17</v>
      </c>
      <c r="D6" t="s">
        <v>17</v>
      </c>
      <c r="E6" t="s">
        <v>17</v>
      </c>
      <c r="F6" t="s">
        <v>17</v>
      </c>
      <c r="G6" t="s">
        <v>17</v>
      </c>
      <c r="H6" t="s">
        <v>17</v>
      </c>
      <c r="I6">
        <v>1.4</v>
      </c>
      <c r="J6">
        <v>46.43</v>
      </c>
      <c r="K6">
        <v>0.65</v>
      </c>
      <c r="L6" t="s">
        <v>17</v>
      </c>
      <c r="M6">
        <v>300</v>
      </c>
      <c r="N6" t="s">
        <v>17</v>
      </c>
      <c r="O6" t="s">
        <v>1438</v>
      </c>
    </row>
    <row r="7" spans="1:15" x14ac:dyDescent="0.2">
      <c r="A7" t="s">
        <v>1423</v>
      </c>
      <c r="B7" t="s">
        <v>239</v>
      </c>
      <c r="C7" t="s">
        <v>17</v>
      </c>
      <c r="D7" t="s">
        <v>17</v>
      </c>
      <c r="E7" t="s">
        <v>17</v>
      </c>
      <c r="F7" t="s">
        <v>17</v>
      </c>
      <c r="G7" t="s">
        <v>17</v>
      </c>
      <c r="H7" t="s">
        <v>17</v>
      </c>
      <c r="I7">
        <v>8.6999999999999994E-2</v>
      </c>
      <c r="J7">
        <v>13.79</v>
      </c>
      <c r="K7">
        <v>1.2E-2</v>
      </c>
      <c r="L7" t="s">
        <v>17</v>
      </c>
      <c r="M7">
        <v>300</v>
      </c>
      <c r="N7" t="s">
        <v>17</v>
      </c>
      <c r="O7" t="s">
        <v>1439</v>
      </c>
    </row>
    <row r="8" spans="1:15" x14ac:dyDescent="0.2">
      <c r="A8" t="s">
        <v>1425</v>
      </c>
      <c r="B8" t="s">
        <v>191</v>
      </c>
      <c r="C8" t="s">
        <v>17</v>
      </c>
      <c r="D8" t="s">
        <v>17</v>
      </c>
      <c r="E8" t="s">
        <v>17</v>
      </c>
      <c r="F8" t="s">
        <v>17</v>
      </c>
      <c r="G8" t="s">
        <v>17</v>
      </c>
      <c r="H8" t="s">
        <v>17</v>
      </c>
      <c r="I8">
        <v>0.22500000000000001</v>
      </c>
      <c r="J8">
        <v>33.33</v>
      </c>
      <c r="K8">
        <v>7.4999999999999997E-2</v>
      </c>
      <c r="L8" t="s">
        <v>17</v>
      </c>
      <c r="M8">
        <v>300</v>
      </c>
      <c r="N8" t="s">
        <v>17</v>
      </c>
      <c r="O8" t="s">
        <v>1440</v>
      </c>
    </row>
    <row r="9" spans="1:15" x14ac:dyDescent="0.2">
      <c r="A9" t="s">
        <v>1426</v>
      </c>
      <c r="B9" t="s">
        <v>58</v>
      </c>
      <c r="C9" t="s">
        <v>17</v>
      </c>
      <c r="D9" t="s">
        <v>17</v>
      </c>
      <c r="E9" t="s">
        <v>17</v>
      </c>
      <c r="F9" t="s">
        <v>17</v>
      </c>
      <c r="G9" t="s">
        <v>17</v>
      </c>
      <c r="H9" t="s">
        <v>17</v>
      </c>
      <c r="I9">
        <v>0.12</v>
      </c>
      <c r="J9">
        <v>16.670000000000002</v>
      </c>
      <c r="K9">
        <v>0.02</v>
      </c>
      <c r="L9" t="s">
        <v>17</v>
      </c>
      <c r="M9">
        <v>1500</v>
      </c>
      <c r="N9" t="s">
        <v>17</v>
      </c>
      <c r="O9" t="s">
        <v>1441</v>
      </c>
    </row>
    <row r="10" spans="1:15" x14ac:dyDescent="0.2">
      <c r="A10" t="s">
        <v>1427</v>
      </c>
      <c r="B10" t="s">
        <v>239</v>
      </c>
      <c r="C10" t="s">
        <v>17</v>
      </c>
      <c r="D10" t="s">
        <v>17</v>
      </c>
      <c r="E10" t="s">
        <v>17</v>
      </c>
      <c r="F10" t="s">
        <v>17</v>
      </c>
      <c r="G10" t="s">
        <v>17</v>
      </c>
      <c r="H10" t="s">
        <v>17</v>
      </c>
      <c r="I10">
        <v>5.7500000000000002E-2</v>
      </c>
      <c r="J10">
        <v>1.74</v>
      </c>
      <c r="K10">
        <v>1E-3</v>
      </c>
      <c r="L10" t="s">
        <v>17</v>
      </c>
      <c r="M10">
        <v>480</v>
      </c>
      <c r="N10" t="s">
        <v>17</v>
      </c>
      <c r="O10" t="s">
        <v>1442</v>
      </c>
    </row>
    <row r="11" spans="1:15" x14ac:dyDescent="0.2">
      <c r="A11" t="s">
        <v>1423</v>
      </c>
      <c r="B11" t="s">
        <v>1423</v>
      </c>
      <c r="C11" t="s">
        <v>192</v>
      </c>
      <c r="D11" t="s">
        <v>17</v>
      </c>
      <c r="E11" t="s">
        <v>17</v>
      </c>
      <c r="F11" t="s">
        <v>192</v>
      </c>
      <c r="G11" t="s">
        <v>17</v>
      </c>
      <c r="H11" t="s">
        <v>17</v>
      </c>
      <c r="I11">
        <v>8.4000000000000005E-2</v>
      </c>
      <c r="J11">
        <v>1.79</v>
      </c>
      <c r="K11">
        <v>1.5E-3</v>
      </c>
      <c r="L11" t="s">
        <v>17</v>
      </c>
      <c r="M11">
        <v>300</v>
      </c>
      <c r="N11" t="s">
        <v>193</v>
      </c>
      <c r="O11" t="s">
        <v>1443</v>
      </c>
    </row>
    <row r="12" spans="1:15" x14ac:dyDescent="0.2">
      <c r="A12" t="s">
        <v>1422</v>
      </c>
      <c r="B12" t="s">
        <v>1422</v>
      </c>
      <c r="C12" t="s">
        <v>192</v>
      </c>
      <c r="D12" t="s">
        <v>17</v>
      </c>
      <c r="E12" t="s">
        <v>17</v>
      </c>
      <c r="F12" t="s">
        <v>192</v>
      </c>
      <c r="G12" t="s">
        <v>17</v>
      </c>
      <c r="H12" t="s">
        <v>17</v>
      </c>
      <c r="I12">
        <v>0.10299999999999999</v>
      </c>
      <c r="J12">
        <v>3.88</v>
      </c>
      <c r="K12">
        <v>4.0000000000000001E-3</v>
      </c>
      <c r="L12" t="s">
        <v>17</v>
      </c>
      <c r="M12">
        <v>300</v>
      </c>
      <c r="N12" t="s">
        <v>193</v>
      </c>
      <c r="O12" t="s">
        <v>1444</v>
      </c>
    </row>
    <row r="13" spans="1:15" x14ac:dyDescent="0.2">
      <c r="A13" t="s">
        <v>1426</v>
      </c>
      <c r="B13" t="s">
        <v>58</v>
      </c>
      <c r="C13" t="s">
        <v>192</v>
      </c>
      <c r="D13" t="s">
        <v>17</v>
      </c>
      <c r="E13" t="s">
        <v>17</v>
      </c>
      <c r="F13" t="s">
        <v>192</v>
      </c>
      <c r="G13" t="s">
        <v>17</v>
      </c>
      <c r="H13" t="s">
        <v>17</v>
      </c>
      <c r="I13">
        <v>0.12</v>
      </c>
      <c r="J13">
        <v>12.5</v>
      </c>
      <c r="K13">
        <v>1.4999999999999999E-2</v>
      </c>
      <c r="L13" t="s">
        <v>17</v>
      </c>
      <c r="M13" t="s">
        <v>17</v>
      </c>
      <c r="N13" t="s">
        <v>17</v>
      </c>
      <c r="O13" t="s">
        <v>1445</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7E3D-E4F7-D44B-9F28-2868269ED650}">
  <dimension ref="A1:Q349"/>
  <sheetViews>
    <sheetView workbookViewId="0">
      <selection activeCell="G12" sqref="G12"/>
    </sheetView>
  </sheetViews>
  <sheetFormatPr baseColWidth="10" defaultRowHeight="16" x14ac:dyDescent="0.2"/>
  <sheetData>
    <row r="1" spans="1:17" x14ac:dyDescent="0.2">
      <c r="A1" t="s">
        <v>0</v>
      </c>
      <c r="B1" t="s">
        <v>1</v>
      </c>
      <c r="C1" t="s">
        <v>2</v>
      </c>
      <c r="D1" t="s">
        <v>1447</v>
      </c>
      <c r="E1" t="s">
        <v>3</v>
      </c>
      <c r="F1" t="s">
        <v>4</v>
      </c>
      <c r="G1" t="s">
        <v>5</v>
      </c>
      <c r="H1" t="s">
        <v>1448</v>
      </c>
      <c r="I1" t="s">
        <v>6</v>
      </c>
      <c r="J1" t="s">
        <v>7</v>
      </c>
      <c r="K1" t="s">
        <v>8</v>
      </c>
      <c r="L1" t="s">
        <v>9</v>
      </c>
      <c r="M1" t="s">
        <v>10</v>
      </c>
      <c r="N1" t="s">
        <v>11</v>
      </c>
      <c r="O1" t="s">
        <v>12</v>
      </c>
      <c r="P1" t="s">
        <v>13</v>
      </c>
      <c r="Q1" t="s">
        <v>14</v>
      </c>
    </row>
    <row r="2" spans="1:17" x14ac:dyDescent="0.2">
      <c r="A2" t="s">
        <v>818</v>
      </c>
      <c r="B2" t="s">
        <v>57</v>
      </c>
      <c r="C2">
        <v>4</v>
      </c>
      <c r="D2" t="s">
        <v>17</v>
      </c>
      <c r="E2" t="s">
        <v>17</v>
      </c>
      <c r="F2">
        <v>3</v>
      </c>
      <c r="G2">
        <v>3</v>
      </c>
      <c r="H2" t="s">
        <v>17</v>
      </c>
      <c r="I2" t="s">
        <v>17</v>
      </c>
      <c r="J2">
        <v>3</v>
      </c>
      <c r="K2">
        <v>0.11307873055952694</v>
      </c>
      <c r="L2">
        <f>M2/K2*100</f>
        <v>0.26881720430107525</v>
      </c>
      <c r="M2">
        <v>3.0397508214926596E-4</v>
      </c>
      <c r="N2" t="s">
        <v>17</v>
      </c>
      <c r="O2">
        <v>296</v>
      </c>
      <c r="P2" t="s">
        <v>1446</v>
      </c>
      <c r="Q2" t="s">
        <v>1449</v>
      </c>
    </row>
    <row r="3" spans="1:17" x14ac:dyDescent="0.2">
      <c r="A3" t="s">
        <v>818</v>
      </c>
      <c r="B3" t="s">
        <v>57</v>
      </c>
      <c r="C3">
        <v>4</v>
      </c>
      <c r="D3" t="s">
        <v>17</v>
      </c>
      <c r="E3" t="s">
        <v>17</v>
      </c>
      <c r="F3">
        <v>2</v>
      </c>
      <c r="G3">
        <v>3</v>
      </c>
      <c r="H3" t="s">
        <v>17</v>
      </c>
      <c r="I3" t="s">
        <v>17</v>
      </c>
      <c r="J3">
        <v>2</v>
      </c>
      <c r="K3">
        <v>0.10851910432728794</v>
      </c>
      <c r="L3">
        <f t="shared" ref="L3:L66" si="0">M3/K3*100</f>
        <v>0.28011204481792723</v>
      </c>
      <c r="M3">
        <v>3.0397508214926596E-4</v>
      </c>
      <c r="N3" t="s">
        <v>17</v>
      </c>
      <c r="O3">
        <v>296</v>
      </c>
      <c r="P3" t="s">
        <v>1446</v>
      </c>
      <c r="Q3" t="s">
        <v>1450</v>
      </c>
    </row>
    <row r="4" spans="1:17" x14ac:dyDescent="0.2">
      <c r="A4" t="s">
        <v>818</v>
      </c>
      <c r="B4" t="s">
        <v>57</v>
      </c>
      <c r="C4">
        <v>4</v>
      </c>
      <c r="D4" t="s">
        <v>17</v>
      </c>
      <c r="E4" t="s">
        <v>17</v>
      </c>
      <c r="F4">
        <v>1</v>
      </c>
      <c r="G4">
        <v>3</v>
      </c>
      <c r="H4" t="s">
        <v>17</v>
      </c>
      <c r="I4" t="s">
        <v>17</v>
      </c>
      <c r="J4">
        <v>1</v>
      </c>
      <c r="K4">
        <v>0.1026422527390688</v>
      </c>
      <c r="L4">
        <f t="shared" si="0"/>
        <v>0.49358341559723601</v>
      </c>
      <c r="M4">
        <v>5.0662513691544331E-4</v>
      </c>
      <c r="N4" t="s">
        <v>17</v>
      </c>
      <c r="O4">
        <v>296</v>
      </c>
      <c r="P4" t="s">
        <v>1446</v>
      </c>
      <c r="Q4" t="s">
        <v>1451</v>
      </c>
    </row>
    <row r="5" spans="1:17" x14ac:dyDescent="0.2">
      <c r="A5" t="s">
        <v>818</v>
      </c>
      <c r="B5" t="s">
        <v>57</v>
      </c>
      <c r="C5">
        <v>4</v>
      </c>
      <c r="D5" t="s">
        <v>17</v>
      </c>
      <c r="E5" t="s">
        <v>17</v>
      </c>
      <c r="F5">
        <v>0</v>
      </c>
      <c r="G5">
        <v>3</v>
      </c>
      <c r="H5" t="s">
        <v>17</v>
      </c>
      <c r="I5" t="s">
        <v>17</v>
      </c>
      <c r="J5">
        <v>0</v>
      </c>
      <c r="K5">
        <v>9.8589251643745254E-2</v>
      </c>
      <c r="L5">
        <f t="shared" si="0"/>
        <v>0.20554984583761562</v>
      </c>
      <c r="M5">
        <v>2.0265005476617732E-4</v>
      </c>
      <c r="N5" t="s">
        <v>17</v>
      </c>
      <c r="O5">
        <v>296</v>
      </c>
      <c r="P5" t="s">
        <v>1446</v>
      </c>
      <c r="Q5" t="s">
        <v>1451</v>
      </c>
    </row>
    <row r="6" spans="1:17" x14ac:dyDescent="0.2">
      <c r="A6" t="s">
        <v>818</v>
      </c>
      <c r="B6" t="s">
        <v>57</v>
      </c>
      <c r="C6">
        <v>4</v>
      </c>
      <c r="D6" t="s">
        <v>17</v>
      </c>
      <c r="E6" t="s">
        <v>17</v>
      </c>
      <c r="F6">
        <v>3</v>
      </c>
      <c r="G6">
        <v>3</v>
      </c>
      <c r="H6" t="s">
        <v>17</v>
      </c>
      <c r="I6" t="s">
        <v>17</v>
      </c>
      <c r="J6">
        <v>3</v>
      </c>
      <c r="K6">
        <v>0.11409198083335781</v>
      </c>
      <c r="L6">
        <f t="shared" si="0"/>
        <v>0.17761989342806397</v>
      </c>
      <c r="M6">
        <v>2.0265005476617732E-4</v>
      </c>
      <c r="N6" t="s">
        <v>17</v>
      </c>
      <c r="O6">
        <v>296</v>
      </c>
      <c r="P6" t="s">
        <v>1446</v>
      </c>
      <c r="Q6" t="s">
        <v>1451</v>
      </c>
    </row>
    <row r="7" spans="1:17" x14ac:dyDescent="0.2">
      <c r="A7" t="s">
        <v>818</v>
      </c>
      <c r="B7" t="s">
        <v>57</v>
      </c>
      <c r="C7">
        <v>4</v>
      </c>
      <c r="D7" t="s">
        <v>17</v>
      </c>
      <c r="E7" t="s">
        <v>17</v>
      </c>
      <c r="F7">
        <v>2</v>
      </c>
      <c r="G7">
        <v>3</v>
      </c>
      <c r="H7" t="s">
        <v>17</v>
      </c>
      <c r="I7" t="s">
        <v>17</v>
      </c>
      <c r="J7">
        <v>2</v>
      </c>
      <c r="K7">
        <v>0.11003897973803428</v>
      </c>
      <c r="L7">
        <f t="shared" si="0"/>
        <v>1.3812154696132597</v>
      </c>
      <c r="M7">
        <v>1.5198754107463297E-3</v>
      </c>
      <c r="N7" t="s">
        <v>17</v>
      </c>
      <c r="O7">
        <v>296</v>
      </c>
      <c r="P7" t="s">
        <v>1446</v>
      </c>
      <c r="Q7" t="s">
        <v>1452</v>
      </c>
    </row>
    <row r="8" spans="1:17" x14ac:dyDescent="0.2">
      <c r="A8" t="s">
        <v>818</v>
      </c>
      <c r="B8" t="s">
        <v>57</v>
      </c>
      <c r="C8">
        <v>4</v>
      </c>
      <c r="D8" t="s">
        <v>17</v>
      </c>
      <c r="E8" t="s">
        <v>17</v>
      </c>
      <c r="F8">
        <v>1</v>
      </c>
      <c r="G8">
        <v>3</v>
      </c>
      <c r="H8" t="s">
        <v>17</v>
      </c>
      <c r="I8" t="s">
        <v>17</v>
      </c>
      <c r="J8">
        <v>1</v>
      </c>
      <c r="K8">
        <v>0.10223695262953644</v>
      </c>
      <c r="L8">
        <f t="shared" si="0"/>
        <v>0.39643211100099118</v>
      </c>
      <c r="M8">
        <v>4.0530010953235463E-4</v>
      </c>
      <c r="N8" t="s">
        <v>17</v>
      </c>
      <c r="O8">
        <v>296</v>
      </c>
      <c r="P8" t="s">
        <v>1446</v>
      </c>
      <c r="Q8" t="s">
        <v>1453</v>
      </c>
    </row>
    <row r="9" spans="1:17" x14ac:dyDescent="0.2">
      <c r="A9" t="s">
        <v>818</v>
      </c>
      <c r="B9" t="s">
        <v>57</v>
      </c>
      <c r="C9">
        <v>2</v>
      </c>
      <c r="D9" t="s">
        <v>17</v>
      </c>
      <c r="E9" t="s">
        <v>17</v>
      </c>
      <c r="F9">
        <v>1</v>
      </c>
      <c r="G9">
        <v>1</v>
      </c>
      <c r="H9" t="s">
        <v>17</v>
      </c>
      <c r="I9" t="s">
        <v>17</v>
      </c>
      <c r="J9">
        <v>1</v>
      </c>
      <c r="K9">
        <v>0.11692908160008429</v>
      </c>
      <c r="L9">
        <f t="shared" si="0"/>
        <v>0.69324090121317172</v>
      </c>
      <c r="M9">
        <v>8.1060021906470927E-4</v>
      </c>
      <c r="N9" t="s">
        <v>17</v>
      </c>
      <c r="O9">
        <v>296</v>
      </c>
      <c r="P9" t="s">
        <v>1446</v>
      </c>
      <c r="Q9" t="s">
        <v>1453</v>
      </c>
    </row>
    <row r="10" spans="1:17" x14ac:dyDescent="0.2">
      <c r="A10" t="s">
        <v>818</v>
      </c>
      <c r="B10" t="s">
        <v>57</v>
      </c>
      <c r="C10">
        <v>2</v>
      </c>
      <c r="D10" t="s">
        <v>17</v>
      </c>
      <c r="E10" t="s">
        <v>17</v>
      </c>
      <c r="F10">
        <v>0</v>
      </c>
      <c r="G10">
        <v>1</v>
      </c>
      <c r="H10" t="s">
        <v>17</v>
      </c>
      <c r="I10" t="s">
        <v>17</v>
      </c>
      <c r="J10">
        <v>0</v>
      </c>
      <c r="K10">
        <v>0.10811380421775559</v>
      </c>
      <c r="L10">
        <f t="shared" si="0"/>
        <v>0.4686035613870666</v>
      </c>
      <c r="M10">
        <v>5.0662513691544331E-4</v>
      </c>
      <c r="N10" t="s">
        <v>17</v>
      </c>
      <c r="O10">
        <v>296</v>
      </c>
      <c r="P10" t="s">
        <v>1446</v>
      </c>
      <c r="Q10" t="s">
        <v>1453</v>
      </c>
    </row>
    <row r="11" spans="1:17" x14ac:dyDescent="0.2">
      <c r="A11" t="s">
        <v>818</v>
      </c>
      <c r="B11" t="s">
        <v>57</v>
      </c>
      <c r="C11">
        <v>2</v>
      </c>
      <c r="D11" t="s">
        <v>17</v>
      </c>
      <c r="E11" t="s">
        <v>17</v>
      </c>
      <c r="F11">
        <v>1</v>
      </c>
      <c r="G11">
        <v>1</v>
      </c>
      <c r="H11" t="s">
        <v>17</v>
      </c>
      <c r="I11" t="s">
        <v>17</v>
      </c>
      <c r="J11">
        <v>1</v>
      </c>
      <c r="K11">
        <v>0.11692908160008429</v>
      </c>
      <c r="L11">
        <f t="shared" si="0"/>
        <v>0.60658578856152523</v>
      </c>
      <c r="M11">
        <v>7.0927519168162054E-4</v>
      </c>
      <c r="N11" t="s">
        <v>17</v>
      </c>
      <c r="O11">
        <v>296</v>
      </c>
      <c r="P11" t="s">
        <v>1446</v>
      </c>
      <c r="Q11" t="s">
        <v>1453</v>
      </c>
    </row>
    <row r="12" spans="1:17" x14ac:dyDescent="0.2">
      <c r="A12" t="s">
        <v>818</v>
      </c>
      <c r="B12" t="s">
        <v>57</v>
      </c>
      <c r="C12">
        <v>2</v>
      </c>
      <c r="D12" t="s">
        <v>17</v>
      </c>
      <c r="E12" t="s">
        <v>17</v>
      </c>
      <c r="F12">
        <v>0</v>
      </c>
      <c r="G12">
        <v>0</v>
      </c>
      <c r="H12" t="s">
        <v>17</v>
      </c>
      <c r="I12" t="s">
        <v>17</v>
      </c>
      <c r="J12">
        <v>0</v>
      </c>
      <c r="K12">
        <v>0.11459860597027327</v>
      </c>
      <c r="L12">
        <f t="shared" si="0"/>
        <v>1.0610079575596816</v>
      </c>
      <c r="M12">
        <v>1.2159003285970638E-3</v>
      </c>
      <c r="N12" t="s">
        <v>17</v>
      </c>
      <c r="O12">
        <v>296</v>
      </c>
      <c r="P12" t="s">
        <v>1446</v>
      </c>
      <c r="Q12" t="s">
        <v>1453</v>
      </c>
    </row>
    <row r="13" spans="1:17" x14ac:dyDescent="0.2">
      <c r="A13" t="s">
        <v>818</v>
      </c>
      <c r="B13" t="s">
        <v>57</v>
      </c>
      <c r="C13">
        <v>1</v>
      </c>
      <c r="D13" t="s">
        <v>17</v>
      </c>
      <c r="E13" t="s">
        <v>17</v>
      </c>
      <c r="F13">
        <v>1</v>
      </c>
      <c r="G13">
        <v>1</v>
      </c>
      <c r="H13" t="s">
        <v>17</v>
      </c>
      <c r="I13" t="s">
        <v>17</v>
      </c>
      <c r="J13">
        <v>1</v>
      </c>
      <c r="K13">
        <v>0.11601715635363651</v>
      </c>
      <c r="L13">
        <f t="shared" si="0"/>
        <v>0.78602620087336228</v>
      </c>
      <c r="M13">
        <v>9.1192524644779778E-4</v>
      </c>
      <c r="N13" t="s">
        <v>17</v>
      </c>
      <c r="O13">
        <v>296</v>
      </c>
      <c r="P13" t="s">
        <v>1446</v>
      </c>
      <c r="Q13" t="s">
        <v>1454</v>
      </c>
    </row>
    <row r="14" spans="1:17" x14ac:dyDescent="0.2">
      <c r="A14" t="s">
        <v>818</v>
      </c>
      <c r="B14" t="s">
        <v>57</v>
      </c>
      <c r="C14">
        <v>2</v>
      </c>
      <c r="D14" t="s">
        <v>17</v>
      </c>
      <c r="E14" t="s">
        <v>17</v>
      </c>
      <c r="F14">
        <v>2</v>
      </c>
      <c r="G14">
        <v>2</v>
      </c>
      <c r="H14" t="s">
        <v>17</v>
      </c>
      <c r="I14" t="s">
        <v>17</v>
      </c>
      <c r="J14">
        <v>2</v>
      </c>
      <c r="K14">
        <v>0.11388933077859166</v>
      </c>
      <c r="L14">
        <f t="shared" si="0"/>
        <v>1.0676156583629892</v>
      </c>
      <c r="M14">
        <v>1.2159003285970638E-3</v>
      </c>
      <c r="N14" t="s">
        <v>17</v>
      </c>
      <c r="O14">
        <v>296</v>
      </c>
      <c r="P14" t="s">
        <v>1446</v>
      </c>
      <c r="Q14" t="s">
        <v>1455</v>
      </c>
    </row>
    <row r="15" spans="1:17" x14ac:dyDescent="0.2">
      <c r="A15" t="s">
        <v>818</v>
      </c>
      <c r="B15" t="s">
        <v>57</v>
      </c>
      <c r="C15">
        <v>2</v>
      </c>
      <c r="D15" t="s">
        <v>17</v>
      </c>
      <c r="E15" t="s">
        <v>17</v>
      </c>
      <c r="F15">
        <v>1</v>
      </c>
      <c r="G15">
        <v>2</v>
      </c>
      <c r="H15" t="s">
        <v>17</v>
      </c>
      <c r="I15" t="s">
        <v>17</v>
      </c>
      <c r="J15">
        <v>1</v>
      </c>
      <c r="K15">
        <v>0.1115588551487806</v>
      </c>
      <c r="L15">
        <f t="shared" si="0"/>
        <v>0.99909173478655766</v>
      </c>
      <c r="M15">
        <v>1.114575301213975E-3</v>
      </c>
      <c r="N15" t="s">
        <v>17</v>
      </c>
      <c r="O15">
        <v>296</v>
      </c>
      <c r="P15" t="s">
        <v>1446</v>
      </c>
      <c r="Q15" t="s">
        <v>1455</v>
      </c>
    </row>
    <row r="16" spans="1:17" x14ac:dyDescent="0.2">
      <c r="A16" t="s">
        <v>818</v>
      </c>
      <c r="B16" t="s">
        <v>57</v>
      </c>
      <c r="C16">
        <v>3</v>
      </c>
      <c r="D16" t="s">
        <v>17</v>
      </c>
      <c r="E16" t="s">
        <v>17</v>
      </c>
      <c r="F16">
        <v>3</v>
      </c>
      <c r="G16">
        <v>3</v>
      </c>
      <c r="H16" t="s">
        <v>17</v>
      </c>
      <c r="I16" t="s">
        <v>17</v>
      </c>
      <c r="J16">
        <v>3</v>
      </c>
      <c r="K16">
        <v>0.11074825492971589</v>
      </c>
      <c r="L16">
        <f t="shared" si="0"/>
        <v>0.73193046660567251</v>
      </c>
      <c r="M16">
        <v>8.1060021906470927E-4</v>
      </c>
      <c r="N16" t="s">
        <v>17</v>
      </c>
      <c r="O16">
        <v>296</v>
      </c>
      <c r="P16" t="s">
        <v>1446</v>
      </c>
      <c r="Q16" t="s">
        <v>1455</v>
      </c>
    </row>
    <row r="17" spans="1:17" x14ac:dyDescent="0.2">
      <c r="A17" t="s">
        <v>818</v>
      </c>
      <c r="B17" t="s">
        <v>57</v>
      </c>
      <c r="C17">
        <v>3</v>
      </c>
      <c r="D17" t="s">
        <v>17</v>
      </c>
      <c r="E17" t="s">
        <v>17</v>
      </c>
      <c r="F17">
        <v>2</v>
      </c>
      <c r="G17">
        <v>3</v>
      </c>
      <c r="H17" t="s">
        <v>17</v>
      </c>
      <c r="I17" t="s">
        <v>17</v>
      </c>
      <c r="J17">
        <v>2</v>
      </c>
      <c r="K17">
        <v>0.10953235460111883</v>
      </c>
      <c r="L17">
        <f t="shared" si="0"/>
        <v>1.9426456984273821</v>
      </c>
      <c r="M17">
        <v>2.1278255750448618E-3</v>
      </c>
      <c r="N17" t="s">
        <v>17</v>
      </c>
      <c r="O17">
        <v>296</v>
      </c>
      <c r="P17" t="s">
        <v>1446</v>
      </c>
      <c r="Q17" t="s">
        <v>1455</v>
      </c>
    </row>
    <row r="18" spans="1:17" x14ac:dyDescent="0.2">
      <c r="A18" t="s">
        <v>818</v>
      </c>
      <c r="B18" t="s">
        <v>57</v>
      </c>
      <c r="C18">
        <v>3</v>
      </c>
      <c r="D18" t="s">
        <v>17</v>
      </c>
      <c r="E18" t="s">
        <v>17</v>
      </c>
      <c r="F18">
        <v>1</v>
      </c>
      <c r="G18">
        <v>3</v>
      </c>
      <c r="H18" t="s">
        <v>17</v>
      </c>
      <c r="I18" t="s">
        <v>17</v>
      </c>
      <c r="J18">
        <v>1</v>
      </c>
      <c r="K18">
        <v>9.6157450986551124E-2</v>
      </c>
      <c r="L18">
        <f t="shared" si="0"/>
        <v>1.7913593256059013</v>
      </c>
      <c r="M18">
        <v>1.7225254655125072E-3</v>
      </c>
      <c r="N18" t="s">
        <v>17</v>
      </c>
      <c r="O18">
        <v>296</v>
      </c>
      <c r="P18" t="s">
        <v>1446</v>
      </c>
      <c r="Q18" t="s">
        <v>1455</v>
      </c>
    </row>
    <row r="19" spans="1:17" x14ac:dyDescent="0.2">
      <c r="A19" t="s">
        <v>818</v>
      </c>
      <c r="B19" t="s">
        <v>57</v>
      </c>
      <c r="C19">
        <v>4</v>
      </c>
      <c r="D19" t="s">
        <v>17</v>
      </c>
      <c r="E19" t="s">
        <v>17</v>
      </c>
      <c r="F19">
        <v>4</v>
      </c>
      <c r="G19">
        <v>4</v>
      </c>
      <c r="H19" t="s">
        <v>17</v>
      </c>
      <c r="I19" t="s">
        <v>17</v>
      </c>
      <c r="J19">
        <v>4</v>
      </c>
      <c r="K19">
        <v>0.10730320399869088</v>
      </c>
      <c r="L19">
        <f t="shared" si="0"/>
        <v>0.56657223796033995</v>
      </c>
      <c r="M19">
        <v>6.0795016429853192E-4</v>
      </c>
      <c r="N19" t="s">
        <v>17</v>
      </c>
      <c r="O19">
        <v>296</v>
      </c>
      <c r="P19" t="s">
        <v>1446</v>
      </c>
      <c r="Q19" t="s">
        <v>1456</v>
      </c>
    </row>
    <row r="20" spans="1:17" x14ac:dyDescent="0.2">
      <c r="A20" t="s">
        <v>818</v>
      </c>
      <c r="B20" t="s">
        <v>57</v>
      </c>
      <c r="C20">
        <v>4</v>
      </c>
      <c r="D20" t="s">
        <v>17</v>
      </c>
      <c r="E20" t="s">
        <v>17</v>
      </c>
      <c r="F20">
        <v>3</v>
      </c>
      <c r="G20">
        <v>4</v>
      </c>
      <c r="H20" t="s">
        <v>17</v>
      </c>
      <c r="I20" t="s">
        <v>17</v>
      </c>
      <c r="J20">
        <v>3</v>
      </c>
      <c r="K20">
        <v>0.10375682804028279</v>
      </c>
      <c r="L20">
        <f t="shared" si="0"/>
        <v>1.4648437499999998</v>
      </c>
      <c r="M20">
        <v>1.5198754107463297E-3</v>
      </c>
      <c r="N20" t="s">
        <v>17</v>
      </c>
      <c r="O20">
        <v>296</v>
      </c>
      <c r="P20" t="s">
        <v>1446</v>
      </c>
      <c r="Q20" t="s">
        <v>1457</v>
      </c>
    </row>
    <row r="21" spans="1:17" x14ac:dyDescent="0.2">
      <c r="A21" t="s">
        <v>818</v>
      </c>
      <c r="B21" t="s">
        <v>57</v>
      </c>
      <c r="C21">
        <v>5</v>
      </c>
      <c r="D21" t="s">
        <v>17</v>
      </c>
      <c r="E21" t="s">
        <v>17</v>
      </c>
      <c r="F21">
        <v>5</v>
      </c>
      <c r="G21">
        <v>5</v>
      </c>
      <c r="H21" t="s">
        <v>17</v>
      </c>
      <c r="I21" t="s">
        <v>17</v>
      </c>
      <c r="J21">
        <v>5</v>
      </c>
      <c r="K21">
        <v>0.10152767743785483</v>
      </c>
      <c r="L21">
        <f t="shared" si="0"/>
        <v>0.5988023952095809</v>
      </c>
      <c r="M21">
        <v>6.0795016429853192E-4</v>
      </c>
      <c r="N21" t="s">
        <v>17</v>
      </c>
      <c r="O21">
        <v>296</v>
      </c>
      <c r="P21" t="s">
        <v>1446</v>
      </c>
      <c r="Q21" t="s">
        <v>1457</v>
      </c>
    </row>
    <row r="22" spans="1:17" x14ac:dyDescent="0.2">
      <c r="A22" t="s">
        <v>818</v>
      </c>
      <c r="B22" t="s">
        <v>57</v>
      </c>
      <c r="C22">
        <v>4</v>
      </c>
      <c r="D22" t="s">
        <v>17</v>
      </c>
      <c r="E22" t="s">
        <v>17</v>
      </c>
      <c r="F22">
        <v>2</v>
      </c>
      <c r="G22">
        <v>4</v>
      </c>
      <c r="H22" t="s">
        <v>17</v>
      </c>
      <c r="I22" t="s">
        <v>17</v>
      </c>
      <c r="J22">
        <v>2</v>
      </c>
      <c r="K22">
        <v>0.10081840224617321</v>
      </c>
      <c r="L22">
        <f t="shared" si="0"/>
        <v>0.90452261306532655</v>
      </c>
      <c r="M22">
        <v>9.1192524644779778E-4</v>
      </c>
      <c r="N22" t="s">
        <v>17</v>
      </c>
      <c r="O22">
        <v>296</v>
      </c>
      <c r="P22" t="s">
        <v>1446</v>
      </c>
      <c r="Q22" t="s">
        <v>1457</v>
      </c>
    </row>
    <row r="23" spans="1:17" x14ac:dyDescent="0.2">
      <c r="A23" t="s">
        <v>818</v>
      </c>
      <c r="B23" t="s">
        <v>57</v>
      </c>
      <c r="C23">
        <v>1</v>
      </c>
      <c r="D23" t="s">
        <v>17</v>
      </c>
      <c r="E23" t="s">
        <v>17</v>
      </c>
      <c r="F23">
        <v>1</v>
      </c>
      <c r="G23">
        <v>1</v>
      </c>
      <c r="H23" t="s">
        <v>17</v>
      </c>
      <c r="I23" t="s">
        <v>17</v>
      </c>
      <c r="J23">
        <v>1</v>
      </c>
      <c r="K23">
        <v>0.11307873055952694</v>
      </c>
      <c r="L23">
        <f t="shared" si="0"/>
        <v>0.80645161290322565</v>
      </c>
      <c r="M23">
        <v>9.1192524644779778E-4</v>
      </c>
      <c r="N23" t="s">
        <v>17</v>
      </c>
      <c r="O23">
        <v>296</v>
      </c>
      <c r="P23" t="s">
        <v>1446</v>
      </c>
      <c r="Q23" t="s">
        <v>1457</v>
      </c>
    </row>
    <row r="24" spans="1:17" x14ac:dyDescent="0.2">
      <c r="A24" t="s">
        <v>818</v>
      </c>
      <c r="B24" t="s">
        <v>57</v>
      </c>
      <c r="C24">
        <v>5</v>
      </c>
      <c r="D24" t="s">
        <v>17</v>
      </c>
      <c r="E24" t="s">
        <v>17</v>
      </c>
      <c r="F24">
        <v>4</v>
      </c>
      <c r="G24">
        <v>5</v>
      </c>
      <c r="H24" t="s">
        <v>17</v>
      </c>
      <c r="I24" t="s">
        <v>17</v>
      </c>
      <c r="J24">
        <v>4</v>
      </c>
      <c r="K24">
        <v>0.10152767743785483</v>
      </c>
      <c r="L24">
        <f t="shared" si="0"/>
        <v>0.49900199600798401</v>
      </c>
      <c r="M24">
        <v>5.0662513691544331E-4</v>
      </c>
      <c r="N24" t="s">
        <v>17</v>
      </c>
      <c r="O24">
        <v>296</v>
      </c>
      <c r="P24" t="s">
        <v>1446</v>
      </c>
      <c r="Q24" t="s">
        <v>1457</v>
      </c>
    </row>
    <row r="25" spans="1:17" x14ac:dyDescent="0.2">
      <c r="A25" t="s">
        <v>818</v>
      </c>
      <c r="B25" t="s">
        <v>57</v>
      </c>
      <c r="C25">
        <v>2</v>
      </c>
      <c r="D25" t="s">
        <v>17</v>
      </c>
      <c r="E25" t="s">
        <v>17</v>
      </c>
      <c r="F25">
        <v>2</v>
      </c>
      <c r="G25">
        <v>2</v>
      </c>
      <c r="H25" t="s">
        <v>17</v>
      </c>
      <c r="I25" t="s">
        <v>17</v>
      </c>
      <c r="J25">
        <v>2</v>
      </c>
      <c r="K25">
        <v>0.1152065561345718</v>
      </c>
      <c r="L25">
        <f t="shared" si="0"/>
        <v>0.17590149516270889</v>
      </c>
      <c r="M25">
        <v>2.0265005476617732E-4</v>
      </c>
      <c r="N25" t="s">
        <v>17</v>
      </c>
      <c r="O25">
        <v>296</v>
      </c>
      <c r="P25" t="s">
        <v>1446</v>
      </c>
      <c r="Q25" t="s">
        <v>1458</v>
      </c>
    </row>
    <row r="26" spans="1:17" x14ac:dyDescent="0.2">
      <c r="A26" t="s">
        <v>818</v>
      </c>
      <c r="B26" t="s">
        <v>57</v>
      </c>
      <c r="C26">
        <v>6</v>
      </c>
      <c r="D26" t="s">
        <v>17</v>
      </c>
      <c r="E26" t="s">
        <v>17</v>
      </c>
      <c r="F26">
        <v>6</v>
      </c>
      <c r="G26">
        <v>6</v>
      </c>
      <c r="H26" t="s">
        <v>17</v>
      </c>
      <c r="I26" t="s">
        <v>17</v>
      </c>
      <c r="J26">
        <v>6</v>
      </c>
      <c r="K26">
        <v>9.7474676342531277E-2</v>
      </c>
      <c r="L26">
        <f t="shared" si="0"/>
        <v>0.93555093555093538</v>
      </c>
      <c r="M26">
        <v>9.1192524644779778E-4</v>
      </c>
      <c r="N26" t="s">
        <v>17</v>
      </c>
      <c r="O26">
        <v>296</v>
      </c>
      <c r="P26" t="s">
        <v>1446</v>
      </c>
    </row>
    <row r="27" spans="1:17" x14ac:dyDescent="0.2">
      <c r="A27" t="s">
        <v>818</v>
      </c>
      <c r="B27" t="s">
        <v>57</v>
      </c>
      <c r="C27">
        <v>5</v>
      </c>
      <c r="D27" t="s">
        <v>17</v>
      </c>
      <c r="E27" t="s">
        <v>17</v>
      </c>
      <c r="F27">
        <v>3</v>
      </c>
      <c r="G27">
        <v>5</v>
      </c>
      <c r="H27" t="s">
        <v>17</v>
      </c>
      <c r="I27" t="s">
        <v>17</v>
      </c>
      <c r="J27">
        <v>3</v>
      </c>
      <c r="K27">
        <v>0.1000078020271085</v>
      </c>
      <c r="L27">
        <f t="shared" si="0"/>
        <v>3.4447821681864235</v>
      </c>
      <c r="M27">
        <v>3.4450509310250143E-3</v>
      </c>
      <c r="N27" t="s">
        <v>17</v>
      </c>
      <c r="O27">
        <v>296</v>
      </c>
      <c r="P27" t="s">
        <v>1446</v>
      </c>
    </row>
    <row r="28" spans="1:17" x14ac:dyDescent="0.2">
      <c r="A28" t="s">
        <v>818</v>
      </c>
      <c r="B28" t="s">
        <v>57</v>
      </c>
      <c r="C28">
        <v>5</v>
      </c>
      <c r="D28" t="s">
        <v>17</v>
      </c>
      <c r="E28" t="s">
        <v>17</v>
      </c>
      <c r="F28">
        <v>2</v>
      </c>
      <c r="G28">
        <v>5</v>
      </c>
      <c r="H28" t="s">
        <v>17</v>
      </c>
      <c r="I28" t="s">
        <v>17</v>
      </c>
      <c r="J28">
        <v>2</v>
      </c>
      <c r="K28">
        <v>0.10031177710925776</v>
      </c>
      <c r="L28">
        <f t="shared" si="0"/>
        <v>1.7171717171717176</v>
      </c>
      <c r="M28">
        <v>1.7225254655125072E-3</v>
      </c>
      <c r="N28" t="s">
        <v>17</v>
      </c>
      <c r="O28">
        <v>296</v>
      </c>
      <c r="P28" t="s">
        <v>1446</v>
      </c>
    </row>
    <row r="29" spans="1:17" x14ac:dyDescent="0.2">
      <c r="A29" t="s">
        <v>818</v>
      </c>
      <c r="B29" t="s">
        <v>57</v>
      </c>
      <c r="C29">
        <v>3</v>
      </c>
      <c r="D29" t="s">
        <v>17</v>
      </c>
      <c r="E29" t="s">
        <v>17</v>
      </c>
      <c r="F29">
        <v>3</v>
      </c>
      <c r="G29">
        <v>3</v>
      </c>
      <c r="H29" t="s">
        <v>17</v>
      </c>
      <c r="I29" t="s">
        <v>17</v>
      </c>
      <c r="J29">
        <v>3</v>
      </c>
      <c r="K29">
        <v>0.10882307940943722</v>
      </c>
      <c r="L29">
        <f t="shared" si="0"/>
        <v>0.93109869646182497</v>
      </c>
      <c r="M29">
        <v>1.0132502738308866E-3</v>
      </c>
      <c r="N29" t="s">
        <v>17</v>
      </c>
      <c r="O29">
        <v>296</v>
      </c>
      <c r="P29" t="s">
        <v>1446</v>
      </c>
    </row>
    <row r="30" spans="1:17" x14ac:dyDescent="0.2">
      <c r="A30" t="s">
        <v>818</v>
      </c>
      <c r="B30" t="s">
        <v>57</v>
      </c>
      <c r="C30">
        <v>6</v>
      </c>
      <c r="D30" t="s">
        <v>17</v>
      </c>
      <c r="E30" t="s">
        <v>17</v>
      </c>
      <c r="F30">
        <v>5</v>
      </c>
      <c r="G30">
        <v>6</v>
      </c>
      <c r="H30" t="s">
        <v>17</v>
      </c>
      <c r="I30" t="s">
        <v>17</v>
      </c>
      <c r="J30">
        <v>5</v>
      </c>
      <c r="K30">
        <v>9.8082626506829806E-2</v>
      </c>
      <c r="L30">
        <f t="shared" si="0"/>
        <v>0.61983471074380181</v>
      </c>
      <c r="M30">
        <v>6.0795016429853192E-4</v>
      </c>
      <c r="N30" t="s">
        <v>17</v>
      </c>
      <c r="O30">
        <v>296</v>
      </c>
      <c r="P30" t="s">
        <v>1446</v>
      </c>
    </row>
    <row r="31" spans="1:17" x14ac:dyDescent="0.2">
      <c r="A31" t="s">
        <v>818</v>
      </c>
      <c r="B31" t="s">
        <v>57</v>
      </c>
      <c r="C31">
        <v>3</v>
      </c>
      <c r="D31" t="s">
        <v>17</v>
      </c>
      <c r="E31" t="s">
        <v>17</v>
      </c>
      <c r="F31">
        <v>2</v>
      </c>
      <c r="G31">
        <v>3</v>
      </c>
      <c r="H31" t="s">
        <v>17</v>
      </c>
      <c r="I31" t="s">
        <v>17</v>
      </c>
      <c r="J31">
        <v>2</v>
      </c>
      <c r="K31">
        <v>0.10649260377962616</v>
      </c>
      <c r="L31">
        <f t="shared" si="0"/>
        <v>2.378686964795433</v>
      </c>
      <c r="M31">
        <v>2.5331256845772163E-3</v>
      </c>
      <c r="N31" t="s">
        <v>17</v>
      </c>
      <c r="O31">
        <v>296</v>
      </c>
      <c r="P31" t="s">
        <v>1446</v>
      </c>
    </row>
    <row r="32" spans="1:17" x14ac:dyDescent="0.2">
      <c r="A32" t="s">
        <v>818</v>
      </c>
      <c r="B32" t="s">
        <v>57</v>
      </c>
      <c r="C32">
        <v>3</v>
      </c>
      <c r="D32" t="s">
        <v>17</v>
      </c>
      <c r="E32" t="s">
        <v>17</v>
      </c>
      <c r="F32">
        <v>1</v>
      </c>
      <c r="G32">
        <v>3</v>
      </c>
      <c r="H32" t="s">
        <v>17</v>
      </c>
      <c r="I32" t="s">
        <v>17</v>
      </c>
      <c r="J32">
        <v>1</v>
      </c>
      <c r="K32">
        <v>9.3421675247207736E-2</v>
      </c>
      <c r="L32">
        <f t="shared" si="0"/>
        <v>1.8438177874186552</v>
      </c>
      <c r="M32">
        <v>1.7225254655125072E-3</v>
      </c>
      <c r="N32" t="s">
        <v>17</v>
      </c>
      <c r="O32">
        <v>296</v>
      </c>
      <c r="P32" t="s">
        <v>1446</v>
      </c>
    </row>
    <row r="33" spans="1:16" x14ac:dyDescent="0.2">
      <c r="A33" t="s">
        <v>818</v>
      </c>
      <c r="B33" t="s">
        <v>57</v>
      </c>
      <c r="C33">
        <v>7</v>
      </c>
      <c r="D33" t="s">
        <v>17</v>
      </c>
      <c r="E33" t="s">
        <v>17</v>
      </c>
      <c r="F33">
        <v>7</v>
      </c>
      <c r="G33">
        <v>7</v>
      </c>
      <c r="H33" t="s">
        <v>17</v>
      </c>
      <c r="I33" t="s">
        <v>17</v>
      </c>
      <c r="J33">
        <v>7</v>
      </c>
      <c r="K33">
        <v>9.5853475904401853E-2</v>
      </c>
      <c r="L33">
        <f t="shared" si="0"/>
        <v>1.0570824524312898</v>
      </c>
      <c r="M33">
        <v>1.0132502738308866E-3</v>
      </c>
      <c r="N33" t="s">
        <v>17</v>
      </c>
      <c r="O33">
        <v>296</v>
      </c>
      <c r="P33" t="s">
        <v>1446</v>
      </c>
    </row>
    <row r="34" spans="1:16" x14ac:dyDescent="0.2">
      <c r="A34" t="s">
        <v>818</v>
      </c>
      <c r="B34" t="s">
        <v>57</v>
      </c>
      <c r="C34">
        <v>4</v>
      </c>
      <c r="D34" t="s">
        <v>17</v>
      </c>
      <c r="E34" t="s">
        <v>17</v>
      </c>
      <c r="F34">
        <v>4</v>
      </c>
      <c r="G34">
        <v>4</v>
      </c>
      <c r="H34" t="s">
        <v>17</v>
      </c>
      <c r="I34" t="s">
        <v>17</v>
      </c>
      <c r="J34">
        <v>4</v>
      </c>
      <c r="K34">
        <v>0.10598597864271073</v>
      </c>
      <c r="L34">
        <f t="shared" si="0"/>
        <v>0.38240917782026773</v>
      </c>
      <c r="M34">
        <v>4.0530010953235463E-4</v>
      </c>
      <c r="N34" t="s">
        <v>17</v>
      </c>
      <c r="O34">
        <v>296</v>
      </c>
      <c r="P34" t="s">
        <v>1446</v>
      </c>
    </row>
    <row r="35" spans="1:16" x14ac:dyDescent="0.2">
      <c r="A35" t="s">
        <v>818</v>
      </c>
      <c r="B35" t="s">
        <v>57</v>
      </c>
      <c r="C35">
        <v>6</v>
      </c>
      <c r="D35" t="s">
        <v>17</v>
      </c>
      <c r="E35" t="s">
        <v>17</v>
      </c>
      <c r="F35">
        <v>4</v>
      </c>
      <c r="G35">
        <v>6</v>
      </c>
      <c r="H35" t="s">
        <v>17</v>
      </c>
      <c r="I35" t="s">
        <v>17</v>
      </c>
      <c r="J35">
        <v>4</v>
      </c>
      <c r="K35">
        <v>9.4232275466272455E-2</v>
      </c>
      <c r="L35">
        <f t="shared" si="0"/>
        <v>0.43010752688172044</v>
      </c>
      <c r="M35">
        <v>4.0530010953235463E-4</v>
      </c>
      <c r="N35" t="s">
        <v>17</v>
      </c>
      <c r="O35">
        <v>296</v>
      </c>
      <c r="P35" t="s">
        <v>1446</v>
      </c>
    </row>
    <row r="36" spans="1:16" x14ac:dyDescent="0.2">
      <c r="A36" t="s">
        <v>818</v>
      </c>
      <c r="B36" t="s">
        <v>57</v>
      </c>
      <c r="C36">
        <v>6</v>
      </c>
      <c r="D36" t="s">
        <v>17</v>
      </c>
      <c r="E36" t="s">
        <v>17</v>
      </c>
      <c r="F36">
        <v>3</v>
      </c>
      <c r="G36">
        <v>6</v>
      </c>
      <c r="H36" t="s">
        <v>17</v>
      </c>
      <c r="I36" t="s">
        <v>17</v>
      </c>
      <c r="J36">
        <v>3</v>
      </c>
      <c r="K36">
        <v>8.7342173604222417E-2</v>
      </c>
      <c r="L36">
        <f t="shared" si="0"/>
        <v>0.81206496519721572</v>
      </c>
      <c r="M36">
        <v>7.0927519168162054E-4</v>
      </c>
      <c r="N36" t="s">
        <v>17</v>
      </c>
      <c r="O36">
        <v>296</v>
      </c>
      <c r="P36" t="s">
        <v>1446</v>
      </c>
    </row>
    <row r="37" spans="1:16" x14ac:dyDescent="0.2">
      <c r="A37" t="s">
        <v>818</v>
      </c>
      <c r="B37" t="s">
        <v>57</v>
      </c>
      <c r="C37">
        <v>4</v>
      </c>
      <c r="D37" t="s">
        <v>17</v>
      </c>
      <c r="E37" t="s">
        <v>17</v>
      </c>
      <c r="F37">
        <v>3</v>
      </c>
      <c r="G37">
        <v>4</v>
      </c>
      <c r="H37" t="s">
        <v>17</v>
      </c>
      <c r="I37" t="s">
        <v>17</v>
      </c>
      <c r="J37">
        <v>3</v>
      </c>
      <c r="K37">
        <v>0.1026422527390688</v>
      </c>
      <c r="L37">
        <f t="shared" si="0"/>
        <v>1.0858835143139189</v>
      </c>
      <c r="M37">
        <v>1.114575301213975E-3</v>
      </c>
      <c r="N37" t="s">
        <v>17</v>
      </c>
      <c r="O37">
        <v>296</v>
      </c>
      <c r="P37" t="s">
        <v>1446</v>
      </c>
    </row>
    <row r="38" spans="1:16" x14ac:dyDescent="0.2">
      <c r="A38" t="s">
        <v>818</v>
      </c>
      <c r="B38" t="s">
        <v>57</v>
      </c>
      <c r="C38">
        <v>4</v>
      </c>
      <c r="D38" t="s">
        <v>17</v>
      </c>
      <c r="E38" t="s">
        <v>17</v>
      </c>
      <c r="F38">
        <v>2</v>
      </c>
      <c r="G38">
        <v>4</v>
      </c>
      <c r="H38" t="s">
        <v>17</v>
      </c>
      <c r="I38" t="s">
        <v>17</v>
      </c>
      <c r="J38">
        <v>2</v>
      </c>
      <c r="K38">
        <v>0.10010912705449158</v>
      </c>
      <c r="L38">
        <f t="shared" si="0"/>
        <v>2.3279352226720649</v>
      </c>
      <c r="M38">
        <v>2.3304756298110391E-3</v>
      </c>
      <c r="N38" t="s">
        <v>17</v>
      </c>
      <c r="O38">
        <v>296</v>
      </c>
      <c r="P38" t="s">
        <v>1446</v>
      </c>
    </row>
    <row r="39" spans="1:16" x14ac:dyDescent="0.2">
      <c r="A39" t="s">
        <v>818</v>
      </c>
      <c r="B39" t="s">
        <v>57</v>
      </c>
      <c r="C39">
        <v>5</v>
      </c>
      <c r="D39" t="s">
        <v>17</v>
      </c>
      <c r="E39" t="s">
        <v>17</v>
      </c>
      <c r="F39">
        <v>5</v>
      </c>
      <c r="G39">
        <v>5</v>
      </c>
      <c r="H39" t="s">
        <v>17</v>
      </c>
      <c r="I39" t="s">
        <v>17</v>
      </c>
      <c r="J39">
        <v>5</v>
      </c>
      <c r="K39">
        <v>0.10091972727355629</v>
      </c>
      <c r="L39">
        <f t="shared" si="0"/>
        <v>1.0040160642570284</v>
      </c>
      <c r="M39">
        <v>1.0132502738308866E-3</v>
      </c>
      <c r="N39" t="s">
        <v>17</v>
      </c>
      <c r="O39">
        <v>296</v>
      </c>
      <c r="P39" t="s">
        <v>1446</v>
      </c>
    </row>
    <row r="40" spans="1:16" x14ac:dyDescent="0.2">
      <c r="A40" t="s">
        <v>818</v>
      </c>
      <c r="B40" t="s">
        <v>57</v>
      </c>
      <c r="C40">
        <v>7</v>
      </c>
      <c r="D40" t="s">
        <v>17</v>
      </c>
      <c r="E40" t="s">
        <v>17</v>
      </c>
      <c r="F40">
        <v>6</v>
      </c>
      <c r="G40">
        <v>7</v>
      </c>
      <c r="H40" t="s">
        <v>17</v>
      </c>
      <c r="I40" t="s">
        <v>17</v>
      </c>
      <c r="J40">
        <v>6</v>
      </c>
      <c r="K40">
        <v>9.4434925521038632E-2</v>
      </c>
      <c r="L40">
        <f t="shared" si="0"/>
        <v>2.0386266094420602</v>
      </c>
      <c r="M40">
        <v>1.9251755202786844E-3</v>
      </c>
      <c r="N40" t="s">
        <v>17</v>
      </c>
      <c r="O40">
        <v>296</v>
      </c>
      <c r="P40" t="s">
        <v>1446</v>
      </c>
    </row>
    <row r="41" spans="1:16" x14ac:dyDescent="0.2">
      <c r="A41" t="s">
        <v>818</v>
      </c>
      <c r="B41" t="s">
        <v>57</v>
      </c>
      <c r="C41">
        <v>8</v>
      </c>
      <c r="D41" t="s">
        <v>17</v>
      </c>
      <c r="E41" t="s">
        <v>17</v>
      </c>
      <c r="F41">
        <v>8</v>
      </c>
      <c r="G41">
        <v>8</v>
      </c>
      <c r="H41" t="s">
        <v>17</v>
      </c>
      <c r="I41" t="s">
        <v>17</v>
      </c>
      <c r="J41">
        <v>8</v>
      </c>
      <c r="K41">
        <v>8.8963374042351842E-2</v>
      </c>
      <c r="L41">
        <f t="shared" si="0"/>
        <v>1.7084282460136671</v>
      </c>
      <c r="M41">
        <v>1.5198754107463297E-3</v>
      </c>
      <c r="N41" t="s">
        <v>17</v>
      </c>
      <c r="O41">
        <v>296</v>
      </c>
      <c r="P41" t="s">
        <v>1446</v>
      </c>
    </row>
    <row r="42" spans="1:16" x14ac:dyDescent="0.2">
      <c r="A42" t="s">
        <v>818</v>
      </c>
      <c r="B42" t="s">
        <v>57</v>
      </c>
      <c r="C42">
        <v>7</v>
      </c>
      <c r="D42" t="s">
        <v>17</v>
      </c>
      <c r="E42" t="s">
        <v>17</v>
      </c>
      <c r="F42">
        <v>5</v>
      </c>
      <c r="G42">
        <v>7</v>
      </c>
      <c r="H42" t="s">
        <v>17</v>
      </c>
      <c r="I42" t="s">
        <v>17</v>
      </c>
      <c r="J42">
        <v>5</v>
      </c>
      <c r="K42">
        <v>8.8963374042351842E-2</v>
      </c>
      <c r="L42">
        <f t="shared" si="0"/>
        <v>1.7084282460136671</v>
      </c>
      <c r="M42">
        <v>1.5198754107463297E-3</v>
      </c>
      <c r="N42" t="s">
        <v>17</v>
      </c>
      <c r="O42">
        <v>296</v>
      </c>
      <c r="P42" t="s">
        <v>1446</v>
      </c>
    </row>
    <row r="43" spans="1:16" x14ac:dyDescent="0.2">
      <c r="A43" t="s">
        <v>818</v>
      </c>
      <c r="B43" t="s">
        <v>57</v>
      </c>
      <c r="C43">
        <v>8</v>
      </c>
      <c r="D43" t="s">
        <v>17</v>
      </c>
      <c r="E43" t="s">
        <v>17</v>
      </c>
      <c r="F43">
        <v>5</v>
      </c>
      <c r="G43">
        <v>8</v>
      </c>
      <c r="H43" t="s">
        <v>17</v>
      </c>
      <c r="I43" t="s">
        <v>17</v>
      </c>
      <c r="J43">
        <v>5</v>
      </c>
      <c r="K43">
        <v>8.7038198522073146E-2</v>
      </c>
      <c r="L43">
        <f t="shared" si="0"/>
        <v>3.2596041909196747</v>
      </c>
      <c r="M43">
        <v>2.8371007667264822E-3</v>
      </c>
      <c r="N43" t="s">
        <v>17</v>
      </c>
      <c r="O43">
        <v>296</v>
      </c>
      <c r="P43" t="s">
        <v>1446</v>
      </c>
    </row>
    <row r="44" spans="1:16" x14ac:dyDescent="0.2">
      <c r="A44" t="s">
        <v>818</v>
      </c>
      <c r="B44" t="s">
        <v>57</v>
      </c>
      <c r="C44">
        <v>5</v>
      </c>
      <c r="D44" t="s">
        <v>17</v>
      </c>
      <c r="E44" t="s">
        <v>17</v>
      </c>
      <c r="F44">
        <v>4</v>
      </c>
      <c r="G44">
        <v>5</v>
      </c>
      <c r="H44" t="s">
        <v>17</v>
      </c>
      <c r="I44" t="s">
        <v>17</v>
      </c>
      <c r="J44">
        <v>4</v>
      </c>
      <c r="K44">
        <v>9.9906476999725408E-2</v>
      </c>
      <c r="L44">
        <f t="shared" si="0"/>
        <v>1.6227180527383371</v>
      </c>
      <c r="M44">
        <v>1.6212004381294185E-3</v>
      </c>
      <c r="N44" t="s">
        <v>17</v>
      </c>
      <c r="O44">
        <v>296</v>
      </c>
      <c r="P44" t="s">
        <v>1446</v>
      </c>
    </row>
    <row r="45" spans="1:16" x14ac:dyDescent="0.2">
      <c r="A45" t="s">
        <v>818</v>
      </c>
      <c r="B45" t="s">
        <v>57</v>
      </c>
      <c r="C45">
        <v>5</v>
      </c>
      <c r="D45" t="s">
        <v>17</v>
      </c>
      <c r="E45" t="s">
        <v>17</v>
      </c>
      <c r="F45">
        <v>3</v>
      </c>
      <c r="G45">
        <v>5</v>
      </c>
      <c r="H45" t="s">
        <v>17</v>
      </c>
      <c r="I45" t="s">
        <v>17</v>
      </c>
      <c r="J45">
        <v>3</v>
      </c>
      <c r="K45">
        <v>9.6056125959168043E-2</v>
      </c>
      <c r="L45">
        <f t="shared" si="0"/>
        <v>1.0548523206751057</v>
      </c>
      <c r="M45">
        <v>1.0132502738308866E-3</v>
      </c>
      <c r="N45" t="s">
        <v>17</v>
      </c>
      <c r="O45">
        <v>296</v>
      </c>
      <c r="P45" t="s">
        <v>1446</v>
      </c>
    </row>
    <row r="46" spans="1:16" x14ac:dyDescent="0.2">
      <c r="A46" t="s">
        <v>818</v>
      </c>
      <c r="B46" t="s">
        <v>57</v>
      </c>
      <c r="C46">
        <v>6</v>
      </c>
      <c r="D46" t="s">
        <v>17</v>
      </c>
      <c r="E46" t="s">
        <v>17</v>
      </c>
      <c r="F46">
        <v>6</v>
      </c>
      <c r="G46">
        <v>6</v>
      </c>
      <c r="H46" t="s">
        <v>17</v>
      </c>
      <c r="I46" t="s">
        <v>17</v>
      </c>
      <c r="J46">
        <v>6</v>
      </c>
      <c r="K46">
        <v>9.5853475904401853E-2</v>
      </c>
      <c r="L46">
        <f t="shared" si="0"/>
        <v>0.42283298097251598</v>
      </c>
      <c r="M46">
        <v>4.0530010953235463E-4</v>
      </c>
      <c r="N46" t="s">
        <v>17</v>
      </c>
      <c r="O46">
        <v>296</v>
      </c>
      <c r="P46" t="s">
        <v>1446</v>
      </c>
    </row>
    <row r="47" spans="1:16" x14ac:dyDescent="0.2">
      <c r="A47" t="s">
        <v>818</v>
      </c>
      <c r="B47" t="s">
        <v>57</v>
      </c>
      <c r="C47">
        <v>8</v>
      </c>
      <c r="D47" t="s">
        <v>17</v>
      </c>
      <c r="E47" t="s">
        <v>17</v>
      </c>
      <c r="F47">
        <v>6</v>
      </c>
      <c r="G47">
        <v>8</v>
      </c>
      <c r="H47" t="s">
        <v>17</v>
      </c>
      <c r="I47" t="s">
        <v>17</v>
      </c>
      <c r="J47">
        <v>6</v>
      </c>
      <c r="K47">
        <v>8.9368674151884195E-2</v>
      </c>
      <c r="L47">
        <f t="shared" si="0"/>
        <v>2.6077097505668934</v>
      </c>
      <c r="M47">
        <v>2.3304756298110391E-3</v>
      </c>
      <c r="N47" t="s">
        <v>17</v>
      </c>
      <c r="O47">
        <v>296</v>
      </c>
      <c r="P47" t="s">
        <v>1446</v>
      </c>
    </row>
    <row r="48" spans="1:16" x14ac:dyDescent="0.2">
      <c r="A48" t="s">
        <v>818</v>
      </c>
      <c r="B48" t="s">
        <v>57</v>
      </c>
      <c r="C48">
        <v>6</v>
      </c>
      <c r="D48" t="s">
        <v>17</v>
      </c>
      <c r="E48" t="s">
        <v>17</v>
      </c>
      <c r="F48">
        <v>5</v>
      </c>
      <c r="G48">
        <v>6</v>
      </c>
      <c r="H48" t="s">
        <v>17</v>
      </c>
      <c r="I48" t="s">
        <v>17</v>
      </c>
      <c r="J48">
        <v>5</v>
      </c>
      <c r="K48">
        <v>9.6968051205615829E-2</v>
      </c>
      <c r="L48">
        <f t="shared" si="0"/>
        <v>1.3584117032392895</v>
      </c>
      <c r="M48">
        <v>1.3172253559801525E-3</v>
      </c>
      <c r="N48" t="s">
        <v>17</v>
      </c>
      <c r="O48">
        <v>296</v>
      </c>
      <c r="P48" t="s">
        <v>1446</v>
      </c>
    </row>
    <row r="49" spans="1:16" x14ac:dyDescent="0.2">
      <c r="A49" t="s">
        <v>818</v>
      </c>
      <c r="B49" t="s">
        <v>57</v>
      </c>
      <c r="C49">
        <v>9</v>
      </c>
      <c r="D49" t="s">
        <v>17</v>
      </c>
      <c r="E49" t="s">
        <v>17</v>
      </c>
      <c r="F49">
        <v>9</v>
      </c>
      <c r="G49">
        <v>9</v>
      </c>
      <c r="H49" t="s">
        <v>17</v>
      </c>
      <c r="I49" t="s">
        <v>17</v>
      </c>
      <c r="J49">
        <v>9</v>
      </c>
      <c r="K49">
        <v>9.6968051205615829E-2</v>
      </c>
      <c r="L49">
        <f t="shared" si="0"/>
        <v>1.3584117032392895</v>
      </c>
      <c r="M49">
        <v>1.3172253559801525E-3</v>
      </c>
      <c r="N49" t="s">
        <v>17</v>
      </c>
      <c r="O49">
        <v>296</v>
      </c>
      <c r="P49" t="s">
        <v>1446</v>
      </c>
    </row>
    <row r="50" spans="1:16" x14ac:dyDescent="0.2">
      <c r="A50" t="s">
        <v>818</v>
      </c>
      <c r="B50" t="s">
        <v>57</v>
      </c>
      <c r="C50">
        <v>6</v>
      </c>
      <c r="D50" t="s">
        <v>17</v>
      </c>
      <c r="E50" t="s">
        <v>17</v>
      </c>
      <c r="F50">
        <v>4</v>
      </c>
      <c r="G50">
        <v>6</v>
      </c>
      <c r="H50" t="s">
        <v>17</v>
      </c>
      <c r="I50" t="s">
        <v>17</v>
      </c>
      <c r="J50">
        <v>4</v>
      </c>
      <c r="K50">
        <v>9.3826975356740089E-2</v>
      </c>
      <c r="L50">
        <f t="shared" si="0"/>
        <v>1.9438444924406046</v>
      </c>
      <c r="M50">
        <v>1.8238504928955956E-3</v>
      </c>
      <c r="N50" t="s">
        <v>17</v>
      </c>
      <c r="O50">
        <v>296</v>
      </c>
      <c r="P50" t="s">
        <v>1446</v>
      </c>
    </row>
    <row r="51" spans="1:16" x14ac:dyDescent="0.2">
      <c r="A51" t="s">
        <v>818</v>
      </c>
      <c r="B51" t="s">
        <v>57</v>
      </c>
      <c r="C51">
        <v>7</v>
      </c>
      <c r="D51" t="s">
        <v>17</v>
      </c>
      <c r="E51" t="s">
        <v>17</v>
      </c>
      <c r="F51">
        <v>7</v>
      </c>
      <c r="G51">
        <v>7</v>
      </c>
      <c r="H51" t="s">
        <v>17</v>
      </c>
      <c r="I51" t="s">
        <v>17</v>
      </c>
      <c r="J51">
        <v>7</v>
      </c>
      <c r="K51">
        <v>9.2712400055526126E-2</v>
      </c>
      <c r="L51">
        <f t="shared" si="0"/>
        <v>0.43715846994535518</v>
      </c>
      <c r="M51">
        <v>4.0530010953235463E-4</v>
      </c>
      <c r="N51" t="s">
        <v>17</v>
      </c>
      <c r="O51">
        <v>296</v>
      </c>
      <c r="P51" t="s">
        <v>1446</v>
      </c>
    </row>
    <row r="52" spans="1:16" x14ac:dyDescent="0.2">
      <c r="A52" t="s">
        <v>818</v>
      </c>
      <c r="B52" t="s">
        <v>57</v>
      </c>
      <c r="C52">
        <v>6</v>
      </c>
      <c r="D52" t="s">
        <v>17</v>
      </c>
      <c r="E52" t="s">
        <v>17</v>
      </c>
      <c r="F52">
        <v>3</v>
      </c>
      <c r="G52">
        <v>6</v>
      </c>
      <c r="H52" t="s">
        <v>17</v>
      </c>
      <c r="I52" t="s">
        <v>17</v>
      </c>
      <c r="J52">
        <v>3</v>
      </c>
      <c r="K52">
        <v>9.4637575575804808E-2</v>
      </c>
      <c r="L52">
        <f t="shared" si="0"/>
        <v>2.5695931477516059</v>
      </c>
      <c r="M52">
        <v>2.4318006571941277E-3</v>
      </c>
      <c r="N52" t="s">
        <v>17</v>
      </c>
      <c r="O52">
        <v>296</v>
      </c>
      <c r="P52" t="s">
        <v>1446</v>
      </c>
    </row>
    <row r="53" spans="1:16" x14ac:dyDescent="0.2">
      <c r="A53" t="s">
        <v>818</v>
      </c>
      <c r="B53" t="s">
        <v>57</v>
      </c>
      <c r="C53">
        <v>9</v>
      </c>
      <c r="D53" t="s">
        <v>17</v>
      </c>
      <c r="E53" t="s">
        <v>17</v>
      </c>
      <c r="F53">
        <v>8</v>
      </c>
      <c r="G53">
        <v>9</v>
      </c>
      <c r="H53" t="s">
        <v>17</v>
      </c>
      <c r="I53" t="s">
        <v>17</v>
      </c>
      <c r="J53">
        <v>8</v>
      </c>
      <c r="K53">
        <v>9.2408424973376854E-2</v>
      </c>
      <c r="L53">
        <f t="shared" si="0"/>
        <v>4.057017543859649</v>
      </c>
      <c r="M53">
        <v>3.7490260131742797E-3</v>
      </c>
      <c r="N53" t="s">
        <v>17</v>
      </c>
      <c r="O53">
        <v>296</v>
      </c>
      <c r="P53" t="s">
        <v>1446</v>
      </c>
    </row>
    <row r="54" spans="1:16" x14ac:dyDescent="0.2">
      <c r="A54" t="s">
        <v>818</v>
      </c>
      <c r="B54" t="s">
        <v>57</v>
      </c>
      <c r="C54">
        <v>7</v>
      </c>
      <c r="D54" t="s">
        <v>17</v>
      </c>
      <c r="E54" t="s">
        <v>17</v>
      </c>
      <c r="F54">
        <v>6</v>
      </c>
      <c r="G54">
        <v>7</v>
      </c>
      <c r="H54" t="s">
        <v>17</v>
      </c>
      <c r="I54" t="s">
        <v>17</v>
      </c>
      <c r="J54">
        <v>6</v>
      </c>
      <c r="K54">
        <v>9.54481757948695E-2</v>
      </c>
      <c r="L54">
        <f t="shared" si="0"/>
        <v>2.335456475583864</v>
      </c>
      <c r="M54">
        <v>2.22915060242795E-3</v>
      </c>
      <c r="N54" t="s">
        <v>17</v>
      </c>
      <c r="O54">
        <v>296</v>
      </c>
      <c r="P54" t="s">
        <v>1446</v>
      </c>
    </row>
    <row r="55" spans="1:16" x14ac:dyDescent="0.2">
      <c r="A55" t="s">
        <v>818</v>
      </c>
      <c r="B55" t="s">
        <v>57</v>
      </c>
      <c r="C55">
        <v>9</v>
      </c>
      <c r="D55" t="s">
        <v>17</v>
      </c>
      <c r="E55" t="s">
        <v>17</v>
      </c>
      <c r="F55">
        <v>6</v>
      </c>
      <c r="G55">
        <v>9</v>
      </c>
      <c r="H55" t="s">
        <v>17</v>
      </c>
      <c r="I55" t="s">
        <v>17</v>
      </c>
      <c r="J55">
        <v>6</v>
      </c>
      <c r="K55">
        <v>9.5549500822252595E-2</v>
      </c>
      <c r="L55">
        <f t="shared" si="0"/>
        <v>1.9088016967126191</v>
      </c>
      <c r="M55">
        <v>1.8238504928955956E-3</v>
      </c>
      <c r="N55" t="s">
        <v>17</v>
      </c>
      <c r="O55">
        <v>296</v>
      </c>
      <c r="P55" t="s">
        <v>1446</v>
      </c>
    </row>
    <row r="56" spans="1:16" x14ac:dyDescent="0.2">
      <c r="A56" t="s">
        <v>818</v>
      </c>
      <c r="B56" t="s">
        <v>57</v>
      </c>
      <c r="C56">
        <v>7</v>
      </c>
      <c r="D56" t="s">
        <v>17</v>
      </c>
      <c r="E56" t="s">
        <v>17</v>
      </c>
      <c r="F56">
        <v>5</v>
      </c>
      <c r="G56">
        <v>7</v>
      </c>
      <c r="H56" t="s">
        <v>17</v>
      </c>
      <c r="I56" t="s">
        <v>17</v>
      </c>
      <c r="J56">
        <v>5</v>
      </c>
      <c r="K56">
        <v>8.9166024097118018E-2</v>
      </c>
      <c r="L56">
        <f t="shared" si="0"/>
        <v>1.8181818181818181</v>
      </c>
      <c r="M56">
        <v>1.6212004381294185E-3</v>
      </c>
      <c r="N56" t="s">
        <v>17</v>
      </c>
      <c r="O56">
        <v>296</v>
      </c>
      <c r="P56" t="s">
        <v>1446</v>
      </c>
    </row>
    <row r="57" spans="1:16" x14ac:dyDescent="0.2">
      <c r="A57" t="s">
        <v>818</v>
      </c>
      <c r="B57" t="s">
        <v>57</v>
      </c>
      <c r="C57">
        <v>8</v>
      </c>
      <c r="D57" t="s">
        <v>17</v>
      </c>
      <c r="E57" t="s">
        <v>17</v>
      </c>
      <c r="F57">
        <v>8</v>
      </c>
      <c r="G57">
        <v>8</v>
      </c>
      <c r="H57" t="s">
        <v>17</v>
      </c>
      <c r="I57" t="s">
        <v>17</v>
      </c>
      <c r="J57">
        <v>8</v>
      </c>
      <c r="K57">
        <v>9.5144200712720242E-2</v>
      </c>
      <c r="L57">
        <f t="shared" si="0"/>
        <v>2.7689030883919061</v>
      </c>
      <c r="M57">
        <v>2.6344507119603049E-3</v>
      </c>
      <c r="N57" t="s">
        <v>17</v>
      </c>
      <c r="O57">
        <v>296</v>
      </c>
      <c r="P57" t="s">
        <v>1446</v>
      </c>
    </row>
    <row r="58" spans="1:16" x14ac:dyDescent="0.2">
      <c r="A58" t="s">
        <v>818</v>
      </c>
      <c r="B58" t="s">
        <v>57</v>
      </c>
      <c r="C58">
        <v>8</v>
      </c>
      <c r="D58" t="s">
        <v>17</v>
      </c>
      <c r="E58" t="s">
        <v>17</v>
      </c>
      <c r="F58">
        <v>7</v>
      </c>
      <c r="G58">
        <v>8</v>
      </c>
      <c r="H58" t="s">
        <v>17</v>
      </c>
      <c r="I58" t="s">
        <v>17</v>
      </c>
      <c r="J58">
        <v>7</v>
      </c>
      <c r="K58">
        <v>8.9064699069734923E-2</v>
      </c>
      <c r="L58">
        <f t="shared" si="0"/>
        <v>2.3890784982935154</v>
      </c>
      <c r="M58">
        <v>2.1278255750448618E-3</v>
      </c>
      <c r="N58" t="s">
        <v>17</v>
      </c>
      <c r="O58">
        <v>296</v>
      </c>
      <c r="P58" t="s">
        <v>1446</v>
      </c>
    </row>
    <row r="59" spans="1:16" x14ac:dyDescent="0.2">
      <c r="A59" t="s">
        <v>818</v>
      </c>
      <c r="B59" t="s">
        <v>57</v>
      </c>
      <c r="C59">
        <v>8</v>
      </c>
      <c r="D59" t="s">
        <v>17</v>
      </c>
      <c r="E59" t="s">
        <v>17</v>
      </c>
      <c r="F59">
        <v>6</v>
      </c>
      <c r="G59">
        <v>8</v>
      </c>
      <c r="H59" t="s">
        <v>17</v>
      </c>
      <c r="I59" t="s">
        <v>17</v>
      </c>
      <c r="J59">
        <v>6</v>
      </c>
      <c r="K59">
        <v>8.9571324206650371E-2</v>
      </c>
      <c r="L59">
        <f t="shared" si="0"/>
        <v>0.56561085972850689</v>
      </c>
      <c r="M59">
        <v>5.0662513691544331E-4</v>
      </c>
      <c r="N59" t="s">
        <v>17</v>
      </c>
      <c r="O59">
        <v>296</v>
      </c>
      <c r="P59" t="s">
        <v>1446</v>
      </c>
    </row>
    <row r="60" spans="1:16" x14ac:dyDescent="0.2">
      <c r="A60" t="s">
        <v>818</v>
      </c>
      <c r="B60" t="s">
        <v>203</v>
      </c>
      <c r="C60">
        <v>4</v>
      </c>
      <c r="D60" t="s">
        <v>17</v>
      </c>
      <c r="E60" t="s">
        <v>17</v>
      </c>
      <c r="F60">
        <v>3</v>
      </c>
      <c r="G60">
        <v>3</v>
      </c>
      <c r="H60" t="s">
        <v>17</v>
      </c>
      <c r="I60" t="s">
        <v>17</v>
      </c>
      <c r="J60">
        <v>3</v>
      </c>
      <c r="K60">
        <v>6.3429467141813495E-2</v>
      </c>
      <c r="L60">
        <f t="shared" si="0"/>
        <v>0.79872204472843467</v>
      </c>
      <c r="M60">
        <v>5.0662513691544331E-4</v>
      </c>
      <c r="N60" t="s">
        <v>17</v>
      </c>
      <c r="O60">
        <v>296</v>
      </c>
      <c r="P60" t="s">
        <v>1446</v>
      </c>
    </row>
    <row r="61" spans="1:16" x14ac:dyDescent="0.2">
      <c r="A61" t="s">
        <v>818</v>
      </c>
      <c r="B61" t="s">
        <v>203</v>
      </c>
      <c r="C61">
        <v>4</v>
      </c>
      <c r="D61" t="s">
        <v>17</v>
      </c>
      <c r="E61" t="s">
        <v>17</v>
      </c>
      <c r="F61">
        <v>2</v>
      </c>
      <c r="G61">
        <v>3</v>
      </c>
      <c r="H61" t="s">
        <v>17</v>
      </c>
      <c r="I61" t="s">
        <v>17</v>
      </c>
      <c r="J61">
        <v>2</v>
      </c>
      <c r="K61">
        <v>6.2416216867982606E-2</v>
      </c>
      <c r="L61">
        <f t="shared" si="0"/>
        <v>0.64935064935064934</v>
      </c>
      <c r="M61">
        <v>4.0530010953235463E-4</v>
      </c>
      <c r="N61" t="s">
        <v>17</v>
      </c>
      <c r="O61">
        <v>296</v>
      </c>
      <c r="P61" t="s">
        <v>1446</v>
      </c>
    </row>
    <row r="62" spans="1:16" x14ac:dyDescent="0.2">
      <c r="A62" t="s">
        <v>818</v>
      </c>
      <c r="B62" t="s">
        <v>203</v>
      </c>
      <c r="C62">
        <v>4</v>
      </c>
      <c r="D62" t="s">
        <v>17</v>
      </c>
      <c r="E62" t="s">
        <v>17</v>
      </c>
      <c r="F62">
        <v>1</v>
      </c>
      <c r="G62">
        <v>3</v>
      </c>
      <c r="H62" t="s">
        <v>17</v>
      </c>
      <c r="I62" t="s">
        <v>17</v>
      </c>
      <c r="J62">
        <v>1</v>
      </c>
      <c r="K62">
        <v>5.8565865827425234E-2</v>
      </c>
      <c r="L62">
        <f t="shared" si="0"/>
        <v>0.69204152249134954</v>
      </c>
      <c r="M62">
        <v>4.0530010953235463E-4</v>
      </c>
      <c r="N62" t="s">
        <v>17</v>
      </c>
      <c r="O62">
        <v>296</v>
      </c>
      <c r="P62" t="s">
        <v>1446</v>
      </c>
    </row>
    <row r="63" spans="1:16" x14ac:dyDescent="0.2">
      <c r="A63" t="s">
        <v>818</v>
      </c>
      <c r="B63" t="s">
        <v>203</v>
      </c>
      <c r="C63">
        <v>4</v>
      </c>
      <c r="D63" t="s">
        <v>17</v>
      </c>
      <c r="E63" t="s">
        <v>17</v>
      </c>
      <c r="F63">
        <v>0</v>
      </c>
      <c r="G63">
        <v>3</v>
      </c>
      <c r="H63" t="s">
        <v>17</v>
      </c>
      <c r="I63" t="s">
        <v>17</v>
      </c>
      <c r="J63">
        <v>0</v>
      </c>
      <c r="K63">
        <v>5.5830090088081853E-2</v>
      </c>
      <c r="L63">
        <f t="shared" si="0"/>
        <v>0.54446460980036293</v>
      </c>
      <c r="M63">
        <v>3.0397508214926596E-4</v>
      </c>
      <c r="N63" t="s">
        <v>17</v>
      </c>
      <c r="O63">
        <v>296</v>
      </c>
      <c r="P63" t="s">
        <v>1446</v>
      </c>
    </row>
    <row r="64" spans="1:16" x14ac:dyDescent="0.2">
      <c r="A64" t="s">
        <v>818</v>
      </c>
      <c r="B64" t="s">
        <v>203</v>
      </c>
      <c r="C64">
        <v>4</v>
      </c>
      <c r="D64" t="s">
        <v>17</v>
      </c>
      <c r="E64" t="s">
        <v>17</v>
      </c>
      <c r="F64">
        <v>3</v>
      </c>
      <c r="G64">
        <v>3</v>
      </c>
      <c r="H64" t="s">
        <v>17</v>
      </c>
      <c r="I64" t="s">
        <v>17</v>
      </c>
      <c r="J64">
        <v>3</v>
      </c>
      <c r="K64">
        <v>6.4442717415644377E-2</v>
      </c>
      <c r="L64">
        <f t="shared" si="0"/>
        <v>0.62893081761006298</v>
      </c>
      <c r="M64">
        <v>4.0530010953235463E-4</v>
      </c>
      <c r="N64" t="s">
        <v>17</v>
      </c>
      <c r="O64">
        <v>296</v>
      </c>
      <c r="P64" t="s">
        <v>1446</v>
      </c>
    </row>
    <row r="65" spans="1:16" x14ac:dyDescent="0.2">
      <c r="A65" t="s">
        <v>818</v>
      </c>
      <c r="B65" t="s">
        <v>203</v>
      </c>
      <c r="C65">
        <v>4</v>
      </c>
      <c r="D65" t="s">
        <v>17</v>
      </c>
      <c r="E65" t="s">
        <v>17</v>
      </c>
      <c r="F65">
        <v>2</v>
      </c>
      <c r="G65">
        <v>3</v>
      </c>
      <c r="H65" t="s">
        <v>17</v>
      </c>
      <c r="I65" t="s">
        <v>17</v>
      </c>
      <c r="J65">
        <v>2</v>
      </c>
      <c r="K65">
        <v>6.353079216919659E-2</v>
      </c>
      <c r="L65">
        <f t="shared" si="0"/>
        <v>2.073365231259968</v>
      </c>
      <c r="M65">
        <v>1.3172253559801525E-3</v>
      </c>
      <c r="N65" t="s">
        <v>17</v>
      </c>
      <c r="O65">
        <v>296</v>
      </c>
      <c r="P65" t="s">
        <v>1446</v>
      </c>
    </row>
    <row r="66" spans="1:16" x14ac:dyDescent="0.2">
      <c r="A66" t="s">
        <v>818</v>
      </c>
      <c r="B66" t="s">
        <v>203</v>
      </c>
      <c r="C66">
        <v>4</v>
      </c>
      <c r="D66" t="s">
        <v>17</v>
      </c>
      <c r="E66" t="s">
        <v>17</v>
      </c>
      <c r="F66">
        <v>1</v>
      </c>
      <c r="G66">
        <v>3</v>
      </c>
      <c r="H66" t="s">
        <v>17</v>
      </c>
      <c r="I66" t="s">
        <v>17</v>
      </c>
      <c r="J66">
        <v>1</v>
      </c>
      <c r="K66">
        <v>5.826189074527597E-2</v>
      </c>
      <c r="L66">
        <f t="shared" si="0"/>
        <v>0.34782608695652178</v>
      </c>
      <c r="M66">
        <v>2.0265005476617732E-4</v>
      </c>
      <c r="N66" t="s">
        <v>17</v>
      </c>
      <c r="O66">
        <v>296</v>
      </c>
      <c r="P66" t="s">
        <v>1446</v>
      </c>
    </row>
    <row r="67" spans="1:16" x14ac:dyDescent="0.2">
      <c r="A67" t="s">
        <v>818</v>
      </c>
      <c r="B67" t="s">
        <v>203</v>
      </c>
      <c r="C67">
        <v>2</v>
      </c>
      <c r="D67" t="s">
        <v>17</v>
      </c>
      <c r="E67" t="s">
        <v>17</v>
      </c>
      <c r="F67">
        <v>1</v>
      </c>
      <c r="G67">
        <v>1</v>
      </c>
      <c r="H67" t="s">
        <v>17</v>
      </c>
      <c r="I67" t="s">
        <v>17</v>
      </c>
      <c r="J67">
        <v>1</v>
      </c>
      <c r="K67">
        <v>6.819174342881866E-2</v>
      </c>
      <c r="L67">
        <f t="shared" ref="L67:L130" si="1">M67/K67*100</f>
        <v>1.0401188707280831</v>
      </c>
      <c r="M67">
        <v>7.0927519168162054E-4</v>
      </c>
      <c r="N67" t="s">
        <v>17</v>
      </c>
      <c r="O67">
        <v>296</v>
      </c>
      <c r="P67" t="s">
        <v>1446</v>
      </c>
    </row>
    <row r="68" spans="1:16" x14ac:dyDescent="0.2">
      <c r="A68" t="s">
        <v>818</v>
      </c>
      <c r="B68" t="s">
        <v>203</v>
      </c>
      <c r="C68">
        <v>2</v>
      </c>
      <c r="D68" t="s">
        <v>17</v>
      </c>
      <c r="E68" t="s">
        <v>17</v>
      </c>
      <c r="F68">
        <v>0</v>
      </c>
      <c r="G68">
        <v>1</v>
      </c>
      <c r="H68" t="s">
        <v>17</v>
      </c>
      <c r="I68" t="s">
        <v>17</v>
      </c>
      <c r="J68">
        <v>0</v>
      </c>
      <c r="K68">
        <v>6.2517541895365694E-2</v>
      </c>
      <c r="L68">
        <f t="shared" si="1"/>
        <v>0.81037277147487863</v>
      </c>
      <c r="M68">
        <v>5.0662513691544331E-4</v>
      </c>
      <c r="N68" t="s">
        <v>17</v>
      </c>
      <c r="O68">
        <v>296</v>
      </c>
      <c r="P68" t="s">
        <v>1446</v>
      </c>
    </row>
    <row r="69" spans="1:16" x14ac:dyDescent="0.2">
      <c r="A69" t="s">
        <v>818</v>
      </c>
      <c r="B69" t="s">
        <v>203</v>
      </c>
      <c r="C69">
        <v>2</v>
      </c>
      <c r="D69" t="s">
        <v>17</v>
      </c>
      <c r="E69" t="s">
        <v>17</v>
      </c>
      <c r="F69">
        <v>1</v>
      </c>
      <c r="G69">
        <v>1</v>
      </c>
      <c r="H69" t="s">
        <v>17</v>
      </c>
      <c r="I69" t="s">
        <v>17</v>
      </c>
      <c r="J69">
        <v>1</v>
      </c>
      <c r="K69">
        <v>6.819174342881866E-2</v>
      </c>
      <c r="L69">
        <f t="shared" si="1"/>
        <v>0.89153046062407149</v>
      </c>
      <c r="M69">
        <v>6.0795016429853192E-4</v>
      </c>
      <c r="N69" t="s">
        <v>17</v>
      </c>
      <c r="O69">
        <v>296</v>
      </c>
      <c r="P69" t="s">
        <v>1446</v>
      </c>
    </row>
    <row r="70" spans="1:16" x14ac:dyDescent="0.2">
      <c r="A70" t="s">
        <v>818</v>
      </c>
      <c r="B70" t="s">
        <v>203</v>
      </c>
      <c r="C70">
        <v>2</v>
      </c>
      <c r="D70" t="s">
        <v>17</v>
      </c>
      <c r="E70" t="s">
        <v>17</v>
      </c>
      <c r="F70">
        <v>0</v>
      </c>
      <c r="G70">
        <v>0</v>
      </c>
      <c r="H70" t="s">
        <v>17</v>
      </c>
      <c r="I70" t="s">
        <v>17</v>
      </c>
      <c r="J70">
        <v>0</v>
      </c>
      <c r="K70">
        <v>6.5455967689475272E-2</v>
      </c>
      <c r="L70">
        <f t="shared" si="1"/>
        <v>1.0835913312693497</v>
      </c>
      <c r="M70">
        <v>7.0927519168162054E-4</v>
      </c>
      <c r="N70" t="s">
        <v>17</v>
      </c>
      <c r="O70">
        <v>296</v>
      </c>
      <c r="P70" t="s">
        <v>1446</v>
      </c>
    </row>
    <row r="71" spans="1:16" x14ac:dyDescent="0.2">
      <c r="A71" t="s">
        <v>818</v>
      </c>
      <c r="B71" t="s">
        <v>203</v>
      </c>
      <c r="C71">
        <v>1</v>
      </c>
      <c r="D71" t="s">
        <v>17</v>
      </c>
      <c r="E71" t="s">
        <v>17</v>
      </c>
      <c r="F71">
        <v>1</v>
      </c>
      <c r="G71">
        <v>1</v>
      </c>
      <c r="H71" t="s">
        <v>17</v>
      </c>
      <c r="I71" t="s">
        <v>17</v>
      </c>
      <c r="J71">
        <v>1</v>
      </c>
      <c r="K71">
        <v>6.6773193045455426E-2</v>
      </c>
      <c r="L71">
        <f t="shared" si="1"/>
        <v>0.60698027314112291</v>
      </c>
      <c r="M71">
        <v>4.0530010953235463E-4</v>
      </c>
      <c r="N71" t="s">
        <v>17</v>
      </c>
      <c r="O71">
        <v>296</v>
      </c>
      <c r="P71" t="s">
        <v>1446</v>
      </c>
    </row>
    <row r="72" spans="1:16" x14ac:dyDescent="0.2">
      <c r="A72" t="s">
        <v>818</v>
      </c>
      <c r="B72" t="s">
        <v>203</v>
      </c>
      <c r="C72">
        <v>2</v>
      </c>
      <c r="D72" t="s">
        <v>17</v>
      </c>
      <c r="E72" t="s">
        <v>17</v>
      </c>
      <c r="F72">
        <v>2</v>
      </c>
      <c r="G72">
        <v>2</v>
      </c>
      <c r="H72" t="s">
        <v>17</v>
      </c>
      <c r="I72" t="s">
        <v>17</v>
      </c>
      <c r="J72">
        <v>2</v>
      </c>
      <c r="K72">
        <v>6.6063917853773801E-2</v>
      </c>
      <c r="L72">
        <f t="shared" si="1"/>
        <v>0.92024539877300615</v>
      </c>
      <c r="M72">
        <v>6.0795016429853192E-4</v>
      </c>
      <c r="N72" t="s">
        <v>17</v>
      </c>
      <c r="O72">
        <v>296</v>
      </c>
      <c r="P72" t="s">
        <v>1446</v>
      </c>
    </row>
    <row r="73" spans="1:16" x14ac:dyDescent="0.2">
      <c r="A73" t="s">
        <v>818</v>
      </c>
      <c r="B73" t="s">
        <v>203</v>
      </c>
      <c r="C73">
        <v>2</v>
      </c>
      <c r="D73" t="s">
        <v>17</v>
      </c>
      <c r="E73" t="s">
        <v>17</v>
      </c>
      <c r="F73">
        <v>1</v>
      </c>
      <c r="G73">
        <v>2</v>
      </c>
      <c r="H73" t="s">
        <v>17</v>
      </c>
      <c r="I73" t="s">
        <v>17</v>
      </c>
      <c r="J73">
        <v>1</v>
      </c>
      <c r="K73">
        <v>6.6570542990689249E-2</v>
      </c>
      <c r="L73">
        <f t="shared" si="1"/>
        <v>0.60882800608828003</v>
      </c>
      <c r="M73">
        <v>4.0530010953235463E-4</v>
      </c>
      <c r="N73" t="s">
        <v>17</v>
      </c>
      <c r="O73">
        <v>296</v>
      </c>
      <c r="P73" t="s">
        <v>1446</v>
      </c>
    </row>
    <row r="74" spans="1:16" x14ac:dyDescent="0.2">
      <c r="A74" t="s">
        <v>818</v>
      </c>
      <c r="B74" t="s">
        <v>203</v>
      </c>
      <c r="C74">
        <v>3</v>
      </c>
      <c r="D74" t="s">
        <v>17</v>
      </c>
      <c r="E74" t="s">
        <v>17</v>
      </c>
      <c r="F74">
        <v>3</v>
      </c>
      <c r="G74">
        <v>3</v>
      </c>
      <c r="H74" t="s">
        <v>17</v>
      </c>
      <c r="I74" t="s">
        <v>17</v>
      </c>
      <c r="J74">
        <v>3</v>
      </c>
      <c r="K74">
        <v>6.3125492059664223E-2</v>
      </c>
      <c r="L74">
        <f t="shared" si="1"/>
        <v>0.48154093097913331</v>
      </c>
      <c r="M74">
        <v>3.0397508214926596E-4</v>
      </c>
      <c r="N74" t="s">
        <v>17</v>
      </c>
      <c r="O74">
        <v>296</v>
      </c>
      <c r="P74" t="s">
        <v>1446</v>
      </c>
    </row>
    <row r="75" spans="1:16" x14ac:dyDescent="0.2">
      <c r="A75" t="s">
        <v>818</v>
      </c>
      <c r="B75" t="s">
        <v>203</v>
      </c>
      <c r="C75">
        <v>3</v>
      </c>
      <c r="D75" t="s">
        <v>17</v>
      </c>
      <c r="E75" t="s">
        <v>17</v>
      </c>
      <c r="F75">
        <v>2</v>
      </c>
      <c r="G75">
        <v>3</v>
      </c>
      <c r="H75" t="s">
        <v>17</v>
      </c>
      <c r="I75" t="s">
        <v>17</v>
      </c>
      <c r="J75">
        <v>2</v>
      </c>
      <c r="K75">
        <v>6.6570542990689249E-2</v>
      </c>
      <c r="L75">
        <f t="shared" si="1"/>
        <v>2.2831050228310499</v>
      </c>
      <c r="M75">
        <v>1.5198754107463297E-3</v>
      </c>
      <c r="N75" t="s">
        <v>17</v>
      </c>
      <c r="O75">
        <v>296</v>
      </c>
      <c r="P75" t="s">
        <v>1446</v>
      </c>
    </row>
    <row r="76" spans="1:16" x14ac:dyDescent="0.2">
      <c r="A76" t="s">
        <v>818</v>
      </c>
      <c r="B76" t="s">
        <v>203</v>
      </c>
      <c r="C76">
        <v>3</v>
      </c>
      <c r="D76" t="s">
        <v>17</v>
      </c>
      <c r="E76" t="s">
        <v>17</v>
      </c>
      <c r="F76">
        <v>1</v>
      </c>
      <c r="G76">
        <v>3</v>
      </c>
      <c r="H76" t="s">
        <v>17</v>
      </c>
      <c r="I76" t="s">
        <v>17</v>
      </c>
      <c r="J76">
        <v>1</v>
      </c>
      <c r="K76">
        <v>5.8059240690509793E-2</v>
      </c>
      <c r="L76">
        <f t="shared" si="1"/>
        <v>1.7452006980802797</v>
      </c>
      <c r="M76">
        <v>1.0132502738308866E-3</v>
      </c>
      <c r="N76" t="s">
        <v>17</v>
      </c>
      <c r="O76">
        <v>296</v>
      </c>
      <c r="P76" t="s">
        <v>1446</v>
      </c>
    </row>
    <row r="77" spans="1:16" x14ac:dyDescent="0.2">
      <c r="A77" t="s">
        <v>818</v>
      </c>
      <c r="B77" t="s">
        <v>203</v>
      </c>
      <c r="C77">
        <v>4</v>
      </c>
      <c r="D77" t="s">
        <v>17</v>
      </c>
      <c r="E77" t="s">
        <v>17</v>
      </c>
      <c r="F77">
        <v>4</v>
      </c>
      <c r="G77">
        <v>4</v>
      </c>
      <c r="H77" t="s">
        <v>17</v>
      </c>
      <c r="I77" t="s">
        <v>17</v>
      </c>
      <c r="J77">
        <v>4</v>
      </c>
      <c r="K77">
        <v>6.0389716320320835E-2</v>
      </c>
      <c r="L77">
        <f t="shared" si="1"/>
        <v>0.50335570469798663</v>
      </c>
      <c r="M77">
        <v>3.0397508214926596E-4</v>
      </c>
      <c r="N77" t="s">
        <v>17</v>
      </c>
      <c r="O77">
        <v>296</v>
      </c>
      <c r="P77" t="s">
        <v>1446</v>
      </c>
    </row>
    <row r="78" spans="1:16" x14ac:dyDescent="0.2">
      <c r="A78" t="s">
        <v>818</v>
      </c>
      <c r="B78" t="s">
        <v>203</v>
      </c>
      <c r="C78">
        <v>4</v>
      </c>
      <c r="D78" t="s">
        <v>17</v>
      </c>
      <c r="E78" t="s">
        <v>17</v>
      </c>
      <c r="F78">
        <v>3</v>
      </c>
      <c r="G78">
        <v>4</v>
      </c>
      <c r="H78" t="s">
        <v>17</v>
      </c>
      <c r="I78" t="s">
        <v>17</v>
      </c>
      <c r="J78">
        <v>3</v>
      </c>
      <c r="K78">
        <v>5.9984416210788476E-2</v>
      </c>
      <c r="L78">
        <f t="shared" si="1"/>
        <v>1.1824324324324325</v>
      </c>
      <c r="M78">
        <v>7.0927519168162054E-4</v>
      </c>
      <c r="N78" t="s">
        <v>17</v>
      </c>
      <c r="O78">
        <v>296</v>
      </c>
      <c r="P78" t="s">
        <v>1446</v>
      </c>
    </row>
    <row r="79" spans="1:16" x14ac:dyDescent="0.2">
      <c r="A79" t="s">
        <v>818</v>
      </c>
      <c r="B79" t="s">
        <v>203</v>
      </c>
      <c r="C79">
        <v>5</v>
      </c>
      <c r="D79" t="s">
        <v>17</v>
      </c>
      <c r="E79" t="s">
        <v>17</v>
      </c>
      <c r="F79">
        <v>5</v>
      </c>
      <c r="G79">
        <v>5</v>
      </c>
      <c r="H79" t="s">
        <v>17</v>
      </c>
      <c r="I79" t="s">
        <v>17</v>
      </c>
      <c r="J79">
        <v>5</v>
      </c>
      <c r="K79">
        <v>5.7552615553594345E-2</v>
      </c>
      <c r="L79">
        <f t="shared" si="1"/>
        <v>0.35211267605633811</v>
      </c>
      <c r="M79">
        <v>2.0265005476617732E-4</v>
      </c>
      <c r="N79" t="s">
        <v>17</v>
      </c>
      <c r="O79">
        <v>296</v>
      </c>
      <c r="P79" t="s">
        <v>1446</v>
      </c>
    </row>
    <row r="80" spans="1:16" x14ac:dyDescent="0.2">
      <c r="A80" t="s">
        <v>818</v>
      </c>
      <c r="B80" t="s">
        <v>203</v>
      </c>
      <c r="C80">
        <v>4</v>
      </c>
      <c r="D80" t="s">
        <v>17</v>
      </c>
      <c r="E80" t="s">
        <v>17</v>
      </c>
      <c r="F80">
        <v>2</v>
      </c>
      <c r="G80">
        <v>4</v>
      </c>
      <c r="H80" t="s">
        <v>17</v>
      </c>
      <c r="I80" t="s">
        <v>17</v>
      </c>
      <c r="J80">
        <v>2</v>
      </c>
      <c r="K80">
        <v>6.0896341457236276E-2</v>
      </c>
      <c r="L80">
        <f t="shared" si="1"/>
        <v>0.6655574043261232</v>
      </c>
      <c r="M80">
        <v>4.0530010953235463E-4</v>
      </c>
      <c r="N80" t="s">
        <v>17</v>
      </c>
      <c r="O80">
        <v>296</v>
      </c>
      <c r="P80" t="s">
        <v>1446</v>
      </c>
    </row>
    <row r="81" spans="1:16" x14ac:dyDescent="0.2">
      <c r="A81" t="s">
        <v>818</v>
      </c>
      <c r="B81" t="s">
        <v>203</v>
      </c>
      <c r="C81">
        <v>1</v>
      </c>
      <c r="D81" t="s">
        <v>17</v>
      </c>
      <c r="E81" t="s">
        <v>17</v>
      </c>
      <c r="F81">
        <v>1</v>
      </c>
      <c r="G81">
        <v>1</v>
      </c>
      <c r="H81" t="s">
        <v>17</v>
      </c>
      <c r="I81" t="s">
        <v>17</v>
      </c>
      <c r="J81">
        <v>1</v>
      </c>
      <c r="K81">
        <v>6.4341392388261295E-2</v>
      </c>
      <c r="L81">
        <f t="shared" si="1"/>
        <v>0.78740157480314954</v>
      </c>
      <c r="M81">
        <v>5.0662513691544331E-4</v>
      </c>
      <c r="N81" t="s">
        <v>17</v>
      </c>
      <c r="O81">
        <v>296</v>
      </c>
      <c r="P81" t="s">
        <v>1446</v>
      </c>
    </row>
    <row r="82" spans="1:16" x14ac:dyDescent="0.2">
      <c r="A82" t="s">
        <v>818</v>
      </c>
      <c r="B82" t="s">
        <v>203</v>
      </c>
      <c r="C82">
        <v>5</v>
      </c>
      <c r="D82" t="s">
        <v>17</v>
      </c>
      <c r="E82" t="s">
        <v>17</v>
      </c>
      <c r="F82">
        <v>4</v>
      </c>
      <c r="G82">
        <v>5</v>
      </c>
      <c r="H82" t="s">
        <v>17</v>
      </c>
      <c r="I82" t="s">
        <v>17</v>
      </c>
      <c r="J82">
        <v>4</v>
      </c>
      <c r="K82">
        <v>5.8059240690509793E-2</v>
      </c>
      <c r="L82">
        <f t="shared" si="1"/>
        <v>0.52356020942408377</v>
      </c>
      <c r="M82">
        <v>3.0397508214926596E-4</v>
      </c>
      <c r="N82" t="s">
        <v>17</v>
      </c>
      <c r="O82">
        <v>296</v>
      </c>
      <c r="P82" t="s">
        <v>1446</v>
      </c>
    </row>
    <row r="83" spans="1:16" x14ac:dyDescent="0.2">
      <c r="A83" t="s">
        <v>818</v>
      </c>
      <c r="B83" t="s">
        <v>203</v>
      </c>
      <c r="C83">
        <v>2</v>
      </c>
      <c r="D83" t="s">
        <v>17</v>
      </c>
      <c r="E83" t="s">
        <v>17</v>
      </c>
      <c r="F83">
        <v>2</v>
      </c>
      <c r="G83">
        <v>2</v>
      </c>
      <c r="H83" t="s">
        <v>17</v>
      </c>
      <c r="I83" t="s">
        <v>17</v>
      </c>
      <c r="J83">
        <v>2</v>
      </c>
      <c r="K83">
        <v>6.6773193045455426E-2</v>
      </c>
      <c r="L83">
        <f t="shared" si="1"/>
        <v>0.91047040971168436</v>
      </c>
      <c r="M83">
        <v>6.0795016429853192E-4</v>
      </c>
      <c r="N83" t="s">
        <v>17</v>
      </c>
      <c r="O83">
        <v>296</v>
      </c>
      <c r="P83" t="s">
        <v>1446</v>
      </c>
    </row>
    <row r="84" spans="1:16" x14ac:dyDescent="0.2">
      <c r="A84" t="s">
        <v>818</v>
      </c>
      <c r="B84" t="s">
        <v>203</v>
      </c>
      <c r="C84">
        <v>6</v>
      </c>
      <c r="D84" t="s">
        <v>17</v>
      </c>
      <c r="E84" t="s">
        <v>17</v>
      </c>
      <c r="F84">
        <v>6</v>
      </c>
      <c r="G84">
        <v>6</v>
      </c>
      <c r="H84" t="s">
        <v>17</v>
      </c>
      <c r="I84" t="s">
        <v>17</v>
      </c>
      <c r="J84">
        <v>6</v>
      </c>
      <c r="K84">
        <v>5.3600939485653899E-2</v>
      </c>
      <c r="L84">
        <f t="shared" si="1"/>
        <v>0.3780718336483932</v>
      </c>
      <c r="M84">
        <v>2.0265005476617732E-4</v>
      </c>
      <c r="N84" t="s">
        <v>17</v>
      </c>
      <c r="O84">
        <v>296</v>
      </c>
      <c r="P84" t="s">
        <v>1446</v>
      </c>
    </row>
    <row r="85" spans="1:16" x14ac:dyDescent="0.2">
      <c r="A85" t="s">
        <v>818</v>
      </c>
      <c r="B85" t="s">
        <v>203</v>
      </c>
      <c r="C85">
        <v>5</v>
      </c>
      <c r="D85" t="s">
        <v>17</v>
      </c>
      <c r="E85" t="s">
        <v>17</v>
      </c>
      <c r="F85">
        <v>3</v>
      </c>
      <c r="G85">
        <v>5</v>
      </c>
      <c r="H85" t="s">
        <v>17</v>
      </c>
      <c r="I85" t="s">
        <v>17</v>
      </c>
      <c r="J85">
        <v>3</v>
      </c>
      <c r="K85">
        <v>5.6843340361912742E-2</v>
      </c>
      <c r="L85">
        <f t="shared" si="1"/>
        <v>0.53475935828876997</v>
      </c>
      <c r="M85">
        <v>3.0397508214926596E-4</v>
      </c>
      <c r="N85" t="s">
        <v>17</v>
      </c>
      <c r="O85">
        <v>296</v>
      </c>
      <c r="P85" t="s">
        <v>1446</v>
      </c>
    </row>
    <row r="86" spans="1:16" x14ac:dyDescent="0.2">
      <c r="A86" t="s">
        <v>818</v>
      </c>
      <c r="B86" t="s">
        <v>203</v>
      </c>
      <c r="C86">
        <v>5</v>
      </c>
      <c r="D86" t="s">
        <v>17</v>
      </c>
      <c r="E86" t="s">
        <v>17</v>
      </c>
      <c r="F86">
        <v>2</v>
      </c>
      <c r="G86">
        <v>5</v>
      </c>
      <c r="H86" t="s">
        <v>17</v>
      </c>
      <c r="I86" t="s">
        <v>17</v>
      </c>
      <c r="J86">
        <v>2</v>
      </c>
      <c r="K86">
        <v>5.9781766156022299E-2</v>
      </c>
      <c r="L86">
        <f t="shared" si="1"/>
        <v>1.6949152542372885</v>
      </c>
      <c r="M86">
        <v>1.0132502738308866E-3</v>
      </c>
      <c r="N86" t="s">
        <v>17</v>
      </c>
      <c r="O86">
        <v>296</v>
      </c>
      <c r="P86" t="s">
        <v>1446</v>
      </c>
    </row>
    <row r="87" spans="1:16" x14ac:dyDescent="0.2">
      <c r="A87" t="s">
        <v>818</v>
      </c>
      <c r="B87" t="s">
        <v>203</v>
      </c>
      <c r="C87">
        <v>3</v>
      </c>
      <c r="D87" t="s">
        <v>17</v>
      </c>
      <c r="E87" t="s">
        <v>17</v>
      </c>
      <c r="F87">
        <v>3</v>
      </c>
      <c r="G87">
        <v>3</v>
      </c>
      <c r="H87" t="s">
        <v>17</v>
      </c>
      <c r="I87" t="s">
        <v>17</v>
      </c>
      <c r="J87">
        <v>3</v>
      </c>
      <c r="K87">
        <v>6.1504291621534812E-2</v>
      </c>
      <c r="L87">
        <f t="shared" si="1"/>
        <v>0.32948929159802309</v>
      </c>
      <c r="M87">
        <v>2.0265005476617732E-4</v>
      </c>
      <c r="N87" t="s">
        <v>17</v>
      </c>
      <c r="O87">
        <v>296</v>
      </c>
      <c r="P87" t="s">
        <v>1446</v>
      </c>
    </row>
    <row r="88" spans="1:16" x14ac:dyDescent="0.2">
      <c r="A88" t="s">
        <v>818</v>
      </c>
      <c r="B88" t="s">
        <v>203</v>
      </c>
      <c r="C88">
        <v>6</v>
      </c>
      <c r="D88" t="s">
        <v>17</v>
      </c>
      <c r="E88" t="s">
        <v>17</v>
      </c>
      <c r="F88">
        <v>5</v>
      </c>
      <c r="G88">
        <v>6</v>
      </c>
      <c r="H88" t="s">
        <v>17</v>
      </c>
      <c r="I88" t="s">
        <v>17</v>
      </c>
      <c r="J88">
        <v>5</v>
      </c>
      <c r="K88">
        <v>5.5526115005932582E-2</v>
      </c>
      <c r="L88">
        <f t="shared" si="1"/>
        <v>0.36496350364963509</v>
      </c>
      <c r="M88">
        <v>2.0265005476617732E-4</v>
      </c>
      <c r="N88" t="s">
        <v>17</v>
      </c>
      <c r="O88">
        <v>296</v>
      </c>
      <c r="P88" t="s">
        <v>1446</v>
      </c>
    </row>
    <row r="89" spans="1:16" x14ac:dyDescent="0.2">
      <c r="A89" t="s">
        <v>818</v>
      </c>
      <c r="B89" t="s">
        <v>203</v>
      </c>
      <c r="C89">
        <v>3</v>
      </c>
      <c r="D89" t="s">
        <v>17</v>
      </c>
      <c r="E89" t="s">
        <v>17</v>
      </c>
      <c r="F89">
        <v>2</v>
      </c>
      <c r="G89">
        <v>3</v>
      </c>
      <c r="H89" t="s">
        <v>17</v>
      </c>
      <c r="I89" t="s">
        <v>17</v>
      </c>
      <c r="J89">
        <v>2</v>
      </c>
      <c r="K89">
        <v>6.4645367470410567E-2</v>
      </c>
      <c r="L89">
        <f t="shared" si="1"/>
        <v>3.4482758620689649</v>
      </c>
      <c r="M89">
        <v>2.22915060242795E-3</v>
      </c>
      <c r="N89" t="s">
        <v>17</v>
      </c>
      <c r="O89">
        <v>296</v>
      </c>
      <c r="P89" t="s">
        <v>1446</v>
      </c>
    </row>
    <row r="90" spans="1:16" x14ac:dyDescent="0.2">
      <c r="A90" t="s">
        <v>818</v>
      </c>
      <c r="B90" t="s">
        <v>203</v>
      </c>
      <c r="C90">
        <v>3</v>
      </c>
      <c r="D90" t="s">
        <v>17</v>
      </c>
      <c r="E90" t="s">
        <v>17</v>
      </c>
      <c r="F90">
        <v>1</v>
      </c>
      <c r="G90">
        <v>3</v>
      </c>
      <c r="H90" t="s">
        <v>17</v>
      </c>
      <c r="I90" t="s">
        <v>17</v>
      </c>
      <c r="J90">
        <v>1</v>
      </c>
      <c r="K90">
        <v>5.826189074527597E-2</v>
      </c>
      <c r="L90">
        <f t="shared" si="1"/>
        <v>3.4782608695652182</v>
      </c>
      <c r="M90">
        <v>2.0265005476617732E-3</v>
      </c>
      <c r="N90" t="s">
        <v>17</v>
      </c>
      <c r="O90">
        <v>296</v>
      </c>
      <c r="P90" t="s">
        <v>1446</v>
      </c>
    </row>
    <row r="91" spans="1:16" x14ac:dyDescent="0.2">
      <c r="A91" t="s">
        <v>818</v>
      </c>
      <c r="B91" t="s">
        <v>203</v>
      </c>
      <c r="C91">
        <v>7</v>
      </c>
      <c r="D91" t="s">
        <v>17</v>
      </c>
      <c r="E91" t="s">
        <v>17</v>
      </c>
      <c r="F91">
        <v>7</v>
      </c>
      <c r="G91">
        <v>7</v>
      </c>
      <c r="H91" t="s">
        <v>17</v>
      </c>
      <c r="I91" t="s">
        <v>17</v>
      </c>
      <c r="J91">
        <v>7</v>
      </c>
      <c r="K91">
        <v>5.3296964403504635E-2</v>
      </c>
      <c r="L91">
        <f t="shared" si="1"/>
        <v>0.5703422053231938</v>
      </c>
      <c r="M91">
        <v>3.0397508214926596E-4</v>
      </c>
      <c r="N91" t="s">
        <v>17</v>
      </c>
      <c r="O91">
        <v>296</v>
      </c>
      <c r="P91" t="s">
        <v>1446</v>
      </c>
    </row>
    <row r="92" spans="1:16" x14ac:dyDescent="0.2">
      <c r="A92" t="s">
        <v>818</v>
      </c>
      <c r="B92" t="s">
        <v>203</v>
      </c>
      <c r="C92">
        <v>4</v>
      </c>
      <c r="D92" t="s">
        <v>17</v>
      </c>
      <c r="E92" t="s">
        <v>17</v>
      </c>
      <c r="F92">
        <v>4</v>
      </c>
      <c r="G92">
        <v>4</v>
      </c>
      <c r="H92" t="s">
        <v>17</v>
      </c>
      <c r="I92" t="s">
        <v>17</v>
      </c>
      <c r="J92">
        <v>4</v>
      </c>
      <c r="K92">
        <v>6.0187066265554659E-2</v>
      </c>
      <c r="L92">
        <f t="shared" si="1"/>
        <v>0.33670033670033672</v>
      </c>
      <c r="M92">
        <v>2.0265005476617732E-4</v>
      </c>
      <c r="N92" t="s">
        <v>17</v>
      </c>
      <c r="O92">
        <v>296</v>
      </c>
      <c r="P92" t="s">
        <v>1446</v>
      </c>
    </row>
    <row r="93" spans="1:16" x14ac:dyDescent="0.2">
      <c r="A93" t="s">
        <v>818</v>
      </c>
      <c r="B93" t="s">
        <v>203</v>
      </c>
      <c r="C93">
        <v>6</v>
      </c>
      <c r="D93" t="s">
        <v>17</v>
      </c>
      <c r="E93" t="s">
        <v>17</v>
      </c>
      <c r="F93">
        <v>4</v>
      </c>
      <c r="G93">
        <v>6</v>
      </c>
      <c r="H93" t="s">
        <v>17</v>
      </c>
      <c r="I93" t="s">
        <v>17</v>
      </c>
      <c r="J93">
        <v>4</v>
      </c>
      <c r="K93">
        <v>5.4310214677335523E-2</v>
      </c>
      <c r="L93">
        <f t="shared" si="1"/>
        <v>0.55970149253731338</v>
      </c>
      <c r="M93">
        <v>3.0397508214926596E-4</v>
      </c>
      <c r="N93" t="s">
        <v>17</v>
      </c>
      <c r="O93">
        <v>296</v>
      </c>
      <c r="P93" t="s">
        <v>1446</v>
      </c>
    </row>
    <row r="94" spans="1:16" x14ac:dyDescent="0.2">
      <c r="A94" t="s">
        <v>818</v>
      </c>
      <c r="B94" t="s">
        <v>203</v>
      </c>
      <c r="C94">
        <v>6</v>
      </c>
      <c r="D94" t="s">
        <v>17</v>
      </c>
      <c r="E94" t="s">
        <v>17</v>
      </c>
      <c r="F94">
        <v>3</v>
      </c>
      <c r="G94">
        <v>6</v>
      </c>
      <c r="H94" t="s">
        <v>17</v>
      </c>
      <c r="I94" t="s">
        <v>17</v>
      </c>
      <c r="J94">
        <v>3</v>
      </c>
      <c r="K94">
        <v>5.2790339266589187E-2</v>
      </c>
      <c r="L94">
        <f t="shared" si="1"/>
        <v>0.57581573896353166</v>
      </c>
      <c r="M94">
        <v>3.0397508214926596E-4</v>
      </c>
      <c r="N94" t="s">
        <v>17</v>
      </c>
      <c r="O94">
        <v>296</v>
      </c>
      <c r="P94" t="s">
        <v>1446</v>
      </c>
    </row>
    <row r="95" spans="1:16" x14ac:dyDescent="0.2">
      <c r="A95" t="s">
        <v>818</v>
      </c>
      <c r="B95" t="s">
        <v>203</v>
      </c>
      <c r="C95">
        <v>4</v>
      </c>
      <c r="D95" t="s">
        <v>17</v>
      </c>
      <c r="E95" t="s">
        <v>17</v>
      </c>
      <c r="F95">
        <v>3</v>
      </c>
      <c r="G95">
        <v>4</v>
      </c>
      <c r="H95" t="s">
        <v>17</v>
      </c>
      <c r="I95" t="s">
        <v>17</v>
      </c>
      <c r="J95">
        <v>3</v>
      </c>
      <c r="K95">
        <v>6.0085741238171564E-2</v>
      </c>
      <c r="L95">
        <f t="shared" si="1"/>
        <v>0.84317032040472184</v>
      </c>
      <c r="M95">
        <v>5.0662513691544331E-4</v>
      </c>
      <c r="N95" t="s">
        <v>17</v>
      </c>
      <c r="O95">
        <v>296</v>
      </c>
      <c r="P95" t="s">
        <v>1446</v>
      </c>
    </row>
    <row r="96" spans="1:16" x14ac:dyDescent="0.2">
      <c r="A96" t="s">
        <v>818</v>
      </c>
      <c r="B96" t="s">
        <v>203</v>
      </c>
      <c r="C96">
        <v>4</v>
      </c>
      <c r="D96" t="s">
        <v>17</v>
      </c>
      <c r="E96" t="s">
        <v>17</v>
      </c>
      <c r="F96">
        <v>2</v>
      </c>
      <c r="G96">
        <v>4</v>
      </c>
      <c r="H96" t="s">
        <v>17</v>
      </c>
      <c r="I96" t="s">
        <v>17</v>
      </c>
      <c r="J96">
        <v>2</v>
      </c>
      <c r="K96">
        <v>6.3936092278728943E-2</v>
      </c>
      <c r="L96">
        <f t="shared" si="1"/>
        <v>1.5847860538827259</v>
      </c>
      <c r="M96">
        <v>1.0132502738308866E-3</v>
      </c>
      <c r="N96" t="s">
        <v>17</v>
      </c>
      <c r="O96">
        <v>296</v>
      </c>
      <c r="P96" t="s">
        <v>1446</v>
      </c>
    </row>
    <row r="97" spans="1:16" x14ac:dyDescent="0.2">
      <c r="A97" t="s">
        <v>818</v>
      </c>
      <c r="B97" t="s">
        <v>203</v>
      </c>
      <c r="C97">
        <v>5</v>
      </c>
      <c r="D97" t="s">
        <v>17</v>
      </c>
      <c r="E97" t="s">
        <v>17</v>
      </c>
      <c r="F97">
        <v>5</v>
      </c>
      <c r="G97">
        <v>5</v>
      </c>
      <c r="H97" t="s">
        <v>17</v>
      </c>
      <c r="I97" t="s">
        <v>17</v>
      </c>
      <c r="J97">
        <v>5</v>
      </c>
      <c r="K97">
        <v>5.7653940580977441E-2</v>
      </c>
      <c r="L97">
        <f t="shared" si="1"/>
        <v>0.52724077328646746</v>
      </c>
      <c r="M97">
        <v>3.0397508214926596E-4</v>
      </c>
      <c r="N97" t="s">
        <v>17</v>
      </c>
      <c r="O97">
        <v>296</v>
      </c>
      <c r="P97" t="s">
        <v>1446</v>
      </c>
    </row>
    <row r="98" spans="1:16" x14ac:dyDescent="0.2">
      <c r="A98" t="s">
        <v>818</v>
      </c>
      <c r="B98" t="s">
        <v>203</v>
      </c>
      <c r="C98">
        <v>7</v>
      </c>
      <c r="D98" t="s">
        <v>17</v>
      </c>
      <c r="E98" t="s">
        <v>17</v>
      </c>
      <c r="F98">
        <v>6</v>
      </c>
      <c r="G98">
        <v>7</v>
      </c>
      <c r="H98" t="s">
        <v>17</v>
      </c>
      <c r="I98" t="s">
        <v>17</v>
      </c>
      <c r="J98">
        <v>6</v>
      </c>
      <c r="K98">
        <v>5.3702264513036987E-2</v>
      </c>
      <c r="L98">
        <f t="shared" si="1"/>
        <v>2.0754716981132071</v>
      </c>
      <c r="M98">
        <v>1.114575301213975E-3</v>
      </c>
      <c r="N98" t="s">
        <v>17</v>
      </c>
      <c r="O98">
        <v>296</v>
      </c>
      <c r="P98" t="s">
        <v>1446</v>
      </c>
    </row>
    <row r="99" spans="1:16" x14ac:dyDescent="0.2">
      <c r="A99" t="s">
        <v>818</v>
      </c>
      <c r="B99" t="s">
        <v>203</v>
      </c>
      <c r="C99">
        <v>8</v>
      </c>
      <c r="D99" t="s">
        <v>17</v>
      </c>
      <c r="E99" t="s">
        <v>17</v>
      </c>
      <c r="F99">
        <v>8</v>
      </c>
      <c r="G99">
        <v>8</v>
      </c>
      <c r="H99" t="s">
        <v>17</v>
      </c>
      <c r="I99" t="s">
        <v>17</v>
      </c>
      <c r="J99">
        <v>8</v>
      </c>
      <c r="K99">
        <v>5.2182389102290658E-2</v>
      </c>
      <c r="L99">
        <f t="shared" si="1"/>
        <v>1.5533980582524274</v>
      </c>
      <c r="M99">
        <v>8.1060021906470927E-4</v>
      </c>
      <c r="N99" t="s">
        <v>17</v>
      </c>
      <c r="O99">
        <v>296</v>
      </c>
      <c r="P99" t="s">
        <v>1446</v>
      </c>
    </row>
    <row r="100" spans="1:16" x14ac:dyDescent="0.2">
      <c r="A100" t="s">
        <v>818</v>
      </c>
      <c r="B100" t="s">
        <v>203</v>
      </c>
      <c r="C100">
        <v>7</v>
      </c>
      <c r="D100" t="s">
        <v>17</v>
      </c>
      <c r="E100" t="s">
        <v>17</v>
      </c>
      <c r="F100">
        <v>5</v>
      </c>
      <c r="G100">
        <v>7</v>
      </c>
      <c r="H100" t="s">
        <v>17</v>
      </c>
      <c r="I100" t="s">
        <v>17</v>
      </c>
      <c r="J100">
        <v>5</v>
      </c>
      <c r="K100">
        <v>5.2182389102290658E-2</v>
      </c>
      <c r="L100">
        <f t="shared" si="1"/>
        <v>1.5533980582524274</v>
      </c>
      <c r="M100">
        <v>8.1060021906470927E-4</v>
      </c>
      <c r="N100" t="s">
        <v>17</v>
      </c>
      <c r="O100">
        <v>296</v>
      </c>
      <c r="P100" t="s">
        <v>1446</v>
      </c>
    </row>
    <row r="101" spans="1:16" x14ac:dyDescent="0.2">
      <c r="A101" t="s">
        <v>818</v>
      </c>
      <c r="B101" t="s">
        <v>203</v>
      </c>
      <c r="C101">
        <v>8</v>
      </c>
      <c r="D101" t="s">
        <v>17</v>
      </c>
      <c r="E101" t="s">
        <v>17</v>
      </c>
      <c r="F101">
        <v>5</v>
      </c>
      <c r="G101">
        <v>8</v>
      </c>
      <c r="H101" t="s">
        <v>17</v>
      </c>
      <c r="I101" t="s">
        <v>17</v>
      </c>
      <c r="J101">
        <v>5</v>
      </c>
      <c r="K101">
        <v>5.6235390197614206E-2</v>
      </c>
      <c r="L101">
        <f t="shared" si="1"/>
        <v>2.342342342342342</v>
      </c>
      <c r="M101">
        <v>1.3172253559801525E-3</v>
      </c>
      <c r="N101" t="s">
        <v>17</v>
      </c>
      <c r="O101">
        <v>296</v>
      </c>
      <c r="P101" t="s">
        <v>1446</v>
      </c>
    </row>
    <row r="102" spans="1:16" x14ac:dyDescent="0.2">
      <c r="A102" t="s">
        <v>818</v>
      </c>
      <c r="B102" t="s">
        <v>203</v>
      </c>
      <c r="C102">
        <v>5</v>
      </c>
      <c r="D102" t="s">
        <v>17</v>
      </c>
      <c r="E102" t="s">
        <v>17</v>
      </c>
      <c r="F102">
        <v>4</v>
      </c>
      <c r="G102">
        <v>5</v>
      </c>
      <c r="H102" t="s">
        <v>17</v>
      </c>
      <c r="I102" t="s">
        <v>17</v>
      </c>
      <c r="J102">
        <v>4</v>
      </c>
      <c r="K102">
        <v>5.9275141019106858E-2</v>
      </c>
      <c r="L102">
        <f t="shared" si="1"/>
        <v>3.0769230769230766</v>
      </c>
      <c r="M102">
        <v>1.8238504928955956E-3</v>
      </c>
      <c r="N102" t="s">
        <v>17</v>
      </c>
      <c r="O102">
        <v>296</v>
      </c>
      <c r="P102" t="s">
        <v>1446</v>
      </c>
    </row>
    <row r="103" spans="1:16" x14ac:dyDescent="0.2">
      <c r="A103" t="s">
        <v>818</v>
      </c>
      <c r="B103" t="s">
        <v>203</v>
      </c>
      <c r="C103">
        <v>5</v>
      </c>
      <c r="D103" t="s">
        <v>17</v>
      </c>
      <c r="E103" t="s">
        <v>17</v>
      </c>
      <c r="F103">
        <v>3</v>
      </c>
      <c r="G103">
        <v>5</v>
      </c>
      <c r="H103" t="s">
        <v>17</v>
      </c>
      <c r="I103" t="s">
        <v>17</v>
      </c>
      <c r="J103">
        <v>3</v>
      </c>
      <c r="K103">
        <v>5.694466538929583E-2</v>
      </c>
      <c r="L103">
        <f t="shared" si="1"/>
        <v>0.35587188612099641</v>
      </c>
      <c r="M103">
        <v>2.0265005476617732E-4</v>
      </c>
      <c r="N103" t="s">
        <v>17</v>
      </c>
      <c r="O103">
        <v>296</v>
      </c>
      <c r="P103" t="s">
        <v>1446</v>
      </c>
    </row>
    <row r="104" spans="1:16" x14ac:dyDescent="0.2">
      <c r="A104" t="s">
        <v>818</v>
      </c>
      <c r="B104" t="s">
        <v>203</v>
      </c>
      <c r="C104">
        <v>6</v>
      </c>
      <c r="D104" t="s">
        <v>17</v>
      </c>
      <c r="E104" t="s">
        <v>17</v>
      </c>
      <c r="F104">
        <v>6</v>
      </c>
      <c r="G104">
        <v>6</v>
      </c>
      <c r="H104" t="s">
        <v>17</v>
      </c>
      <c r="I104" t="s">
        <v>17</v>
      </c>
      <c r="J104">
        <v>6</v>
      </c>
      <c r="K104">
        <v>5.4208889649952428E-2</v>
      </c>
      <c r="L104">
        <f t="shared" si="1"/>
        <v>0.18691588785046731</v>
      </c>
      <c r="M104">
        <v>1.0132502738308866E-4</v>
      </c>
      <c r="N104" t="s">
        <v>17</v>
      </c>
      <c r="O104">
        <v>296</v>
      </c>
      <c r="P104" t="s">
        <v>1446</v>
      </c>
    </row>
    <row r="105" spans="1:16" x14ac:dyDescent="0.2">
      <c r="A105" t="s">
        <v>818</v>
      </c>
      <c r="B105" t="s">
        <v>203</v>
      </c>
      <c r="C105">
        <v>8</v>
      </c>
      <c r="D105" t="s">
        <v>17</v>
      </c>
      <c r="E105" t="s">
        <v>17</v>
      </c>
      <c r="F105">
        <v>6</v>
      </c>
      <c r="G105">
        <v>8</v>
      </c>
      <c r="H105" t="s">
        <v>17</v>
      </c>
      <c r="I105" t="s">
        <v>17</v>
      </c>
      <c r="J105">
        <v>6</v>
      </c>
      <c r="K105">
        <v>4.9345288335564175E-2</v>
      </c>
      <c r="L105">
        <f t="shared" si="1"/>
        <v>2.4640657084188913</v>
      </c>
      <c r="M105">
        <v>1.2159003285970638E-3</v>
      </c>
      <c r="N105" t="s">
        <v>17</v>
      </c>
      <c r="O105">
        <v>296</v>
      </c>
      <c r="P105" t="s">
        <v>1446</v>
      </c>
    </row>
    <row r="106" spans="1:16" x14ac:dyDescent="0.2">
      <c r="A106" t="s">
        <v>818</v>
      </c>
      <c r="B106" t="s">
        <v>203</v>
      </c>
      <c r="C106">
        <v>6</v>
      </c>
      <c r="D106" t="s">
        <v>17</v>
      </c>
      <c r="E106" t="s">
        <v>17</v>
      </c>
      <c r="F106">
        <v>5</v>
      </c>
      <c r="G106">
        <v>6</v>
      </c>
      <c r="H106" t="s">
        <v>17</v>
      </c>
      <c r="I106" t="s">
        <v>17</v>
      </c>
      <c r="J106">
        <v>5</v>
      </c>
      <c r="K106">
        <v>5.4310214677335523E-2</v>
      </c>
      <c r="L106">
        <f t="shared" si="1"/>
        <v>1.4925373134328357</v>
      </c>
      <c r="M106">
        <v>8.1060021906470927E-4</v>
      </c>
      <c r="N106" t="s">
        <v>17</v>
      </c>
      <c r="O106">
        <v>296</v>
      </c>
      <c r="P106" t="s">
        <v>1446</v>
      </c>
    </row>
    <row r="107" spans="1:16" x14ac:dyDescent="0.2">
      <c r="A107" t="s">
        <v>818</v>
      </c>
      <c r="B107" t="s">
        <v>203</v>
      </c>
      <c r="C107">
        <v>9</v>
      </c>
      <c r="D107" t="s">
        <v>17</v>
      </c>
      <c r="E107" t="s">
        <v>17</v>
      </c>
      <c r="F107">
        <v>9</v>
      </c>
      <c r="G107">
        <v>9</v>
      </c>
      <c r="H107" t="s">
        <v>17</v>
      </c>
      <c r="I107" t="s">
        <v>17</v>
      </c>
      <c r="J107">
        <v>9</v>
      </c>
      <c r="K107">
        <v>5.4310214677335523E-2</v>
      </c>
      <c r="L107">
        <f t="shared" si="1"/>
        <v>1.4925373134328357</v>
      </c>
      <c r="M107">
        <v>8.1060021906470927E-4</v>
      </c>
      <c r="N107" t="s">
        <v>17</v>
      </c>
      <c r="O107">
        <v>296</v>
      </c>
      <c r="P107" t="s">
        <v>1446</v>
      </c>
    </row>
    <row r="108" spans="1:16" x14ac:dyDescent="0.2">
      <c r="A108" t="s">
        <v>818</v>
      </c>
      <c r="B108" t="s">
        <v>203</v>
      </c>
      <c r="C108">
        <v>6</v>
      </c>
      <c r="D108" t="s">
        <v>17</v>
      </c>
      <c r="E108" t="s">
        <v>17</v>
      </c>
      <c r="F108">
        <v>4</v>
      </c>
      <c r="G108">
        <v>6</v>
      </c>
      <c r="H108" t="s">
        <v>17</v>
      </c>
      <c r="I108" t="s">
        <v>17</v>
      </c>
      <c r="J108">
        <v>4</v>
      </c>
      <c r="K108">
        <v>5.3398289430887723E-2</v>
      </c>
      <c r="L108">
        <f t="shared" si="1"/>
        <v>1.8975332068311195</v>
      </c>
      <c r="M108">
        <v>1.0132502738308866E-3</v>
      </c>
      <c r="N108" t="s">
        <v>17</v>
      </c>
      <c r="O108">
        <v>296</v>
      </c>
      <c r="P108" t="s">
        <v>1446</v>
      </c>
    </row>
    <row r="109" spans="1:16" x14ac:dyDescent="0.2">
      <c r="A109" t="s">
        <v>818</v>
      </c>
      <c r="B109" t="s">
        <v>203</v>
      </c>
      <c r="C109">
        <v>7</v>
      </c>
      <c r="D109" t="s">
        <v>17</v>
      </c>
      <c r="E109" t="s">
        <v>17</v>
      </c>
      <c r="F109">
        <v>7</v>
      </c>
      <c r="G109">
        <v>7</v>
      </c>
      <c r="H109" t="s">
        <v>17</v>
      </c>
      <c r="I109" t="s">
        <v>17</v>
      </c>
      <c r="J109">
        <v>7</v>
      </c>
      <c r="K109">
        <v>5.1777088992758305E-2</v>
      </c>
      <c r="L109">
        <f t="shared" si="1"/>
        <v>0.39138943248532287</v>
      </c>
      <c r="M109">
        <v>2.0265005476617732E-4</v>
      </c>
      <c r="N109" t="s">
        <v>17</v>
      </c>
      <c r="O109">
        <v>296</v>
      </c>
      <c r="P109" t="s">
        <v>1446</v>
      </c>
    </row>
    <row r="110" spans="1:16" x14ac:dyDescent="0.2">
      <c r="A110" t="s">
        <v>818</v>
      </c>
      <c r="B110" t="s">
        <v>203</v>
      </c>
      <c r="C110">
        <v>6</v>
      </c>
      <c r="D110" t="s">
        <v>17</v>
      </c>
      <c r="E110" t="s">
        <v>17</v>
      </c>
      <c r="F110">
        <v>3</v>
      </c>
      <c r="G110">
        <v>6</v>
      </c>
      <c r="H110" t="s">
        <v>17</v>
      </c>
      <c r="I110" t="s">
        <v>17</v>
      </c>
      <c r="J110">
        <v>3</v>
      </c>
      <c r="K110">
        <v>5.4614189759484788E-2</v>
      </c>
      <c r="L110">
        <f t="shared" si="1"/>
        <v>3.525046382189239</v>
      </c>
      <c r="M110">
        <v>1.9251755202786844E-3</v>
      </c>
      <c r="N110" t="s">
        <v>17</v>
      </c>
      <c r="O110">
        <v>296</v>
      </c>
      <c r="P110" t="s">
        <v>1446</v>
      </c>
    </row>
    <row r="111" spans="1:16" x14ac:dyDescent="0.2">
      <c r="A111" t="s">
        <v>818</v>
      </c>
      <c r="B111" t="s">
        <v>203</v>
      </c>
      <c r="C111">
        <v>9</v>
      </c>
      <c r="D111" t="s">
        <v>17</v>
      </c>
      <c r="E111" t="s">
        <v>17</v>
      </c>
      <c r="F111">
        <v>8</v>
      </c>
      <c r="G111">
        <v>9</v>
      </c>
      <c r="H111" t="s">
        <v>17</v>
      </c>
      <c r="I111" t="s">
        <v>17</v>
      </c>
      <c r="J111">
        <v>8</v>
      </c>
      <c r="K111">
        <v>5.0966488773693593E-2</v>
      </c>
      <c r="L111">
        <f t="shared" si="1"/>
        <v>4.3737574552683895</v>
      </c>
      <c r="M111">
        <v>2.22915060242795E-3</v>
      </c>
      <c r="N111" t="s">
        <v>17</v>
      </c>
      <c r="O111">
        <v>296</v>
      </c>
      <c r="P111" t="s">
        <v>1446</v>
      </c>
    </row>
    <row r="112" spans="1:16" x14ac:dyDescent="0.2">
      <c r="A112" t="s">
        <v>818</v>
      </c>
      <c r="B112" t="s">
        <v>203</v>
      </c>
      <c r="C112">
        <v>7</v>
      </c>
      <c r="D112" t="s">
        <v>17</v>
      </c>
      <c r="E112" t="s">
        <v>17</v>
      </c>
      <c r="F112">
        <v>6</v>
      </c>
      <c r="G112">
        <v>7</v>
      </c>
      <c r="H112" t="s">
        <v>17</v>
      </c>
      <c r="I112" t="s">
        <v>17</v>
      </c>
      <c r="J112">
        <v>6</v>
      </c>
      <c r="K112">
        <v>5.4918164841634053E-2</v>
      </c>
      <c r="L112">
        <f t="shared" si="1"/>
        <v>3.5055350553505531</v>
      </c>
      <c r="M112">
        <v>1.9251755202786844E-3</v>
      </c>
      <c r="N112" t="s">
        <v>17</v>
      </c>
      <c r="O112">
        <v>296</v>
      </c>
      <c r="P112" t="s">
        <v>1446</v>
      </c>
    </row>
    <row r="113" spans="1:16" x14ac:dyDescent="0.2">
      <c r="A113" t="s">
        <v>818</v>
      </c>
      <c r="B113" t="s">
        <v>203</v>
      </c>
      <c r="C113">
        <v>9</v>
      </c>
      <c r="D113" t="s">
        <v>17</v>
      </c>
      <c r="E113" t="s">
        <v>17</v>
      </c>
      <c r="F113">
        <v>6</v>
      </c>
      <c r="G113">
        <v>9</v>
      </c>
      <c r="H113" t="s">
        <v>17</v>
      </c>
      <c r="I113" t="s">
        <v>17</v>
      </c>
      <c r="J113">
        <v>6</v>
      </c>
      <c r="K113">
        <v>5.3296964403504635E-2</v>
      </c>
      <c r="L113">
        <f t="shared" si="1"/>
        <v>5.1330798479087445</v>
      </c>
      <c r="M113">
        <v>2.7357757393433936E-3</v>
      </c>
      <c r="N113" t="s">
        <v>17</v>
      </c>
      <c r="O113">
        <v>296</v>
      </c>
      <c r="P113" t="s">
        <v>1446</v>
      </c>
    </row>
    <row r="114" spans="1:16" x14ac:dyDescent="0.2">
      <c r="A114" t="s">
        <v>818</v>
      </c>
      <c r="B114" t="s">
        <v>203</v>
      </c>
      <c r="C114">
        <v>7</v>
      </c>
      <c r="D114" t="s">
        <v>17</v>
      </c>
      <c r="E114" t="s">
        <v>17</v>
      </c>
      <c r="F114">
        <v>5</v>
      </c>
      <c r="G114">
        <v>7</v>
      </c>
      <c r="H114" t="s">
        <v>17</v>
      </c>
      <c r="I114" t="s">
        <v>17</v>
      </c>
      <c r="J114">
        <v>5</v>
      </c>
      <c r="K114">
        <v>5.0358538609395057E-2</v>
      </c>
      <c r="L114">
        <f t="shared" si="1"/>
        <v>1.0060362173038231</v>
      </c>
      <c r="M114">
        <v>5.0662513691544331E-4</v>
      </c>
      <c r="N114" t="s">
        <v>17</v>
      </c>
      <c r="O114">
        <v>296</v>
      </c>
      <c r="P114" t="s">
        <v>1446</v>
      </c>
    </row>
    <row r="115" spans="1:16" x14ac:dyDescent="0.2">
      <c r="A115" t="s">
        <v>818</v>
      </c>
      <c r="B115" t="s">
        <v>203</v>
      </c>
      <c r="C115">
        <v>8</v>
      </c>
      <c r="D115" t="s">
        <v>17</v>
      </c>
      <c r="E115" t="s">
        <v>17</v>
      </c>
      <c r="F115">
        <v>8</v>
      </c>
      <c r="G115">
        <v>8</v>
      </c>
      <c r="H115" t="s">
        <v>17</v>
      </c>
      <c r="I115" t="s">
        <v>17</v>
      </c>
      <c r="J115">
        <v>8</v>
      </c>
      <c r="K115">
        <v>5.3398289430887723E-2</v>
      </c>
      <c r="L115">
        <f t="shared" si="1"/>
        <v>4.1745730550284614</v>
      </c>
      <c r="M115">
        <v>2.22915060242795E-3</v>
      </c>
      <c r="N115" t="s">
        <v>17</v>
      </c>
      <c r="O115">
        <v>296</v>
      </c>
      <c r="P115" t="s">
        <v>1446</v>
      </c>
    </row>
    <row r="116" spans="1:16" x14ac:dyDescent="0.2">
      <c r="A116" t="s">
        <v>818</v>
      </c>
      <c r="B116" t="s">
        <v>203</v>
      </c>
      <c r="C116">
        <v>8</v>
      </c>
      <c r="D116" t="s">
        <v>17</v>
      </c>
      <c r="E116" t="s">
        <v>17</v>
      </c>
      <c r="F116">
        <v>7</v>
      </c>
      <c r="G116">
        <v>8</v>
      </c>
      <c r="H116" t="s">
        <v>17</v>
      </c>
      <c r="I116" t="s">
        <v>17</v>
      </c>
      <c r="J116">
        <v>7</v>
      </c>
      <c r="K116">
        <v>5.0459863636778145E-2</v>
      </c>
      <c r="L116">
        <f t="shared" si="1"/>
        <v>1.4056224899598395</v>
      </c>
      <c r="M116">
        <v>7.0927519168162054E-4</v>
      </c>
      <c r="N116" t="s">
        <v>17</v>
      </c>
      <c r="O116">
        <v>296</v>
      </c>
      <c r="P116" t="s">
        <v>1446</v>
      </c>
    </row>
    <row r="117" spans="1:16" x14ac:dyDescent="0.2">
      <c r="A117" t="s">
        <v>818</v>
      </c>
      <c r="B117" t="s">
        <v>203</v>
      </c>
      <c r="C117">
        <v>8</v>
      </c>
      <c r="D117" t="s">
        <v>17</v>
      </c>
      <c r="E117" t="s">
        <v>17</v>
      </c>
      <c r="F117">
        <v>6</v>
      </c>
      <c r="G117">
        <v>8</v>
      </c>
      <c r="H117" t="s">
        <v>17</v>
      </c>
      <c r="I117" t="s">
        <v>17</v>
      </c>
      <c r="J117">
        <v>6</v>
      </c>
      <c r="K117">
        <v>5.0459863636778145E-2</v>
      </c>
      <c r="L117">
        <f t="shared" si="1"/>
        <v>1.4056224899598395</v>
      </c>
      <c r="M117">
        <v>7.0927519168162054E-4</v>
      </c>
      <c r="N117" t="s">
        <v>17</v>
      </c>
      <c r="O117">
        <v>296</v>
      </c>
      <c r="P117" t="s">
        <v>1446</v>
      </c>
    </row>
    <row r="118" spans="1:16" x14ac:dyDescent="0.2">
      <c r="A118" t="s">
        <v>818</v>
      </c>
      <c r="B118" t="s">
        <v>239</v>
      </c>
      <c r="C118">
        <v>4</v>
      </c>
      <c r="D118" t="s">
        <v>17</v>
      </c>
      <c r="E118" t="s">
        <v>17</v>
      </c>
      <c r="F118">
        <v>3</v>
      </c>
      <c r="G118">
        <v>3</v>
      </c>
      <c r="H118" t="s">
        <v>17</v>
      </c>
      <c r="I118" t="s">
        <v>17</v>
      </c>
      <c r="J118">
        <v>3</v>
      </c>
      <c r="K118">
        <v>5.1878414020141393E-2</v>
      </c>
      <c r="L118">
        <f t="shared" si="1"/>
        <v>0.5859375</v>
      </c>
      <c r="M118">
        <v>3.0397508214926596E-4</v>
      </c>
      <c r="N118" t="s">
        <v>17</v>
      </c>
      <c r="O118">
        <v>296</v>
      </c>
      <c r="P118" t="s">
        <v>1446</v>
      </c>
    </row>
    <row r="119" spans="1:16" x14ac:dyDescent="0.2">
      <c r="A119" t="s">
        <v>818</v>
      </c>
      <c r="B119" t="s">
        <v>239</v>
      </c>
      <c r="C119">
        <v>4</v>
      </c>
      <c r="D119" t="s">
        <v>17</v>
      </c>
      <c r="E119" t="s">
        <v>17</v>
      </c>
      <c r="F119">
        <v>2</v>
      </c>
      <c r="G119">
        <v>3</v>
      </c>
      <c r="H119" t="s">
        <v>17</v>
      </c>
      <c r="I119" t="s">
        <v>17</v>
      </c>
      <c r="J119">
        <v>2</v>
      </c>
      <c r="K119">
        <v>5.0358538609395057E-2</v>
      </c>
      <c r="L119">
        <f t="shared" si="1"/>
        <v>0.4024144869215292</v>
      </c>
      <c r="M119">
        <v>2.0265005476617732E-4</v>
      </c>
      <c r="N119" t="s">
        <v>17</v>
      </c>
      <c r="O119">
        <v>296</v>
      </c>
      <c r="P119" t="s">
        <v>1446</v>
      </c>
    </row>
    <row r="120" spans="1:16" x14ac:dyDescent="0.2">
      <c r="A120" t="s">
        <v>818</v>
      </c>
      <c r="B120" t="s">
        <v>239</v>
      </c>
      <c r="C120">
        <v>4</v>
      </c>
      <c r="D120" t="s">
        <v>17</v>
      </c>
      <c r="E120" t="s">
        <v>17</v>
      </c>
      <c r="F120">
        <v>1</v>
      </c>
      <c r="G120">
        <v>3</v>
      </c>
      <c r="H120" t="s">
        <v>17</v>
      </c>
      <c r="I120" t="s">
        <v>17</v>
      </c>
      <c r="J120">
        <v>1</v>
      </c>
      <c r="K120">
        <v>4.7825412924817838E-2</v>
      </c>
      <c r="L120">
        <f t="shared" si="1"/>
        <v>0.42372881355932213</v>
      </c>
      <c r="M120">
        <v>2.0265005476617732E-4</v>
      </c>
      <c r="N120" t="s">
        <v>17</v>
      </c>
      <c r="O120">
        <v>296</v>
      </c>
      <c r="P120" t="s">
        <v>1446</v>
      </c>
    </row>
    <row r="121" spans="1:16" x14ac:dyDescent="0.2">
      <c r="A121" t="s">
        <v>818</v>
      </c>
      <c r="B121" t="s">
        <v>239</v>
      </c>
      <c r="C121">
        <v>4</v>
      </c>
      <c r="D121" t="s">
        <v>17</v>
      </c>
      <c r="E121" t="s">
        <v>17</v>
      </c>
      <c r="F121">
        <v>0</v>
      </c>
      <c r="G121">
        <v>3</v>
      </c>
      <c r="H121" t="s">
        <v>17</v>
      </c>
      <c r="I121" t="s">
        <v>17</v>
      </c>
      <c r="J121">
        <v>0</v>
      </c>
      <c r="K121">
        <v>4.6710837623603868E-2</v>
      </c>
      <c r="L121">
        <f t="shared" si="1"/>
        <v>0.21691973969631237</v>
      </c>
      <c r="M121">
        <v>1.0132502738308866E-4</v>
      </c>
      <c r="N121" t="s">
        <v>17</v>
      </c>
      <c r="O121">
        <v>296</v>
      </c>
      <c r="P121" t="s">
        <v>1446</v>
      </c>
    </row>
    <row r="122" spans="1:16" x14ac:dyDescent="0.2">
      <c r="A122" t="s">
        <v>818</v>
      </c>
      <c r="B122" t="s">
        <v>239</v>
      </c>
      <c r="C122">
        <v>4</v>
      </c>
      <c r="D122" t="s">
        <v>17</v>
      </c>
      <c r="E122" t="s">
        <v>17</v>
      </c>
      <c r="F122">
        <v>3</v>
      </c>
      <c r="G122">
        <v>3</v>
      </c>
      <c r="H122" t="s">
        <v>17</v>
      </c>
      <c r="I122" t="s">
        <v>17</v>
      </c>
      <c r="J122">
        <v>3</v>
      </c>
      <c r="K122">
        <v>5.2182389102290658E-2</v>
      </c>
      <c r="L122">
        <f t="shared" si="1"/>
        <v>0.58252427184466016</v>
      </c>
      <c r="M122">
        <v>3.0397508214926596E-4</v>
      </c>
      <c r="N122" t="s">
        <v>17</v>
      </c>
      <c r="O122">
        <v>296</v>
      </c>
      <c r="P122" t="s">
        <v>1446</v>
      </c>
    </row>
    <row r="123" spans="1:16" x14ac:dyDescent="0.2">
      <c r="A123" t="s">
        <v>818</v>
      </c>
      <c r="B123" t="s">
        <v>239</v>
      </c>
      <c r="C123">
        <v>4</v>
      </c>
      <c r="D123" t="s">
        <v>17</v>
      </c>
      <c r="E123" t="s">
        <v>17</v>
      </c>
      <c r="F123">
        <v>2</v>
      </c>
      <c r="G123">
        <v>3</v>
      </c>
      <c r="H123" t="s">
        <v>17</v>
      </c>
      <c r="I123" t="s">
        <v>17</v>
      </c>
      <c r="J123">
        <v>2</v>
      </c>
      <c r="K123">
        <v>5.1371788883225945E-2</v>
      </c>
      <c r="L123">
        <f t="shared" si="1"/>
        <v>2.169625246548323</v>
      </c>
      <c r="M123">
        <v>1.114575301213975E-3</v>
      </c>
      <c r="N123" t="s">
        <v>17</v>
      </c>
      <c r="O123">
        <v>296</v>
      </c>
      <c r="P123" t="s">
        <v>1446</v>
      </c>
    </row>
    <row r="124" spans="1:16" x14ac:dyDescent="0.2">
      <c r="A124" t="s">
        <v>818</v>
      </c>
      <c r="B124" t="s">
        <v>239</v>
      </c>
      <c r="C124">
        <v>4</v>
      </c>
      <c r="D124" t="s">
        <v>17</v>
      </c>
      <c r="E124" t="s">
        <v>17</v>
      </c>
      <c r="F124">
        <v>1</v>
      </c>
      <c r="G124">
        <v>3</v>
      </c>
      <c r="H124" t="s">
        <v>17</v>
      </c>
      <c r="I124" t="s">
        <v>17</v>
      </c>
      <c r="J124">
        <v>1</v>
      </c>
      <c r="K124">
        <v>4.7420112815285492E-2</v>
      </c>
      <c r="L124">
        <f t="shared" si="1"/>
        <v>0.42735042735042733</v>
      </c>
      <c r="M124">
        <v>2.0265005476617732E-4</v>
      </c>
      <c r="N124" t="s">
        <v>17</v>
      </c>
      <c r="O124">
        <v>296</v>
      </c>
      <c r="P124" t="s">
        <v>1446</v>
      </c>
    </row>
    <row r="125" spans="1:16" x14ac:dyDescent="0.2">
      <c r="A125" t="s">
        <v>818</v>
      </c>
      <c r="B125" t="s">
        <v>239</v>
      </c>
      <c r="C125">
        <v>2</v>
      </c>
      <c r="D125" t="s">
        <v>17</v>
      </c>
      <c r="E125" t="s">
        <v>17</v>
      </c>
      <c r="F125">
        <v>1</v>
      </c>
      <c r="G125">
        <v>1</v>
      </c>
      <c r="H125" t="s">
        <v>17</v>
      </c>
      <c r="I125" t="s">
        <v>17</v>
      </c>
      <c r="J125">
        <v>1</v>
      </c>
      <c r="K125">
        <v>5.4614189759484788E-2</v>
      </c>
      <c r="L125">
        <f t="shared" si="1"/>
        <v>1.2987012987012987</v>
      </c>
      <c r="M125">
        <v>7.0927519168162054E-4</v>
      </c>
      <c r="N125" t="s">
        <v>17</v>
      </c>
      <c r="O125">
        <v>296</v>
      </c>
      <c r="P125" t="s">
        <v>1446</v>
      </c>
    </row>
    <row r="126" spans="1:16" x14ac:dyDescent="0.2">
      <c r="A126" t="s">
        <v>818</v>
      </c>
      <c r="B126" t="s">
        <v>239</v>
      </c>
      <c r="C126">
        <v>2</v>
      </c>
      <c r="D126" t="s">
        <v>17</v>
      </c>
      <c r="E126" t="s">
        <v>17</v>
      </c>
      <c r="F126">
        <v>0</v>
      </c>
      <c r="G126">
        <v>1</v>
      </c>
      <c r="H126" t="s">
        <v>17</v>
      </c>
      <c r="I126" t="s">
        <v>17</v>
      </c>
      <c r="J126">
        <v>0</v>
      </c>
      <c r="K126">
        <v>4.9547938390330351E-2</v>
      </c>
      <c r="L126">
        <f t="shared" si="1"/>
        <v>0.61349693251533743</v>
      </c>
      <c r="M126">
        <v>3.0397508214926596E-4</v>
      </c>
      <c r="N126" t="s">
        <v>17</v>
      </c>
      <c r="O126">
        <v>296</v>
      </c>
      <c r="P126" t="s">
        <v>1446</v>
      </c>
    </row>
    <row r="127" spans="1:16" x14ac:dyDescent="0.2">
      <c r="A127" t="s">
        <v>818</v>
      </c>
      <c r="B127" t="s">
        <v>239</v>
      </c>
      <c r="C127">
        <v>2</v>
      </c>
      <c r="D127" t="s">
        <v>17</v>
      </c>
      <c r="E127" t="s">
        <v>17</v>
      </c>
      <c r="F127">
        <v>1</v>
      </c>
      <c r="G127">
        <v>1</v>
      </c>
      <c r="H127" t="s">
        <v>17</v>
      </c>
      <c r="I127" t="s">
        <v>17</v>
      </c>
      <c r="J127">
        <v>1</v>
      </c>
      <c r="K127">
        <v>5.45128647321017E-2</v>
      </c>
      <c r="L127">
        <f t="shared" si="1"/>
        <v>0.74349442379182151</v>
      </c>
      <c r="M127">
        <v>4.0530010953235463E-4</v>
      </c>
      <c r="N127" t="s">
        <v>17</v>
      </c>
      <c r="O127">
        <v>296</v>
      </c>
      <c r="P127" t="s">
        <v>1446</v>
      </c>
    </row>
    <row r="128" spans="1:16" x14ac:dyDescent="0.2">
      <c r="A128" t="s">
        <v>818</v>
      </c>
      <c r="B128" t="s">
        <v>239</v>
      </c>
      <c r="C128">
        <v>2</v>
      </c>
      <c r="D128" t="s">
        <v>17</v>
      </c>
      <c r="E128" t="s">
        <v>17</v>
      </c>
      <c r="F128">
        <v>0</v>
      </c>
      <c r="G128">
        <v>0</v>
      </c>
      <c r="H128" t="s">
        <v>17</v>
      </c>
      <c r="I128" t="s">
        <v>17</v>
      </c>
      <c r="J128">
        <v>0</v>
      </c>
      <c r="K128">
        <v>5.0054563527245792E-2</v>
      </c>
      <c r="L128">
        <f t="shared" si="1"/>
        <v>0.40485829959514169</v>
      </c>
      <c r="M128">
        <v>2.0265005476617732E-4</v>
      </c>
      <c r="N128" t="s">
        <v>17</v>
      </c>
      <c r="O128">
        <v>296</v>
      </c>
      <c r="P128" t="s">
        <v>1446</v>
      </c>
    </row>
    <row r="129" spans="1:16" x14ac:dyDescent="0.2">
      <c r="A129" t="s">
        <v>818</v>
      </c>
      <c r="B129" t="s">
        <v>239</v>
      </c>
      <c r="C129">
        <v>1</v>
      </c>
      <c r="D129" t="s">
        <v>17</v>
      </c>
      <c r="E129" t="s">
        <v>17</v>
      </c>
      <c r="F129">
        <v>1</v>
      </c>
      <c r="G129">
        <v>1</v>
      </c>
      <c r="H129" t="s">
        <v>17</v>
      </c>
      <c r="I129" t="s">
        <v>17</v>
      </c>
      <c r="J129">
        <v>1</v>
      </c>
      <c r="K129">
        <v>5.1574438937992122E-2</v>
      </c>
      <c r="L129">
        <f t="shared" si="1"/>
        <v>0.78585461689587444</v>
      </c>
      <c r="M129">
        <v>4.0530010953235463E-4</v>
      </c>
      <c r="N129" t="s">
        <v>17</v>
      </c>
      <c r="O129">
        <v>296</v>
      </c>
      <c r="P129" t="s">
        <v>1446</v>
      </c>
    </row>
    <row r="130" spans="1:16" x14ac:dyDescent="0.2">
      <c r="A130" t="s">
        <v>818</v>
      </c>
      <c r="B130" t="s">
        <v>239</v>
      </c>
      <c r="C130">
        <v>2</v>
      </c>
      <c r="D130" t="s">
        <v>17</v>
      </c>
      <c r="E130" t="s">
        <v>17</v>
      </c>
      <c r="F130">
        <v>2</v>
      </c>
      <c r="G130">
        <v>2</v>
      </c>
      <c r="H130" t="s">
        <v>17</v>
      </c>
      <c r="I130" t="s">
        <v>17</v>
      </c>
      <c r="J130">
        <v>2</v>
      </c>
      <c r="K130">
        <v>5.4208889649952428E-2</v>
      </c>
      <c r="L130">
        <f t="shared" si="1"/>
        <v>1.8691588785046731</v>
      </c>
      <c r="M130">
        <v>1.0132502738308866E-3</v>
      </c>
      <c r="N130" t="s">
        <v>17</v>
      </c>
      <c r="O130">
        <v>296</v>
      </c>
      <c r="P130" t="s">
        <v>1446</v>
      </c>
    </row>
    <row r="131" spans="1:16" x14ac:dyDescent="0.2">
      <c r="A131" t="s">
        <v>818</v>
      </c>
      <c r="B131" t="s">
        <v>239</v>
      </c>
      <c r="C131">
        <v>2</v>
      </c>
      <c r="D131" t="s">
        <v>17</v>
      </c>
      <c r="E131" t="s">
        <v>17</v>
      </c>
      <c r="F131">
        <v>1</v>
      </c>
      <c r="G131">
        <v>2</v>
      </c>
      <c r="H131" t="s">
        <v>17</v>
      </c>
      <c r="I131" t="s">
        <v>17</v>
      </c>
      <c r="J131">
        <v>1</v>
      </c>
      <c r="K131">
        <v>5.3296964403504635E-2</v>
      </c>
      <c r="L131">
        <f t="shared" ref="L131:L194" si="2">M131/K131*100</f>
        <v>1.9011406844106464</v>
      </c>
      <c r="M131">
        <v>1.0132502738308866E-3</v>
      </c>
      <c r="N131" t="s">
        <v>17</v>
      </c>
      <c r="O131">
        <v>296</v>
      </c>
      <c r="P131" t="s">
        <v>1446</v>
      </c>
    </row>
    <row r="132" spans="1:16" x14ac:dyDescent="0.2">
      <c r="A132" t="s">
        <v>818</v>
      </c>
      <c r="B132" t="s">
        <v>239</v>
      </c>
      <c r="C132">
        <v>3</v>
      </c>
      <c r="D132" t="s">
        <v>17</v>
      </c>
      <c r="E132" t="s">
        <v>17</v>
      </c>
      <c r="F132">
        <v>3</v>
      </c>
      <c r="G132">
        <v>3</v>
      </c>
      <c r="H132" t="s">
        <v>17</v>
      </c>
      <c r="I132" t="s">
        <v>17</v>
      </c>
      <c r="J132">
        <v>3</v>
      </c>
      <c r="K132">
        <v>5.2182389102290658E-2</v>
      </c>
      <c r="L132">
        <f t="shared" si="2"/>
        <v>0.77669902912621369</v>
      </c>
      <c r="M132">
        <v>4.0530010953235463E-4</v>
      </c>
      <c r="N132" t="s">
        <v>17</v>
      </c>
      <c r="O132">
        <v>296</v>
      </c>
      <c r="P132" t="s">
        <v>1446</v>
      </c>
    </row>
    <row r="133" spans="1:16" x14ac:dyDescent="0.2">
      <c r="A133" t="s">
        <v>818</v>
      </c>
      <c r="B133" t="s">
        <v>239</v>
      </c>
      <c r="C133">
        <v>3</v>
      </c>
      <c r="D133" t="s">
        <v>17</v>
      </c>
      <c r="E133" t="s">
        <v>17</v>
      </c>
      <c r="F133">
        <v>2</v>
      </c>
      <c r="G133">
        <v>3</v>
      </c>
      <c r="H133" t="s">
        <v>17</v>
      </c>
      <c r="I133" t="s">
        <v>17</v>
      </c>
      <c r="J133">
        <v>2</v>
      </c>
      <c r="K133">
        <v>5.4208889649952428E-2</v>
      </c>
      <c r="L133">
        <f t="shared" si="2"/>
        <v>3.9252336448598135</v>
      </c>
      <c r="M133">
        <v>2.1278255750448618E-3</v>
      </c>
      <c r="N133" t="s">
        <v>17</v>
      </c>
      <c r="O133">
        <v>296</v>
      </c>
      <c r="P133" t="s">
        <v>1446</v>
      </c>
    </row>
    <row r="134" spans="1:16" x14ac:dyDescent="0.2">
      <c r="A134" t="s">
        <v>818</v>
      </c>
      <c r="B134" t="s">
        <v>239</v>
      </c>
      <c r="C134">
        <v>3</v>
      </c>
      <c r="D134" t="s">
        <v>17</v>
      </c>
      <c r="E134" t="s">
        <v>17</v>
      </c>
      <c r="F134">
        <v>1</v>
      </c>
      <c r="G134">
        <v>3</v>
      </c>
      <c r="H134" t="s">
        <v>17</v>
      </c>
      <c r="I134" t="s">
        <v>17</v>
      </c>
      <c r="J134">
        <v>1</v>
      </c>
      <c r="K134">
        <v>4.9142638280797991E-2</v>
      </c>
      <c r="L134">
        <f t="shared" si="2"/>
        <v>2.6804123711340209</v>
      </c>
      <c r="M134">
        <v>1.3172253559801525E-3</v>
      </c>
      <c r="N134" t="s">
        <v>17</v>
      </c>
      <c r="O134">
        <v>296</v>
      </c>
      <c r="P134" t="s">
        <v>1446</v>
      </c>
    </row>
    <row r="135" spans="1:16" x14ac:dyDescent="0.2">
      <c r="A135" t="s">
        <v>818</v>
      </c>
      <c r="B135" t="s">
        <v>239</v>
      </c>
      <c r="C135">
        <v>4</v>
      </c>
      <c r="D135" t="s">
        <v>17</v>
      </c>
      <c r="E135" t="s">
        <v>17</v>
      </c>
      <c r="F135">
        <v>4</v>
      </c>
      <c r="G135">
        <v>4</v>
      </c>
      <c r="H135" t="s">
        <v>17</v>
      </c>
      <c r="I135" t="s">
        <v>17</v>
      </c>
      <c r="J135">
        <v>4</v>
      </c>
      <c r="K135">
        <v>5.1574438937992122E-2</v>
      </c>
      <c r="L135">
        <f t="shared" si="2"/>
        <v>1.37524557956778</v>
      </c>
      <c r="M135">
        <v>7.0927519168162054E-4</v>
      </c>
      <c r="N135" t="s">
        <v>17</v>
      </c>
      <c r="O135">
        <v>296</v>
      </c>
      <c r="P135" t="s">
        <v>1446</v>
      </c>
    </row>
    <row r="136" spans="1:16" x14ac:dyDescent="0.2">
      <c r="A136" t="s">
        <v>818</v>
      </c>
      <c r="B136" t="s">
        <v>239</v>
      </c>
      <c r="C136">
        <v>4</v>
      </c>
      <c r="D136" t="s">
        <v>17</v>
      </c>
      <c r="E136" t="s">
        <v>17</v>
      </c>
      <c r="F136">
        <v>3</v>
      </c>
      <c r="G136">
        <v>4</v>
      </c>
      <c r="H136" t="s">
        <v>17</v>
      </c>
      <c r="I136" t="s">
        <v>17</v>
      </c>
      <c r="J136">
        <v>3</v>
      </c>
      <c r="K136">
        <v>4.863601314388255E-2</v>
      </c>
      <c r="L136">
        <f t="shared" si="2"/>
        <v>1.0416666666666667</v>
      </c>
      <c r="M136">
        <v>5.0662513691544331E-4</v>
      </c>
      <c r="N136" t="s">
        <v>17</v>
      </c>
      <c r="O136">
        <v>296</v>
      </c>
      <c r="P136" t="s">
        <v>1446</v>
      </c>
    </row>
    <row r="137" spans="1:16" x14ac:dyDescent="0.2">
      <c r="A137" t="s">
        <v>818</v>
      </c>
      <c r="B137" t="s">
        <v>239</v>
      </c>
      <c r="C137">
        <v>5</v>
      </c>
      <c r="D137" t="s">
        <v>17</v>
      </c>
      <c r="E137" t="s">
        <v>17</v>
      </c>
      <c r="F137">
        <v>5</v>
      </c>
      <c r="G137">
        <v>5</v>
      </c>
      <c r="H137" t="s">
        <v>17</v>
      </c>
      <c r="I137" t="s">
        <v>17</v>
      </c>
      <c r="J137">
        <v>5</v>
      </c>
      <c r="K137">
        <v>4.9547938390330351E-2</v>
      </c>
      <c r="L137">
        <f t="shared" si="2"/>
        <v>0.61349693251533743</v>
      </c>
      <c r="M137">
        <v>3.0397508214926596E-4</v>
      </c>
      <c r="N137" t="s">
        <v>17</v>
      </c>
      <c r="O137">
        <v>296</v>
      </c>
      <c r="P137" t="s">
        <v>1446</v>
      </c>
    </row>
    <row r="138" spans="1:16" x14ac:dyDescent="0.2">
      <c r="A138" t="s">
        <v>818</v>
      </c>
      <c r="B138" t="s">
        <v>239</v>
      </c>
      <c r="C138">
        <v>4</v>
      </c>
      <c r="D138" t="s">
        <v>17</v>
      </c>
      <c r="E138" t="s">
        <v>17</v>
      </c>
      <c r="F138">
        <v>2</v>
      </c>
      <c r="G138">
        <v>4</v>
      </c>
      <c r="H138" t="s">
        <v>17</v>
      </c>
      <c r="I138" t="s">
        <v>17</v>
      </c>
      <c r="J138">
        <v>2</v>
      </c>
      <c r="K138">
        <v>4.7521437842668574E-2</v>
      </c>
      <c r="L138">
        <f t="shared" si="2"/>
        <v>1.0660980810234544</v>
      </c>
      <c r="M138">
        <v>5.0662513691544331E-4</v>
      </c>
      <c r="N138" t="s">
        <v>17</v>
      </c>
      <c r="O138">
        <v>296</v>
      </c>
      <c r="P138" t="s">
        <v>1446</v>
      </c>
    </row>
    <row r="139" spans="1:16" x14ac:dyDescent="0.2">
      <c r="A139" t="s">
        <v>818</v>
      </c>
      <c r="B139" t="s">
        <v>239</v>
      </c>
      <c r="C139">
        <v>1</v>
      </c>
      <c r="D139" t="s">
        <v>17</v>
      </c>
      <c r="E139" t="s">
        <v>17</v>
      </c>
      <c r="F139">
        <v>1</v>
      </c>
      <c r="G139">
        <v>1</v>
      </c>
      <c r="H139" t="s">
        <v>17</v>
      </c>
      <c r="I139" t="s">
        <v>17</v>
      </c>
      <c r="J139">
        <v>1</v>
      </c>
      <c r="K139">
        <v>4.9547938390330351E-2</v>
      </c>
      <c r="L139">
        <f t="shared" si="2"/>
        <v>1.4314928425357873</v>
      </c>
      <c r="M139">
        <v>7.0927519168162054E-4</v>
      </c>
      <c r="N139" t="s">
        <v>17</v>
      </c>
      <c r="O139">
        <v>296</v>
      </c>
      <c r="P139" t="s">
        <v>1446</v>
      </c>
    </row>
    <row r="140" spans="1:16" x14ac:dyDescent="0.2">
      <c r="A140" t="s">
        <v>818</v>
      </c>
      <c r="B140" t="s">
        <v>239</v>
      </c>
      <c r="C140">
        <v>5</v>
      </c>
      <c r="D140" t="s">
        <v>17</v>
      </c>
      <c r="E140" t="s">
        <v>17</v>
      </c>
      <c r="F140">
        <v>4</v>
      </c>
      <c r="G140">
        <v>5</v>
      </c>
      <c r="H140" t="s">
        <v>17</v>
      </c>
      <c r="I140" t="s">
        <v>17</v>
      </c>
      <c r="J140">
        <v>4</v>
      </c>
      <c r="K140">
        <v>4.6812162650986956E-2</v>
      </c>
      <c r="L140">
        <f t="shared" si="2"/>
        <v>1.2987012987012987</v>
      </c>
      <c r="M140">
        <v>6.0795016429853192E-4</v>
      </c>
      <c r="N140" t="s">
        <v>17</v>
      </c>
      <c r="O140">
        <v>296</v>
      </c>
      <c r="P140" t="s">
        <v>1446</v>
      </c>
    </row>
    <row r="141" spans="1:16" x14ac:dyDescent="0.2">
      <c r="A141" t="s">
        <v>818</v>
      </c>
      <c r="B141" t="s">
        <v>239</v>
      </c>
      <c r="C141">
        <v>2</v>
      </c>
      <c r="D141" t="s">
        <v>17</v>
      </c>
      <c r="E141" t="s">
        <v>17</v>
      </c>
      <c r="F141">
        <v>2</v>
      </c>
      <c r="G141">
        <v>2</v>
      </c>
      <c r="H141" t="s">
        <v>17</v>
      </c>
      <c r="I141" t="s">
        <v>17</v>
      </c>
      <c r="J141">
        <v>2</v>
      </c>
      <c r="K141">
        <v>5.410756462256934E-2</v>
      </c>
      <c r="L141">
        <f t="shared" si="2"/>
        <v>0.74906367041198507</v>
      </c>
      <c r="M141">
        <v>4.0530010953235463E-4</v>
      </c>
      <c r="N141" t="s">
        <v>17</v>
      </c>
      <c r="O141">
        <v>296</v>
      </c>
      <c r="P141" t="s">
        <v>1446</v>
      </c>
    </row>
    <row r="142" spans="1:16" x14ac:dyDescent="0.2">
      <c r="A142" t="s">
        <v>818</v>
      </c>
      <c r="B142" t="s">
        <v>239</v>
      </c>
      <c r="C142">
        <v>6</v>
      </c>
      <c r="D142" t="s">
        <v>17</v>
      </c>
      <c r="E142" t="s">
        <v>17</v>
      </c>
      <c r="F142">
        <v>6</v>
      </c>
      <c r="G142">
        <v>6</v>
      </c>
      <c r="H142" t="s">
        <v>17</v>
      </c>
      <c r="I142" t="s">
        <v>17</v>
      </c>
      <c r="J142">
        <v>6</v>
      </c>
      <c r="K142">
        <v>4.7420112815285492E-2</v>
      </c>
      <c r="L142">
        <f t="shared" si="2"/>
        <v>0.64102564102564097</v>
      </c>
      <c r="M142">
        <v>3.0397508214926596E-4</v>
      </c>
      <c r="N142" t="s">
        <v>17</v>
      </c>
      <c r="O142">
        <v>296</v>
      </c>
      <c r="P142" t="s">
        <v>1446</v>
      </c>
    </row>
    <row r="143" spans="1:16" x14ac:dyDescent="0.2">
      <c r="A143" t="s">
        <v>818</v>
      </c>
      <c r="B143" t="s">
        <v>239</v>
      </c>
      <c r="C143">
        <v>5</v>
      </c>
      <c r="D143" t="s">
        <v>17</v>
      </c>
      <c r="E143" t="s">
        <v>17</v>
      </c>
      <c r="F143">
        <v>3</v>
      </c>
      <c r="G143">
        <v>5</v>
      </c>
      <c r="H143" t="s">
        <v>17</v>
      </c>
      <c r="I143" t="s">
        <v>17</v>
      </c>
      <c r="J143">
        <v>3</v>
      </c>
      <c r="K143">
        <v>4.5697587349772986E-2</v>
      </c>
      <c r="L143">
        <f t="shared" si="2"/>
        <v>0.88691796008869184</v>
      </c>
      <c r="M143">
        <v>4.0530010953235463E-4</v>
      </c>
      <c r="N143" t="s">
        <v>17</v>
      </c>
      <c r="O143">
        <v>296</v>
      </c>
      <c r="P143" t="s">
        <v>1446</v>
      </c>
    </row>
    <row r="144" spans="1:16" x14ac:dyDescent="0.2">
      <c r="A144" t="s">
        <v>818</v>
      </c>
      <c r="B144" t="s">
        <v>239</v>
      </c>
      <c r="C144">
        <v>5</v>
      </c>
      <c r="D144" t="s">
        <v>17</v>
      </c>
      <c r="E144" t="s">
        <v>17</v>
      </c>
      <c r="F144">
        <v>2</v>
      </c>
      <c r="G144">
        <v>5</v>
      </c>
      <c r="H144" t="s">
        <v>17</v>
      </c>
      <c r="I144" t="s">
        <v>17</v>
      </c>
      <c r="J144">
        <v>2</v>
      </c>
      <c r="K144">
        <v>4.7116137733136228E-2</v>
      </c>
      <c r="L144">
        <f t="shared" si="2"/>
        <v>1.7204301075268817</v>
      </c>
      <c r="M144">
        <v>8.1060021906470927E-4</v>
      </c>
      <c r="N144" t="s">
        <v>17</v>
      </c>
      <c r="O144">
        <v>296</v>
      </c>
      <c r="P144" t="s">
        <v>1446</v>
      </c>
    </row>
    <row r="145" spans="1:16" x14ac:dyDescent="0.2">
      <c r="A145" t="s">
        <v>818</v>
      </c>
      <c r="B145" t="s">
        <v>239</v>
      </c>
      <c r="C145">
        <v>3</v>
      </c>
      <c r="D145" t="s">
        <v>17</v>
      </c>
      <c r="E145" t="s">
        <v>17</v>
      </c>
      <c r="F145">
        <v>3</v>
      </c>
      <c r="G145">
        <v>3</v>
      </c>
      <c r="H145" t="s">
        <v>17</v>
      </c>
      <c r="I145" t="s">
        <v>17</v>
      </c>
      <c r="J145">
        <v>3</v>
      </c>
      <c r="K145">
        <v>5.0865163746310504E-2</v>
      </c>
      <c r="L145">
        <f t="shared" si="2"/>
        <v>0.79681274900398402</v>
      </c>
      <c r="M145">
        <v>4.0530010953235463E-4</v>
      </c>
      <c r="N145" t="s">
        <v>17</v>
      </c>
      <c r="O145">
        <v>296</v>
      </c>
      <c r="P145" t="s">
        <v>1446</v>
      </c>
    </row>
    <row r="146" spans="1:16" x14ac:dyDescent="0.2">
      <c r="A146" t="s">
        <v>818</v>
      </c>
      <c r="B146" t="s">
        <v>239</v>
      </c>
      <c r="C146">
        <v>6</v>
      </c>
      <c r="D146" t="s">
        <v>17</v>
      </c>
      <c r="E146" t="s">
        <v>17</v>
      </c>
      <c r="F146">
        <v>5</v>
      </c>
      <c r="G146">
        <v>6</v>
      </c>
      <c r="H146" t="s">
        <v>17</v>
      </c>
      <c r="I146" t="s">
        <v>17</v>
      </c>
      <c r="J146">
        <v>5</v>
      </c>
      <c r="K146">
        <v>4.5292287240240627E-2</v>
      </c>
      <c r="L146">
        <f t="shared" si="2"/>
        <v>1.1185682326621924</v>
      </c>
      <c r="M146">
        <v>5.0662513691544331E-4</v>
      </c>
      <c r="N146" t="s">
        <v>17</v>
      </c>
      <c r="O146">
        <v>296</v>
      </c>
      <c r="P146" t="s">
        <v>1446</v>
      </c>
    </row>
    <row r="147" spans="1:16" x14ac:dyDescent="0.2">
      <c r="A147" t="s">
        <v>818</v>
      </c>
      <c r="B147" t="s">
        <v>239</v>
      </c>
      <c r="C147">
        <v>3</v>
      </c>
      <c r="D147" t="s">
        <v>17</v>
      </c>
      <c r="E147" t="s">
        <v>17</v>
      </c>
      <c r="F147">
        <v>2</v>
      </c>
      <c r="G147">
        <v>3</v>
      </c>
      <c r="H147" t="s">
        <v>17</v>
      </c>
      <c r="I147" t="s">
        <v>17</v>
      </c>
      <c r="J147">
        <v>2</v>
      </c>
      <c r="K147">
        <v>5.3094314348738458E-2</v>
      </c>
      <c r="L147">
        <f t="shared" si="2"/>
        <v>4.7709923664122131</v>
      </c>
      <c r="M147">
        <v>2.5331256845772163E-3</v>
      </c>
      <c r="N147" t="s">
        <v>17</v>
      </c>
      <c r="O147">
        <v>296</v>
      </c>
      <c r="P147" t="s">
        <v>1446</v>
      </c>
    </row>
    <row r="148" spans="1:16" x14ac:dyDescent="0.2">
      <c r="A148" t="s">
        <v>818</v>
      </c>
      <c r="B148" t="s">
        <v>239</v>
      </c>
      <c r="C148">
        <v>3</v>
      </c>
      <c r="D148" t="s">
        <v>17</v>
      </c>
      <c r="E148" t="s">
        <v>17</v>
      </c>
      <c r="F148">
        <v>1</v>
      </c>
      <c r="G148">
        <v>3</v>
      </c>
      <c r="H148" t="s">
        <v>17</v>
      </c>
      <c r="I148" t="s">
        <v>17</v>
      </c>
      <c r="J148">
        <v>1</v>
      </c>
      <c r="K148">
        <v>4.863601314388255E-2</v>
      </c>
      <c r="L148">
        <f t="shared" si="2"/>
        <v>2.5</v>
      </c>
      <c r="M148">
        <v>1.2159003285970638E-3</v>
      </c>
      <c r="N148" t="s">
        <v>17</v>
      </c>
      <c r="O148">
        <v>296</v>
      </c>
      <c r="P148" t="s">
        <v>1446</v>
      </c>
    </row>
    <row r="149" spans="1:16" x14ac:dyDescent="0.2">
      <c r="A149" t="s">
        <v>818</v>
      </c>
      <c r="B149" t="s">
        <v>239</v>
      </c>
      <c r="C149">
        <v>7</v>
      </c>
      <c r="D149" t="s">
        <v>17</v>
      </c>
      <c r="E149" t="s">
        <v>17</v>
      </c>
      <c r="F149">
        <v>7</v>
      </c>
      <c r="G149">
        <v>7</v>
      </c>
      <c r="H149" t="s">
        <v>17</v>
      </c>
      <c r="I149" t="s">
        <v>17</v>
      </c>
      <c r="J149">
        <v>7</v>
      </c>
      <c r="K149">
        <v>4.7116137733136228E-2</v>
      </c>
      <c r="L149">
        <f t="shared" si="2"/>
        <v>0.86021505376344087</v>
      </c>
      <c r="M149">
        <v>4.0530010953235463E-4</v>
      </c>
      <c r="N149" t="s">
        <v>17</v>
      </c>
      <c r="O149">
        <v>296</v>
      </c>
      <c r="P149" t="s">
        <v>1446</v>
      </c>
    </row>
    <row r="150" spans="1:16" x14ac:dyDescent="0.2">
      <c r="A150" t="s">
        <v>818</v>
      </c>
      <c r="B150" t="s">
        <v>239</v>
      </c>
      <c r="C150">
        <v>4</v>
      </c>
      <c r="D150" t="s">
        <v>17</v>
      </c>
      <c r="E150" t="s">
        <v>17</v>
      </c>
      <c r="F150">
        <v>4</v>
      </c>
      <c r="G150">
        <v>4</v>
      </c>
      <c r="H150" t="s">
        <v>17</v>
      </c>
      <c r="I150" t="s">
        <v>17</v>
      </c>
      <c r="J150">
        <v>4</v>
      </c>
      <c r="K150">
        <v>5.1067813801076681E-2</v>
      </c>
      <c r="L150">
        <f t="shared" si="2"/>
        <v>0.79365079365079383</v>
      </c>
      <c r="M150">
        <v>4.0530010953235463E-4</v>
      </c>
      <c r="N150" t="s">
        <v>17</v>
      </c>
      <c r="O150">
        <v>296</v>
      </c>
      <c r="P150" t="s">
        <v>1446</v>
      </c>
    </row>
    <row r="151" spans="1:16" x14ac:dyDescent="0.2">
      <c r="A151" t="s">
        <v>818</v>
      </c>
      <c r="B151" t="s">
        <v>239</v>
      </c>
      <c r="C151">
        <v>6</v>
      </c>
      <c r="D151" t="s">
        <v>17</v>
      </c>
      <c r="E151" t="s">
        <v>17</v>
      </c>
      <c r="F151">
        <v>4</v>
      </c>
      <c r="G151">
        <v>6</v>
      </c>
      <c r="H151" t="s">
        <v>17</v>
      </c>
      <c r="I151" t="s">
        <v>17</v>
      </c>
      <c r="J151">
        <v>4</v>
      </c>
      <c r="K151">
        <v>4.265783652828032E-2</v>
      </c>
      <c r="L151">
        <f t="shared" si="2"/>
        <v>0.95011876484560576</v>
      </c>
      <c r="M151">
        <v>4.0530010953235463E-4</v>
      </c>
      <c r="N151" t="s">
        <v>17</v>
      </c>
      <c r="O151">
        <v>296</v>
      </c>
      <c r="P151" t="s">
        <v>1446</v>
      </c>
    </row>
    <row r="152" spans="1:16" x14ac:dyDescent="0.2">
      <c r="A152" t="s">
        <v>818</v>
      </c>
      <c r="B152" t="s">
        <v>239</v>
      </c>
      <c r="C152">
        <v>6</v>
      </c>
      <c r="D152" t="s">
        <v>17</v>
      </c>
      <c r="E152" t="s">
        <v>17</v>
      </c>
      <c r="F152">
        <v>3</v>
      </c>
      <c r="G152">
        <v>6</v>
      </c>
      <c r="H152" t="s">
        <v>17</v>
      </c>
      <c r="I152" t="s">
        <v>17</v>
      </c>
      <c r="J152">
        <v>3</v>
      </c>
      <c r="K152">
        <v>4.3468436747345032E-2</v>
      </c>
      <c r="L152">
        <f t="shared" si="2"/>
        <v>0.69930069930069927</v>
      </c>
      <c r="M152">
        <v>3.0397508214926596E-4</v>
      </c>
      <c r="N152" t="s">
        <v>17</v>
      </c>
      <c r="O152">
        <v>296</v>
      </c>
      <c r="P152" t="s">
        <v>1446</v>
      </c>
    </row>
    <row r="153" spans="1:16" x14ac:dyDescent="0.2">
      <c r="A153" t="s">
        <v>818</v>
      </c>
      <c r="B153" t="s">
        <v>239</v>
      </c>
      <c r="C153">
        <v>4</v>
      </c>
      <c r="D153" t="s">
        <v>17</v>
      </c>
      <c r="E153" t="s">
        <v>17</v>
      </c>
      <c r="F153">
        <v>3</v>
      </c>
      <c r="G153">
        <v>4</v>
      </c>
      <c r="H153" t="s">
        <v>17</v>
      </c>
      <c r="I153" t="s">
        <v>17</v>
      </c>
      <c r="J153">
        <v>3</v>
      </c>
      <c r="K153">
        <v>4.8737338171265639E-2</v>
      </c>
      <c r="L153">
        <f t="shared" si="2"/>
        <v>0.83160083160083165</v>
      </c>
      <c r="M153">
        <v>4.0530010953235463E-4</v>
      </c>
      <c r="N153" t="s">
        <v>17</v>
      </c>
      <c r="O153">
        <v>296</v>
      </c>
      <c r="P153" t="s">
        <v>1446</v>
      </c>
    </row>
    <row r="154" spans="1:16" x14ac:dyDescent="0.2">
      <c r="A154" t="s">
        <v>818</v>
      </c>
      <c r="B154" t="s">
        <v>239</v>
      </c>
      <c r="C154">
        <v>4</v>
      </c>
      <c r="D154" t="s">
        <v>17</v>
      </c>
      <c r="E154" t="s">
        <v>17</v>
      </c>
      <c r="F154">
        <v>2</v>
      </c>
      <c r="G154">
        <v>4</v>
      </c>
      <c r="H154" t="s">
        <v>17</v>
      </c>
      <c r="I154" t="s">
        <v>17</v>
      </c>
      <c r="J154">
        <v>2</v>
      </c>
      <c r="K154">
        <v>5.1777088992758305E-2</v>
      </c>
      <c r="L154">
        <f t="shared" si="2"/>
        <v>1.7612524461839525</v>
      </c>
      <c r="M154">
        <v>9.1192524644779778E-4</v>
      </c>
      <c r="N154" t="s">
        <v>17</v>
      </c>
      <c r="O154">
        <v>296</v>
      </c>
      <c r="P154" t="s">
        <v>1446</v>
      </c>
    </row>
    <row r="155" spans="1:16" x14ac:dyDescent="0.2">
      <c r="A155" t="s">
        <v>818</v>
      </c>
      <c r="B155" t="s">
        <v>239</v>
      </c>
      <c r="C155">
        <v>5</v>
      </c>
      <c r="D155" t="s">
        <v>17</v>
      </c>
      <c r="E155" t="s">
        <v>17</v>
      </c>
      <c r="F155">
        <v>5</v>
      </c>
      <c r="G155">
        <v>5</v>
      </c>
      <c r="H155" t="s">
        <v>17</v>
      </c>
      <c r="I155" t="s">
        <v>17</v>
      </c>
      <c r="J155">
        <v>5</v>
      </c>
      <c r="K155">
        <v>5.0358538609395057E-2</v>
      </c>
      <c r="L155">
        <f t="shared" si="2"/>
        <v>1.8108651911468814</v>
      </c>
      <c r="M155">
        <v>9.1192524644779778E-4</v>
      </c>
      <c r="N155" t="s">
        <v>17</v>
      </c>
      <c r="O155">
        <v>296</v>
      </c>
      <c r="P155" t="s">
        <v>1446</v>
      </c>
    </row>
    <row r="156" spans="1:16" x14ac:dyDescent="0.2">
      <c r="A156" t="s">
        <v>818</v>
      </c>
      <c r="B156" t="s">
        <v>239</v>
      </c>
      <c r="C156">
        <v>7</v>
      </c>
      <c r="D156" t="s">
        <v>17</v>
      </c>
      <c r="E156" t="s">
        <v>17</v>
      </c>
      <c r="F156">
        <v>6</v>
      </c>
      <c r="G156">
        <v>7</v>
      </c>
      <c r="H156" t="s">
        <v>17</v>
      </c>
      <c r="I156" t="s">
        <v>17</v>
      </c>
      <c r="J156">
        <v>6</v>
      </c>
      <c r="K156">
        <v>4.4076386911643561E-2</v>
      </c>
      <c r="L156">
        <f t="shared" si="2"/>
        <v>2.7586206896551726</v>
      </c>
      <c r="M156">
        <v>1.2159003285970638E-3</v>
      </c>
      <c r="N156" t="s">
        <v>17</v>
      </c>
      <c r="O156">
        <v>296</v>
      </c>
      <c r="P156" t="s">
        <v>1446</v>
      </c>
    </row>
    <row r="157" spans="1:16" x14ac:dyDescent="0.2">
      <c r="A157" t="s">
        <v>818</v>
      </c>
      <c r="B157" t="s">
        <v>239</v>
      </c>
      <c r="C157">
        <v>8</v>
      </c>
      <c r="D157" t="s">
        <v>17</v>
      </c>
      <c r="E157" t="s">
        <v>17</v>
      </c>
      <c r="F157">
        <v>8</v>
      </c>
      <c r="G157">
        <v>8</v>
      </c>
      <c r="H157" t="s">
        <v>17</v>
      </c>
      <c r="I157" t="s">
        <v>17</v>
      </c>
      <c r="J157">
        <v>8</v>
      </c>
      <c r="K157">
        <v>4.5697587349772986E-2</v>
      </c>
      <c r="L157">
        <f t="shared" si="2"/>
        <v>3.1042128603104207</v>
      </c>
      <c r="M157">
        <v>1.4185503833632411E-3</v>
      </c>
      <c r="N157" t="s">
        <v>17</v>
      </c>
      <c r="O157">
        <v>296</v>
      </c>
      <c r="P157" t="s">
        <v>1446</v>
      </c>
    </row>
    <row r="158" spans="1:16" x14ac:dyDescent="0.2">
      <c r="A158" t="s">
        <v>818</v>
      </c>
      <c r="B158" t="s">
        <v>239</v>
      </c>
      <c r="C158">
        <v>7</v>
      </c>
      <c r="D158" t="s">
        <v>17</v>
      </c>
      <c r="E158" t="s">
        <v>17</v>
      </c>
      <c r="F158">
        <v>5</v>
      </c>
      <c r="G158">
        <v>7</v>
      </c>
      <c r="H158" t="s">
        <v>17</v>
      </c>
      <c r="I158" t="s">
        <v>17</v>
      </c>
      <c r="J158">
        <v>5</v>
      </c>
      <c r="K158">
        <v>4.5697587349772986E-2</v>
      </c>
      <c r="L158">
        <f t="shared" si="2"/>
        <v>3.1042128603104207</v>
      </c>
      <c r="M158">
        <v>1.4185503833632411E-3</v>
      </c>
      <c r="N158" t="s">
        <v>17</v>
      </c>
      <c r="O158">
        <v>296</v>
      </c>
      <c r="P158" t="s">
        <v>1446</v>
      </c>
    </row>
    <row r="159" spans="1:16" x14ac:dyDescent="0.2">
      <c r="A159" t="s">
        <v>818</v>
      </c>
      <c r="B159" t="s">
        <v>239</v>
      </c>
      <c r="C159">
        <v>8</v>
      </c>
      <c r="D159" t="s">
        <v>17</v>
      </c>
      <c r="E159" t="s">
        <v>17</v>
      </c>
      <c r="F159">
        <v>5</v>
      </c>
      <c r="G159">
        <v>8</v>
      </c>
      <c r="H159" t="s">
        <v>17</v>
      </c>
      <c r="I159" t="s">
        <v>17</v>
      </c>
      <c r="J159">
        <v>5</v>
      </c>
      <c r="K159">
        <v>4.5292287240240627E-2</v>
      </c>
      <c r="L159">
        <f t="shared" si="2"/>
        <v>4.9217002237136462</v>
      </c>
      <c r="M159">
        <v>2.22915060242795E-3</v>
      </c>
      <c r="N159" t="s">
        <v>17</v>
      </c>
      <c r="O159">
        <v>296</v>
      </c>
      <c r="P159" t="s">
        <v>1446</v>
      </c>
    </row>
    <row r="160" spans="1:16" x14ac:dyDescent="0.2">
      <c r="A160" t="s">
        <v>818</v>
      </c>
      <c r="B160" t="s">
        <v>239</v>
      </c>
      <c r="C160">
        <v>5</v>
      </c>
      <c r="D160" t="s">
        <v>17</v>
      </c>
      <c r="E160" t="s">
        <v>17</v>
      </c>
      <c r="F160">
        <v>4</v>
      </c>
      <c r="G160">
        <v>5</v>
      </c>
      <c r="H160" t="s">
        <v>17</v>
      </c>
      <c r="I160" t="s">
        <v>17</v>
      </c>
      <c r="J160">
        <v>4</v>
      </c>
      <c r="K160">
        <v>4.9547938390330351E-2</v>
      </c>
      <c r="L160">
        <f t="shared" si="2"/>
        <v>4.0899795501022496</v>
      </c>
      <c r="M160">
        <v>2.0265005476617732E-3</v>
      </c>
      <c r="N160" t="s">
        <v>17</v>
      </c>
      <c r="O160">
        <v>296</v>
      </c>
      <c r="P160" t="s">
        <v>1446</v>
      </c>
    </row>
    <row r="161" spans="1:16" x14ac:dyDescent="0.2">
      <c r="A161" t="s">
        <v>818</v>
      </c>
      <c r="B161" t="s">
        <v>239</v>
      </c>
      <c r="C161">
        <v>5</v>
      </c>
      <c r="D161" t="s">
        <v>17</v>
      </c>
      <c r="E161" t="s">
        <v>17</v>
      </c>
      <c r="F161">
        <v>3</v>
      </c>
      <c r="G161">
        <v>5</v>
      </c>
      <c r="H161" t="s">
        <v>17</v>
      </c>
      <c r="I161" t="s">
        <v>17</v>
      </c>
      <c r="J161">
        <v>3</v>
      </c>
      <c r="K161">
        <v>4.6508187568837692E-2</v>
      </c>
      <c r="L161">
        <f t="shared" si="2"/>
        <v>1.3071895424836601</v>
      </c>
      <c r="M161">
        <v>6.0795016429853192E-4</v>
      </c>
      <c r="N161" t="s">
        <v>17</v>
      </c>
      <c r="O161">
        <v>296</v>
      </c>
      <c r="P161" t="s">
        <v>1446</v>
      </c>
    </row>
    <row r="162" spans="1:16" x14ac:dyDescent="0.2">
      <c r="A162" t="s">
        <v>818</v>
      </c>
      <c r="B162" t="s">
        <v>239</v>
      </c>
      <c r="C162">
        <v>6</v>
      </c>
      <c r="D162" t="s">
        <v>17</v>
      </c>
      <c r="E162" t="s">
        <v>17</v>
      </c>
      <c r="F162">
        <v>6</v>
      </c>
      <c r="G162">
        <v>6</v>
      </c>
      <c r="H162" t="s">
        <v>17</v>
      </c>
      <c r="I162" t="s">
        <v>17</v>
      </c>
      <c r="J162">
        <v>6</v>
      </c>
      <c r="K162">
        <v>4.7825412924817838E-2</v>
      </c>
      <c r="L162">
        <f t="shared" si="2"/>
        <v>0.21186440677966106</v>
      </c>
      <c r="M162">
        <v>1.0132502738308866E-4</v>
      </c>
      <c r="N162" t="s">
        <v>17</v>
      </c>
      <c r="O162">
        <v>296</v>
      </c>
      <c r="P162" t="s">
        <v>1446</v>
      </c>
    </row>
    <row r="163" spans="1:16" x14ac:dyDescent="0.2">
      <c r="A163" t="s">
        <v>818</v>
      </c>
      <c r="B163" t="s">
        <v>239</v>
      </c>
      <c r="C163">
        <v>8</v>
      </c>
      <c r="D163" t="s">
        <v>17</v>
      </c>
      <c r="E163" t="s">
        <v>17</v>
      </c>
      <c r="F163">
        <v>6</v>
      </c>
      <c r="G163">
        <v>8</v>
      </c>
      <c r="H163" t="s">
        <v>17</v>
      </c>
      <c r="I163" t="s">
        <v>17</v>
      </c>
      <c r="J163">
        <v>6</v>
      </c>
      <c r="K163">
        <v>3.911146056987222E-2</v>
      </c>
      <c r="L163">
        <f t="shared" si="2"/>
        <v>1.5544041450777202</v>
      </c>
      <c r="M163">
        <v>6.0795016429853192E-4</v>
      </c>
      <c r="N163" t="s">
        <v>17</v>
      </c>
      <c r="O163">
        <v>296</v>
      </c>
      <c r="P163" t="s">
        <v>1446</v>
      </c>
    </row>
    <row r="164" spans="1:16" x14ac:dyDescent="0.2">
      <c r="A164" t="s">
        <v>818</v>
      </c>
      <c r="B164" t="s">
        <v>239</v>
      </c>
      <c r="C164">
        <v>6</v>
      </c>
      <c r="D164" t="s">
        <v>17</v>
      </c>
      <c r="E164" t="s">
        <v>17</v>
      </c>
      <c r="F164">
        <v>5</v>
      </c>
      <c r="G164">
        <v>6</v>
      </c>
      <c r="H164" t="s">
        <v>17</v>
      </c>
      <c r="I164" t="s">
        <v>17</v>
      </c>
      <c r="J164">
        <v>5</v>
      </c>
      <c r="K164">
        <v>4.5900237404539163E-2</v>
      </c>
      <c r="L164">
        <f t="shared" si="2"/>
        <v>1.1037527593818985</v>
      </c>
      <c r="M164">
        <v>5.0662513691544331E-4</v>
      </c>
      <c r="N164" t="s">
        <v>17</v>
      </c>
      <c r="O164">
        <v>296</v>
      </c>
      <c r="P164" t="s">
        <v>1446</v>
      </c>
    </row>
    <row r="165" spans="1:16" x14ac:dyDescent="0.2">
      <c r="A165" t="s">
        <v>818</v>
      </c>
      <c r="B165" t="s">
        <v>239</v>
      </c>
      <c r="C165">
        <v>9</v>
      </c>
      <c r="D165" t="s">
        <v>17</v>
      </c>
      <c r="E165" t="s">
        <v>17</v>
      </c>
      <c r="F165">
        <v>9</v>
      </c>
      <c r="G165">
        <v>9</v>
      </c>
      <c r="H165" t="s">
        <v>17</v>
      </c>
      <c r="I165" t="s">
        <v>17</v>
      </c>
      <c r="J165">
        <v>9</v>
      </c>
      <c r="K165">
        <v>4.5900237404539163E-2</v>
      </c>
      <c r="L165">
        <f t="shared" si="2"/>
        <v>1.1037527593818985</v>
      </c>
      <c r="M165">
        <v>5.0662513691544331E-4</v>
      </c>
      <c r="N165" t="s">
        <v>17</v>
      </c>
      <c r="O165">
        <v>296</v>
      </c>
      <c r="P165" t="s">
        <v>1446</v>
      </c>
    </row>
    <row r="166" spans="1:16" x14ac:dyDescent="0.2">
      <c r="A166" t="s">
        <v>818</v>
      </c>
      <c r="B166" t="s">
        <v>239</v>
      </c>
      <c r="C166">
        <v>6</v>
      </c>
      <c r="D166" t="s">
        <v>17</v>
      </c>
      <c r="E166" t="s">
        <v>17</v>
      </c>
      <c r="F166">
        <v>4</v>
      </c>
      <c r="G166">
        <v>6</v>
      </c>
      <c r="H166" t="s">
        <v>17</v>
      </c>
      <c r="I166" t="s">
        <v>17</v>
      </c>
      <c r="J166">
        <v>4</v>
      </c>
      <c r="K166">
        <v>4.2151211391364879E-2</v>
      </c>
      <c r="L166">
        <f t="shared" si="2"/>
        <v>1.6826923076923077</v>
      </c>
      <c r="M166">
        <v>7.0927519168162054E-4</v>
      </c>
      <c r="N166" t="s">
        <v>17</v>
      </c>
      <c r="O166">
        <v>296</v>
      </c>
      <c r="P166" t="s">
        <v>1446</v>
      </c>
    </row>
    <row r="167" spans="1:16" x14ac:dyDescent="0.2">
      <c r="A167" t="s">
        <v>818</v>
      </c>
      <c r="B167" t="s">
        <v>239</v>
      </c>
      <c r="C167">
        <v>7</v>
      </c>
      <c r="D167" t="s">
        <v>17</v>
      </c>
      <c r="E167" t="s">
        <v>17</v>
      </c>
      <c r="F167">
        <v>7</v>
      </c>
      <c r="G167">
        <v>7</v>
      </c>
      <c r="H167" t="s">
        <v>17</v>
      </c>
      <c r="I167" t="s">
        <v>17</v>
      </c>
      <c r="J167">
        <v>7</v>
      </c>
      <c r="K167">
        <v>4.5900237404539163E-2</v>
      </c>
      <c r="L167">
        <f t="shared" si="2"/>
        <v>0.66225165562913912</v>
      </c>
      <c r="M167">
        <v>3.0397508214926596E-4</v>
      </c>
      <c r="N167" t="s">
        <v>17</v>
      </c>
      <c r="O167">
        <v>296</v>
      </c>
      <c r="P167" t="s">
        <v>1446</v>
      </c>
    </row>
    <row r="168" spans="1:16" x14ac:dyDescent="0.2">
      <c r="A168" t="s">
        <v>818</v>
      </c>
      <c r="B168" t="s">
        <v>239</v>
      </c>
      <c r="C168">
        <v>6</v>
      </c>
      <c r="D168" t="s">
        <v>17</v>
      </c>
      <c r="E168" t="s">
        <v>17</v>
      </c>
      <c r="F168">
        <v>3</v>
      </c>
      <c r="G168">
        <v>6</v>
      </c>
      <c r="H168" t="s">
        <v>17</v>
      </c>
      <c r="I168" t="s">
        <v>17</v>
      </c>
      <c r="J168">
        <v>3</v>
      </c>
      <c r="K168">
        <v>4.6001562431922251E-2</v>
      </c>
      <c r="L168">
        <f t="shared" si="2"/>
        <v>2.4229074889867834</v>
      </c>
      <c r="M168">
        <v>1.114575301213975E-3</v>
      </c>
      <c r="N168" t="s">
        <v>17</v>
      </c>
      <c r="O168">
        <v>296</v>
      </c>
      <c r="P168" t="s">
        <v>1446</v>
      </c>
    </row>
    <row r="169" spans="1:16" x14ac:dyDescent="0.2">
      <c r="A169" t="s">
        <v>818</v>
      </c>
      <c r="B169" t="s">
        <v>239</v>
      </c>
      <c r="C169">
        <v>9</v>
      </c>
      <c r="D169" t="s">
        <v>17</v>
      </c>
      <c r="E169" t="s">
        <v>17</v>
      </c>
      <c r="F169">
        <v>8</v>
      </c>
      <c r="G169">
        <v>9</v>
      </c>
      <c r="H169" t="s">
        <v>17</v>
      </c>
      <c r="I169" t="s">
        <v>17</v>
      </c>
      <c r="J169">
        <v>8</v>
      </c>
      <c r="K169">
        <v>3.8300860350807507E-2</v>
      </c>
      <c r="L169">
        <f t="shared" si="2"/>
        <v>5.026455026455027</v>
      </c>
      <c r="M169">
        <v>1.9251755202786844E-3</v>
      </c>
      <c r="N169" t="s">
        <v>17</v>
      </c>
      <c r="O169">
        <v>296</v>
      </c>
      <c r="P169" t="s">
        <v>1446</v>
      </c>
    </row>
    <row r="170" spans="1:16" x14ac:dyDescent="0.2">
      <c r="A170" t="s">
        <v>818</v>
      </c>
      <c r="B170" t="s">
        <v>239</v>
      </c>
      <c r="C170">
        <v>7</v>
      </c>
      <c r="D170" t="s">
        <v>17</v>
      </c>
      <c r="E170" t="s">
        <v>17</v>
      </c>
      <c r="F170">
        <v>6</v>
      </c>
      <c r="G170">
        <v>7</v>
      </c>
      <c r="H170" t="s">
        <v>17</v>
      </c>
      <c r="I170" t="s">
        <v>17</v>
      </c>
      <c r="J170">
        <v>6</v>
      </c>
      <c r="K170">
        <v>4.7420112815285492E-2</v>
      </c>
      <c r="L170">
        <f t="shared" si="2"/>
        <v>5.1282051282051277</v>
      </c>
      <c r="M170">
        <v>2.4318006571941277E-3</v>
      </c>
      <c r="N170" t="s">
        <v>17</v>
      </c>
      <c r="O170">
        <v>296</v>
      </c>
      <c r="P170" t="s">
        <v>1446</v>
      </c>
    </row>
    <row r="171" spans="1:16" x14ac:dyDescent="0.2">
      <c r="A171" t="s">
        <v>818</v>
      </c>
      <c r="B171" t="s">
        <v>239</v>
      </c>
      <c r="C171">
        <v>9</v>
      </c>
      <c r="D171" t="s">
        <v>17</v>
      </c>
      <c r="E171" t="s">
        <v>17</v>
      </c>
      <c r="F171">
        <v>6</v>
      </c>
      <c r="G171">
        <v>9</v>
      </c>
      <c r="H171" t="s">
        <v>17</v>
      </c>
      <c r="I171" t="s">
        <v>17</v>
      </c>
      <c r="J171">
        <v>6</v>
      </c>
      <c r="K171">
        <v>4.4785662103325186E-2</v>
      </c>
      <c r="L171">
        <f t="shared" si="2"/>
        <v>8.3710407239818991</v>
      </c>
      <c r="M171">
        <v>3.7490260131742797E-3</v>
      </c>
      <c r="N171" t="s">
        <v>17</v>
      </c>
      <c r="O171">
        <v>296</v>
      </c>
      <c r="P171" t="s">
        <v>1446</v>
      </c>
    </row>
    <row r="172" spans="1:16" x14ac:dyDescent="0.2">
      <c r="A172" t="s">
        <v>818</v>
      </c>
      <c r="B172" t="s">
        <v>239</v>
      </c>
      <c r="C172">
        <v>7</v>
      </c>
      <c r="D172" t="s">
        <v>17</v>
      </c>
      <c r="E172" t="s">
        <v>17</v>
      </c>
      <c r="F172">
        <v>5</v>
      </c>
      <c r="G172">
        <v>7</v>
      </c>
      <c r="H172" t="s">
        <v>17</v>
      </c>
      <c r="I172" t="s">
        <v>17</v>
      </c>
      <c r="J172">
        <v>5</v>
      </c>
      <c r="K172">
        <v>3.9516760679404572E-2</v>
      </c>
      <c r="L172">
        <f t="shared" si="2"/>
        <v>2.0512820512820515</v>
      </c>
      <c r="M172">
        <v>8.1060021906470927E-4</v>
      </c>
      <c r="N172" t="s">
        <v>17</v>
      </c>
      <c r="O172">
        <v>296</v>
      </c>
      <c r="P172" t="s">
        <v>1446</v>
      </c>
    </row>
    <row r="173" spans="1:16" x14ac:dyDescent="0.2">
      <c r="A173" t="s">
        <v>818</v>
      </c>
      <c r="B173" t="s">
        <v>239</v>
      </c>
      <c r="C173">
        <v>8</v>
      </c>
      <c r="D173" t="s">
        <v>17</v>
      </c>
      <c r="E173" t="s">
        <v>17</v>
      </c>
      <c r="F173">
        <v>8</v>
      </c>
      <c r="G173">
        <v>8</v>
      </c>
      <c r="H173" t="s">
        <v>17</v>
      </c>
      <c r="I173" t="s">
        <v>17</v>
      </c>
      <c r="J173">
        <v>8</v>
      </c>
      <c r="K173">
        <v>4.8230713034350198E-2</v>
      </c>
      <c r="L173">
        <f t="shared" si="2"/>
        <v>4.2016806722689077</v>
      </c>
      <c r="M173">
        <v>2.0265005476617732E-3</v>
      </c>
      <c r="N173" t="s">
        <v>17</v>
      </c>
      <c r="O173">
        <v>296</v>
      </c>
      <c r="P173" t="s">
        <v>1446</v>
      </c>
    </row>
    <row r="174" spans="1:16" x14ac:dyDescent="0.2">
      <c r="A174" t="s">
        <v>818</v>
      </c>
      <c r="B174" t="s">
        <v>239</v>
      </c>
      <c r="C174">
        <v>8</v>
      </c>
      <c r="D174" t="s">
        <v>17</v>
      </c>
      <c r="E174" t="s">
        <v>17</v>
      </c>
      <c r="F174">
        <v>7</v>
      </c>
      <c r="G174">
        <v>8</v>
      </c>
      <c r="H174" t="s">
        <v>17</v>
      </c>
      <c r="I174" t="s">
        <v>17</v>
      </c>
      <c r="J174">
        <v>7</v>
      </c>
      <c r="K174">
        <v>4.2455186473514143E-2</v>
      </c>
      <c r="L174">
        <f t="shared" si="2"/>
        <v>1.9093078758949882</v>
      </c>
      <c r="M174">
        <v>8.1060021906470927E-4</v>
      </c>
      <c r="N174" t="s">
        <v>17</v>
      </c>
      <c r="O174">
        <v>296</v>
      </c>
      <c r="P174" t="s">
        <v>1446</v>
      </c>
    </row>
    <row r="175" spans="1:16" x14ac:dyDescent="0.2">
      <c r="A175" t="s">
        <v>818</v>
      </c>
      <c r="B175" t="s">
        <v>239</v>
      </c>
      <c r="C175">
        <v>8</v>
      </c>
      <c r="D175" t="s">
        <v>17</v>
      </c>
      <c r="E175" t="s">
        <v>17</v>
      </c>
      <c r="F175">
        <v>6</v>
      </c>
      <c r="G175">
        <v>8</v>
      </c>
      <c r="H175" t="s">
        <v>17</v>
      </c>
      <c r="I175" t="s">
        <v>17</v>
      </c>
      <c r="J175">
        <v>6</v>
      </c>
      <c r="K175">
        <v>4.0530010953235461E-2</v>
      </c>
      <c r="L175">
        <f t="shared" si="2"/>
        <v>1.5</v>
      </c>
      <c r="M175">
        <v>6.0795016429853192E-4</v>
      </c>
      <c r="N175" t="s">
        <v>17</v>
      </c>
      <c r="O175">
        <v>296</v>
      </c>
      <c r="P175" t="s">
        <v>1446</v>
      </c>
    </row>
    <row r="176" spans="1:16" x14ac:dyDescent="0.2">
      <c r="A176" t="s">
        <v>818</v>
      </c>
      <c r="B176" t="s">
        <v>58</v>
      </c>
      <c r="C176">
        <v>4</v>
      </c>
      <c r="D176" t="s">
        <v>17</v>
      </c>
      <c r="E176" t="s">
        <v>17</v>
      </c>
      <c r="F176">
        <v>3</v>
      </c>
      <c r="G176">
        <v>3</v>
      </c>
      <c r="H176" t="s">
        <v>17</v>
      </c>
      <c r="I176" t="s">
        <v>17</v>
      </c>
      <c r="J176">
        <v>3</v>
      </c>
      <c r="K176">
        <v>9.1496499726929054E-2</v>
      </c>
      <c r="L176">
        <f t="shared" si="2"/>
        <v>0.44296788482834992</v>
      </c>
      <c r="M176">
        <v>4.0530010953235463E-4</v>
      </c>
      <c r="N176" t="s">
        <v>17</v>
      </c>
      <c r="O176">
        <v>296</v>
      </c>
      <c r="P176" t="s">
        <v>1446</v>
      </c>
    </row>
    <row r="177" spans="1:16" x14ac:dyDescent="0.2">
      <c r="A177" t="s">
        <v>818</v>
      </c>
      <c r="B177" t="s">
        <v>58</v>
      </c>
      <c r="C177">
        <v>4</v>
      </c>
      <c r="D177" t="s">
        <v>17</v>
      </c>
      <c r="E177" t="s">
        <v>17</v>
      </c>
      <c r="F177">
        <v>2</v>
      </c>
      <c r="G177">
        <v>3</v>
      </c>
      <c r="H177" t="s">
        <v>17</v>
      </c>
      <c r="I177" t="s">
        <v>17</v>
      </c>
      <c r="J177">
        <v>2</v>
      </c>
      <c r="K177">
        <v>8.6835548467306969E-2</v>
      </c>
      <c r="L177">
        <f t="shared" si="2"/>
        <v>0.3500583430571762</v>
      </c>
      <c r="M177">
        <v>3.0397508214926596E-4</v>
      </c>
      <c r="N177" t="s">
        <v>17</v>
      </c>
      <c r="O177">
        <v>296</v>
      </c>
      <c r="P177" t="s">
        <v>1446</v>
      </c>
    </row>
    <row r="178" spans="1:16" x14ac:dyDescent="0.2">
      <c r="A178" t="s">
        <v>818</v>
      </c>
      <c r="B178" t="s">
        <v>58</v>
      </c>
      <c r="C178">
        <v>4</v>
      </c>
      <c r="D178" t="s">
        <v>17</v>
      </c>
      <c r="E178" t="s">
        <v>17</v>
      </c>
      <c r="F178">
        <v>1</v>
      </c>
      <c r="G178">
        <v>3</v>
      </c>
      <c r="H178" t="s">
        <v>17</v>
      </c>
      <c r="I178" t="s">
        <v>17</v>
      </c>
      <c r="J178">
        <v>1</v>
      </c>
      <c r="K178">
        <v>7.8121596112361358E-2</v>
      </c>
      <c r="L178">
        <f t="shared" si="2"/>
        <v>0.25940337224383914</v>
      </c>
      <c r="M178">
        <v>2.0265005476617732E-4</v>
      </c>
      <c r="N178" t="s">
        <v>17</v>
      </c>
      <c r="O178">
        <v>296</v>
      </c>
      <c r="P178" t="s">
        <v>1446</v>
      </c>
    </row>
    <row r="179" spans="1:16" x14ac:dyDescent="0.2">
      <c r="A179" t="s">
        <v>818</v>
      </c>
      <c r="B179" t="s">
        <v>58</v>
      </c>
      <c r="C179">
        <v>4</v>
      </c>
      <c r="D179" t="s">
        <v>17</v>
      </c>
      <c r="E179" t="s">
        <v>17</v>
      </c>
      <c r="F179">
        <v>0</v>
      </c>
      <c r="G179">
        <v>3</v>
      </c>
      <c r="H179" t="s">
        <v>17</v>
      </c>
      <c r="I179" t="s">
        <v>17</v>
      </c>
      <c r="J179">
        <v>0</v>
      </c>
      <c r="K179">
        <v>7.2751369661057649E-2</v>
      </c>
      <c r="L179">
        <f t="shared" si="2"/>
        <v>0.13927576601671313</v>
      </c>
      <c r="M179">
        <v>1.0132502738308866E-4</v>
      </c>
      <c r="N179" t="s">
        <v>17</v>
      </c>
      <c r="O179">
        <v>296</v>
      </c>
      <c r="P179" t="s">
        <v>1446</v>
      </c>
    </row>
    <row r="180" spans="1:16" x14ac:dyDescent="0.2">
      <c r="A180" t="s">
        <v>818</v>
      </c>
      <c r="B180" t="s">
        <v>58</v>
      </c>
      <c r="C180">
        <v>4</v>
      </c>
      <c r="D180" t="s">
        <v>17</v>
      </c>
      <c r="E180" t="s">
        <v>17</v>
      </c>
      <c r="F180">
        <v>3</v>
      </c>
      <c r="G180">
        <v>3</v>
      </c>
      <c r="H180" t="s">
        <v>17</v>
      </c>
      <c r="I180" t="s">
        <v>17</v>
      </c>
      <c r="J180">
        <v>3</v>
      </c>
      <c r="K180">
        <v>9.2307099945993759E-2</v>
      </c>
      <c r="L180">
        <f t="shared" si="2"/>
        <v>0.32930845225027444</v>
      </c>
      <c r="M180">
        <v>3.0397508214926596E-4</v>
      </c>
      <c r="N180" t="s">
        <v>17</v>
      </c>
      <c r="O180">
        <v>296</v>
      </c>
      <c r="P180" t="s">
        <v>1446</v>
      </c>
    </row>
    <row r="181" spans="1:16" x14ac:dyDescent="0.2">
      <c r="A181" t="s">
        <v>818</v>
      </c>
      <c r="B181" t="s">
        <v>58</v>
      </c>
      <c r="C181">
        <v>4</v>
      </c>
      <c r="D181" t="s">
        <v>17</v>
      </c>
      <c r="E181" t="s">
        <v>17</v>
      </c>
      <c r="F181">
        <v>2</v>
      </c>
      <c r="G181">
        <v>3</v>
      </c>
      <c r="H181" t="s">
        <v>17</v>
      </c>
      <c r="I181" t="s">
        <v>17</v>
      </c>
      <c r="J181">
        <v>2</v>
      </c>
      <c r="K181">
        <v>8.8558073932819475E-2</v>
      </c>
      <c r="L181">
        <f t="shared" si="2"/>
        <v>1.7162471395881007</v>
      </c>
      <c r="M181">
        <v>1.5198754107463297E-3</v>
      </c>
      <c r="N181" t="s">
        <v>17</v>
      </c>
      <c r="O181">
        <v>296</v>
      </c>
      <c r="P181" t="s">
        <v>1446</v>
      </c>
    </row>
    <row r="182" spans="1:16" x14ac:dyDescent="0.2">
      <c r="A182" t="s">
        <v>818</v>
      </c>
      <c r="B182" t="s">
        <v>58</v>
      </c>
      <c r="C182">
        <v>4</v>
      </c>
      <c r="D182" t="s">
        <v>17</v>
      </c>
      <c r="E182" t="s">
        <v>17</v>
      </c>
      <c r="F182">
        <v>1</v>
      </c>
      <c r="G182">
        <v>3</v>
      </c>
      <c r="H182" t="s">
        <v>17</v>
      </c>
      <c r="I182" t="s">
        <v>17</v>
      </c>
      <c r="J182">
        <v>1</v>
      </c>
      <c r="K182">
        <v>7.7209670865913557E-2</v>
      </c>
      <c r="L182">
        <f t="shared" si="2"/>
        <v>0.39370078740157477</v>
      </c>
      <c r="M182">
        <v>3.0397508214926596E-4</v>
      </c>
      <c r="N182" t="s">
        <v>17</v>
      </c>
      <c r="O182">
        <v>296</v>
      </c>
      <c r="P182" t="s">
        <v>1446</v>
      </c>
    </row>
    <row r="183" spans="1:16" x14ac:dyDescent="0.2">
      <c r="A183" t="s">
        <v>818</v>
      </c>
      <c r="B183" t="s">
        <v>58</v>
      </c>
      <c r="C183">
        <v>2</v>
      </c>
      <c r="D183" t="s">
        <v>17</v>
      </c>
      <c r="E183" t="s">
        <v>17</v>
      </c>
      <c r="F183">
        <v>1</v>
      </c>
      <c r="G183">
        <v>1</v>
      </c>
      <c r="H183" t="s">
        <v>17</v>
      </c>
      <c r="I183" t="s">
        <v>17</v>
      </c>
      <c r="J183">
        <v>1</v>
      </c>
      <c r="K183">
        <v>9.8690576671128349E-2</v>
      </c>
      <c r="L183">
        <f t="shared" si="2"/>
        <v>0.30800821355236141</v>
      </c>
      <c r="M183">
        <v>3.0397508214926596E-4</v>
      </c>
      <c r="N183" t="s">
        <v>17</v>
      </c>
      <c r="O183">
        <v>296</v>
      </c>
      <c r="P183" t="s">
        <v>1446</v>
      </c>
    </row>
    <row r="184" spans="1:16" x14ac:dyDescent="0.2">
      <c r="A184" t="s">
        <v>818</v>
      </c>
      <c r="B184" t="s">
        <v>58</v>
      </c>
      <c r="C184">
        <v>2</v>
      </c>
      <c r="D184" t="s">
        <v>17</v>
      </c>
      <c r="E184" t="s">
        <v>17</v>
      </c>
      <c r="F184">
        <v>0</v>
      </c>
      <c r="G184">
        <v>1</v>
      </c>
      <c r="H184" t="s">
        <v>17</v>
      </c>
      <c r="I184" t="s">
        <v>17</v>
      </c>
      <c r="J184">
        <v>0</v>
      </c>
      <c r="K184">
        <v>8.8355423878053299E-2</v>
      </c>
      <c r="L184">
        <f t="shared" si="2"/>
        <v>0.34403669724770647</v>
      </c>
      <c r="M184">
        <v>3.0397508214926596E-4</v>
      </c>
      <c r="N184" t="s">
        <v>17</v>
      </c>
      <c r="O184">
        <v>296</v>
      </c>
      <c r="P184" t="s">
        <v>1446</v>
      </c>
    </row>
    <row r="185" spans="1:16" x14ac:dyDescent="0.2">
      <c r="A185" t="s">
        <v>818</v>
      </c>
      <c r="B185" t="s">
        <v>58</v>
      </c>
      <c r="C185">
        <v>2</v>
      </c>
      <c r="D185" t="s">
        <v>17</v>
      </c>
      <c r="E185" t="s">
        <v>17</v>
      </c>
      <c r="F185">
        <v>1</v>
      </c>
      <c r="G185">
        <v>1</v>
      </c>
      <c r="H185" t="s">
        <v>17</v>
      </c>
      <c r="I185" t="s">
        <v>17</v>
      </c>
      <c r="J185">
        <v>1</v>
      </c>
      <c r="K185">
        <v>9.939985186280996E-2</v>
      </c>
      <c r="L185">
        <f t="shared" si="2"/>
        <v>0.91743119266055051</v>
      </c>
      <c r="M185">
        <v>9.1192524644779778E-4</v>
      </c>
      <c r="N185" t="s">
        <v>17</v>
      </c>
      <c r="O185">
        <v>296</v>
      </c>
      <c r="P185" t="s">
        <v>1446</v>
      </c>
    </row>
    <row r="186" spans="1:16" x14ac:dyDescent="0.2">
      <c r="A186" t="s">
        <v>818</v>
      </c>
      <c r="B186" t="s">
        <v>58</v>
      </c>
      <c r="C186">
        <v>2</v>
      </c>
      <c r="D186" t="s">
        <v>17</v>
      </c>
      <c r="E186" t="s">
        <v>17</v>
      </c>
      <c r="F186">
        <v>0</v>
      </c>
      <c r="G186">
        <v>0</v>
      </c>
      <c r="H186" t="s">
        <v>17</v>
      </c>
      <c r="I186" t="s">
        <v>17</v>
      </c>
      <c r="J186">
        <v>0</v>
      </c>
      <c r="K186">
        <v>9.9703826944959231E-2</v>
      </c>
      <c r="L186">
        <f t="shared" si="2"/>
        <v>0.71138211382113814</v>
      </c>
      <c r="M186">
        <v>7.0927519168162054E-4</v>
      </c>
      <c r="N186" t="s">
        <v>17</v>
      </c>
      <c r="O186">
        <v>296</v>
      </c>
      <c r="P186" t="s">
        <v>1446</v>
      </c>
    </row>
    <row r="187" spans="1:16" x14ac:dyDescent="0.2">
      <c r="A187" t="s">
        <v>818</v>
      </c>
      <c r="B187" t="s">
        <v>58</v>
      </c>
      <c r="C187">
        <v>1</v>
      </c>
      <c r="D187" t="s">
        <v>17</v>
      </c>
      <c r="E187" t="s">
        <v>17</v>
      </c>
      <c r="F187">
        <v>1</v>
      </c>
      <c r="G187">
        <v>1</v>
      </c>
      <c r="H187" t="s">
        <v>17</v>
      </c>
      <c r="I187" t="s">
        <v>17</v>
      </c>
      <c r="J187">
        <v>1</v>
      </c>
      <c r="K187">
        <v>9.7778651424680549E-2</v>
      </c>
      <c r="L187">
        <f t="shared" si="2"/>
        <v>0.31088082901554409</v>
      </c>
      <c r="M187">
        <v>3.0397508214926596E-4</v>
      </c>
      <c r="N187" t="s">
        <v>17</v>
      </c>
      <c r="O187">
        <v>296</v>
      </c>
      <c r="P187" t="s">
        <v>1446</v>
      </c>
    </row>
    <row r="188" spans="1:16" x14ac:dyDescent="0.2">
      <c r="A188" t="s">
        <v>818</v>
      </c>
      <c r="B188" t="s">
        <v>58</v>
      </c>
      <c r="C188">
        <v>2</v>
      </c>
      <c r="D188" t="s">
        <v>17</v>
      </c>
      <c r="E188" t="s">
        <v>17</v>
      </c>
      <c r="F188">
        <v>2</v>
      </c>
      <c r="G188">
        <v>2</v>
      </c>
      <c r="H188" t="s">
        <v>17</v>
      </c>
      <c r="I188" t="s">
        <v>17</v>
      </c>
      <c r="J188">
        <v>2</v>
      </c>
      <c r="K188">
        <v>9.321902519244156E-2</v>
      </c>
      <c r="L188">
        <f t="shared" si="2"/>
        <v>0.76086956521739124</v>
      </c>
      <c r="M188">
        <v>7.0927519168162054E-4</v>
      </c>
      <c r="N188" t="s">
        <v>17</v>
      </c>
      <c r="O188">
        <v>296</v>
      </c>
      <c r="P188" t="s">
        <v>1446</v>
      </c>
    </row>
    <row r="189" spans="1:16" x14ac:dyDescent="0.2">
      <c r="A189" t="s">
        <v>818</v>
      </c>
      <c r="B189" t="s">
        <v>58</v>
      </c>
      <c r="C189">
        <v>2</v>
      </c>
      <c r="D189" t="s">
        <v>17</v>
      </c>
      <c r="E189" t="s">
        <v>17</v>
      </c>
      <c r="F189">
        <v>1</v>
      </c>
      <c r="G189">
        <v>2</v>
      </c>
      <c r="H189" t="s">
        <v>17</v>
      </c>
      <c r="I189" t="s">
        <v>17</v>
      </c>
      <c r="J189">
        <v>1</v>
      </c>
      <c r="K189">
        <v>9.3320350219824655E-2</v>
      </c>
      <c r="L189">
        <f t="shared" si="2"/>
        <v>0.97719869706840379</v>
      </c>
      <c r="M189">
        <v>9.1192524644779778E-4</v>
      </c>
      <c r="N189" t="s">
        <v>17</v>
      </c>
      <c r="O189">
        <v>296</v>
      </c>
      <c r="P189" t="s">
        <v>1446</v>
      </c>
    </row>
    <row r="190" spans="1:16" x14ac:dyDescent="0.2">
      <c r="A190" t="s">
        <v>818</v>
      </c>
      <c r="B190" t="s">
        <v>58</v>
      </c>
      <c r="C190">
        <v>3</v>
      </c>
      <c r="D190" t="s">
        <v>17</v>
      </c>
      <c r="E190" t="s">
        <v>17</v>
      </c>
      <c r="F190">
        <v>3</v>
      </c>
      <c r="G190">
        <v>3</v>
      </c>
      <c r="H190" t="s">
        <v>17</v>
      </c>
      <c r="I190" t="s">
        <v>17</v>
      </c>
      <c r="J190">
        <v>3</v>
      </c>
      <c r="K190">
        <v>8.8760723987585652E-2</v>
      </c>
      <c r="L190">
        <f t="shared" si="2"/>
        <v>0.45662100456621013</v>
      </c>
      <c r="M190">
        <v>4.0530010953235463E-4</v>
      </c>
      <c r="N190" t="s">
        <v>17</v>
      </c>
      <c r="O190">
        <v>296</v>
      </c>
      <c r="P190" t="s">
        <v>1446</v>
      </c>
    </row>
    <row r="191" spans="1:16" x14ac:dyDescent="0.2">
      <c r="A191" t="s">
        <v>818</v>
      </c>
      <c r="B191" t="s">
        <v>58</v>
      </c>
      <c r="C191">
        <v>3</v>
      </c>
      <c r="D191" t="s">
        <v>17</v>
      </c>
      <c r="E191" t="s">
        <v>17</v>
      </c>
      <c r="F191">
        <v>2</v>
      </c>
      <c r="G191">
        <v>3</v>
      </c>
      <c r="H191" t="s">
        <v>17</v>
      </c>
      <c r="I191" t="s">
        <v>17</v>
      </c>
      <c r="J191">
        <v>2</v>
      </c>
      <c r="K191">
        <v>9.2205774918610678E-2</v>
      </c>
      <c r="L191">
        <f t="shared" si="2"/>
        <v>1.5384615384615383</v>
      </c>
      <c r="M191">
        <v>1.4185503833632411E-3</v>
      </c>
      <c r="N191" t="s">
        <v>17</v>
      </c>
      <c r="O191">
        <v>296</v>
      </c>
      <c r="P191" t="s">
        <v>1446</v>
      </c>
    </row>
    <row r="192" spans="1:16" x14ac:dyDescent="0.2">
      <c r="A192" t="s">
        <v>818</v>
      </c>
      <c r="B192" t="s">
        <v>58</v>
      </c>
      <c r="C192">
        <v>3</v>
      </c>
      <c r="D192" t="s">
        <v>17</v>
      </c>
      <c r="E192" t="s">
        <v>17</v>
      </c>
      <c r="F192">
        <v>1</v>
      </c>
      <c r="G192">
        <v>3</v>
      </c>
      <c r="H192" t="s">
        <v>17</v>
      </c>
      <c r="I192" t="s">
        <v>17</v>
      </c>
      <c r="J192">
        <v>1</v>
      </c>
      <c r="K192">
        <v>7.3257994797973097E-2</v>
      </c>
      <c r="L192">
        <f t="shared" si="2"/>
        <v>2.0746887966804977</v>
      </c>
      <c r="M192">
        <v>1.5198754107463297E-3</v>
      </c>
      <c r="N192" t="s">
        <v>17</v>
      </c>
      <c r="O192">
        <v>296</v>
      </c>
      <c r="P192" t="s">
        <v>1446</v>
      </c>
    </row>
    <row r="193" spans="1:16" x14ac:dyDescent="0.2">
      <c r="A193" t="s">
        <v>818</v>
      </c>
      <c r="B193" t="s">
        <v>58</v>
      </c>
      <c r="C193">
        <v>4</v>
      </c>
      <c r="D193" t="s">
        <v>17</v>
      </c>
      <c r="E193" t="s">
        <v>17</v>
      </c>
      <c r="F193">
        <v>4</v>
      </c>
      <c r="G193">
        <v>4</v>
      </c>
      <c r="H193" t="s">
        <v>17</v>
      </c>
      <c r="I193" t="s">
        <v>17</v>
      </c>
      <c r="J193">
        <v>4</v>
      </c>
      <c r="K193">
        <v>8.4302422782729758E-2</v>
      </c>
      <c r="L193">
        <f t="shared" si="2"/>
        <v>0.24038461538461539</v>
      </c>
      <c r="M193">
        <v>2.0265005476617732E-4</v>
      </c>
      <c r="N193" t="s">
        <v>17</v>
      </c>
      <c r="O193">
        <v>296</v>
      </c>
      <c r="P193" t="s">
        <v>1446</v>
      </c>
    </row>
    <row r="194" spans="1:16" x14ac:dyDescent="0.2">
      <c r="A194" t="s">
        <v>818</v>
      </c>
      <c r="B194" t="s">
        <v>58</v>
      </c>
      <c r="C194">
        <v>4</v>
      </c>
      <c r="D194" t="s">
        <v>17</v>
      </c>
      <c r="E194" t="s">
        <v>17</v>
      </c>
      <c r="F194">
        <v>3</v>
      </c>
      <c r="G194">
        <v>4</v>
      </c>
      <c r="H194" t="s">
        <v>17</v>
      </c>
      <c r="I194" t="s">
        <v>17</v>
      </c>
      <c r="J194">
        <v>3</v>
      </c>
      <c r="K194">
        <v>8.7139523549456241E-2</v>
      </c>
      <c r="L194">
        <f t="shared" si="2"/>
        <v>0.93023255813953487</v>
      </c>
      <c r="M194">
        <v>8.1060021906470927E-4</v>
      </c>
      <c r="N194" t="s">
        <v>17</v>
      </c>
      <c r="O194">
        <v>296</v>
      </c>
      <c r="P194" t="s">
        <v>1446</v>
      </c>
    </row>
    <row r="195" spans="1:16" x14ac:dyDescent="0.2">
      <c r="A195" t="s">
        <v>818</v>
      </c>
      <c r="B195" t="s">
        <v>58</v>
      </c>
      <c r="C195">
        <v>5</v>
      </c>
      <c r="D195" t="s">
        <v>17</v>
      </c>
      <c r="E195" t="s">
        <v>17</v>
      </c>
      <c r="F195">
        <v>5</v>
      </c>
      <c r="G195">
        <v>5</v>
      </c>
      <c r="H195" t="s">
        <v>17</v>
      </c>
      <c r="I195" t="s">
        <v>17</v>
      </c>
      <c r="J195">
        <v>5</v>
      </c>
      <c r="K195">
        <v>7.9945446605256945E-2</v>
      </c>
      <c r="L195">
        <f t="shared" ref="L195:L258" si="3">M195/K195*100</f>
        <v>0.38022813688212925</v>
      </c>
      <c r="M195">
        <v>3.0397508214926596E-4</v>
      </c>
      <c r="N195" t="s">
        <v>17</v>
      </c>
      <c r="O195">
        <v>296</v>
      </c>
      <c r="P195" t="s">
        <v>1446</v>
      </c>
    </row>
    <row r="196" spans="1:16" x14ac:dyDescent="0.2">
      <c r="A196" t="s">
        <v>818</v>
      </c>
      <c r="B196" t="s">
        <v>58</v>
      </c>
      <c r="C196">
        <v>4</v>
      </c>
      <c r="D196" t="s">
        <v>17</v>
      </c>
      <c r="E196" t="s">
        <v>17</v>
      </c>
      <c r="F196">
        <v>2</v>
      </c>
      <c r="G196">
        <v>4</v>
      </c>
      <c r="H196" t="s">
        <v>17</v>
      </c>
      <c r="I196" t="s">
        <v>17</v>
      </c>
      <c r="J196">
        <v>2</v>
      </c>
      <c r="K196">
        <v>8.1870622125535641E-2</v>
      </c>
      <c r="L196">
        <f t="shared" si="3"/>
        <v>1.361386138613861</v>
      </c>
      <c r="M196">
        <v>1.114575301213975E-3</v>
      </c>
      <c r="N196" t="s">
        <v>17</v>
      </c>
      <c r="O196">
        <v>296</v>
      </c>
      <c r="P196" t="s">
        <v>1446</v>
      </c>
    </row>
    <row r="197" spans="1:16" x14ac:dyDescent="0.2">
      <c r="A197" t="s">
        <v>818</v>
      </c>
      <c r="B197" t="s">
        <v>58</v>
      </c>
      <c r="C197">
        <v>1</v>
      </c>
      <c r="D197" t="s">
        <v>17</v>
      </c>
      <c r="E197" t="s">
        <v>17</v>
      </c>
      <c r="F197">
        <v>1</v>
      </c>
      <c r="G197">
        <v>1</v>
      </c>
      <c r="H197" t="s">
        <v>17</v>
      </c>
      <c r="I197" t="s">
        <v>17</v>
      </c>
      <c r="J197">
        <v>1</v>
      </c>
      <c r="K197">
        <v>9.1800474809078325E-2</v>
      </c>
      <c r="L197">
        <f t="shared" si="3"/>
        <v>0.99337748344370846</v>
      </c>
      <c r="M197">
        <v>9.1192524644779778E-4</v>
      </c>
      <c r="N197" t="s">
        <v>17</v>
      </c>
      <c r="O197">
        <v>296</v>
      </c>
      <c r="P197" t="s">
        <v>1446</v>
      </c>
    </row>
    <row r="198" spans="1:16" x14ac:dyDescent="0.2">
      <c r="A198" t="s">
        <v>818</v>
      </c>
      <c r="B198" t="s">
        <v>58</v>
      </c>
      <c r="C198">
        <v>5</v>
      </c>
      <c r="D198" t="s">
        <v>17</v>
      </c>
      <c r="E198" t="s">
        <v>17</v>
      </c>
      <c r="F198">
        <v>4</v>
      </c>
      <c r="G198">
        <v>5</v>
      </c>
      <c r="H198" t="s">
        <v>17</v>
      </c>
      <c r="I198" t="s">
        <v>17</v>
      </c>
      <c r="J198">
        <v>4</v>
      </c>
      <c r="K198">
        <v>8.2985197426749605E-2</v>
      </c>
      <c r="L198">
        <f t="shared" si="3"/>
        <v>0.85470085470085466</v>
      </c>
      <c r="M198">
        <v>7.0927519168162054E-4</v>
      </c>
      <c r="N198" t="s">
        <v>17</v>
      </c>
      <c r="O198">
        <v>296</v>
      </c>
      <c r="P198" t="s">
        <v>1446</v>
      </c>
    </row>
    <row r="199" spans="1:16" x14ac:dyDescent="0.2">
      <c r="A199" t="s">
        <v>818</v>
      </c>
      <c r="B199" t="s">
        <v>58</v>
      </c>
      <c r="C199">
        <v>2</v>
      </c>
      <c r="D199" t="s">
        <v>17</v>
      </c>
      <c r="E199" t="s">
        <v>17</v>
      </c>
      <c r="F199">
        <v>2</v>
      </c>
      <c r="G199">
        <v>2</v>
      </c>
      <c r="H199" t="s">
        <v>17</v>
      </c>
      <c r="I199" t="s">
        <v>17</v>
      </c>
      <c r="J199">
        <v>2</v>
      </c>
      <c r="K199">
        <v>9.413095043888936E-2</v>
      </c>
      <c r="L199">
        <f t="shared" si="3"/>
        <v>0.86114101184068903</v>
      </c>
      <c r="M199">
        <v>8.1060021906470927E-4</v>
      </c>
      <c r="N199" t="s">
        <v>17</v>
      </c>
      <c r="O199">
        <v>296</v>
      </c>
      <c r="P199" t="s">
        <v>1446</v>
      </c>
    </row>
    <row r="200" spans="1:16" x14ac:dyDescent="0.2">
      <c r="A200" t="s">
        <v>818</v>
      </c>
      <c r="B200" t="s">
        <v>58</v>
      </c>
      <c r="C200">
        <v>6</v>
      </c>
      <c r="D200" t="s">
        <v>17</v>
      </c>
      <c r="E200" t="s">
        <v>17</v>
      </c>
      <c r="F200">
        <v>6</v>
      </c>
      <c r="G200">
        <v>6</v>
      </c>
      <c r="H200" t="s">
        <v>17</v>
      </c>
      <c r="I200" t="s">
        <v>17</v>
      </c>
      <c r="J200">
        <v>6</v>
      </c>
      <c r="K200">
        <v>7.5791120482550309E-2</v>
      </c>
      <c r="L200">
        <f t="shared" si="3"/>
        <v>0.40106951871657759</v>
      </c>
      <c r="M200">
        <v>3.0397508214926596E-4</v>
      </c>
      <c r="N200" t="s">
        <v>17</v>
      </c>
      <c r="O200">
        <v>296</v>
      </c>
      <c r="P200" t="s">
        <v>1446</v>
      </c>
    </row>
    <row r="201" spans="1:16" x14ac:dyDescent="0.2">
      <c r="A201" t="s">
        <v>818</v>
      </c>
      <c r="B201" t="s">
        <v>58</v>
      </c>
      <c r="C201">
        <v>5</v>
      </c>
      <c r="D201" t="s">
        <v>17</v>
      </c>
      <c r="E201" t="s">
        <v>17</v>
      </c>
      <c r="F201">
        <v>3</v>
      </c>
      <c r="G201">
        <v>5</v>
      </c>
      <c r="H201" t="s">
        <v>17</v>
      </c>
      <c r="I201" t="s">
        <v>17</v>
      </c>
      <c r="J201">
        <v>3</v>
      </c>
      <c r="K201">
        <v>7.7918946057595168E-2</v>
      </c>
      <c r="L201">
        <f t="shared" si="3"/>
        <v>0.65019505851755544</v>
      </c>
      <c r="M201">
        <v>5.0662513691544331E-4</v>
      </c>
      <c r="N201" t="s">
        <v>17</v>
      </c>
      <c r="O201">
        <v>296</v>
      </c>
      <c r="P201" t="s">
        <v>1446</v>
      </c>
    </row>
    <row r="202" spans="1:16" x14ac:dyDescent="0.2">
      <c r="A202" t="s">
        <v>818</v>
      </c>
      <c r="B202" t="s">
        <v>58</v>
      </c>
      <c r="C202">
        <v>5</v>
      </c>
      <c r="D202" t="s">
        <v>17</v>
      </c>
      <c r="E202" t="s">
        <v>17</v>
      </c>
      <c r="F202">
        <v>2</v>
      </c>
      <c r="G202">
        <v>5</v>
      </c>
      <c r="H202" t="s">
        <v>17</v>
      </c>
      <c r="I202" t="s">
        <v>17</v>
      </c>
      <c r="J202">
        <v>2</v>
      </c>
      <c r="K202">
        <v>7.5588470427784132E-2</v>
      </c>
      <c r="L202">
        <f t="shared" si="3"/>
        <v>2.0107238605898123</v>
      </c>
      <c r="M202">
        <v>1.5198754107463297E-3</v>
      </c>
      <c r="N202" t="s">
        <v>17</v>
      </c>
      <c r="O202">
        <v>296</v>
      </c>
      <c r="P202" t="s">
        <v>1446</v>
      </c>
    </row>
    <row r="203" spans="1:16" x14ac:dyDescent="0.2">
      <c r="A203" t="s">
        <v>818</v>
      </c>
      <c r="B203" t="s">
        <v>58</v>
      </c>
      <c r="C203">
        <v>3</v>
      </c>
      <c r="D203" t="s">
        <v>17</v>
      </c>
      <c r="E203" t="s">
        <v>17</v>
      </c>
      <c r="F203">
        <v>3</v>
      </c>
      <c r="G203">
        <v>3</v>
      </c>
      <c r="H203" t="s">
        <v>17</v>
      </c>
      <c r="I203" t="s">
        <v>17</v>
      </c>
      <c r="J203">
        <v>3</v>
      </c>
      <c r="K203">
        <v>8.7646148686371689E-2</v>
      </c>
      <c r="L203">
        <f t="shared" si="3"/>
        <v>0.11560693641618498</v>
      </c>
      <c r="M203">
        <v>1.0132502738308866E-4</v>
      </c>
      <c r="N203" t="s">
        <v>17</v>
      </c>
      <c r="O203">
        <v>296</v>
      </c>
      <c r="P203" t="s">
        <v>1446</v>
      </c>
    </row>
    <row r="204" spans="1:16" x14ac:dyDescent="0.2">
      <c r="A204" t="s">
        <v>818</v>
      </c>
      <c r="B204" t="s">
        <v>58</v>
      </c>
      <c r="C204">
        <v>6</v>
      </c>
      <c r="D204" t="s">
        <v>17</v>
      </c>
      <c r="E204" t="s">
        <v>17</v>
      </c>
      <c r="F204">
        <v>5</v>
      </c>
      <c r="G204">
        <v>6</v>
      </c>
      <c r="H204" t="s">
        <v>17</v>
      </c>
      <c r="I204" t="s">
        <v>17</v>
      </c>
      <c r="J204">
        <v>5</v>
      </c>
      <c r="K204">
        <v>8.1465322016003275E-2</v>
      </c>
      <c r="L204">
        <f t="shared" si="3"/>
        <v>0.49751243781094534</v>
      </c>
      <c r="M204">
        <v>4.0530010953235463E-4</v>
      </c>
      <c r="N204" t="s">
        <v>17</v>
      </c>
      <c r="O204">
        <v>296</v>
      </c>
      <c r="P204" t="s">
        <v>1446</v>
      </c>
    </row>
    <row r="205" spans="1:16" x14ac:dyDescent="0.2">
      <c r="A205" t="s">
        <v>818</v>
      </c>
      <c r="B205" t="s">
        <v>58</v>
      </c>
      <c r="C205">
        <v>3</v>
      </c>
      <c r="D205" t="s">
        <v>17</v>
      </c>
      <c r="E205" t="s">
        <v>17</v>
      </c>
      <c r="F205">
        <v>2</v>
      </c>
      <c r="G205">
        <v>3</v>
      </c>
      <c r="H205" t="s">
        <v>17</v>
      </c>
      <c r="I205" t="s">
        <v>17</v>
      </c>
      <c r="J205">
        <v>2</v>
      </c>
      <c r="K205">
        <v>8.9875299288799629E-2</v>
      </c>
      <c r="L205">
        <f t="shared" si="3"/>
        <v>2.3675310033821875</v>
      </c>
      <c r="M205">
        <v>2.1278255750448618E-3</v>
      </c>
      <c r="N205" t="s">
        <v>17</v>
      </c>
      <c r="O205">
        <v>296</v>
      </c>
      <c r="P205" t="s">
        <v>1446</v>
      </c>
    </row>
    <row r="206" spans="1:16" x14ac:dyDescent="0.2">
      <c r="A206" t="s">
        <v>818</v>
      </c>
      <c r="B206" t="s">
        <v>58</v>
      </c>
      <c r="C206">
        <v>3</v>
      </c>
      <c r="D206" t="s">
        <v>17</v>
      </c>
      <c r="E206" t="s">
        <v>17</v>
      </c>
      <c r="F206">
        <v>1</v>
      </c>
      <c r="G206">
        <v>3</v>
      </c>
      <c r="H206" t="s">
        <v>17</v>
      </c>
      <c r="I206" t="s">
        <v>17</v>
      </c>
      <c r="J206">
        <v>1</v>
      </c>
      <c r="K206">
        <v>7.4372570099187074E-2</v>
      </c>
      <c r="L206">
        <f t="shared" si="3"/>
        <v>2.5885558583106265</v>
      </c>
      <c r="M206">
        <v>1.9251755202786844E-3</v>
      </c>
      <c r="N206" t="s">
        <v>17</v>
      </c>
      <c r="O206">
        <v>296</v>
      </c>
      <c r="P206" t="s">
        <v>1446</v>
      </c>
    </row>
    <row r="207" spans="1:16" x14ac:dyDescent="0.2">
      <c r="A207" t="s">
        <v>818</v>
      </c>
      <c r="B207" t="s">
        <v>58</v>
      </c>
      <c r="C207">
        <v>7</v>
      </c>
      <c r="D207" t="s">
        <v>17</v>
      </c>
      <c r="E207" t="s">
        <v>17</v>
      </c>
      <c r="F207">
        <v>7</v>
      </c>
      <c r="G207">
        <v>7</v>
      </c>
      <c r="H207" t="s">
        <v>17</v>
      </c>
      <c r="I207" t="s">
        <v>17</v>
      </c>
      <c r="J207">
        <v>7</v>
      </c>
      <c r="K207">
        <v>7.6601720701615014E-2</v>
      </c>
      <c r="L207">
        <f t="shared" si="3"/>
        <v>0.92592592592592604</v>
      </c>
      <c r="M207">
        <v>7.0927519168162054E-4</v>
      </c>
      <c r="N207" t="s">
        <v>17</v>
      </c>
      <c r="O207">
        <v>296</v>
      </c>
      <c r="P207" t="s">
        <v>1446</v>
      </c>
    </row>
    <row r="208" spans="1:16" x14ac:dyDescent="0.2">
      <c r="A208" t="s">
        <v>818</v>
      </c>
      <c r="B208" t="s">
        <v>58</v>
      </c>
      <c r="C208">
        <v>4</v>
      </c>
      <c r="D208" t="s">
        <v>17</v>
      </c>
      <c r="E208" t="s">
        <v>17</v>
      </c>
      <c r="F208">
        <v>4</v>
      </c>
      <c r="G208">
        <v>4</v>
      </c>
      <c r="H208" t="s">
        <v>17</v>
      </c>
      <c r="I208" t="s">
        <v>17</v>
      </c>
      <c r="J208">
        <v>4</v>
      </c>
      <c r="K208">
        <v>8.4302422782729758E-2</v>
      </c>
      <c r="L208">
        <f t="shared" si="3"/>
        <v>0.24038461538461539</v>
      </c>
      <c r="M208">
        <v>2.0265005476617732E-4</v>
      </c>
      <c r="N208" t="s">
        <v>17</v>
      </c>
      <c r="O208">
        <v>296</v>
      </c>
      <c r="P208" t="s">
        <v>1446</v>
      </c>
    </row>
    <row r="209" spans="1:16" x14ac:dyDescent="0.2">
      <c r="A209" t="s">
        <v>818</v>
      </c>
      <c r="B209" t="s">
        <v>58</v>
      </c>
      <c r="C209">
        <v>6</v>
      </c>
      <c r="D209" t="s">
        <v>17</v>
      </c>
      <c r="E209" t="s">
        <v>17</v>
      </c>
      <c r="F209">
        <v>4</v>
      </c>
      <c r="G209">
        <v>6</v>
      </c>
      <c r="H209" t="s">
        <v>17</v>
      </c>
      <c r="I209" t="s">
        <v>17</v>
      </c>
      <c r="J209">
        <v>4</v>
      </c>
      <c r="K209">
        <v>7.5284495345634861E-2</v>
      </c>
      <c r="L209">
        <f t="shared" si="3"/>
        <v>0.67294751009421272</v>
      </c>
      <c r="M209">
        <v>5.0662513691544331E-4</v>
      </c>
      <c r="N209" t="s">
        <v>17</v>
      </c>
      <c r="O209">
        <v>296</v>
      </c>
      <c r="P209" t="s">
        <v>1446</v>
      </c>
    </row>
    <row r="210" spans="1:16" x14ac:dyDescent="0.2">
      <c r="A210" t="s">
        <v>818</v>
      </c>
      <c r="B210" t="s">
        <v>58</v>
      </c>
      <c r="C210">
        <v>6</v>
      </c>
      <c r="D210" t="s">
        <v>17</v>
      </c>
      <c r="E210" t="s">
        <v>17</v>
      </c>
      <c r="F210">
        <v>3</v>
      </c>
      <c r="G210">
        <v>6</v>
      </c>
      <c r="H210" t="s">
        <v>17</v>
      </c>
      <c r="I210" t="s">
        <v>17</v>
      </c>
      <c r="J210">
        <v>3</v>
      </c>
      <c r="K210">
        <v>7.1434144305077496E-2</v>
      </c>
      <c r="L210">
        <f t="shared" si="3"/>
        <v>1.4184397163120568</v>
      </c>
      <c r="M210">
        <v>1.0132502738308866E-3</v>
      </c>
      <c r="N210" t="s">
        <v>17</v>
      </c>
      <c r="O210">
        <v>296</v>
      </c>
      <c r="P210" t="s">
        <v>1446</v>
      </c>
    </row>
    <row r="211" spans="1:16" x14ac:dyDescent="0.2">
      <c r="A211" t="s">
        <v>818</v>
      </c>
      <c r="B211" t="s">
        <v>58</v>
      </c>
      <c r="C211">
        <v>4</v>
      </c>
      <c r="D211" t="s">
        <v>17</v>
      </c>
      <c r="E211" t="s">
        <v>17</v>
      </c>
      <c r="F211">
        <v>3</v>
      </c>
      <c r="G211">
        <v>4</v>
      </c>
      <c r="H211" t="s">
        <v>17</v>
      </c>
      <c r="I211" t="s">
        <v>17</v>
      </c>
      <c r="J211">
        <v>3</v>
      </c>
      <c r="K211">
        <v>8.7443498631605499E-2</v>
      </c>
      <c r="L211">
        <f t="shared" si="3"/>
        <v>0.81112398609501746</v>
      </c>
      <c r="M211">
        <v>7.0927519168162054E-4</v>
      </c>
      <c r="N211" t="s">
        <v>17</v>
      </c>
      <c r="O211">
        <v>296</v>
      </c>
      <c r="P211" t="s">
        <v>1446</v>
      </c>
    </row>
    <row r="212" spans="1:16" x14ac:dyDescent="0.2">
      <c r="A212" t="s">
        <v>818</v>
      </c>
      <c r="B212" t="s">
        <v>58</v>
      </c>
      <c r="C212">
        <v>4</v>
      </c>
      <c r="D212" t="s">
        <v>17</v>
      </c>
      <c r="E212" t="s">
        <v>17</v>
      </c>
      <c r="F212">
        <v>2</v>
      </c>
      <c r="G212">
        <v>4</v>
      </c>
      <c r="H212" t="s">
        <v>17</v>
      </c>
      <c r="I212" t="s">
        <v>17</v>
      </c>
      <c r="J212">
        <v>2</v>
      </c>
      <c r="K212">
        <v>8.379579764581431E-2</v>
      </c>
      <c r="L212">
        <f t="shared" si="3"/>
        <v>1.8137847642079807</v>
      </c>
      <c r="M212">
        <v>1.5198754107463297E-3</v>
      </c>
      <c r="N212" t="s">
        <v>17</v>
      </c>
      <c r="O212">
        <v>296</v>
      </c>
      <c r="P212" t="s">
        <v>1446</v>
      </c>
    </row>
    <row r="213" spans="1:16" x14ac:dyDescent="0.2">
      <c r="A213" t="s">
        <v>818</v>
      </c>
      <c r="B213" t="s">
        <v>58</v>
      </c>
      <c r="C213">
        <v>5</v>
      </c>
      <c r="D213" t="s">
        <v>17</v>
      </c>
      <c r="E213" t="s">
        <v>17</v>
      </c>
      <c r="F213">
        <v>5</v>
      </c>
      <c r="G213">
        <v>5</v>
      </c>
      <c r="H213" t="s">
        <v>17</v>
      </c>
      <c r="I213" t="s">
        <v>17</v>
      </c>
      <c r="J213">
        <v>5</v>
      </c>
      <c r="K213">
        <v>8.0249421687406217E-2</v>
      </c>
      <c r="L213">
        <f t="shared" si="3"/>
        <v>1.1363636363636362</v>
      </c>
      <c r="M213">
        <v>9.1192524644779778E-4</v>
      </c>
      <c r="N213" t="s">
        <v>17</v>
      </c>
      <c r="O213">
        <v>296</v>
      </c>
      <c r="P213" t="s">
        <v>1446</v>
      </c>
    </row>
    <row r="214" spans="1:16" x14ac:dyDescent="0.2">
      <c r="A214" t="s">
        <v>818</v>
      </c>
      <c r="B214" t="s">
        <v>58</v>
      </c>
      <c r="C214">
        <v>7</v>
      </c>
      <c r="D214" t="s">
        <v>17</v>
      </c>
      <c r="E214" t="s">
        <v>17</v>
      </c>
      <c r="F214">
        <v>6</v>
      </c>
      <c r="G214">
        <v>7</v>
      </c>
      <c r="H214" t="s">
        <v>17</v>
      </c>
      <c r="I214" t="s">
        <v>17</v>
      </c>
      <c r="J214">
        <v>6</v>
      </c>
      <c r="K214">
        <v>7.9236171413575321E-2</v>
      </c>
      <c r="L214">
        <f t="shared" si="3"/>
        <v>3.0690537084398981</v>
      </c>
      <c r="M214">
        <v>2.4318006571941277E-3</v>
      </c>
      <c r="N214" t="s">
        <v>17</v>
      </c>
      <c r="O214">
        <v>296</v>
      </c>
      <c r="P214" t="s">
        <v>1446</v>
      </c>
    </row>
    <row r="215" spans="1:16" x14ac:dyDescent="0.2">
      <c r="A215" t="s">
        <v>818</v>
      </c>
      <c r="B215" t="s">
        <v>58</v>
      </c>
      <c r="C215">
        <v>8</v>
      </c>
      <c r="D215" t="s">
        <v>17</v>
      </c>
      <c r="E215" t="s">
        <v>17</v>
      </c>
      <c r="F215">
        <v>8</v>
      </c>
      <c r="G215">
        <v>8</v>
      </c>
      <c r="H215" t="s">
        <v>17</v>
      </c>
      <c r="I215" t="s">
        <v>17</v>
      </c>
      <c r="J215">
        <v>8</v>
      </c>
      <c r="K215">
        <v>7.1839444414609849E-2</v>
      </c>
      <c r="L215">
        <f t="shared" si="3"/>
        <v>2.9619181946403392</v>
      </c>
      <c r="M215">
        <v>2.1278255750448618E-3</v>
      </c>
      <c r="N215" t="s">
        <v>17</v>
      </c>
      <c r="O215">
        <v>296</v>
      </c>
      <c r="P215" t="s">
        <v>1446</v>
      </c>
    </row>
    <row r="216" spans="1:16" x14ac:dyDescent="0.2">
      <c r="A216" t="s">
        <v>818</v>
      </c>
      <c r="B216" t="s">
        <v>58</v>
      </c>
      <c r="C216">
        <v>7</v>
      </c>
      <c r="D216" t="s">
        <v>17</v>
      </c>
      <c r="E216" t="s">
        <v>17</v>
      </c>
      <c r="F216">
        <v>5</v>
      </c>
      <c r="G216">
        <v>7</v>
      </c>
      <c r="H216" t="s">
        <v>17</v>
      </c>
      <c r="I216" t="s">
        <v>17</v>
      </c>
      <c r="J216">
        <v>5</v>
      </c>
      <c r="K216">
        <v>7.1839444414609849E-2</v>
      </c>
      <c r="L216">
        <f t="shared" si="3"/>
        <v>2.9619181946403392</v>
      </c>
      <c r="M216">
        <v>2.1278255750448618E-3</v>
      </c>
      <c r="N216" t="s">
        <v>17</v>
      </c>
      <c r="O216">
        <v>296</v>
      </c>
      <c r="P216" t="s">
        <v>1446</v>
      </c>
    </row>
    <row r="217" spans="1:16" x14ac:dyDescent="0.2">
      <c r="A217" t="s">
        <v>818</v>
      </c>
      <c r="B217" t="s">
        <v>58</v>
      </c>
      <c r="C217">
        <v>8</v>
      </c>
      <c r="D217" t="s">
        <v>17</v>
      </c>
      <c r="E217" t="s">
        <v>17</v>
      </c>
      <c r="F217">
        <v>5</v>
      </c>
      <c r="G217">
        <v>8</v>
      </c>
      <c r="H217" t="s">
        <v>17</v>
      </c>
      <c r="I217" t="s">
        <v>17</v>
      </c>
      <c r="J217">
        <v>5</v>
      </c>
      <c r="K217">
        <v>7.4777870208719427E-2</v>
      </c>
      <c r="L217">
        <f t="shared" si="3"/>
        <v>4.2005420054200542</v>
      </c>
      <c r="M217">
        <v>3.141075848875748E-3</v>
      </c>
      <c r="N217" t="s">
        <v>17</v>
      </c>
      <c r="O217">
        <v>296</v>
      </c>
      <c r="P217" t="s">
        <v>1446</v>
      </c>
    </row>
    <row r="218" spans="1:16" x14ac:dyDescent="0.2">
      <c r="A218" t="s">
        <v>818</v>
      </c>
      <c r="B218" t="s">
        <v>58</v>
      </c>
      <c r="C218">
        <v>5</v>
      </c>
      <c r="D218" t="s">
        <v>17</v>
      </c>
      <c r="E218" t="s">
        <v>17</v>
      </c>
      <c r="F218">
        <v>4</v>
      </c>
      <c r="G218">
        <v>5</v>
      </c>
      <c r="H218" t="s">
        <v>17</v>
      </c>
      <c r="I218" t="s">
        <v>17</v>
      </c>
      <c r="J218">
        <v>4</v>
      </c>
      <c r="K218">
        <v>8.3897122673197405E-2</v>
      </c>
      <c r="L218">
        <f t="shared" si="3"/>
        <v>2.0531400966183577</v>
      </c>
      <c r="M218">
        <v>1.7225254655125072E-3</v>
      </c>
      <c r="N218" t="s">
        <v>17</v>
      </c>
      <c r="O218">
        <v>296</v>
      </c>
      <c r="P218" t="s">
        <v>1446</v>
      </c>
    </row>
    <row r="219" spans="1:16" x14ac:dyDescent="0.2">
      <c r="A219" t="s">
        <v>818</v>
      </c>
      <c r="B219" t="s">
        <v>58</v>
      </c>
      <c r="C219">
        <v>5</v>
      </c>
      <c r="D219" t="s">
        <v>17</v>
      </c>
      <c r="E219" t="s">
        <v>17</v>
      </c>
      <c r="F219">
        <v>3</v>
      </c>
      <c r="G219">
        <v>5</v>
      </c>
      <c r="H219" t="s">
        <v>17</v>
      </c>
      <c r="I219" t="s">
        <v>17</v>
      </c>
      <c r="J219">
        <v>3</v>
      </c>
      <c r="K219">
        <v>7.7716296002828991E-2</v>
      </c>
      <c r="L219">
        <f t="shared" si="3"/>
        <v>1.6949152542372881</v>
      </c>
      <c r="M219">
        <v>1.3172253559801525E-3</v>
      </c>
      <c r="N219" t="s">
        <v>17</v>
      </c>
      <c r="O219">
        <v>296</v>
      </c>
      <c r="P219" t="s">
        <v>1446</v>
      </c>
    </row>
    <row r="220" spans="1:16" x14ac:dyDescent="0.2">
      <c r="A220" t="s">
        <v>818</v>
      </c>
      <c r="B220" t="s">
        <v>58</v>
      </c>
      <c r="C220">
        <v>6</v>
      </c>
      <c r="D220" t="s">
        <v>17</v>
      </c>
      <c r="E220" t="s">
        <v>17</v>
      </c>
      <c r="F220">
        <v>6</v>
      </c>
      <c r="G220">
        <v>6</v>
      </c>
      <c r="H220" t="s">
        <v>17</v>
      </c>
      <c r="I220" t="s">
        <v>17</v>
      </c>
      <c r="J220">
        <v>6</v>
      </c>
      <c r="K220">
        <v>7.6297745619465757E-2</v>
      </c>
      <c r="L220">
        <f t="shared" si="3"/>
        <v>0.53120849933598946</v>
      </c>
      <c r="M220">
        <v>4.0530010953235463E-4</v>
      </c>
      <c r="N220" t="s">
        <v>17</v>
      </c>
      <c r="O220">
        <v>296</v>
      </c>
      <c r="P220" t="s">
        <v>1446</v>
      </c>
    </row>
    <row r="221" spans="1:16" x14ac:dyDescent="0.2">
      <c r="A221" t="s">
        <v>818</v>
      </c>
      <c r="B221" t="s">
        <v>58</v>
      </c>
      <c r="C221">
        <v>8</v>
      </c>
      <c r="D221" t="s">
        <v>17</v>
      </c>
      <c r="E221" t="s">
        <v>17</v>
      </c>
      <c r="F221">
        <v>6</v>
      </c>
      <c r="G221">
        <v>8</v>
      </c>
      <c r="H221" t="s">
        <v>17</v>
      </c>
      <c r="I221" t="s">
        <v>17</v>
      </c>
      <c r="J221">
        <v>6</v>
      </c>
      <c r="K221">
        <v>7.4068595017037803E-2</v>
      </c>
      <c r="L221">
        <f t="shared" si="3"/>
        <v>2.1887824897400825</v>
      </c>
      <c r="M221">
        <v>1.6212004381294185E-3</v>
      </c>
      <c r="N221" t="s">
        <v>17</v>
      </c>
      <c r="O221">
        <v>296</v>
      </c>
      <c r="P221" t="s">
        <v>1446</v>
      </c>
    </row>
    <row r="222" spans="1:16" x14ac:dyDescent="0.2">
      <c r="A222" t="s">
        <v>818</v>
      </c>
      <c r="B222" t="s">
        <v>58</v>
      </c>
      <c r="C222">
        <v>6</v>
      </c>
      <c r="D222" t="s">
        <v>17</v>
      </c>
      <c r="E222" t="s">
        <v>17</v>
      </c>
      <c r="F222">
        <v>5</v>
      </c>
      <c r="G222">
        <v>6</v>
      </c>
      <c r="H222" t="s">
        <v>17</v>
      </c>
      <c r="I222" t="s">
        <v>17</v>
      </c>
      <c r="J222">
        <v>5</v>
      </c>
      <c r="K222">
        <v>7.7412320920679734E-2</v>
      </c>
      <c r="L222">
        <f t="shared" si="3"/>
        <v>1.1780104712041883</v>
      </c>
      <c r="M222">
        <v>9.1192524644779778E-4</v>
      </c>
      <c r="N222" t="s">
        <v>17</v>
      </c>
      <c r="O222">
        <v>296</v>
      </c>
      <c r="P222" t="s">
        <v>1446</v>
      </c>
    </row>
    <row r="223" spans="1:16" x14ac:dyDescent="0.2">
      <c r="A223" t="s">
        <v>818</v>
      </c>
      <c r="B223" t="s">
        <v>58</v>
      </c>
      <c r="C223">
        <v>9</v>
      </c>
      <c r="D223" t="s">
        <v>17</v>
      </c>
      <c r="E223" t="s">
        <v>17</v>
      </c>
      <c r="F223">
        <v>9</v>
      </c>
      <c r="G223">
        <v>9</v>
      </c>
      <c r="H223" t="s">
        <v>17</v>
      </c>
      <c r="I223" t="s">
        <v>17</v>
      </c>
      <c r="J223">
        <v>9</v>
      </c>
      <c r="K223">
        <v>7.7412320920679734E-2</v>
      </c>
      <c r="L223">
        <f t="shared" si="3"/>
        <v>1.1780104712041883</v>
      </c>
      <c r="M223">
        <v>9.1192524644779778E-4</v>
      </c>
      <c r="N223" t="s">
        <v>17</v>
      </c>
      <c r="O223">
        <v>296</v>
      </c>
      <c r="P223" t="s">
        <v>1446</v>
      </c>
    </row>
    <row r="224" spans="1:16" x14ac:dyDescent="0.2">
      <c r="A224" t="s">
        <v>818</v>
      </c>
      <c r="B224" t="s">
        <v>58</v>
      </c>
      <c r="C224">
        <v>6</v>
      </c>
      <c r="D224" t="s">
        <v>17</v>
      </c>
      <c r="E224" t="s">
        <v>17</v>
      </c>
      <c r="F224">
        <v>4</v>
      </c>
      <c r="G224">
        <v>6</v>
      </c>
      <c r="H224" t="s">
        <v>17</v>
      </c>
      <c r="I224" t="s">
        <v>17</v>
      </c>
      <c r="J224">
        <v>4</v>
      </c>
      <c r="K224">
        <v>7.6601720701615014E-2</v>
      </c>
      <c r="L224">
        <f t="shared" si="3"/>
        <v>1.322751322751323</v>
      </c>
      <c r="M224">
        <v>1.0132502738308866E-3</v>
      </c>
      <c r="N224" t="s">
        <v>17</v>
      </c>
      <c r="O224">
        <v>296</v>
      </c>
      <c r="P224" t="s">
        <v>1446</v>
      </c>
    </row>
    <row r="225" spans="1:16" x14ac:dyDescent="0.2">
      <c r="A225" t="s">
        <v>818</v>
      </c>
      <c r="B225" t="s">
        <v>58</v>
      </c>
      <c r="C225">
        <v>7</v>
      </c>
      <c r="D225" t="s">
        <v>17</v>
      </c>
      <c r="E225" t="s">
        <v>17</v>
      </c>
      <c r="F225">
        <v>7</v>
      </c>
      <c r="G225">
        <v>7</v>
      </c>
      <c r="H225" t="s">
        <v>17</v>
      </c>
      <c r="I225" t="s">
        <v>17</v>
      </c>
      <c r="J225">
        <v>7</v>
      </c>
      <c r="K225">
        <v>7.4473895126570155E-2</v>
      </c>
      <c r="L225">
        <f t="shared" si="3"/>
        <v>0.54421768707482998</v>
      </c>
      <c r="M225">
        <v>4.0530010953235463E-4</v>
      </c>
      <c r="N225" t="s">
        <v>17</v>
      </c>
      <c r="O225">
        <v>296</v>
      </c>
      <c r="P225" t="s">
        <v>1446</v>
      </c>
    </row>
    <row r="226" spans="1:16" x14ac:dyDescent="0.2">
      <c r="A226" t="s">
        <v>818</v>
      </c>
      <c r="B226" t="s">
        <v>58</v>
      </c>
      <c r="C226">
        <v>6</v>
      </c>
      <c r="D226" t="s">
        <v>17</v>
      </c>
      <c r="E226" t="s">
        <v>17</v>
      </c>
      <c r="F226">
        <v>3</v>
      </c>
      <c r="G226">
        <v>6</v>
      </c>
      <c r="H226" t="s">
        <v>17</v>
      </c>
      <c r="I226" t="s">
        <v>17</v>
      </c>
      <c r="J226">
        <v>3</v>
      </c>
      <c r="K226">
        <v>7.5588470427784132E-2</v>
      </c>
      <c r="L226">
        <f t="shared" si="3"/>
        <v>4.423592493297587</v>
      </c>
      <c r="M226">
        <v>3.3437259036419257E-3</v>
      </c>
      <c r="N226" t="s">
        <v>17</v>
      </c>
      <c r="O226">
        <v>296</v>
      </c>
      <c r="P226" t="s">
        <v>1446</v>
      </c>
    </row>
    <row r="227" spans="1:16" x14ac:dyDescent="0.2">
      <c r="A227" t="s">
        <v>818</v>
      </c>
      <c r="B227" t="s">
        <v>58</v>
      </c>
      <c r="C227">
        <v>9</v>
      </c>
      <c r="D227" t="s">
        <v>17</v>
      </c>
      <c r="E227" t="s">
        <v>17</v>
      </c>
      <c r="F227">
        <v>8</v>
      </c>
      <c r="G227">
        <v>9</v>
      </c>
      <c r="H227" t="s">
        <v>17</v>
      </c>
      <c r="I227" t="s">
        <v>17</v>
      </c>
      <c r="J227">
        <v>8</v>
      </c>
      <c r="K227">
        <v>7.0522219058629695E-2</v>
      </c>
      <c r="L227">
        <f t="shared" si="3"/>
        <v>3.5919540229885061</v>
      </c>
      <c r="M227">
        <v>2.5331256845772163E-3</v>
      </c>
      <c r="N227" t="s">
        <v>17</v>
      </c>
      <c r="O227">
        <v>296</v>
      </c>
      <c r="P227" t="s">
        <v>1446</v>
      </c>
    </row>
    <row r="228" spans="1:16" x14ac:dyDescent="0.2">
      <c r="A228" t="s">
        <v>818</v>
      </c>
      <c r="B228" t="s">
        <v>58</v>
      </c>
      <c r="C228">
        <v>7</v>
      </c>
      <c r="D228" t="s">
        <v>17</v>
      </c>
      <c r="E228" t="s">
        <v>17</v>
      </c>
      <c r="F228">
        <v>6</v>
      </c>
      <c r="G228">
        <v>7</v>
      </c>
      <c r="H228" t="s">
        <v>17</v>
      </c>
      <c r="I228" t="s">
        <v>17</v>
      </c>
      <c r="J228">
        <v>6</v>
      </c>
      <c r="K228">
        <v>7.8628221249276792E-2</v>
      </c>
      <c r="L228">
        <f t="shared" si="3"/>
        <v>2.4484536082474229</v>
      </c>
      <c r="M228">
        <v>1.9251755202786844E-3</v>
      </c>
      <c r="N228" t="s">
        <v>17</v>
      </c>
      <c r="O228">
        <v>296</v>
      </c>
      <c r="P228" t="s">
        <v>1446</v>
      </c>
    </row>
    <row r="229" spans="1:16" x14ac:dyDescent="0.2">
      <c r="A229" t="s">
        <v>818</v>
      </c>
      <c r="B229" t="s">
        <v>58</v>
      </c>
      <c r="C229">
        <v>9</v>
      </c>
      <c r="D229" t="s">
        <v>17</v>
      </c>
      <c r="E229" t="s">
        <v>17</v>
      </c>
      <c r="F229">
        <v>6</v>
      </c>
      <c r="G229">
        <v>9</v>
      </c>
      <c r="H229" t="s">
        <v>17</v>
      </c>
      <c r="I229" t="s">
        <v>17</v>
      </c>
      <c r="J229">
        <v>6</v>
      </c>
      <c r="K229">
        <v>7.5689795455167228E-2</v>
      </c>
      <c r="L229">
        <f t="shared" si="3"/>
        <v>6.6934404283801872</v>
      </c>
      <c r="M229">
        <v>5.0662513691544326E-3</v>
      </c>
      <c r="N229" t="s">
        <v>17</v>
      </c>
      <c r="O229">
        <v>296</v>
      </c>
      <c r="P229" t="s">
        <v>1446</v>
      </c>
    </row>
    <row r="230" spans="1:16" x14ac:dyDescent="0.2">
      <c r="A230" t="s">
        <v>818</v>
      </c>
      <c r="B230" t="s">
        <v>58</v>
      </c>
      <c r="C230">
        <v>7</v>
      </c>
      <c r="D230" t="s">
        <v>17</v>
      </c>
      <c r="E230" t="s">
        <v>17</v>
      </c>
      <c r="F230">
        <v>5</v>
      </c>
      <c r="G230">
        <v>7</v>
      </c>
      <c r="H230" t="s">
        <v>17</v>
      </c>
      <c r="I230" t="s">
        <v>17</v>
      </c>
      <c r="J230">
        <v>5</v>
      </c>
      <c r="K230">
        <v>7.2650044633674554E-2</v>
      </c>
      <c r="L230">
        <f t="shared" si="3"/>
        <v>0.97629009762900987</v>
      </c>
      <c r="M230">
        <v>7.0927519168162054E-4</v>
      </c>
      <c r="N230" t="s">
        <v>17</v>
      </c>
      <c r="O230">
        <v>296</v>
      </c>
      <c r="P230" t="s">
        <v>1446</v>
      </c>
    </row>
    <row r="231" spans="1:16" x14ac:dyDescent="0.2">
      <c r="A231" t="s">
        <v>818</v>
      </c>
      <c r="B231" t="s">
        <v>58</v>
      </c>
      <c r="C231">
        <v>8</v>
      </c>
      <c r="D231" t="s">
        <v>17</v>
      </c>
      <c r="E231" t="s">
        <v>17</v>
      </c>
      <c r="F231">
        <v>8</v>
      </c>
      <c r="G231">
        <v>8</v>
      </c>
      <c r="H231" t="s">
        <v>17</v>
      </c>
      <c r="I231" t="s">
        <v>17</v>
      </c>
      <c r="J231">
        <v>8</v>
      </c>
      <c r="K231">
        <v>7.7108345838530462E-2</v>
      </c>
      <c r="L231">
        <f t="shared" si="3"/>
        <v>3.1537450722733249</v>
      </c>
      <c r="M231">
        <v>2.4318006571941277E-3</v>
      </c>
      <c r="N231" t="s">
        <v>17</v>
      </c>
      <c r="O231">
        <v>296</v>
      </c>
      <c r="P231" t="s">
        <v>1446</v>
      </c>
    </row>
    <row r="232" spans="1:16" x14ac:dyDescent="0.2">
      <c r="A232" t="s">
        <v>818</v>
      </c>
      <c r="B232" t="s">
        <v>58</v>
      </c>
      <c r="C232">
        <v>8</v>
      </c>
      <c r="D232" t="s">
        <v>17</v>
      </c>
      <c r="E232" t="s">
        <v>17</v>
      </c>
      <c r="F232">
        <v>7</v>
      </c>
      <c r="G232">
        <v>8</v>
      </c>
      <c r="H232" t="s">
        <v>17</v>
      </c>
      <c r="I232" t="s">
        <v>17</v>
      </c>
      <c r="J232">
        <v>7</v>
      </c>
      <c r="K232">
        <v>7.5081845290868685E-2</v>
      </c>
      <c r="L232">
        <f t="shared" si="3"/>
        <v>2.6990553306342786</v>
      </c>
      <c r="M232">
        <v>2.0265005476617732E-3</v>
      </c>
      <c r="N232" t="s">
        <v>17</v>
      </c>
      <c r="O232">
        <v>296</v>
      </c>
      <c r="P232" t="s">
        <v>1446</v>
      </c>
    </row>
    <row r="233" spans="1:16" x14ac:dyDescent="0.2">
      <c r="A233" t="s">
        <v>818</v>
      </c>
      <c r="B233" t="s">
        <v>58</v>
      </c>
      <c r="C233">
        <v>8</v>
      </c>
      <c r="D233" t="s">
        <v>17</v>
      </c>
      <c r="E233" t="s">
        <v>17</v>
      </c>
      <c r="F233">
        <v>6</v>
      </c>
      <c r="G233">
        <v>8</v>
      </c>
      <c r="H233" t="s">
        <v>17</v>
      </c>
      <c r="I233" t="s">
        <v>17</v>
      </c>
      <c r="J233">
        <v>6</v>
      </c>
      <c r="K233">
        <v>7.2954019715823826E-2</v>
      </c>
      <c r="L233">
        <f t="shared" si="3"/>
        <v>1.1111111111111112</v>
      </c>
      <c r="M233">
        <v>8.1060021906470927E-4</v>
      </c>
      <c r="N233" t="s">
        <v>17</v>
      </c>
      <c r="O233">
        <v>296</v>
      </c>
      <c r="P233" t="s">
        <v>1446</v>
      </c>
    </row>
    <row r="234" spans="1:16" x14ac:dyDescent="0.2">
      <c r="A234" t="s">
        <v>818</v>
      </c>
      <c r="B234" t="s">
        <v>191</v>
      </c>
      <c r="C234">
        <v>4</v>
      </c>
      <c r="D234" t="s">
        <v>17</v>
      </c>
      <c r="E234" t="s">
        <v>17</v>
      </c>
      <c r="F234">
        <v>3</v>
      </c>
      <c r="G234">
        <v>3</v>
      </c>
      <c r="H234" t="s">
        <v>17</v>
      </c>
      <c r="I234" t="s">
        <v>17</v>
      </c>
      <c r="J234">
        <v>3</v>
      </c>
      <c r="K234">
        <v>3.3437259036419253E-2</v>
      </c>
      <c r="L234">
        <f t="shared" si="3"/>
        <v>0.90909090909090917</v>
      </c>
      <c r="M234">
        <v>3.0397508214926596E-4</v>
      </c>
      <c r="N234" t="s">
        <v>17</v>
      </c>
      <c r="O234">
        <v>296</v>
      </c>
      <c r="P234" t="s">
        <v>1446</v>
      </c>
    </row>
    <row r="235" spans="1:16" x14ac:dyDescent="0.2">
      <c r="A235" t="s">
        <v>818</v>
      </c>
      <c r="B235" t="s">
        <v>191</v>
      </c>
      <c r="C235">
        <v>4</v>
      </c>
      <c r="D235" t="s">
        <v>17</v>
      </c>
      <c r="E235" t="s">
        <v>17</v>
      </c>
      <c r="F235">
        <v>2</v>
      </c>
      <c r="G235">
        <v>3</v>
      </c>
      <c r="H235" t="s">
        <v>17</v>
      </c>
      <c r="I235" t="s">
        <v>17</v>
      </c>
      <c r="J235">
        <v>2</v>
      </c>
      <c r="K235">
        <v>3.2424008762588372E-2</v>
      </c>
      <c r="L235">
        <f t="shared" si="3"/>
        <v>0.625</v>
      </c>
      <c r="M235">
        <v>2.0265005476617732E-4</v>
      </c>
      <c r="N235" t="s">
        <v>17</v>
      </c>
      <c r="O235">
        <v>296</v>
      </c>
      <c r="P235" t="s">
        <v>1446</v>
      </c>
    </row>
    <row r="236" spans="1:16" x14ac:dyDescent="0.2">
      <c r="A236" t="s">
        <v>818</v>
      </c>
      <c r="B236" t="s">
        <v>191</v>
      </c>
      <c r="C236">
        <v>4</v>
      </c>
      <c r="D236" t="s">
        <v>17</v>
      </c>
      <c r="E236" t="s">
        <v>17</v>
      </c>
      <c r="F236">
        <v>1</v>
      </c>
      <c r="G236">
        <v>3</v>
      </c>
      <c r="H236" t="s">
        <v>17</v>
      </c>
      <c r="I236" t="s">
        <v>17</v>
      </c>
      <c r="J236">
        <v>1</v>
      </c>
      <c r="K236">
        <v>2.9384257941095705E-2</v>
      </c>
      <c r="L236">
        <f t="shared" si="3"/>
        <v>1.3793103448275865</v>
      </c>
      <c r="M236">
        <v>4.0530010953235463E-4</v>
      </c>
      <c r="N236" t="s">
        <v>17</v>
      </c>
      <c r="O236">
        <v>296</v>
      </c>
      <c r="P236" t="s">
        <v>1446</v>
      </c>
    </row>
    <row r="237" spans="1:16" x14ac:dyDescent="0.2">
      <c r="A237" t="s">
        <v>818</v>
      </c>
      <c r="B237" t="s">
        <v>191</v>
      </c>
      <c r="C237">
        <v>4</v>
      </c>
      <c r="D237" t="s">
        <v>17</v>
      </c>
      <c r="E237" t="s">
        <v>17</v>
      </c>
      <c r="F237">
        <v>0</v>
      </c>
      <c r="G237">
        <v>3</v>
      </c>
      <c r="H237" t="s">
        <v>17</v>
      </c>
      <c r="I237" t="s">
        <v>17</v>
      </c>
      <c r="J237">
        <v>0</v>
      </c>
      <c r="K237">
        <v>2.8472332694647915E-2</v>
      </c>
      <c r="L237">
        <f t="shared" si="3"/>
        <v>0.71174377224199281</v>
      </c>
      <c r="M237">
        <v>2.0265005476617732E-4</v>
      </c>
      <c r="N237" t="s">
        <v>17</v>
      </c>
      <c r="O237">
        <v>296</v>
      </c>
      <c r="P237" t="s">
        <v>1446</v>
      </c>
    </row>
    <row r="238" spans="1:16" x14ac:dyDescent="0.2">
      <c r="A238" t="s">
        <v>818</v>
      </c>
      <c r="B238" t="s">
        <v>191</v>
      </c>
      <c r="C238">
        <v>4</v>
      </c>
      <c r="D238" t="s">
        <v>17</v>
      </c>
      <c r="E238" t="s">
        <v>17</v>
      </c>
      <c r="F238">
        <v>3</v>
      </c>
      <c r="G238">
        <v>3</v>
      </c>
      <c r="H238" t="s">
        <v>17</v>
      </c>
      <c r="I238" t="s">
        <v>17</v>
      </c>
      <c r="J238">
        <v>3</v>
      </c>
      <c r="K238">
        <v>3.3538584063802342E-2</v>
      </c>
      <c r="L238">
        <f t="shared" si="3"/>
        <v>1.2084592145015107</v>
      </c>
      <c r="M238">
        <v>4.0530010953235463E-4</v>
      </c>
      <c r="N238" t="s">
        <v>17</v>
      </c>
      <c r="O238">
        <v>296</v>
      </c>
      <c r="P238" t="s">
        <v>1446</v>
      </c>
    </row>
    <row r="239" spans="1:16" x14ac:dyDescent="0.2">
      <c r="A239" t="s">
        <v>818</v>
      </c>
      <c r="B239" t="s">
        <v>191</v>
      </c>
      <c r="C239">
        <v>4</v>
      </c>
      <c r="D239" t="s">
        <v>17</v>
      </c>
      <c r="E239" t="s">
        <v>17</v>
      </c>
      <c r="F239">
        <v>2</v>
      </c>
      <c r="G239">
        <v>3</v>
      </c>
      <c r="H239" t="s">
        <v>17</v>
      </c>
      <c r="I239" t="s">
        <v>17</v>
      </c>
      <c r="J239">
        <v>2</v>
      </c>
      <c r="K239">
        <v>3.4045209200717789E-2</v>
      </c>
      <c r="L239">
        <f t="shared" si="3"/>
        <v>4.1666666666666661</v>
      </c>
      <c r="M239">
        <v>1.4185503833632411E-3</v>
      </c>
      <c r="N239" t="s">
        <v>17</v>
      </c>
      <c r="O239">
        <v>296</v>
      </c>
      <c r="P239" t="s">
        <v>1446</v>
      </c>
    </row>
    <row r="240" spans="1:16" x14ac:dyDescent="0.2">
      <c r="A240" t="s">
        <v>818</v>
      </c>
      <c r="B240" t="s">
        <v>191</v>
      </c>
      <c r="C240">
        <v>4</v>
      </c>
      <c r="D240" t="s">
        <v>17</v>
      </c>
      <c r="E240" t="s">
        <v>17</v>
      </c>
      <c r="F240">
        <v>1</v>
      </c>
      <c r="G240">
        <v>3</v>
      </c>
      <c r="H240" t="s">
        <v>17</v>
      </c>
      <c r="I240" t="s">
        <v>17</v>
      </c>
      <c r="J240">
        <v>1</v>
      </c>
      <c r="K240">
        <v>2.9384257941095705E-2</v>
      </c>
      <c r="L240">
        <f t="shared" si="3"/>
        <v>1.0344827586206897</v>
      </c>
      <c r="M240">
        <v>3.0397508214926596E-4</v>
      </c>
      <c r="N240" t="s">
        <v>17</v>
      </c>
      <c r="O240">
        <v>296</v>
      </c>
      <c r="P240" t="s">
        <v>1446</v>
      </c>
    </row>
    <row r="241" spans="1:16" x14ac:dyDescent="0.2">
      <c r="A241" t="s">
        <v>818</v>
      </c>
      <c r="B241" t="s">
        <v>191</v>
      </c>
      <c r="C241">
        <v>2</v>
      </c>
      <c r="D241" t="s">
        <v>17</v>
      </c>
      <c r="E241" t="s">
        <v>17</v>
      </c>
      <c r="F241">
        <v>1</v>
      </c>
      <c r="G241">
        <v>1</v>
      </c>
      <c r="H241" t="s">
        <v>17</v>
      </c>
      <c r="I241" t="s">
        <v>17</v>
      </c>
      <c r="J241">
        <v>1</v>
      </c>
      <c r="K241">
        <v>3.6679659912678089E-2</v>
      </c>
      <c r="L241">
        <f t="shared" si="3"/>
        <v>1.3812154696132599</v>
      </c>
      <c r="M241">
        <v>5.0662513691544331E-4</v>
      </c>
      <c r="N241" t="s">
        <v>17</v>
      </c>
      <c r="O241">
        <v>296</v>
      </c>
      <c r="P241" t="s">
        <v>1446</v>
      </c>
    </row>
    <row r="242" spans="1:16" x14ac:dyDescent="0.2">
      <c r="A242" t="s">
        <v>818</v>
      </c>
      <c r="B242" t="s">
        <v>191</v>
      </c>
      <c r="C242">
        <v>2</v>
      </c>
      <c r="D242" t="s">
        <v>17</v>
      </c>
      <c r="E242" t="s">
        <v>17</v>
      </c>
      <c r="F242">
        <v>0</v>
      </c>
      <c r="G242">
        <v>1</v>
      </c>
      <c r="H242" t="s">
        <v>17</v>
      </c>
      <c r="I242" t="s">
        <v>17</v>
      </c>
      <c r="J242">
        <v>0</v>
      </c>
      <c r="K242">
        <v>3.1512083516140571E-2</v>
      </c>
      <c r="L242">
        <f t="shared" si="3"/>
        <v>0.64308681672025736</v>
      </c>
      <c r="M242">
        <v>2.0265005476617732E-4</v>
      </c>
      <c r="N242" t="s">
        <v>17</v>
      </c>
      <c r="O242">
        <v>296</v>
      </c>
      <c r="P242" t="s">
        <v>1446</v>
      </c>
    </row>
    <row r="243" spans="1:16" x14ac:dyDescent="0.2">
      <c r="A243" t="s">
        <v>818</v>
      </c>
      <c r="B243" t="s">
        <v>191</v>
      </c>
      <c r="C243">
        <v>2</v>
      </c>
      <c r="D243" t="s">
        <v>17</v>
      </c>
      <c r="E243" t="s">
        <v>17</v>
      </c>
      <c r="F243">
        <v>1</v>
      </c>
      <c r="G243">
        <v>1</v>
      </c>
      <c r="H243" t="s">
        <v>17</v>
      </c>
      <c r="I243" t="s">
        <v>17</v>
      </c>
      <c r="J243">
        <v>1</v>
      </c>
      <c r="K243">
        <v>3.6780984940061177E-2</v>
      </c>
      <c r="L243">
        <f t="shared" si="3"/>
        <v>1.1019283746556476</v>
      </c>
      <c r="M243">
        <v>4.0530010953235463E-4</v>
      </c>
      <c r="N243" t="s">
        <v>17</v>
      </c>
      <c r="O243">
        <v>296</v>
      </c>
      <c r="P243" t="s">
        <v>1446</v>
      </c>
    </row>
    <row r="244" spans="1:16" x14ac:dyDescent="0.2">
      <c r="A244" t="s">
        <v>818</v>
      </c>
      <c r="B244" t="s">
        <v>191</v>
      </c>
      <c r="C244">
        <v>2</v>
      </c>
      <c r="D244" t="s">
        <v>17</v>
      </c>
      <c r="E244" t="s">
        <v>17</v>
      </c>
      <c r="F244">
        <v>0</v>
      </c>
      <c r="G244">
        <v>0</v>
      </c>
      <c r="H244" t="s">
        <v>17</v>
      </c>
      <c r="I244" t="s">
        <v>17</v>
      </c>
      <c r="J244">
        <v>0</v>
      </c>
      <c r="K244">
        <v>3.4855809419782495E-2</v>
      </c>
      <c r="L244">
        <f t="shared" si="3"/>
        <v>1.7441860465116279</v>
      </c>
      <c r="M244">
        <v>6.0795016429853192E-4</v>
      </c>
      <c r="N244" t="s">
        <v>17</v>
      </c>
      <c r="O244">
        <v>296</v>
      </c>
      <c r="P244" t="s">
        <v>1446</v>
      </c>
    </row>
    <row r="245" spans="1:16" x14ac:dyDescent="0.2">
      <c r="A245" t="s">
        <v>818</v>
      </c>
      <c r="B245" t="s">
        <v>191</v>
      </c>
      <c r="C245">
        <v>1</v>
      </c>
      <c r="D245" t="s">
        <v>17</v>
      </c>
      <c r="E245" t="s">
        <v>17</v>
      </c>
      <c r="F245">
        <v>1</v>
      </c>
      <c r="G245">
        <v>1</v>
      </c>
      <c r="H245" t="s">
        <v>17</v>
      </c>
      <c r="I245" t="s">
        <v>17</v>
      </c>
      <c r="J245">
        <v>1</v>
      </c>
      <c r="K245">
        <v>3.6679659912678089E-2</v>
      </c>
      <c r="L245">
        <f t="shared" si="3"/>
        <v>1.6574585635359118</v>
      </c>
      <c r="M245">
        <v>6.0795016429853192E-4</v>
      </c>
      <c r="N245" t="s">
        <v>17</v>
      </c>
      <c r="O245">
        <v>296</v>
      </c>
      <c r="P245" t="s">
        <v>1446</v>
      </c>
    </row>
    <row r="246" spans="1:16" x14ac:dyDescent="0.2">
      <c r="A246" t="s">
        <v>818</v>
      </c>
      <c r="B246" t="s">
        <v>191</v>
      </c>
      <c r="C246">
        <v>2</v>
      </c>
      <c r="D246" t="s">
        <v>17</v>
      </c>
      <c r="E246" t="s">
        <v>17</v>
      </c>
      <c r="F246">
        <v>2</v>
      </c>
      <c r="G246">
        <v>2</v>
      </c>
      <c r="H246" t="s">
        <v>17</v>
      </c>
      <c r="I246" t="s">
        <v>17</v>
      </c>
      <c r="J246">
        <v>2</v>
      </c>
      <c r="K246">
        <v>3.4349184282867054E-2</v>
      </c>
      <c r="L246">
        <f t="shared" si="3"/>
        <v>2.359882005899705</v>
      </c>
      <c r="M246">
        <v>8.1060021906470927E-4</v>
      </c>
      <c r="N246" t="s">
        <v>17</v>
      </c>
      <c r="O246">
        <v>296</v>
      </c>
      <c r="P246" t="s">
        <v>1446</v>
      </c>
    </row>
    <row r="247" spans="1:16" x14ac:dyDescent="0.2">
      <c r="A247" t="s">
        <v>818</v>
      </c>
      <c r="B247" t="s">
        <v>191</v>
      </c>
      <c r="C247">
        <v>2</v>
      </c>
      <c r="D247" t="s">
        <v>17</v>
      </c>
      <c r="E247" t="s">
        <v>17</v>
      </c>
      <c r="F247">
        <v>1</v>
      </c>
      <c r="G247">
        <v>2</v>
      </c>
      <c r="H247" t="s">
        <v>17</v>
      </c>
      <c r="I247" t="s">
        <v>17</v>
      </c>
      <c r="J247">
        <v>1</v>
      </c>
      <c r="K247">
        <v>3.3437259036419253E-2</v>
      </c>
      <c r="L247">
        <f t="shared" si="3"/>
        <v>1.8181818181818183</v>
      </c>
      <c r="M247">
        <v>6.0795016429853192E-4</v>
      </c>
      <c r="N247" t="s">
        <v>17</v>
      </c>
      <c r="O247">
        <v>296</v>
      </c>
      <c r="P247" t="s">
        <v>1446</v>
      </c>
    </row>
    <row r="248" spans="1:16" x14ac:dyDescent="0.2">
      <c r="A248" t="s">
        <v>818</v>
      </c>
      <c r="B248" t="s">
        <v>191</v>
      </c>
      <c r="C248">
        <v>3</v>
      </c>
      <c r="D248" t="s">
        <v>17</v>
      </c>
      <c r="E248" t="s">
        <v>17</v>
      </c>
      <c r="F248">
        <v>3</v>
      </c>
      <c r="G248">
        <v>3</v>
      </c>
      <c r="H248" t="s">
        <v>17</v>
      </c>
      <c r="I248" t="s">
        <v>17</v>
      </c>
      <c r="J248">
        <v>3</v>
      </c>
      <c r="K248">
        <v>3.3437259036419253E-2</v>
      </c>
      <c r="L248">
        <f t="shared" si="3"/>
        <v>1.8181818181818183</v>
      </c>
      <c r="M248">
        <v>6.0795016429853192E-4</v>
      </c>
      <c r="N248" t="s">
        <v>17</v>
      </c>
      <c r="O248">
        <v>296</v>
      </c>
      <c r="P248" t="s">
        <v>1446</v>
      </c>
    </row>
    <row r="249" spans="1:16" x14ac:dyDescent="0.2">
      <c r="A249" t="s">
        <v>818</v>
      </c>
      <c r="B249" t="s">
        <v>191</v>
      </c>
      <c r="C249">
        <v>3</v>
      </c>
      <c r="D249" t="s">
        <v>17</v>
      </c>
      <c r="E249" t="s">
        <v>17</v>
      </c>
      <c r="F249">
        <v>2</v>
      </c>
      <c r="G249">
        <v>3</v>
      </c>
      <c r="H249" t="s">
        <v>17</v>
      </c>
      <c r="I249" t="s">
        <v>17</v>
      </c>
      <c r="J249">
        <v>2</v>
      </c>
      <c r="K249">
        <v>3.6173034775762648E-2</v>
      </c>
      <c r="L249">
        <f t="shared" si="3"/>
        <v>5.322128851540616</v>
      </c>
      <c r="M249">
        <v>1.9251755202786844E-3</v>
      </c>
      <c r="N249" t="s">
        <v>17</v>
      </c>
      <c r="O249">
        <v>296</v>
      </c>
      <c r="P249" t="s">
        <v>1446</v>
      </c>
    </row>
    <row r="250" spans="1:16" x14ac:dyDescent="0.2">
      <c r="A250" t="s">
        <v>818</v>
      </c>
      <c r="B250" t="s">
        <v>191</v>
      </c>
      <c r="C250">
        <v>3</v>
      </c>
      <c r="D250" t="s">
        <v>17</v>
      </c>
      <c r="E250" t="s">
        <v>17</v>
      </c>
      <c r="F250">
        <v>1</v>
      </c>
      <c r="G250">
        <v>3</v>
      </c>
      <c r="H250" t="s">
        <v>17</v>
      </c>
      <c r="I250" t="s">
        <v>17</v>
      </c>
      <c r="J250">
        <v>1</v>
      </c>
      <c r="K250">
        <v>3.0701483297075862E-2</v>
      </c>
      <c r="L250">
        <f t="shared" si="3"/>
        <v>3.3003300330033007</v>
      </c>
      <c r="M250">
        <v>1.0132502738308866E-3</v>
      </c>
      <c r="N250" t="s">
        <v>17</v>
      </c>
      <c r="O250">
        <v>296</v>
      </c>
      <c r="P250" t="s">
        <v>1446</v>
      </c>
    </row>
    <row r="251" spans="1:16" x14ac:dyDescent="0.2">
      <c r="A251" t="s">
        <v>818</v>
      </c>
      <c r="B251" t="s">
        <v>191</v>
      </c>
      <c r="C251">
        <v>4</v>
      </c>
      <c r="D251" t="s">
        <v>17</v>
      </c>
      <c r="E251" t="s">
        <v>17</v>
      </c>
      <c r="F251">
        <v>4</v>
      </c>
      <c r="G251">
        <v>4</v>
      </c>
      <c r="H251" t="s">
        <v>17</v>
      </c>
      <c r="I251" t="s">
        <v>17</v>
      </c>
      <c r="J251">
        <v>4</v>
      </c>
      <c r="K251">
        <v>3.0498833242309682E-2</v>
      </c>
      <c r="L251">
        <f t="shared" si="3"/>
        <v>0.99667774086378746</v>
      </c>
      <c r="M251">
        <v>3.0397508214926596E-4</v>
      </c>
      <c r="N251" t="s">
        <v>17</v>
      </c>
      <c r="O251">
        <v>296</v>
      </c>
      <c r="P251" t="s">
        <v>1446</v>
      </c>
    </row>
    <row r="252" spans="1:16" x14ac:dyDescent="0.2">
      <c r="A252" t="s">
        <v>818</v>
      </c>
      <c r="B252" t="s">
        <v>191</v>
      </c>
      <c r="C252">
        <v>4</v>
      </c>
      <c r="D252" t="s">
        <v>17</v>
      </c>
      <c r="E252" t="s">
        <v>17</v>
      </c>
      <c r="F252">
        <v>3</v>
      </c>
      <c r="G252">
        <v>4</v>
      </c>
      <c r="H252" t="s">
        <v>17</v>
      </c>
      <c r="I252" t="s">
        <v>17</v>
      </c>
      <c r="J252">
        <v>3</v>
      </c>
      <c r="K252">
        <v>3.1714733570906747E-2</v>
      </c>
      <c r="L252">
        <f t="shared" si="3"/>
        <v>0.95846645367412142</v>
      </c>
      <c r="M252">
        <v>3.0397508214926596E-4</v>
      </c>
      <c r="N252" t="s">
        <v>17</v>
      </c>
      <c r="O252">
        <v>296</v>
      </c>
      <c r="P252" t="s">
        <v>1446</v>
      </c>
    </row>
    <row r="253" spans="1:16" x14ac:dyDescent="0.2">
      <c r="A253" t="s">
        <v>818</v>
      </c>
      <c r="B253" t="s">
        <v>191</v>
      </c>
      <c r="C253">
        <v>5</v>
      </c>
      <c r="D253" t="s">
        <v>17</v>
      </c>
      <c r="E253" t="s">
        <v>17</v>
      </c>
      <c r="F253">
        <v>5</v>
      </c>
      <c r="G253">
        <v>5</v>
      </c>
      <c r="H253" t="s">
        <v>17</v>
      </c>
      <c r="I253" t="s">
        <v>17</v>
      </c>
      <c r="J253">
        <v>5</v>
      </c>
      <c r="K253">
        <v>2.8877632804180264E-2</v>
      </c>
      <c r="L253">
        <f t="shared" si="3"/>
        <v>1.4035087719298247</v>
      </c>
      <c r="M253">
        <v>4.0530010953235463E-4</v>
      </c>
      <c r="N253" t="s">
        <v>17</v>
      </c>
      <c r="O253">
        <v>296</v>
      </c>
      <c r="P253" t="s">
        <v>1446</v>
      </c>
    </row>
    <row r="254" spans="1:16" x14ac:dyDescent="0.2">
      <c r="A254" t="s">
        <v>818</v>
      </c>
      <c r="B254" t="s">
        <v>191</v>
      </c>
      <c r="C254">
        <v>4</v>
      </c>
      <c r="D254" t="s">
        <v>17</v>
      </c>
      <c r="E254" t="s">
        <v>17</v>
      </c>
      <c r="F254">
        <v>2</v>
      </c>
      <c r="G254">
        <v>4</v>
      </c>
      <c r="H254" t="s">
        <v>17</v>
      </c>
      <c r="I254" t="s">
        <v>17</v>
      </c>
      <c r="J254">
        <v>2</v>
      </c>
      <c r="K254">
        <v>3.1005458379225127E-2</v>
      </c>
      <c r="L254">
        <f t="shared" si="3"/>
        <v>1.9607843137254901</v>
      </c>
      <c r="M254">
        <v>6.0795016429853192E-4</v>
      </c>
      <c r="N254" t="s">
        <v>17</v>
      </c>
      <c r="O254">
        <v>296</v>
      </c>
      <c r="P254" t="s">
        <v>1446</v>
      </c>
    </row>
    <row r="255" spans="1:16" x14ac:dyDescent="0.2">
      <c r="A255" t="s">
        <v>818</v>
      </c>
      <c r="B255" t="s">
        <v>191</v>
      </c>
      <c r="C255">
        <v>1</v>
      </c>
      <c r="D255" t="s">
        <v>17</v>
      </c>
      <c r="E255" t="s">
        <v>17</v>
      </c>
      <c r="F255">
        <v>1</v>
      </c>
      <c r="G255">
        <v>1</v>
      </c>
      <c r="H255" t="s">
        <v>17</v>
      </c>
      <c r="I255" t="s">
        <v>17</v>
      </c>
      <c r="J255">
        <v>1</v>
      </c>
      <c r="K255">
        <v>3.4653159365016319E-2</v>
      </c>
      <c r="L255">
        <f t="shared" si="3"/>
        <v>2.0467836257309941</v>
      </c>
      <c r="M255">
        <v>7.0927519168162054E-4</v>
      </c>
      <c r="N255" t="s">
        <v>17</v>
      </c>
      <c r="O255">
        <v>296</v>
      </c>
      <c r="P255" t="s">
        <v>1446</v>
      </c>
    </row>
    <row r="256" spans="1:16" x14ac:dyDescent="0.2">
      <c r="A256" t="s">
        <v>818</v>
      </c>
      <c r="B256" t="s">
        <v>191</v>
      </c>
      <c r="C256">
        <v>5</v>
      </c>
      <c r="D256" t="s">
        <v>17</v>
      </c>
      <c r="E256" t="s">
        <v>17</v>
      </c>
      <c r="F256">
        <v>4</v>
      </c>
      <c r="G256">
        <v>5</v>
      </c>
      <c r="H256" t="s">
        <v>17</v>
      </c>
      <c r="I256" t="s">
        <v>17</v>
      </c>
      <c r="J256">
        <v>4</v>
      </c>
      <c r="K256">
        <v>2.9789558050628061E-2</v>
      </c>
      <c r="L256">
        <f t="shared" si="3"/>
        <v>1.360544217687075</v>
      </c>
      <c r="M256">
        <v>4.0530010953235463E-4</v>
      </c>
      <c r="N256" t="s">
        <v>17</v>
      </c>
      <c r="O256">
        <v>296</v>
      </c>
      <c r="P256" t="s">
        <v>1446</v>
      </c>
    </row>
    <row r="257" spans="1:16" x14ac:dyDescent="0.2">
      <c r="A257" t="s">
        <v>818</v>
      </c>
      <c r="B257" t="s">
        <v>191</v>
      </c>
      <c r="C257">
        <v>2</v>
      </c>
      <c r="D257" t="s">
        <v>17</v>
      </c>
      <c r="E257" t="s">
        <v>17</v>
      </c>
      <c r="F257">
        <v>2</v>
      </c>
      <c r="G257">
        <v>2</v>
      </c>
      <c r="H257" t="s">
        <v>17</v>
      </c>
      <c r="I257" t="s">
        <v>17</v>
      </c>
      <c r="J257">
        <v>2</v>
      </c>
      <c r="K257">
        <v>3.455183433763323E-2</v>
      </c>
      <c r="L257">
        <f t="shared" si="3"/>
        <v>0.5865102639296188</v>
      </c>
      <c r="M257">
        <v>2.0265005476617732E-4</v>
      </c>
      <c r="N257" t="s">
        <v>17</v>
      </c>
      <c r="O257">
        <v>296</v>
      </c>
      <c r="P257" t="s">
        <v>1446</v>
      </c>
    </row>
    <row r="258" spans="1:16" x14ac:dyDescent="0.2">
      <c r="A258" t="s">
        <v>818</v>
      </c>
      <c r="B258" t="s">
        <v>191</v>
      </c>
      <c r="C258">
        <v>6</v>
      </c>
      <c r="D258" t="s">
        <v>17</v>
      </c>
      <c r="E258" t="s">
        <v>17</v>
      </c>
      <c r="F258">
        <v>6</v>
      </c>
      <c r="G258">
        <v>6</v>
      </c>
      <c r="H258" t="s">
        <v>17</v>
      </c>
      <c r="I258" t="s">
        <v>17</v>
      </c>
      <c r="J258">
        <v>6</v>
      </c>
      <c r="K258">
        <v>2.8269682639881735E-2</v>
      </c>
      <c r="L258">
        <f t="shared" si="3"/>
        <v>2.150537634408602</v>
      </c>
      <c r="M258">
        <v>6.0795016429853192E-4</v>
      </c>
      <c r="N258" t="s">
        <v>17</v>
      </c>
      <c r="O258">
        <v>296</v>
      </c>
      <c r="P258" t="s">
        <v>1446</v>
      </c>
    </row>
    <row r="259" spans="1:16" x14ac:dyDescent="0.2">
      <c r="A259" t="s">
        <v>818</v>
      </c>
      <c r="B259" t="s">
        <v>191</v>
      </c>
      <c r="C259">
        <v>5</v>
      </c>
      <c r="D259" t="s">
        <v>17</v>
      </c>
      <c r="E259" t="s">
        <v>17</v>
      </c>
      <c r="F259">
        <v>3</v>
      </c>
      <c r="G259">
        <v>5</v>
      </c>
      <c r="H259" t="s">
        <v>17</v>
      </c>
      <c r="I259" t="s">
        <v>17</v>
      </c>
      <c r="J259">
        <v>3</v>
      </c>
      <c r="K259">
        <v>2.9485582968478797E-2</v>
      </c>
      <c r="L259">
        <f t="shared" ref="L259:L322" si="4">M259/K259*100</f>
        <v>3.4364261168384882</v>
      </c>
      <c r="M259">
        <v>1.0132502738308866E-3</v>
      </c>
      <c r="N259" t="s">
        <v>17</v>
      </c>
      <c r="O259">
        <v>296</v>
      </c>
      <c r="P259" t="s">
        <v>1446</v>
      </c>
    </row>
    <row r="260" spans="1:16" x14ac:dyDescent="0.2">
      <c r="A260" t="s">
        <v>818</v>
      </c>
      <c r="B260" t="s">
        <v>191</v>
      </c>
      <c r="C260">
        <v>5</v>
      </c>
      <c r="D260" t="s">
        <v>17</v>
      </c>
      <c r="E260" t="s">
        <v>17</v>
      </c>
      <c r="F260">
        <v>2</v>
      </c>
      <c r="G260">
        <v>5</v>
      </c>
      <c r="H260" t="s">
        <v>17</v>
      </c>
      <c r="I260" t="s">
        <v>17</v>
      </c>
      <c r="J260">
        <v>2</v>
      </c>
      <c r="K260">
        <v>2.9384257941095705E-2</v>
      </c>
      <c r="L260">
        <f t="shared" si="4"/>
        <v>3.4482758620689662</v>
      </c>
      <c r="M260">
        <v>1.0132502738308866E-3</v>
      </c>
      <c r="N260" t="s">
        <v>17</v>
      </c>
      <c r="O260">
        <v>296</v>
      </c>
      <c r="P260" t="s">
        <v>1446</v>
      </c>
    </row>
    <row r="261" spans="1:16" x14ac:dyDescent="0.2">
      <c r="A261" t="s">
        <v>818</v>
      </c>
      <c r="B261" t="s">
        <v>191</v>
      </c>
      <c r="C261">
        <v>3</v>
      </c>
      <c r="D261" t="s">
        <v>17</v>
      </c>
      <c r="E261" t="s">
        <v>17</v>
      </c>
      <c r="F261">
        <v>3</v>
      </c>
      <c r="G261">
        <v>3</v>
      </c>
      <c r="H261" t="s">
        <v>17</v>
      </c>
      <c r="I261" t="s">
        <v>17</v>
      </c>
      <c r="J261">
        <v>3</v>
      </c>
      <c r="K261">
        <v>3.2322683735205283E-2</v>
      </c>
      <c r="L261">
        <f t="shared" si="4"/>
        <v>1.5673981191222568</v>
      </c>
      <c r="M261">
        <v>5.0662513691544331E-4</v>
      </c>
      <c r="N261" t="s">
        <v>17</v>
      </c>
      <c r="O261">
        <v>296</v>
      </c>
      <c r="P261" t="s">
        <v>1446</v>
      </c>
    </row>
    <row r="262" spans="1:16" x14ac:dyDescent="0.2">
      <c r="A262" t="s">
        <v>818</v>
      </c>
      <c r="B262" t="s">
        <v>191</v>
      </c>
      <c r="C262">
        <v>6</v>
      </c>
      <c r="D262" t="s">
        <v>17</v>
      </c>
      <c r="E262" t="s">
        <v>17</v>
      </c>
      <c r="F262">
        <v>5</v>
      </c>
      <c r="G262">
        <v>6</v>
      </c>
      <c r="H262" t="s">
        <v>17</v>
      </c>
      <c r="I262" t="s">
        <v>17</v>
      </c>
      <c r="J262">
        <v>5</v>
      </c>
      <c r="K262">
        <v>2.8269682639881735E-2</v>
      </c>
      <c r="L262">
        <f t="shared" si="4"/>
        <v>1.7921146953405016</v>
      </c>
      <c r="M262">
        <v>5.0662513691544331E-4</v>
      </c>
      <c r="N262" t="s">
        <v>17</v>
      </c>
      <c r="O262">
        <v>296</v>
      </c>
      <c r="P262" t="s">
        <v>1446</v>
      </c>
    </row>
    <row r="263" spans="1:16" x14ac:dyDescent="0.2">
      <c r="A263" t="s">
        <v>818</v>
      </c>
      <c r="B263" t="s">
        <v>191</v>
      </c>
      <c r="C263">
        <v>3</v>
      </c>
      <c r="D263" t="s">
        <v>17</v>
      </c>
      <c r="E263" t="s">
        <v>17</v>
      </c>
      <c r="F263">
        <v>2</v>
      </c>
      <c r="G263">
        <v>3</v>
      </c>
      <c r="H263" t="s">
        <v>17</v>
      </c>
      <c r="I263" t="s">
        <v>17</v>
      </c>
      <c r="J263">
        <v>2</v>
      </c>
      <c r="K263">
        <v>3.5362434556697936E-2</v>
      </c>
      <c r="L263">
        <f t="shared" si="4"/>
        <v>7.1633237822349578</v>
      </c>
      <c r="M263">
        <v>2.5331256845772163E-3</v>
      </c>
      <c r="N263" t="s">
        <v>17</v>
      </c>
      <c r="O263">
        <v>296</v>
      </c>
      <c r="P263" t="s">
        <v>1446</v>
      </c>
    </row>
    <row r="264" spans="1:16" x14ac:dyDescent="0.2">
      <c r="A264" t="s">
        <v>818</v>
      </c>
      <c r="B264" t="s">
        <v>191</v>
      </c>
      <c r="C264">
        <v>3</v>
      </c>
      <c r="D264" t="s">
        <v>17</v>
      </c>
      <c r="E264" t="s">
        <v>17</v>
      </c>
      <c r="F264">
        <v>1</v>
      </c>
      <c r="G264">
        <v>3</v>
      </c>
      <c r="H264" t="s">
        <v>17</v>
      </c>
      <c r="I264" t="s">
        <v>17</v>
      </c>
      <c r="J264">
        <v>1</v>
      </c>
      <c r="K264">
        <v>2.9282932913712617E-2</v>
      </c>
      <c r="L264">
        <f t="shared" si="4"/>
        <v>2.7681660899653981</v>
      </c>
      <c r="M264">
        <v>8.1060021906470927E-4</v>
      </c>
      <c r="N264" t="s">
        <v>17</v>
      </c>
      <c r="O264">
        <v>296</v>
      </c>
      <c r="P264" t="s">
        <v>1446</v>
      </c>
    </row>
    <row r="265" spans="1:16" x14ac:dyDescent="0.2">
      <c r="A265" t="s">
        <v>818</v>
      </c>
      <c r="B265" t="s">
        <v>191</v>
      </c>
      <c r="C265">
        <v>7</v>
      </c>
      <c r="D265" t="s">
        <v>17</v>
      </c>
      <c r="E265" t="s">
        <v>17</v>
      </c>
      <c r="F265">
        <v>7</v>
      </c>
      <c r="G265">
        <v>7</v>
      </c>
      <c r="H265" t="s">
        <v>17</v>
      </c>
      <c r="I265" t="s">
        <v>17</v>
      </c>
      <c r="J265">
        <v>7</v>
      </c>
      <c r="K265">
        <v>2.705378231128467E-2</v>
      </c>
      <c r="L265">
        <f t="shared" si="4"/>
        <v>2.2471910112359552</v>
      </c>
      <c r="M265">
        <v>6.0795016429853192E-4</v>
      </c>
      <c r="N265" t="s">
        <v>17</v>
      </c>
      <c r="O265">
        <v>296</v>
      </c>
      <c r="P265" t="s">
        <v>1446</v>
      </c>
    </row>
    <row r="266" spans="1:16" x14ac:dyDescent="0.2">
      <c r="A266" t="s">
        <v>818</v>
      </c>
      <c r="B266" t="s">
        <v>191</v>
      </c>
      <c r="C266">
        <v>4</v>
      </c>
      <c r="D266" t="s">
        <v>17</v>
      </c>
      <c r="E266" t="s">
        <v>17</v>
      </c>
      <c r="F266">
        <v>4</v>
      </c>
      <c r="G266">
        <v>4</v>
      </c>
      <c r="H266" t="s">
        <v>17</v>
      </c>
      <c r="I266" t="s">
        <v>17</v>
      </c>
      <c r="J266">
        <v>4</v>
      </c>
      <c r="K266">
        <v>3.0701483297075862E-2</v>
      </c>
      <c r="L266">
        <f t="shared" si="4"/>
        <v>1.6501650165016504</v>
      </c>
      <c r="M266">
        <v>5.0662513691544331E-4</v>
      </c>
      <c r="N266" t="s">
        <v>17</v>
      </c>
      <c r="O266">
        <v>296</v>
      </c>
      <c r="P266" t="s">
        <v>1446</v>
      </c>
    </row>
    <row r="267" spans="1:16" x14ac:dyDescent="0.2">
      <c r="A267" t="s">
        <v>818</v>
      </c>
      <c r="B267" t="s">
        <v>191</v>
      </c>
      <c r="C267">
        <v>6</v>
      </c>
      <c r="D267" t="s">
        <v>17</v>
      </c>
      <c r="E267" t="s">
        <v>17</v>
      </c>
      <c r="F267">
        <v>4</v>
      </c>
      <c r="G267">
        <v>6</v>
      </c>
      <c r="H267" t="s">
        <v>17</v>
      </c>
      <c r="I267" t="s">
        <v>17</v>
      </c>
      <c r="J267">
        <v>4</v>
      </c>
      <c r="K267">
        <v>2.7560407448200114E-2</v>
      </c>
      <c r="L267">
        <f t="shared" si="4"/>
        <v>3.3088235294117641</v>
      </c>
      <c r="M267">
        <v>9.1192524644779778E-4</v>
      </c>
      <c r="N267" t="s">
        <v>17</v>
      </c>
      <c r="O267">
        <v>296</v>
      </c>
      <c r="P267" t="s">
        <v>1446</v>
      </c>
    </row>
    <row r="268" spans="1:16" x14ac:dyDescent="0.2">
      <c r="A268" t="s">
        <v>818</v>
      </c>
      <c r="B268" t="s">
        <v>191</v>
      </c>
      <c r="C268">
        <v>6</v>
      </c>
      <c r="D268" t="s">
        <v>17</v>
      </c>
      <c r="E268" t="s">
        <v>17</v>
      </c>
      <c r="F268">
        <v>3</v>
      </c>
      <c r="G268">
        <v>6</v>
      </c>
      <c r="H268" t="s">
        <v>17</v>
      </c>
      <c r="I268" t="s">
        <v>17</v>
      </c>
      <c r="J268">
        <v>3</v>
      </c>
      <c r="K268">
        <v>2.7357757393433938E-2</v>
      </c>
      <c r="L268">
        <f t="shared" si="4"/>
        <v>1.4814814814814816</v>
      </c>
      <c r="M268">
        <v>4.0530010953235463E-4</v>
      </c>
      <c r="N268" t="s">
        <v>17</v>
      </c>
      <c r="O268">
        <v>296</v>
      </c>
      <c r="P268" t="s">
        <v>1446</v>
      </c>
    </row>
    <row r="269" spans="1:16" x14ac:dyDescent="0.2">
      <c r="A269" t="s">
        <v>818</v>
      </c>
      <c r="B269" t="s">
        <v>191</v>
      </c>
      <c r="C269">
        <v>4</v>
      </c>
      <c r="D269" t="s">
        <v>17</v>
      </c>
      <c r="E269" t="s">
        <v>17</v>
      </c>
      <c r="F269">
        <v>3</v>
      </c>
      <c r="G269">
        <v>4</v>
      </c>
      <c r="H269" t="s">
        <v>17</v>
      </c>
      <c r="I269" t="s">
        <v>17</v>
      </c>
      <c r="J269">
        <v>3</v>
      </c>
      <c r="K269">
        <v>3.2829308872120724E-2</v>
      </c>
      <c r="L269">
        <f t="shared" si="4"/>
        <v>0.92592592592592582</v>
      </c>
      <c r="M269">
        <v>3.0397508214926596E-4</v>
      </c>
      <c r="N269" t="s">
        <v>17</v>
      </c>
      <c r="O269">
        <v>296</v>
      </c>
      <c r="P269" t="s">
        <v>1446</v>
      </c>
    </row>
    <row r="270" spans="1:16" x14ac:dyDescent="0.2">
      <c r="A270" t="s">
        <v>818</v>
      </c>
      <c r="B270" t="s">
        <v>191</v>
      </c>
      <c r="C270">
        <v>4</v>
      </c>
      <c r="D270" t="s">
        <v>17</v>
      </c>
      <c r="E270" t="s">
        <v>17</v>
      </c>
      <c r="F270">
        <v>2</v>
      </c>
      <c r="G270">
        <v>4</v>
      </c>
      <c r="H270" t="s">
        <v>17</v>
      </c>
      <c r="I270" t="s">
        <v>17</v>
      </c>
      <c r="J270">
        <v>2</v>
      </c>
      <c r="K270">
        <v>3.2221358707822188E-2</v>
      </c>
      <c r="L270">
        <f t="shared" si="4"/>
        <v>0.94339622641509446</v>
      </c>
      <c r="M270">
        <v>3.0397508214926596E-4</v>
      </c>
      <c r="N270" t="s">
        <v>17</v>
      </c>
      <c r="O270">
        <v>296</v>
      </c>
      <c r="P270" t="s">
        <v>1446</v>
      </c>
    </row>
    <row r="271" spans="1:16" x14ac:dyDescent="0.2">
      <c r="A271" t="s">
        <v>818</v>
      </c>
      <c r="B271" t="s">
        <v>191</v>
      </c>
      <c r="C271">
        <v>5</v>
      </c>
      <c r="D271" t="s">
        <v>17</v>
      </c>
      <c r="E271" t="s">
        <v>17</v>
      </c>
      <c r="F271">
        <v>5</v>
      </c>
      <c r="G271">
        <v>5</v>
      </c>
      <c r="H271" t="s">
        <v>17</v>
      </c>
      <c r="I271" t="s">
        <v>17</v>
      </c>
      <c r="J271">
        <v>5</v>
      </c>
      <c r="K271">
        <v>2.9485582968478797E-2</v>
      </c>
      <c r="L271">
        <f t="shared" si="4"/>
        <v>1.0309278350515463</v>
      </c>
      <c r="M271">
        <v>3.0397508214926596E-4</v>
      </c>
      <c r="N271" t="s">
        <v>17</v>
      </c>
      <c r="O271">
        <v>296</v>
      </c>
      <c r="P271" t="s">
        <v>1446</v>
      </c>
    </row>
    <row r="272" spans="1:16" x14ac:dyDescent="0.2">
      <c r="A272" t="s">
        <v>818</v>
      </c>
      <c r="B272" t="s">
        <v>191</v>
      </c>
      <c r="C272">
        <v>7</v>
      </c>
      <c r="D272" t="s">
        <v>17</v>
      </c>
      <c r="E272" t="s">
        <v>17</v>
      </c>
      <c r="F272">
        <v>6</v>
      </c>
      <c r="G272">
        <v>7</v>
      </c>
      <c r="H272" t="s">
        <v>17</v>
      </c>
      <c r="I272" t="s">
        <v>17</v>
      </c>
      <c r="J272">
        <v>6</v>
      </c>
      <c r="K272">
        <v>2.6952457283901582E-2</v>
      </c>
      <c r="L272">
        <f t="shared" si="4"/>
        <v>2.6315789473684208</v>
      </c>
      <c r="M272">
        <v>7.0927519168162054E-4</v>
      </c>
      <c r="N272" t="s">
        <v>17</v>
      </c>
      <c r="O272">
        <v>296</v>
      </c>
      <c r="P272" t="s">
        <v>1446</v>
      </c>
    </row>
    <row r="273" spans="1:16" x14ac:dyDescent="0.2">
      <c r="A273" t="s">
        <v>818</v>
      </c>
      <c r="B273" t="s">
        <v>191</v>
      </c>
      <c r="C273">
        <v>8</v>
      </c>
      <c r="D273" t="s">
        <v>17</v>
      </c>
      <c r="E273" t="s">
        <v>17</v>
      </c>
      <c r="F273">
        <v>8</v>
      </c>
      <c r="G273">
        <v>8</v>
      </c>
      <c r="H273" t="s">
        <v>17</v>
      </c>
      <c r="I273" t="s">
        <v>17</v>
      </c>
      <c r="J273">
        <v>8</v>
      </c>
      <c r="K273">
        <v>2.6648482201752317E-2</v>
      </c>
      <c r="L273">
        <f t="shared" si="4"/>
        <v>0.76045627376425851</v>
      </c>
      <c r="M273">
        <v>2.0265005476617732E-4</v>
      </c>
      <c r="N273" t="s">
        <v>17</v>
      </c>
      <c r="O273">
        <v>296</v>
      </c>
      <c r="P273" t="s">
        <v>1446</v>
      </c>
    </row>
    <row r="274" spans="1:16" x14ac:dyDescent="0.2">
      <c r="A274" t="s">
        <v>818</v>
      </c>
      <c r="B274" t="s">
        <v>191</v>
      </c>
      <c r="C274">
        <v>7</v>
      </c>
      <c r="D274" t="s">
        <v>17</v>
      </c>
      <c r="E274" t="s">
        <v>17</v>
      </c>
      <c r="F274">
        <v>5</v>
      </c>
      <c r="G274">
        <v>7</v>
      </c>
      <c r="H274" t="s">
        <v>17</v>
      </c>
      <c r="I274" t="s">
        <v>17</v>
      </c>
      <c r="J274">
        <v>5</v>
      </c>
      <c r="K274">
        <v>2.6648482201752317E-2</v>
      </c>
      <c r="L274">
        <f t="shared" si="4"/>
        <v>0.76045627376425851</v>
      </c>
      <c r="M274">
        <v>2.0265005476617732E-4</v>
      </c>
      <c r="N274" t="s">
        <v>17</v>
      </c>
      <c r="O274">
        <v>296</v>
      </c>
      <c r="P274" t="s">
        <v>1446</v>
      </c>
    </row>
    <row r="275" spans="1:16" x14ac:dyDescent="0.2">
      <c r="A275" t="s">
        <v>818</v>
      </c>
      <c r="B275" t="s">
        <v>191</v>
      </c>
      <c r="C275">
        <v>8</v>
      </c>
      <c r="D275" t="s">
        <v>17</v>
      </c>
      <c r="E275" t="s">
        <v>17</v>
      </c>
      <c r="F275">
        <v>5</v>
      </c>
      <c r="G275">
        <v>8</v>
      </c>
      <c r="H275" t="s">
        <v>17</v>
      </c>
      <c r="I275" t="s">
        <v>17</v>
      </c>
      <c r="J275">
        <v>5</v>
      </c>
      <c r="K275">
        <v>2.6851132256518494E-2</v>
      </c>
      <c r="L275">
        <f t="shared" si="4"/>
        <v>5.283018867924528</v>
      </c>
      <c r="M275">
        <v>1.4185503833632411E-3</v>
      </c>
      <c r="N275" t="s">
        <v>17</v>
      </c>
      <c r="O275">
        <v>296</v>
      </c>
      <c r="P275" t="s">
        <v>1446</v>
      </c>
    </row>
    <row r="276" spans="1:16" x14ac:dyDescent="0.2">
      <c r="A276" t="s">
        <v>818</v>
      </c>
      <c r="B276" t="s">
        <v>191</v>
      </c>
      <c r="C276">
        <v>5</v>
      </c>
      <c r="D276" t="s">
        <v>17</v>
      </c>
      <c r="E276" t="s">
        <v>17</v>
      </c>
      <c r="F276">
        <v>4</v>
      </c>
      <c r="G276">
        <v>5</v>
      </c>
      <c r="H276" t="s">
        <v>17</v>
      </c>
      <c r="I276" t="s">
        <v>17</v>
      </c>
      <c r="J276">
        <v>4</v>
      </c>
      <c r="K276">
        <v>3.252533378997146E-2</v>
      </c>
      <c r="L276">
        <f t="shared" si="4"/>
        <v>5.29595015576324</v>
      </c>
      <c r="M276">
        <v>1.7225254655125072E-3</v>
      </c>
      <c r="N276" t="s">
        <v>17</v>
      </c>
      <c r="O276">
        <v>296</v>
      </c>
      <c r="P276" t="s">
        <v>1446</v>
      </c>
    </row>
    <row r="277" spans="1:16" x14ac:dyDescent="0.2">
      <c r="A277" t="s">
        <v>818</v>
      </c>
      <c r="B277" t="s">
        <v>191</v>
      </c>
      <c r="C277">
        <v>5</v>
      </c>
      <c r="D277" t="s">
        <v>17</v>
      </c>
      <c r="E277" t="s">
        <v>17</v>
      </c>
      <c r="F277">
        <v>3</v>
      </c>
      <c r="G277">
        <v>5</v>
      </c>
      <c r="H277" t="s">
        <v>17</v>
      </c>
      <c r="I277" t="s">
        <v>17</v>
      </c>
      <c r="J277">
        <v>3</v>
      </c>
      <c r="K277">
        <v>2.9384257941095705E-2</v>
      </c>
      <c r="L277">
        <f t="shared" si="4"/>
        <v>0.34482758620689663</v>
      </c>
      <c r="M277">
        <v>1.0132502738308866E-4</v>
      </c>
      <c r="N277" t="s">
        <v>17</v>
      </c>
      <c r="O277">
        <v>296</v>
      </c>
      <c r="P277" t="s">
        <v>1446</v>
      </c>
    </row>
    <row r="278" spans="1:16" x14ac:dyDescent="0.2">
      <c r="A278" t="s">
        <v>818</v>
      </c>
      <c r="B278" t="s">
        <v>191</v>
      </c>
      <c r="C278">
        <v>6</v>
      </c>
      <c r="D278" t="s">
        <v>17</v>
      </c>
      <c r="E278" t="s">
        <v>17</v>
      </c>
      <c r="F278">
        <v>6</v>
      </c>
      <c r="G278">
        <v>6</v>
      </c>
      <c r="H278" t="s">
        <v>17</v>
      </c>
      <c r="I278" t="s">
        <v>17</v>
      </c>
      <c r="J278">
        <v>6</v>
      </c>
      <c r="K278">
        <v>2.8877632804180264E-2</v>
      </c>
      <c r="L278">
        <f t="shared" si="4"/>
        <v>1.754385964912281</v>
      </c>
      <c r="M278">
        <v>5.0662513691544331E-4</v>
      </c>
      <c r="N278" t="s">
        <v>17</v>
      </c>
      <c r="O278">
        <v>296</v>
      </c>
      <c r="P278" t="s">
        <v>1446</v>
      </c>
    </row>
    <row r="279" spans="1:16" x14ac:dyDescent="0.2">
      <c r="A279" t="s">
        <v>818</v>
      </c>
      <c r="B279" t="s">
        <v>191</v>
      </c>
      <c r="C279">
        <v>8</v>
      </c>
      <c r="D279" t="s">
        <v>17</v>
      </c>
      <c r="E279" t="s">
        <v>17</v>
      </c>
      <c r="F279">
        <v>6</v>
      </c>
      <c r="G279">
        <v>8</v>
      </c>
      <c r="H279" t="s">
        <v>17</v>
      </c>
      <c r="I279" t="s">
        <v>17</v>
      </c>
      <c r="J279">
        <v>6</v>
      </c>
      <c r="K279">
        <v>2.462198165409054E-2</v>
      </c>
      <c r="L279">
        <f t="shared" si="4"/>
        <v>3.7037037037037033</v>
      </c>
      <c r="M279">
        <v>9.1192524644779778E-4</v>
      </c>
      <c r="N279" t="s">
        <v>17</v>
      </c>
      <c r="O279">
        <v>296</v>
      </c>
      <c r="P279" t="s">
        <v>1446</v>
      </c>
    </row>
    <row r="280" spans="1:16" x14ac:dyDescent="0.2">
      <c r="A280" t="s">
        <v>818</v>
      </c>
      <c r="B280" t="s">
        <v>191</v>
      </c>
      <c r="C280">
        <v>6</v>
      </c>
      <c r="D280" t="s">
        <v>17</v>
      </c>
      <c r="E280" t="s">
        <v>17</v>
      </c>
      <c r="F280">
        <v>5</v>
      </c>
      <c r="G280">
        <v>6</v>
      </c>
      <c r="H280" t="s">
        <v>17</v>
      </c>
      <c r="I280" t="s">
        <v>17</v>
      </c>
      <c r="J280">
        <v>5</v>
      </c>
      <c r="K280">
        <v>2.8168357612498647E-2</v>
      </c>
      <c r="L280">
        <f t="shared" si="4"/>
        <v>1.4388489208633095</v>
      </c>
      <c r="M280">
        <v>4.0530010953235463E-4</v>
      </c>
      <c r="N280" t="s">
        <v>17</v>
      </c>
      <c r="O280">
        <v>296</v>
      </c>
      <c r="P280" t="s">
        <v>1446</v>
      </c>
    </row>
    <row r="281" spans="1:16" x14ac:dyDescent="0.2">
      <c r="A281" t="s">
        <v>818</v>
      </c>
      <c r="B281" t="s">
        <v>191</v>
      </c>
      <c r="C281">
        <v>9</v>
      </c>
      <c r="D281" t="s">
        <v>17</v>
      </c>
      <c r="E281" t="s">
        <v>17</v>
      </c>
      <c r="F281">
        <v>9</v>
      </c>
      <c r="G281">
        <v>9</v>
      </c>
      <c r="H281" t="s">
        <v>17</v>
      </c>
      <c r="I281" t="s">
        <v>17</v>
      </c>
      <c r="J281">
        <v>9</v>
      </c>
      <c r="K281">
        <v>2.8168357612498647E-2</v>
      </c>
      <c r="L281">
        <f t="shared" si="4"/>
        <v>1.4388489208633095</v>
      </c>
      <c r="M281">
        <v>4.0530010953235463E-4</v>
      </c>
      <c r="N281" t="s">
        <v>17</v>
      </c>
      <c r="O281">
        <v>296</v>
      </c>
      <c r="P281" t="s">
        <v>1446</v>
      </c>
    </row>
    <row r="282" spans="1:16" x14ac:dyDescent="0.2">
      <c r="A282" t="s">
        <v>818</v>
      </c>
      <c r="B282" t="s">
        <v>191</v>
      </c>
      <c r="C282">
        <v>6</v>
      </c>
      <c r="D282" t="s">
        <v>17</v>
      </c>
      <c r="E282" t="s">
        <v>17</v>
      </c>
      <c r="F282">
        <v>4</v>
      </c>
      <c r="G282">
        <v>6</v>
      </c>
      <c r="H282" t="s">
        <v>17</v>
      </c>
      <c r="I282" t="s">
        <v>17</v>
      </c>
      <c r="J282">
        <v>4</v>
      </c>
      <c r="K282">
        <v>2.7763057502966291E-2</v>
      </c>
      <c r="L282">
        <f t="shared" si="4"/>
        <v>3.6496350364963508</v>
      </c>
      <c r="M282">
        <v>1.0132502738308866E-3</v>
      </c>
      <c r="N282" t="s">
        <v>17</v>
      </c>
      <c r="O282">
        <v>296</v>
      </c>
      <c r="P282" t="s">
        <v>1446</v>
      </c>
    </row>
    <row r="283" spans="1:16" x14ac:dyDescent="0.2">
      <c r="A283" t="s">
        <v>818</v>
      </c>
      <c r="B283" t="s">
        <v>191</v>
      </c>
      <c r="C283">
        <v>7</v>
      </c>
      <c r="D283" t="s">
        <v>17</v>
      </c>
      <c r="E283" t="s">
        <v>17</v>
      </c>
      <c r="F283">
        <v>7</v>
      </c>
      <c r="G283">
        <v>7</v>
      </c>
      <c r="H283" t="s">
        <v>17</v>
      </c>
      <c r="I283" t="s">
        <v>17</v>
      </c>
      <c r="J283">
        <v>7</v>
      </c>
      <c r="K283">
        <v>2.6952457283901582E-2</v>
      </c>
      <c r="L283">
        <f t="shared" si="4"/>
        <v>0.37593984962406019</v>
      </c>
      <c r="M283">
        <v>1.0132502738308866E-4</v>
      </c>
      <c r="N283" t="s">
        <v>17</v>
      </c>
      <c r="O283">
        <v>296</v>
      </c>
      <c r="P283" t="s">
        <v>1446</v>
      </c>
    </row>
    <row r="284" spans="1:16" x14ac:dyDescent="0.2">
      <c r="A284" t="s">
        <v>818</v>
      </c>
      <c r="B284" t="s">
        <v>191</v>
      </c>
      <c r="C284">
        <v>6</v>
      </c>
      <c r="D284" t="s">
        <v>17</v>
      </c>
      <c r="E284" t="s">
        <v>17</v>
      </c>
      <c r="F284">
        <v>3</v>
      </c>
      <c r="G284">
        <v>6</v>
      </c>
      <c r="H284" t="s">
        <v>17</v>
      </c>
      <c r="I284" t="s">
        <v>17</v>
      </c>
      <c r="J284">
        <v>3</v>
      </c>
      <c r="K284">
        <v>2.8978957831563353E-2</v>
      </c>
      <c r="L284">
        <f t="shared" si="4"/>
        <v>3.4965034965034967</v>
      </c>
      <c r="M284">
        <v>1.0132502738308866E-3</v>
      </c>
      <c r="N284" t="s">
        <v>17</v>
      </c>
      <c r="O284">
        <v>296</v>
      </c>
      <c r="P284" t="s">
        <v>1446</v>
      </c>
    </row>
    <row r="285" spans="1:16" x14ac:dyDescent="0.2">
      <c r="A285" t="s">
        <v>818</v>
      </c>
      <c r="B285" t="s">
        <v>191</v>
      </c>
      <c r="C285">
        <v>9</v>
      </c>
      <c r="D285" t="s">
        <v>17</v>
      </c>
      <c r="E285" t="s">
        <v>17</v>
      </c>
      <c r="F285">
        <v>8</v>
      </c>
      <c r="G285">
        <v>9</v>
      </c>
      <c r="H285" t="s">
        <v>17</v>
      </c>
      <c r="I285" t="s">
        <v>17</v>
      </c>
      <c r="J285">
        <v>8</v>
      </c>
      <c r="K285">
        <v>2.350740635287657E-2</v>
      </c>
      <c r="L285">
        <f t="shared" si="4"/>
        <v>3.4482758620689653</v>
      </c>
      <c r="M285">
        <v>8.1060021906470927E-4</v>
      </c>
      <c r="N285" t="s">
        <v>17</v>
      </c>
      <c r="O285">
        <v>296</v>
      </c>
      <c r="P285" t="s">
        <v>1446</v>
      </c>
    </row>
    <row r="286" spans="1:16" x14ac:dyDescent="0.2">
      <c r="A286" t="s">
        <v>818</v>
      </c>
      <c r="B286" t="s">
        <v>191</v>
      </c>
      <c r="C286">
        <v>7</v>
      </c>
      <c r="D286" t="s">
        <v>17</v>
      </c>
      <c r="E286" t="s">
        <v>17</v>
      </c>
      <c r="F286">
        <v>6</v>
      </c>
      <c r="G286">
        <v>7</v>
      </c>
      <c r="H286" t="s">
        <v>17</v>
      </c>
      <c r="I286" t="s">
        <v>17</v>
      </c>
      <c r="J286">
        <v>6</v>
      </c>
      <c r="K286">
        <v>2.989088307801115E-2</v>
      </c>
      <c r="L286">
        <f t="shared" si="4"/>
        <v>6.779661016949154</v>
      </c>
      <c r="M286">
        <v>2.0265005476617732E-3</v>
      </c>
      <c r="N286" t="s">
        <v>17</v>
      </c>
      <c r="O286">
        <v>296</v>
      </c>
      <c r="P286" t="s">
        <v>1446</v>
      </c>
    </row>
    <row r="287" spans="1:16" x14ac:dyDescent="0.2">
      <c r="A287" t="s">
        <v>818</v>
      </c>
      <c r="B287" t="s">
        <v>191</v>
      </c>
      <c r="C287">
        <v>9</v>
      </c>
      <c r="D287" t="s">
        <v>17</v>
      </c>
      <c r="E287" t="s">
        <v>17</v>
      </c>
      <c r="F287">
        <v>6</v>
      </c>
      <c r="G287">
        <v>9</v>
      </c>
      <c r="H287" t="s">
        <v>17</v>
      </c>
      <c r="I287" t="s">
        <v>17</v>
      </c>
      <c r="J287">
        <v>6</v>
      </c>
      <c r="K287">
        <v>2.9586907995861885E-2</v>
      </c>
      <c r="L287">
        <f t="shared" si="4"/>
        <v>10.273972602739725</v>
      </c>
      <c r="M287">
        <v>3.0397508214926594E-3</v>
      </c>
      <c r="N287" t="s">
        <v>17</v>
      </c>
      <c r="O287">
        <v>296</v>
      </c>
      <c r="P287" t="s">
        <v>1446</v>
      </c>
    </row>
    <row r="288" spans="1:16" x14ac:dyDescent="0.2">
      <c r="A288" t="s">
        <v>818</v>
      </c>
      <c r="B288" t="s">
        <v>191</v>
      </c>
      <c r="C288">
        <v>7</v>
      </c>
      <c r="D288" t="s">
        <v>17</v>
      </c>
      <c r="E288" t="s">
        <v>17</v>
      </c>
      <c r="F288">
        <v>5</v>
      </c>
      <c r="G288">
        <v>7</v>
      </c>
      <c r="H288" t="s">
        <v>17</v>
      </c>
      <c r="I288" t="s">
        <v>17</v>
      </c>
      <c r="J288">
        <v>5</v>
      </c>
      <c r="K288">
        <v>2.553390690053834E-2</v>
      </c>
      <c r="L288">
        <f t="shared" si="4"/>
        <v>1.5873015873015877</v>
      </c>
      <c r="M288">
        <v>4.0530010953235463E-4</v>
      </c>
      <c r="N288" t="s">
        <v>17</v>
      </c>
      <c r="O288">
        <v>296</v>
      </c>
      <c r="P288" t="s">
        <v>1446</v>
      </c>
    </row>
    <row r="289" spans="1:16" x14ac:dyDescent="0.2">
      <c r="A289" t="s">
        <v>818</v>
      </c>
      <c r="B289" t="s">
        <v>191</v>
      </c>
      <c r="C289">
        <v>8</v>
      </c>
      <c r="D289" t="s">
        <v>17</v>
      </c>
      <c r="E289" t="s">
        <v>17</v>
      </c>
      <c r="F289">
        <v>8</v>
      </c>
      <c r="G289">
        <v>8</v>
      </c>
      <c r="H289" t="s">
        <v>17</v>
      </c>
      <c r="I289" t="s">
        <v>17</v>
      </c>
      <c r="J289">
        <v>8</v>
      </c>
      <c r="K289">
        <v>2.9080282858946441E-2</v>
      </c>
      <c r="L289">
        <f t="shared" si="4"/>
        <v>6.620209059233451</v>
      </c>
      <c r="M289">
        <v>1.9251755202786844E-3</v>
      </c>
      <c r="N289" t="s">
        <v>17</v>
      </c>
      <c r="O289">
        <v>296</v>
      </c>
      <c r="P289" t="s">
        <v>1446</v>
      </c>
    </row>
    <row r="290" spans="1:16" x14ac:dyDescent="0.2">
      <c r="A290" t="s">
        <v>818</v>
      </c>
      <c r="B290" t="s">
        <v>191</v>
      </c>
      <c r="C290">
        <v>8</v>
      </c>
      <c r="D290" t="s">
        <v>17</v>
      </c>
      <c r="E290" t="s">
        <v>17</v>
      </c>
      <c r="F290">
        <v>7</v>
      </c>
      <c r="G290">
        <v>8</v>
      </c>
      <c r="H290" t="s">
        <v>17</v>
      </c>
      <c r="I290" t="s">
        <v>17</v>
      </c>
      <c r="J290">
        <v>7</v>
      </c>
      <c r="K290">
        <v>2.5736556955304517E-2</v>
      </c>
      <c r="L290">
        <f t="shared" si="4"/>
        <v>1.5748031496062995</v>
      </c>
      <c r="M290">
        <v>4.0530010953235463E-4</v>
      </c>
      <c r="N290" t="s">
        <v>17</v>
      </c>
      <c r="O290">
        <v>296</v>
      </c>
      <c r="P290" t="s">
        <v>1446</v>
      </c>
    </row>
    <row r="291" spans="1:16" x14ac:dyDescent="0.2">
      <c r="A291" t="s">
        <v>818</v>
      </c>
      <c r="B291" t="s">
        <v>191</v>
      </c>
      <c r="C291">
        <v>8</v>
      </c>
      <c r="D291" t="s">
        <v>17</v>
      </c>
      <c r="E291" t="s">
        <v>17</v>
      </c>
      <c r="F291">
        <v>6</v>
      </c>
      <c r="G291">
        <v>8</v>
      </c>
      <c r="H291" t="s">
        <v>17</v>
      </c>
      <c r="I291" t="s">
        <v>17</v>
      </c>
      <c r="J291">
        <v>6</v>
      </c>
      <c r="K291">
        <v>2.5229931818389072E-2</v>
      </c>
      <c r="L291">
        <f t="shared" si="4"/>
        <v>2.811244979919679</v>
      </c>
      <c r="M291">
        <v>7.0927519168162054E-4</v>
      </c>
      <c r="N291" t="s">
        <v>17</v>
      </c>
      <c r="O291">
        <v>296</v>
      </c>
      <c r="P291" t="s">
        <v>1446</v>
      </c>
    </row>
    <row r="292" spans="1:16" x14ac:dyDescent="0.2">
      <c r="A292" t="s">
        <v>818</v>
      </c>
      <c r="B292" t="s">
        <v>818</v>
      </c>
      <c r="C292">
        <v>4</v>
      </c>
      <c r="D292" t="s">
        <v>17</v>
      </c>
      <c r="E292" t="s">
        <v>17</v>
      </c>
      <c r="F292">
        <v>3</v>
      </c>
      <c r="G292">
        <v>3</v>
      </c>
      <c r="H292" t="s">
        <v>17</v>
      </c>
      <c r="I292" t="s">
        <v>17</v>
      </c>
      <c r="J292">
        <v>3</v>
      </c>
      <c r="K292">
        <v>0.63095094551449304</v>
      </c>
      <c r="L292">
        <f t="shared" si="4"/>
        <v>0.22482736470210374</v>
      </c>
      <c r="M292">
        <v>1.4185503833632411E-3</v>
      </c>
      <c r="N292" t="s">
        <v>17</v>
      </c>
      <c r="O292">
        <v>296</v>
      </c>
      <c r="P292" t="s">
        <v>1446</v>
      </c>
    </row>
    <row r="293" spans="1:16" x14ac:dyDescent="0.2">
      <c r="A293" t="s">
        <v>818</v>
      </c>
      <c r="B293" t="s">
        <v>818</v>
      </c>
      <c r="C293">
        <v>4</v>
      </c>
      <c r="D293" t="s">
        <v>17</v>
      </c>
      <c r="E293" t="s">
        <v>17</v>
      </c>
      <c r="F293">
        <v>2</v>
      </c>
      <c r="G293">
        <v>3</v>
      </c>
      <c r="H293" t="s">
        <v>17</v>
      </c>
      <c r="I293" t="s">
        <v>17</v>
      </c>
      <c r="J293">
        <v>2</v>
      </c>
      <c r="K293">
        <v>0.50449731134039844</v>
      </c>
      <c r="L293">
        <f t="shared" si="4"/>
        <v>0.24101225145611568</v>
      </c>
      <c r="M293">
        <v>1.2159003285970638E-3</v>
      </c>
      <c r="N293" t="s">
        <v>17</v>
      </c>
      <c r="O293">
        <v>296</v>
      </c>
      <c r="P293" t="s">
        <v>1446</v>
      </c>
    </row>
    <row r="294" spans="1:16" x14ac:dyDescent="0.2">
      <c r="A294" t="s">
        <v>818</v>
      </c>
      <c r="B294" t="s">
        <v>818</v>
      </c>
      <c r="C294">
        <v>4</v>
      </c>
      <c r="D294" t="s">
        <v>17</v>
      </c>
      <c r="E294" t="s">
        <v>17</v>
      </c>
      <c r="F294">
        <v>1</v>
      </c>
      <c r="G294">
        <v>3</v>
      </c>
      <c r="H294" t="s">
        <v>17</v>
      </c>
      <c r="I294" t="s">
        <v>17</v>
      </c>
      <c r="J294">
        <v>1</v>
      </c>
      <c r="K294">
        <v>0.38645365443910012</v>
      </c>
      <c r="L294">
        <f t="shared" si="4"/>
        <v>0.62926061877294182</v>
      </c>
      <c r="M294">
        <v>2.4318006571941277E-3</v>
      </c>
      <c r="N294" t="s">
        <v>17</v>
      </c>
      <c r="O294">
        <v>296</v>
      </c>
      <c r="P294" t="s">
        <v>1446</v>
      </c>
    </row>
    <row r="295" spans="1:16" x14ac:dyDescent="0.2">
      <c r="A295" t="s">
        <v>818</v>
      </c>
      <c r="B295" t="s">
        <v>818</v>
      </c>
      <c r="C295">
        <v>4</v>
      </c>
      <c r="D295" t="s">
        <v>17</v>
      </c>
      <c r="E295" t="s">
        <v>17</v>
      </c>
      <c r="F295">
        <v>0</v>
      </c>
      <c r="G295">
        <v>3</v>
      </c>
      <c r="H295" t="s">
        <v>17</v>
      </c>
      <c r="I295" t="s">
        <v>17</v>
      </c>
      <c r="J295">
        <v>0</v>
      </c>
      <c r="K295">
        <v>0.30529230750524611</v>
      </c>
      <c r="L295">
        <f t="shared" si="4"/>
        <v>0.53103219382675082</v>
      </c>
      <c r="M295">
        <v>1.6212004381294185E-3</v>
      </c>
      <c r="N295" t="s">
        <v>17</v>
      </c>
      <c r="O295">
        <v>296</v>
      </c>
      <c r="P295" t="s">
        <v>1446</v>
      </c>
    </row>
    <row r="296" spans="1:16" x14ac:dyDescent="0.2">
      <c r="A296" t="s">
        <v>818</v>
      </c>
      <c r="B296" t="s">
        <v>818</v>
      </c>
      <c r="C296">
        <v>4</v>
      </c>
      <c r="D296" t="s">
        <v>17</v>
      </c>
      <c r="E296" t="s">
        <v>17</v>
      </c>
      <c r="F296">
        <v>3</v>
      </c>
      <c r="G296">
        <v>3</v>
      </c>
      <c r="H296" t="s">
        <v>17</v>
      </c>
      <c r="I296" t="s">
        <v>17</v>
      </c>
      <c r="J296">
        <v>3</v>
      </c>
      <c r="K296">
        <v>0.62750589458346795</v>
      </c>
      <c r="L296">
        <f t="shared" si="4"/>
        <v>0.53285968028419195</v>
      </c>
      <c r="M296">
        <v>3.3437259036419257E-3</v>
      </c>
      <c r="N296" t="s">
        <v>17</v>
      </c>
      <c r="O296">
        <v>296</v>
      </c>
      <c r="P296" t="s">
        <v>1446</v>
      </c>
    </row>
    <row r="297" spans="1:16" x14ac:dyDescent="0.2">
      <c r="A297" t="s">
        <v>818</v>
      </c>
      <c r="B297" t="s">
        <v>818</v>
      </c>
      <c r="C297">
        <v>4</v>
      </c>
      <c r="D297" t="s">
        <v>17</v>
      </c>
      <c r="E297" t="s">
        <v>17</v>
      </c>
      <c r="F297">
        <v>2</v>
      </c>
      <c r="G297">
        <v>3</v>
      </c>
      <c r="H297" t="s">
        <v>17</v>
      </c>
      <c r="I297" t="s">
        <v>17</v>
      </c>
      <c r="J297">
        <v>2</v>
      </c>
      <c r="K297">
        <v>0.50348406106656751</v>
      </c>
      <c r="L297">
        <f t="shared" si="4"/>
        <v>0.74461662306299048</v>
      </c>
      <c r="M297">
        <v>3.7490260131742797E-3</v>
      </c>
      <c r="N297" t="s">
        <v>17</v>
      </c>
      <c r="O297">
        <v>296</v>
      </c>
      <c r="P297" t="s">
        <v>1446</v>
      </c>
    </row>
    <row r="298" spans="1:16" x14ac:dyDescent="0.2">
      <c r="A298" t="s">
        <v>818</v>
      </c>
      <c r="B298" t="s">
        <v>818</v>
      </c>
      <c r="C298">
        <v>4</v>
      </c>
      <c r="D298" t="s">
        <v>17</v>
      </c>
      <c r="E298" t="s">
        <v>17</v>
      </c>
      <c r="F298">
        <v>1</v>
      </c>
      <c r="G298">
        <v>3</v>
      </c>
      <c r="H298" t="s">
        <v>17</v>
      </c>
      <c r="I298" t="s">
        <v>17</v>
      </c>
      <c r="J298">
        <v>1</v>
      </c>
      <c r="K298">
        <v>0.37905692744013464</v>
      </c>
      <c r="L298">
        <f t="shared" si="4"/>
        <v>0.29403902699812878</v>
      </c>
      <c r="M298">
        <v>1.114575301213975E-3</v>
      </c>
      <c r="N298" t="s">
        <v>17</v>
      </c>
      <c r="O298">
        <v>296</v>
      </c>
      <c r="P298" t="s">
        <v>1446</v>
      </c>
    </row>
    <row r="299" spans="1:16" x14ac:dyDescent="0.2">
      <c r="A299" t="s">
        <v>818</v>
      </c>
      <c r="B299" t="s">
        <v>818</v>
      </c>
      <c r="C299">
        <v>2</v>
      </c>
      <c r="D299" t="s">
        <v>17</v>
      </c>
      <c r="E299" t="s">
        <v>17</v>
      </c>
      <c r="F299">
        <v>1</v>
      </c>
      <c r="G299">
        <v>1</v>
      </c>
      <c r="H299" t="s">
        <v>17</v>
      </c>
      <c r="I299" t="s">
        <v>17</v>
      </c>
      <c r="J299">
        <v>1</v>
      </c>
      <c r="K299">
        <v>0.5316524186790661</v>
      </c>
      <c r="L299">
        <f t="shared" si="4"/>
        <v>0.64798932723461034</v>
      </c>
      <c r="M299">
        <v>3.4450509310250143E-3</v>
      </c>
      <c r="N299" t="s">
        <v>17</v>
      </c>
      <c r="O299">
        <v>296</v>
      </c>
      <c r="P299" t="s">
        <v>1446</v>
      </c>
    </row>
    <row r="300" spans="1:16" x14ac:dyDescent="0.2">
      <c r="A300" t="s">
        <v>818</v>
      </c>
      <c r="B300" t="s">
        <v>818</v>
      </c>
      <c r="C300">
        <v>2</v>
      </c>
      <c r="D300" t="s">
        <v>17</v>
      </c>
      <c r="E300" t="s">
        <v>17</v>
      </c>
      <c r="F300">
        <v>0</v>
      </c>
      <c r="G300">
        <v>1</v>
      </c>
      <c r="H300" t="s">
        <v>17</v>
      </c>
      <c r="I300" t="s">
        <v>17</v>
      </c>
      <c r="J300">
        <v>0</v>
      </c>
      <c r="K300">
        <v>0.25250196823865689</v>
      </c>
      <c r="L300">
        <f t="shared" si="4"/>
        <v>0.8828250401284109</v>
      </c>
      <c r="M300">
        <v>2.22915060242795E-3</v>
      </c>
      <c r="N300" t="s">
        <v>17</v>
      </c>
      <c r="O300">
        <v>296</v>
      </c>
      <c r="P300" t="s">
        <v>1446</v>
      </c>
    </row>
    <row r="301" spans="1:16" x14ac:dyDescent="0.2">
      <c r="A301" t="s">
        <v>818</v>
      </c>
      <c r="B301" t="s">
        <v>818</v>
      </c>
      <c r="C301">
        <v>2</v>
      </c>
      <c r="D301" t="s">
        <v>17</v>
      </c>
      <c r="E301" t="s">
        <v>17</v>
      </c>
      <c r="F301">
        <v>1</v>
      </c>
      <c r="G301">
        <v>1</v>
      </c>
      <c r="H301" t="s">
        <v>17</v>
      </c>
      <c r="I301" t="s">
        <v>17</v>
      </c>
      <c r="J301">
        <v>1</v>
      </c>
      <c r="K301">
        <v>0.52314111637888672</v>
      </c>
      <c r="L301">
        <f t="shared" si="4"/>
        <v>0.2517915940344761</v>
      </c>
      <c r="M301">
        <v>1.3172253559801525E-3</v>
      </c>
      <c r="N301" t="s">
        <v>17</v>
      </c>
      <c r="O301">
        <v>296</v>
      </c>
      <c r="P301" t="s">
        <v>1446</v>
      </c>
    </row>
    <row r="302" spans="1:16" x14ac:dyDescent="0.2">
      <c r="A302" t="s">
        <v>818</v>
      </c>
      <c r="B302" t="s">
        <v>818</v>
      </c>
      <c r="C302">
        <v>2</v>
      </c>
      <c r="D302" t="s">
        <v>17</v>
      </c>
      <c r="E302" t="s">
        <v>17</v>
      </c>
      <c r="F302">
        <v>0</v>
      </c>
      <c r="G302">
        <v>0</v>
      </c>
      <c r="H302" t="s">
        <v>17</v>
      </c>
      <c r="I302" t="s">
        <v>17</v>
      </c>
      <c r="J302">
        <v>0</v>
      </c>
      <c r="K302">
        <v>0.33498054052849108</v>
      </c>
      <c r="L302">
        <f t="shared" si="4"/>
        <v>2.0568663036902604</v>
      </c>
      <c r="M302">
        <v>6.8901018620500286E-3</v>
      </c>
      <c r="N302" t="s">
        <v>17</v>
      </c>
      <c r="O302">
        <v>296</v>
      </c>
      <c r="P302" t="s">
        <v>1446</v>
      </c>
    </row>
    <row r="303" spans="1:16" x14ac:dyDescent="0.2">
      <c r="A303" t="s">
        <v>818</v>
      </c>
      <c r="B303" t="s">
        <v>818</v>
      </c>
      <c r="C303">
        <v>1</v>
      </c>
      <c r="D303" t="s">
        <v>17</v>
      </c>
      <c r="E303" t="s">
        <v>17</v>
      </c>
      <c r="F303">
        <v>1</v>
      </c>
      <c r="G303">
        <v>1</v>
      </c>
      <c r="H303" t="s">
        <v>17</v>
      </c>
      <c r="I303" t="s">
        <v>17</v>
      </c>
      <c r="J303">
        <v>1</v>
      </c>
      <c r="K303">
        <v>0.59265008516368556</v>
      </c>
      <c r="L303">
        <f t="shared" si="4"/>
        <v>0.82065310309454609</v>
      </c>
      <c r="M303">
        <v>4.8636013143882554E-3</v>
      </c>
      <c r="N303" t="s">
        <v>17</v>
      </c>
      <c r="O303">
        <v>296</v>
      </c>
      <c r="P303" t="s">
        <v>1446</v>
      </c>
    </row>
    <row r="304" spans="1:16" x14ac:dyDescent="0.2">
      <c r="A304" t="s">
        <v>818</v>
      </c>
      <c r="B304" t="s">
        <v>818</v>
      </c>
      <c r="C304">
        <v>2</v>
      </c>
      <c r="D304" t="s">
        <v>17</v>
      </c>
      <c r="E304" t="s">
        <v>17</v>
      </c>
      <c r="F304">
        <v>2</v>
      </c>
      <c r="G304">
        <v>2</v>
      </c>
      <c r="H304" t="s">
        <v>17</v>
      </c>
      <c r="I304" t="s">
        <v>17</v>
      </c>
      <c r="J304">
        <v>2</v>
      </c>
      <c r="K304">
        <v>0.63500394660981663</v>
      </c>
      <c r="L304">
        <f t="shared" si="4"/>
        <v>0.89356949098452187</v>
      </c>
      <c r="M304">
        <v>5.6742015334529643E-3</v>
      </c>
      <c r="N304" t="s">
        <v>17</v>
      </c>
      <c r="O304">
        <v>296</v>
      </c>
      <c r="P304" t="s">
        <v>1446</v>
      </c>
    </row>
    <row r="305" spans="1:16" x14ac:dyDescent="0.2">
      <c r="A305" t="s">
        <v>818</v>
      </c>
      <c r="B305" t="s">
        <v>818</v>
      </c>
      <c r="C305">
        <v>2</v>
      </c>
      <c r="D305" t="s">
        <v>17</v>
      </c>
      <c r="E305" t="s">
        <v>17</v>
      </c>
      <c r="F305">
        <v>1</v>
      </c>
      <c r="G305">
        <v>2</v>
      </c>
      <c r="H305" t="s">
        <v>17</v>
      </c>
      <c r="I305" t="s">
        <v>17</v>
      </c>
      <c r="J305">
        <v>1</v>
      </c>
      <c r="K305">
        <v>0.39618085706787665</v>
      </c>
      <c r="L305">
        <f t="shared" si="4"/>
        <v>2.5575447570332481</v>
      </c>
      <c r="M305">
        <v>1.0132502738308865E-2</v>
      </c>
      <c r="N305" t="s">
        <v>17</v>
      </c>
      <c r="O305">
        <v>296</v>
      </c>
      <c r="P305" t="s">
        <v>1446</v>
      </c>
    </row>
    <row r="306" spans="1:16" x14ac:dyDescent="0.2">
      <c r="A306" t="s">
        <v>818</v>
      </c>
      <c r="B306" t="s">
        <v>818</v>
      </c>
      <c r="C306">
        <v>3</v>
      </c>
      <c r="D306" t="s">
        <v>17</v>
      </c>
      <c r="E306" t="s">
        <v>17</v>
      </c>
      <c r="F306">
        <v>3</v>
      </c>
      <c r="G306">
        <v>3</v>
      </c>
      <c r="H306" t="s">
        <v>17</v>
      </c>
      <c r="I306" t="s">
        <v>17</v>
      </c>
      <c r="J306">
        <v>3</v>
      </c>
      <c r="K306">
        <v>0.65618087733288211</v>
      </c>
      <c r="L306">
        <f t="shared" si="4"/>
        <v>0.61766522544780733</v>
      </c>
      <c r="M306">
        <v>4.0530010953235465E-3</v>
      </c>
      <c r="N306" t="s">
        <v>17</v>
      </c>
      <c r="O306">
        <v>296</v>
      </c>
      <c r="P306" t="s">
        <v>1446</v>
      </c>
    </row>
    <row r="307" spans="1:16" x14ac:dyDescent="0.2">
      <c r="A307" t="s">
        <v>818</v>
      </c>
      <c r="B307" t="s">
        <v>818</v>
      </c>
      <c r="C307">
        <v>3</v>
      </c>
      <c r="D307" t="s">
        <v>17</v>
      </c>
      <c r="E307" t="s">
        <v>17</v>
      </c>
      <c r="F307">
        <v>2</v>
      </c>
      <c r="G307">
        <v>3</v>
      </c>
      <c r="H307" t="s">
        <v>17</v>
      </c>
      <c r="I307" t="s">
        <v>17</v>
      </c>
      <c r="J307">
        <v>2</v>
      </c>
      <c r="K307">
        <v>0.50925958762740353</v>
      </c>
      <c r="L307">
        <f t="shared" si="4"/>
        <v>2.9048945483485871</v>
      </c>
      <c r="M307">
        <v>1.4793453997930943E-2</v>
      </c>
      <c r="N307" t="s">
        <v>17</v>
      </c>
      <c r="O307">
        <v>296</v>
      </c>
      <c r="P307" t="s">
        <v>1446</v>
      </c>
    </row>
    <row r="308" spans="1:16" x14ac:dyDescent="0.2">
      <c r="A308" t="s">
        <v>818</v>
      </c>
      <c r="B308" t="s">
        <v>818</v>
      </c>
      <c r="C308">
        <v>3</v>
      </c>
      <c r="D308" t="s">
        <v>17</v>
      </c>
      <c r="E308" t="s">
        <v>17</v>
      </c>
      <c r="F308">
        <v>1</v>
      </c>
      <c r="G308">
        <v>3</v>
      </c>
      <c r="H308" t="s">
        <v>17</v>
      </c>
      <c r="I308" t="s">
        <v>17</v>
      </c>
      <c r="J308">
        <v>1</v>
      </c>
      <c r="K308">
        <v>0.33710836610353595</v>
      </c>
      <c r="L308">
        <f t="shared" si="4"/>
        <v>1.6230838593327321</v>
      </c>
      <c r="M308">
        <v>5.4715514786867871E-3</v>
      </c>
      <c r="N308" t="s">
        <v>17</v>
      </c>
      <c r="O308">
        <v>296</v>
      </c>
      <c r="P308" t="s">
        <v>1446</v>
      </c>
    </row>
    <row r="309" spans="1:16" x14ac:dyDescent="0.2">
      <c r="A309" t="s">
        <v>818</v>
      </c>
      <c r="B309" t="s">
        <v>818</v>
      </c>
      <c r="C309">
        <v>4</v>
      </c>
      <c r="D309" t="s">
        <v>17</v>
      </c>
      <c r="E309" t="s">
        <v>17</v>
      </c>
      <c r="F309">
        <v>4</v>
      </c>
      <c r="G309">
        <v>4</v>
      </c>
      <c r="H309" t="s">
        <v>17</v>
      </c>
      <c r="I309" t="s">
        <v>17</v>
      </c>
      <c r="J309">
        <v>4</v>
      </c>
      <c r="K309">
        <v>0.65070932585419528</v>
      </c>
      <c r="L309">
        <f t="shared" si="4"/>
        <v>0.45157271877919658</v>
      </c>
      <c r="M309">
        <v>2.9384257941095712E-3</v>
      </c>
      <c r="N309" t="s">
        <v>17</v>
      </c>
      <c r="O309">
        <v>296</v>
      </c>
      <c r="P309" t="s">
        <v>1446</v>
      </c>
    </row>
    <row r="310" spans="1:16" x14ac:dyDescent="0.2">
      <c r="A310" t="s">
        <v>818</v>
      </c>
      <c r="B310" t="s">
        <v>818</v>
      </c>
      <c r="C310">
        <v>4</v>
      </c>
      <c r="D310" t="s">
        <v>17</v>
      </c>
      <c r="E310" t="s">
        <v>17</v>
      </c>
      <c r="F310">
        <v>3</v>
      </c>
      <c r="G310">
        <v>4</v>
      </c>
      <c r="H310" t="s">
        <v>17</v>
      </c>
      <c r="I310" t="s">
        <v>17</v>
      </c>
      <c r="J310">
        <v>3</v>
      </c>
      <c r="K310">
        <v>0.54360877191027068</v>
      </c>
      <c r="L310">
        <f t="shared" si="4"/>
        <v>0.37278657968313139</v>
      </c>
      <c r="M310">
        <v>2.0265005476617732E-3</v>
      </c>
      <c r="N310" t="s">
        <v>17</v>
      </c>
      <c r="O310">
        <v>296</v>
      </c>
      <c r="P310" t="s">
        <v>1446</v>
      </c>
    </row>
    <row r="311" spans="1:16" x14ac:dyDescent="0.2">
      <c r="A311" t="s">
        <v>818</v>
      </c>
      <c r="B311" t="s">
        <v>818</v>
      </c>
      <c r="C311">
        <v>5</v>
      </c>
      <c r="D311" t="s">
        <v>17</v>
      </c>
      <c r="E311" t="s">
        <v>17</v>
      </c>
      <c r="F311">
        <v>5</v>
      </c>
      <c r="G311">
        <v>5</v>
      </c>
      <c r="H311" t="s">
        <v>17</v>
      </c>
      <c r="I311" t="s">
        <v>17</v>
      </c>
      <c r="J311">
        <v>5</v>
      </c>
      <c r="K311">
        <v>0.64898680038868284</v>
      </c>
      <c r="L311">
        <f t="shared" si="4"/>
        <v>0.17174082747853237</v>
      </c>
      <c r="M311">
        <v>1.114575301213975E-3</v>
      </c>
      <c r="N311" t="s">
        <v>17</v>
      </c>
      <c r="O311">
        <v>296</v>
      </c>
      <c r="P311" t="s">
        <v>1446</v>
      </c>
    </row>
    <row r="312" spans="1:16" x14ac:dyDescent="0.2">
      <c r="A312" t="s">
        <v>818</v>
      </c>
      <c r="B312" t="s">
        <v>818</v>
      </c>
      <c r="C312">
        <v>4</v>
      </c>
      <c r="D312" t="s">
        <v>17</v>
      </c>
      <c r="E312" t="s">
        <v>17</v>
      </c>
      <c r="F312">
        <v>2</v>
      </c>
      <c r="G312">
        <v>4</v>
      </c>
      <c r="H312" t="s">
        <v>17</v>
      </c>
      <c r="I312" t="s">
        <v>17</v>
      </c>
      <c r="J312">
        <v>2</v>
      </c>
      <c r="K312">
        <v>0.43894001862354004</v>
      </c>
      <c r="L312">
        <f t="shared" si="4"/>
        <v>1.7543859649122806</v>
      </c>
      <c r="M312">
        <v>7.7007020811147376E-3</v>
      </c>
      <c r="N312" t="s">
        <v>17</v>
      </c>
      <c r="O312">
        <v>296</v>
      </c>
      <c r="P312" t="s">
        <v>1446</v>
      </c>
    </row>
    <row r="313" spans="1:16" x14ac:dyDescent="0.2">
      <c r="A313" t="s">
        <v>818</v>
      </c>
      <c r="B313" t="s">
        <v>818</v>
      </c>
      <c r="C313">
        <v>1</v>
      </c>
      <c r="D313" t="s">
        <v>17</v>
      </c>
      <c r="E313" t="s">
        <v>17</v>
      </c>
      <c r="F313">
        <v>1</v>
      </c>
      <c r="G313">
        <v>1</v>
      </c>
      <c r="H313" t="s">
        <v>17</v>
      </c>
      <c r="I313" t="s">
        <v>17</v>
      </c>
      <c r="J313">
        <v>1</v>
      </c>
      <c r="K313">
        <v>0.58727985871238186</v>
      </c>
      <c r="L313">
        <f t="shared" si="4"/>
        <v>1.9496204278812976</v>
      </c>
      <c r="M313">
        <v>1.1449728094289019E-2</v>
      </c>
      <c r="N313" t="s">
        <v>17</v>
      </c>
      <c r="O313">
        <v>296</v>
      </c>
      <c r="P313" t="s">
        <v>1446</v>
      </c>
    </row>
    <row r="314" spans="1:16" x14ac:dyDescent="0.2">
      <c r="A314" t="s">
        <v>818</v>
      </c>
      <c r="B314" t="s">
        <v>818</v>
      </c>
      <c r="C314">
        <v>5</v>
      </c>
      <c r="D314" t="s">
        <v>17</v>
      </c>
      <c r="E314" t="s">
        <v>17</v>
      </c>
      <c r="F314">
        <v>4</v>
      </c>
      <c r="G314">
        <v>5</v>
      </c>
      <c r="H314" t="s">
        <v>17</v>
      </c>
      <c r="I314" t="s">
        <v>17</v>
      </c>
      <c r="J314">
        <v>4</v>
      </c>
      <c r="K314">
        <v>0.56559630285240081</v>
      </c>
      <c r="L314">
        <f t="shared" si="4"/>
        <v>3.6008599068434255</v>
      </c>
      <c r="M314">
        <v>2.0366330504000819E-2</v>
      </c>
      <c r="N314" t="s">
        <v>17</v>
      </c>
      <c r="O314">
        <v>296</v>
      </c>
      <c r="P314" t="s">
        <v>1446</v>
      </c>
    </row>
    <row r="315" spans="1:16" x14ac:dyDescent="0.2">
      <c r="A315" t="s">
        <v>818</v>
      </c>
      <c r="B315" t="s">
        <v>818</v>
      </c>
      <c r="C315">
        <v>2</v>
      </c>
      <c r="D315" t="s">
        <v>17</v>
      </c>
      <c r="E315" t="s">
        <v>17</v>
      </c>
      <c r="F315">
        <v>2</v>
      </c>
      <c r="G315">
        <v>2</v>
      </c>
      <c r="H315" t="s">
        <v>17</v>
      </c>
      <c r="I315" t="s">
        <v>17</v>
      </c>
      <c r="J315">
        <v>2</v>
      </c>
      <c r="K315">
        <v>0.64959475055298133</v>
      </c>
      <c r="L315">
        <f t="shared" si="4"/>
        <v>2.1213539229449387</v>
      </c>
      <c r="M315">
        <v>1.3780203724100057E-2</v>
      </c>
      <c r="N315" t="s">
        <v>17</v>
      </c>
      <c r="O315">
        <v>296</v>
      </c>
      <c r="P315" t="s">
        <v>1446</v>
      </c>
    </row>
    <row r="316" spans="1:16" x14ac:dyDescent="0.2">
      <c r="A316" t="s">
        <v>818</v>
      </c>
      <c r="B316" t="s">
        <v>818</v>
      </c>
      <c r="C316">
        <v>6</v>
      </c>
      <c r="D316" t="s">
        <v>17</v>
      </c>
      <c r="E316" t="s">
        <v>17</v>
      </c>
      <c r="F316">
        <v>6</v>
      </c>
      <c r="G316">
        <v>6</v>
      </c>
      <c r="H316" t="s">
        <v>17</v>
      </c>
      <c r="I316" t="s">
        <v>17</v>
      </c>
      <c r="J316">
        <v>6</v>
      </c>
      <c r="K316">
        <v>0.65445835186736956</v>
      </c>
      <c r="L316">
        <f t="shared" si="4"/>
        <v>1.3934045517882026</v>
      </c>
      <c r="M316">
        <v>9.1192524644779782E-3</v>
      </c>
      <c r="N316" t="s">
        <v>17</v>
      </c>
      <c r="O316">
        <v>296</v>
      </c>
      <c r="P316" t="s">
        <v>1446</v>
      </c>
    </row>
    <row r="317" spans="1:16" x14ac:dyDescent="0.2">
      <c r="A317" t="s">
        <v>818</v>
      </c>
      <c r="B317" t="s">
        <v>818</v>
      </c>
      <c r="C317">
        <v>5</v>
      </c>
      <c r="D317" t="s">
        <v>17</v>
      </c>
      <c r="E317" t="s">
        <v>17</v>
      </c>
      <c r="F317">
        <v>3</v>
      </c>
      <c r="G317">
        <v>5</v>
      </c>
      <c r="H317" t="s">
        <v>17</v>
      </c>
      <c r="I317" t="s">
        <v>17</v>
      </c>
      <c r="J317">
        <v>3</v>
      </c>
      <c r="K317">
        <v>0.48311773056256668</v>
      </c>
      <c r="L317">
        <f t="shared" si="4"/>
        <v>3.4815436241610742</v>
      </c>
      <c r="M317">
        <v>1.6819954545592718E-2</v>
      </c>
      <c r="N317" t="s">
        <v>17</v>
      </c>
      <c r="O317">
        <v>296</v>
      </c>
      <c r="P317" t="s">
        <v>1446</v>
      </c>
    </row>
    <row r="318" spans="1:16" x14ac:dyDescent="0.2">
      <c r="A318" t="s">
        <v>818</v>
      </c>
      <c r="B318" t="s">
        <v>818</v>
      </c>
      <c r="C318">
        <v>5</v>
      </c>
      <c r="D318" t="s">
        <v>17</v>
      </c>
      <c r="E318" t="s">
        <v>17</v>
      </c>
      <c r="F318">
        <v>2</v>
      </c>
      <c r="G318">
        <v>5</v>
      </c>
      <c r="H318" t="s">
        <v>17</v>
      </c>
      <c r="I318" t="s">
        <v>17</v>
      </c>
      <c r="J318">
        <v>2</v>
      </c>
      <c r="K318">
        <v>0.40448950931328992</v>
      </c>
      <c r="L318">
        <f t="shared" si="4"/>
        <v>1.7785571142284566</v>
      </c>
      <c r="M318">
        <v>7.1940769441992932E-3</v>
      </c>
      <c r="N318" t="s">
        <v>17</v>
      </c>
      <c r="O318">
        <v>296</v>
      </c>
      <c r="P318" t="s">
        <v>1446</v>
      </c>
    </row>
    <row r="319" spans="1:16" x14ac:dyDescent="0.2">
      <c r="A319" t="s">
        <v>818</v>
      </c>
      <c r="B319" t="s">
        <v>818</v>
      </c>
      <c r="C319">
        <v>3</v>
      </c>
      <c r="D319" t="s">
        <v>17</v>
      </c>
      <c r="E319" t="s">
        <v>17</v>
      </c>
      <c r="F319">
        <v>3</v>
      </c>
      <c r="G319">
        <v>3</v>
      </c>
      <c r="H319" t="s">
        <v>17</v>
      </c>
      <c r="I319" t="s">
        <v>17</v>
      </c>
      <c r="J319">
        <v>3</v>
      </c>
      <c r="K319">
        <v>0.64483247426597612</v>
      </c>
      <c r="L319">
        <f t="shared" si="4"/>
        <v>0.59710873664362041</v>
      </c>
      <c r="M319">
        <v>3.8503510405573688E-3</v>
      </c>
      <c r="N319" t="s">
        <v>17</v>
      </c>
      <c r="O319">
        <v>296</v>
      </c>
      <c r="P319" t="s">
        <v>1446</v>
      </c>
    </row>
    <row r="320" spans="1:16" x14ac:dyDescent="0.2">
      <c r="A320" t="s">
        <v>818</v>
      </c>
      <c r="B320" t="s">
        <v>818</v>
      </c>
      <c r="C320">
        <v>6</v>
      </c>
      <c r="D320" t="s">
        <v>17</v>
      </c>
      <c r="E320" t="s">
        <v>17</v>
      </c>
      <c r="F320">
        <v>5</v>
      </c>
      <c r="G320">
        <v>6</v>
      </c>
      <c r="H320" t="s">
        <v>17</v>
      </c>
      <c r="I320" t="s">
        <v>17</v>
      </c>
      <c r="J320">
        <v>5</v>
      </c>
      <c r="K320">
        <v>0.5639751024142714</v>
      </c>
      <c r="L320">
        <f t="shared" si="4"/>
        <v>2.4973050664750271</v>
      </c>
      <c r="M320">
        <v>1.4084178806249324E-2</v>
      </c>
      <c r="N320" t="s">
        <v>17</v>
      </c>
      <c r="O320">
        <v>296</v>
      </c>
      <c r="P320" t="s">
        <v>1446</v>
      </c>
    </row>
    <row r="321" spans="1:16" x14ac:dyDescent="0.2">
      <c r="A321" t="s">
        <v>818</v>
      </c>
      <c r="B321" t="s">
        <v>818</v>
      </c>
      <c r="C321">
        <v>3</v>
      </c>
      <c r="D321" t="s">
        <v>17</v>
      </c>
      <c r="E321" t="s">
        <v>17</v>
      </c>
      <c r="F321">
        <v>2</v>
      </c>
      <c r="G321">
        <v>3</v>
      </c>
      <c r="H321" t="s">
        <v>17</v>
      </c>
      <c r="I321" t="s">
        <v>17</v>
      </c>
      <c r="J321">
        <v>2</v>
      </c>
      <c r="K321">
        <v>0.49091975767106449</v>
      </c>
      <c r="L321">
        <f t="shared" si="4"/>
        <v>2.6625386996904026</v>
      </c>
      <c r="M321">
        <v>1.3070928532418436E-2</v>
      </c>
      <c r="N321" t="s">
        <v>17</v>
      </c>
      <c r="O321">
        <v>296</v>
      </c>
      <c r="P321" t="s">
        <v>1446</v>
      </c>
    </row>
    <row r="322" spans="1:16" x14ac:dyDescent="0.2">
      <c r="A322" t="s">
        <v>818</v>
      </c>
      <c r="B322" t="s">
        <v>818</v>
      </c>
      <c r="C322">
        <v>3</v>
      </c>
      <c r="D322" t="s">
        <v>17</v>
      </c>
      <c r="E322" t="s">
        <v>17</v>
      </c>
      <c r="F322">
        <v>1</v>
      </c>
      <c r="G322">
        <v>3</v>
      </c>
      <c r="H322" t="s">
        <v>17</v>
      </c>
      <c r="I322" t="s">
        <v>17</v>
      </c>
      <c r="J322">
        <v>1</v>
      </c>
      <c r="K322">
        <v>0.32069371166747557</v>
      </c>
      <c r="L322">
        <f t="shared" si="4"/>
        <v>2.5276461295418646</v>
      </c>
      <c r="M322">
        <v>8.1060021906470929E-3</v>
      </c>
      <c r="N322" t="s">
        <v>17</v>
      </c>
      <c r="O322">
        <v>296</v>
      </c>
      <c r="P322" t="s">
        <v>1446</v>
      </c>
    </row>
    <row r="323" spans="1:16" x14ac:dyDescent="0.2">
      <c r="A323" t="s">
        <v>818</v>
      </c>
      <c r="B323" t="s">
        <v>818</v>
      </c>
      <c r="C323">
        <v>7</v>
      </c>
      <c r="D323" t="s">
        <v>17</v>
      </c>
      <c r="E323" t="s">
        <v>17</v>
      </c>
      <c r="F323">
        <v>7</v>
      </c>
      <c r="G323">
        <v>7</v>
      </c>
      <c r="H323" t="s">
        <v>17</v>
      </c>
      <c r="I323" t="s">
        <v>17</v>
      </c>
      <c r="J323">
        <v>7</v>
      </c>
      <c r="K323">
        <v>0.64756825000531959</v>
      </c>
      <c r="L323">
        <f t="shared" ref="L323:L349" si="5">M323/K323*100</f>
        <v>1.1109372555155685</v>
      </c>
      <c r="M323">
        <v>7.1940769441992932E-3</v>
      </c>
      <c r="N323" t="s">
        <v>17</v>
      </c>
      <c r="O323">
        <v>296</v>
      </c>
      <c r="P323" t="s">
        <v>1446</v>
      </c>
    </row>
    <row r="324" spans="1:16" x14ac:dyDescent="0.2">
      <c r="A324" t="s">
        <v>818</v>
      </c>
      <c r="B324" t="s">
        <v>818</v>
      </c>
      <c r="C324">
        <v>4</v>
      </c>
      <c r="D324" t="s">
        <v>17</v>
      </c>
      <c r="E324" t="s">
        <v>17</v>
      </c>
      <c r="F324">
        <v>4</v>
      </c>
      <c r="G324">
        <v>4</v>
      </c>
      <c r="H324" t="s">
        <v>17</v>
      </c>
      <c r="I324" t="s">
        <v>17</v>
      </c>
      <c r="J324">
        <v>4</v>
      </c>
      <c r="K324">
        <v>0.65314112651138945</v>
      </c>
      <c r="L324">
        <f t="shared" si="5"/>
        <v>0.27924294135898231</v>
      </c>
      <c r="M324">
        <v>1.8238504928955956E-3</v>
      </c>
      <c r="N324" t="s">
        <v>17</v>
      </c>
      <c r="O324">
        <v>296</v>
      </c>
      <c r="P324" t="s">
        <v>1446</v>
      </c>
    </row>
    <row r="325" spans="1:16" x14ac:dyDescent="0.2">
      <c r="A325" t="s">
        <v>818</v>
      </c>
      <c r="B325" t="s">
        <v>818</v>
      </c>
      <c r="C325">
        <v>6</v>
      </c>
      <c r="D325" t="s">
        <v>17</v>
      </c>
      <c r="E325" t="s">
        <v>17</v>
      </c>
      <c r="F325">
        <v>4</v>
      </c>
      <c r="G325">
        <v>6</v>
      </c>
      <c r="H325" t="s">
        <v>17</v>
      </c>
      <c r="I325" t="s">
        <v>17</v>
      </c>
      <c r="J325">
        <v>4</v>
      </c>
      <c r="K325">
        <v>0.49558070893068662</v>
      </c>
      <c r="L325">
        <f t="shared" si="5"/>
        <v>0.34757718258024944</v>
      </c>
      <c r="M325">
        <v>1.7225254655125072E-3</v>
      </c>
      <c r="N325" t="s">
        <v>17</v>
      </c>
      <c r="O325">
        <v>296</v>
      </c>
      <c r="P325" t="s">
        <v>1446</v>
      </c>
    </row>
    <row r="326" spans="1:16" x14ac:dyDescent="0.2">
      <c r="A326" t="s">
        <v>818</v>
      </c>
      <c r="B326" t="s">
        <v>818</v>
      </c>
      <c r="C326">
        <v>6</v>
      </c>
      <c r="D326" t="s">
        <v>17</v>
      </c>
      <c r="E326" t="s">
        <v>17</v>
      </c>
      <c r="F326">
        <v>3</v>
      </c>
      <c r="G326">
        <v>6</v>
      </c>
      <c r="H326" t="s">
        <v>17</v>
      </c>
      <c r="I326" t="s">
        <v>17</v>
      </c>
      <c r="J326">
        <v>3</v>
      </c>
      <c r="K326">
        <v>0.42272801424224582</v>
      </c>
      <c r="L326">
        <f t="shared" si="5"/>
        <v>2.2531160115052731</v>
      </c>
      <c r="M326">
        <v>9.5245525740103327E-3</v>
      </c>
      <c r="N326" t="s">
        <v>17</v>
      </c>
      <c r="O326">
        <v>296</v>
      </c>
      <c r="P326" t="s">
        <v>1446</v>
      </c>
    </row>
    <row r="327" spans="1:16" x14ac:dyDescent="0.2">
      <c r="A327" t="s">
        <v>818</v>
      </c>
      <c r="B327" t="s">
        <v>818</v>
      </c>
      <c r="C327">
        <v>4</v>
      </c>
      <c r="D327" t="s">
        <v>17</v>
      </c>
      <c r="E327" t="s">
        <v>17</v>
      </c>
      <c r="F327">
        <v>3</v>
      </c>
      <c r="G327">
        <v>4</v>
      </c>
      <c r="H327" t="s">
        <v>17</v>
      </c>
      <c r="I327" t="s">
        <v>17</v>
      </c>
      <c r="J327">
        <v>3</v>
      </c>
      <c r="K327">
        <v>0.53975842086971326</v>
      </c>
      <c r="L327">
        <f t="shared" si="5"/>
        <v>0.52562417871222078</v>
      </c>
      <c r="M327">
        <v>2.8371007667264822E-3</v>
      </c>
      <c r="N327" t="s">
        <v>17</v>
      </c>
      <c r="O327">
        <v>296</v>
      </c>
      <c r="P327" t="s">
        <v>1446</v>
      </c>
    </row>
    <row r="328" spans="1:16" x14ac:dyDescent="0.2">
      <c r="A328" t="s">
        <v>818</v>
      </c>
      <c r="B328" t="s">
        <v>818</v>
      </c>
      <c r="C328">
        <v>4</v>
      </c>
      <c r="D328" t="s">
        <v>17</v>
      </c>
      <c r="E328" t="s">
        <v>17</v>
      </c>
      <c r="F328">
        <v>2</v>
      </c>
      <c r="G328">
        <v>4</v>
      </c>
      <c r="H328" t="s">
        <v>17</v>
      </c>
      <c r="I328" t="s">
        <v>17</v>
      </c>
      <c r="J328">
        <v>2</v>
      </c>
      <c r="K328">
        <v>0.43975061884260475</v>
      </c>
      <c r="L328">
        <f t="shared" si="5"/>
        <v>2.5345622119815667</v>
      </c>
      <c r="M328">
        <v>1.1145753012139752E-2</v>
      </c>
      <c r="N328" t="s">
        <v>17</v>
      </c>
      <c r="O328">
        <v>296</v>
      </c>
      <c r="P328" t="s">
        <v>1446</v>
      </c>
    </row>
    <row r="329" spans="1:16" x14ac:dyDescent="0.2">
      <c r="A329" t="s">
        <v>818</v>
      </c>
      <c r="B329" t="s">
        <v>818</v>
      </c>
      <c r="C329">
        <v>5</v>
      </c>
      <c r="D329" t="s">
        <v>17</v>
      </c>
      <c r="E329" t="s">
        <v>17</v>
      </c>
      <c r="F329">
        <v>5</v>
      </c>
      <c r="G329">
        <v>5</v>
      </c>
      <c r="H329" t="s">
        <v>17</v>
      </c>
      <c r="I329" t="s">
        <v>17</v>
      </c>
      <c r="J329">
        <v>5</v>
      </c>
      <c r="K329">
        <v>0.64716294989578715</v>
      </c>
      <c r="L329">
        <f t="shared" si="5"/>
        <v>0.26616564897447942</v>
      </c>
      <c r="M329">
        <v>1.7225254655125072E-3</v>
      </c>
      <c r="N329" t="s">
        <v>17</v>
      </c>
      <c r="O329">
        <v>296</v>
      </c>
      <c r="P329" t="s">
        <v>1446</v>
      </c>
    </row>
    <row r="330" spans="1:16" x14ac:dyDescent="0.2">
      <c r="A330" t="s">
        <v>818</v>
      </c>
      <c r="B330" t="s">
        <v>818</v>
      </c>
      <c r="C330">
        <v>7</v>
      </c>
      <c r="D330" t="s">
        <v>17</v>
      </c>
      <c r="E330" t="s">
        <v>17</v>
      </c>
      <c r="F330">
        <v>6</v>
      </c>
      <c r="G330">
        <v>7</v>
      </c>
      <c r="H330" t="s">
        <v>17</v>
      </c>
      <c r="I330" t="s">
        <v>17</v>
      </c>
      <c r="J330">
        <v>6</v>
      </c>
      <c r="K330">
        <v>0.57045990416678904</v>
      </c>
      <c r="L330">
        <f t="shared" si="5"/>
        <v>1.9538188277087036</v>
      </c>
      <c r="M330">
        <v>1.1145753012139752E-2</v>
      </c>
      <c r="N330" t="s">
        <v>17</v>
      </c>
      <c r="O330">
        <v>296</v>
      </c>
      <c r="P330" t="s">
        <v>1446</v>
      </c>
    </row>
    <row r="331" spans="1:16" x14ac:dyDescent="0.2">
      <c r="A331" t="s">
        <v>818</v>
      </c>
      <c r="B331" t="s">
        <v>818</v>
      </c>
      <c r="C331">
        <v>8</v>
      </c>
      <c r="D331" t="s">
        <v>17</v>
      </c>
      <c r="E331" t="s">
        <v>17</v>
      </c>
      <c r="F331">
        <v>8</v>
      </c>
      <c r="G331">
        <v>8</v>
      </c>
      <c r="H331" t="s">
        <v>17</v>
      </c>
      <c r="I331" t="s">
        <v>17</v>
      </c>
      <c r="J331">
        <v>8</v>
      </c>
      <c r="K331">
        <v>0.62395951862505994</v>
      </c>
      <c r="L331">
        <f t="shared" si="5"/>
        <v>1.5264696329977263</v>
      </c>
      <c r="M331">
        <v>9.5245525740103327E-3</v>
      </c>
      <c r="N331" t="s">
        <v>17</v>
      </c>
      <c r="O331">
        <v>296</v>
      </c>
      <c r="P331" t="s">
        <v>1446</v>
      </c>
    </row>
    <row r="332" spans="1:16" x14ac:dyDescent="0.2">
      <c r="A332" t="s">
        <v>818</v>
      </c>
      <c r="B332" t="s">
        <v>818</v>
      </c>
      <c r="C332">
        <v>7</v>
      </c>
      <c r="D332" t="s">
        <v>17</v>
      </c>
      <c r="E332" t="s">
        <v>17</v>
      </c>
      <c r="F332">
        <v>5</v>
      </c>
      <c r="G332">
        <v>7</v>
      </c>
      <c r="H332" t="s">
        <v>17</v>
      </c>
      <c r="I332" t="s">
        <v>17</v>
      </c>
      <c r="J332">
        <v>5</v>
      </c>
      <c r="K332">
        <v>0.50003901013554242</v>
      </c>
      <c r="L332">
        <f t="shared" si="5"/>
        <v>1.0334346504559271</v>
      </c>
      <c r="M332">
        <v>5.1675763965375208E-3</v>
      </c>
      <c r="N332" t="s">
        <v>17</v>
      </c>
      <c r="O332">
        <v>296</v>
      </c>
      <c r="P332" t="s">
        <v>1446</v>
      </c>
    </row>
    <row r="333" spans="1:16" x14ac:dyDescent="0.2">
      <c r="A333" t="s">
        <v>818</v>
      </c>
      <c r="B333" t="s">
        <v>818</v>
      </c>
      <c r="C333">
        <v>8</v>
      </c>
      <c r="D333" t="s">
        <v>17</v>
      </c>
      <c r="E333" t="s">
        <v>17</v>
      </c>
      <c r="F333">
        <v>5</v>
      </c>
      <c r="G333">
        <v>8</v>
      </c>
      <c r="H333" t="s">
        <v>17</v>
      </c>
      <c r="I333" t="s">
        <v>17</v>
      </c>
      <c r="J333">
        <v>5</v>
      </c>
      <c r="K333">
        <v>0.43194859173410693</v>
      </c>
      <c r="L333">
        <f t="shared" si="5"/>
        <v>8.8200797560403466</v>
      </c>
      <c r="M333">
        <v>3.8098210296041331E-2</v>
      </c>
      <c r="N333" t="s">
        <v>17</v>
      </c>
      <c r="O333">
        <v>296</v>
      </c>
      <c r="P333" t="s">
        <v>1446</v>
      </c>
    </row>
    <row r="334" spans="1:16" x14ac:dyDescent="0.2">
      <c r="A334" t="s">
        <v>818</v>
      </c>
      <c r="B334" t="s">
        <v>818</v>
      </c>
      <c r="C334">
        <v>5</v>
      </c>
      <c r="D334" t="s">
        <v>17</v>
      </c>
      <c r="E334" t="s">
        <v>17</v>
      </c>
      <c r="F334">
        <v>4</v>
      </c>
      <c r="G334">
        <v>5</v>
      </c>
      <c r="H334" t="s">
        <v>17</v>
      </c>
      <c r="I334" t="s">
        <v>17</v>
      </c>
      <c r="J334">
        <v>4</v>
      </c>
      <c r="K334">
        <v>0.596601761231626</v>
      </c>
      <c r="L334">
        <f t="shared" si="5"/>
        <v>2.2418478260869565</v>
      </c>
      <c r="M334">
        <v>1.3374903614567703E-2</v>
      </c>
      <c r="N334" t="s">
        <v>17</v>
      </c>
      <c r="O334">
        <v>296</v>
      </c>
      <c r="P334" t="s">
        <v>1446</v>
      </c>
    </row>
    <row r="335" spans="1:16" x14ac:dyDescent="0.2">
      <c r="A335" t="s">
        <v>818</v>
      </c>
      <c r="B335" t="s">
        <v>818</v>
      </c>
      <c r="C335">
        <v>5</v>
      </c>
      <c r="D335" t="s">
        <v>17</v>
      </c>
      <c r="E335" t="s">
        <v>17</v>
      </c>
      <c r="F335">
        <v>3</v>
      </c>
      <c r="G335">
        <v>5</v>
      </c>
      <c r="H335" t="s">
        <v>17</v>
      </c>
      <c r="I335" t="s">
        <v>17</v>
      </c>
      <c r="J335">
        <v>3</v>
      </c>
      <c r="K335">
        <v>0.4760249786457505</v>
      </c>
      <c r="L335">
        <f t="shared" si="5"/>
        <v>1.5325670498084289</v>
      </c>
      <c r="M335">
        <v>7.2954019715823822E-3</v>
      </c>
      <c r="N335" t="s">
        <v>17</v>
      </c>
      <c r="O335">
        <v>296</v>
      </c>
      <c r="P335" t="s">
        <v>1446</v>
      </c>
    </row>
    <row r="336" spans="1:16" x14ac:dyDescent="0.2">
      <c r="A336" t="s">
        <v>818</v>
      </c>
      <c r="B336" t="s">
        <v>818</v>
      </c>
      <c r="C336">
        <v>6</v>
      </c>
      <c r="D336" t="s">
        <v>17</v>
      </c>
      <c r="E336" t="s">
        <v>17</v>
      </c>
      <c r="F336">
        <v>6</v>
      </c>
      <c r="G336">
        <v>6</v>
      </c>
      <c r="H336" t="s">
        <v>17</v>
      </c>
      <c r="I336" t="s">
        <v>17</v>
      </c>
      <c r="J336">
        <v>6</v>
      </c>
      <c r="K336">
        <v>0.64047549808850335</v>
      </c>
      <c r="L336">
        <f t="shared" si="5"/>
        <v>0.22148394241417496</v>
      </c>
      <c r="M336">
        <v>1.4185503833632411E-3</v>
      </c>
      <c r="N336" t="s">
        <v>17</v>
      </c>
      <c r="O336">
        <v>296</v>
      </c>
      <c r="P336" t="s">
        <v>1446</v>
      </c>
    </row>
    <row r="337" spans="1:16" x14ac:dyDescent="0.2">
      <c r="A337" t="s">
        <v>818</v>
      </c>
      <c r="B337" t="s">
        <v>818</v>
      </c>
      <c r="C337">
        <v>8</v>
      </c>
      <c r="D337" t="s">
        <v>17</v>
      </c>
      <c r="E337" t="s">
        <v>17</v>
      </c>
      <c r="F337">
        <v>6</v>
      </c>
      <c r="G337">
        <v>8</v>
      </c>
      <c r="H337" t="s">
        <v>17</v>
      </c>
      <c r="I337" t="s">
        <v>17</v>
      </c>
      <c r="J337">
        <v>6</v>
      </c>
      <c r="K337">
        <v>0.50206551068320426</v>
      </c>
      <c r="L337">
        <f t="shared" si="5"/>
        <v>1.513622603430878</v>
      </c>
      <c r="M337">
        <v>7.5993770537316485E-3</v>
      </c>
      <c r="N337" t="s">
        <v>17</v>
      </c>
      <c r="O337">
        <v>296</v>
      </c>
      <c r="P337" t="s">
        <v>1446</v>
      </c>
    </row>
    <row r="338" spans="1:16" x14ac:dyDescent="0.2">
      <c r="A338" t="s">
        <v>818</v>
      </c>
      <c r="B338" t="s">
        <v>818</v>
      </c>
      <c r="C338">
        <v>6</v>
      </c>
      <c r="D338" t="s">
        <v>17</v>
      </c>
      <c r="E338" t="s">
        <v>17</v>
      </c>
      <c r="F338">
        <v>5</v>
      </c>
      <c r="G338">
        <v>6</v>
      </c>
      <c r="H338" t="s">
        <v>17</v>
      </c>
      <c r="I338" t="s">
        <v>17</v>
      </c>
      <c r="J338">
        <v>5</v>
      </c>
      <c r="K338">
        <v>0.56782545345482882</v>
      </c>
      <c r="L338">
        <f t="shared" si="5"/>
        <v>2.1591720199857245</v>
      </c>
      <c r="M338">
        <v>1.2260328313353726E-2</v>
      </c>
      <c r="N338" t="s">
        <v>17</v>
      </c>
      <c r="O338">
        <v>296</v>
      </c>
      <c r="P338" t="s">
        <v>1446</v>
      </c>
    </row>
    <row r="339" spans="1:16" x14ac:dyDescent="0.2">
      <c r="A339" t="s">
        <v>818</v>
      </c>
      <c r="B339" t="s">
        <v>818</v>
      </c>
      <c r="C339">
        <v>9</v>
      </c>
      <c r="D339" t="s">
        <v>17</v>
      </c>
      <c r="E339" t="s">
        <v>17</v>
      </c>
      <c r="F339">
        <v>9</v>
      </c>
      <c r="G339">
        <v>9</v>
      </c>
      <c r="H339" t="s">
        <v>17</v>
      </c>
      <c r="I339" t="s">
        <v>17</v>
      </c>
      <c r="J339">
        <v>9</v>
      </c>
      <c r="K339">
        <v>0.58920503423266057</v>
      </c>
      <c r="L339">
        <f t="shared" si="5"/>
        <v>2.4247635425623382</v>
      </c>
      <c r="M339">
        <v>1.4286828861015498E-2</v>
      </c>
      <c r="N339" t="s">
        <v>17</v>
      </c>
      <c r="O339">
        <v>296</v>
      </c>
      <c r="P339" t="s">
        <v>1446</v>
      </c>
    </row>
    <row r="340" spans="1:16" x14ac:dyDescent="0.2">
      <c r="A340" t="s">
        <v>818</v>
      </c>
      <c r="B340" t="s">
        <v>818</v>
      </c>
      <c r="C340">
        <v>6</v>
      </c>
      <c r="D340" t="s">
        <v>17</v>
      </c>
      <c r="E340" t="s">
        <v>17</v>
      </c>
      <c r="F340">
        <v>4</v>
      </c>
      <c r="G340">
        <v>6</v>
      </c>
      <c r="H340" t="s">
        <v>17</v>
      </c>
      <c r="I340" t="s">
        <v>17</v>
      </c>
      <c r="J340">
        <v>4</v>
      </c>
      <c r="K340">
        <v>0.50388936117609984</v>
      </c>
      <c r="L340">
        <f t="shared" si="5"/>
        <v>0.78423486828875921</v>
      </c>
      <c r="M340">
        <v>3.9516760679404574E-3</v>
      </c>
      <c r="N340" t="s">
        <v>17</v>
      </c>
      <c r="O340">
        <v>296</v>
      </c>
      <c r="P340" t="s">
        <v>1446</v>
      </c>
    </row>
    <row r="341" spans="1:16" x14ac:dyDescent="0.2">
      <c r="A341" t="s">
        <v>818</v>
      </c>
      <c r="B341" t="s">
        <v>818</v>
      </c>
      <c r="C341">
        <v>7</v>
      </c>
      <c r="D341" t="s">
        <v>17</v>
      </c>
      <c r="E341" t="s">
        <v>17</v>
      </c>
      <c r="F341">
        <v>7</v>
      </c>
      <c r="G341">
        <v>7</v>
      </c>
      <c r="H341" t="s">
        <v>17</v>
      </c>
      <c r="I341" t="s">
        <v>17</v>
      </c>
      <c r="J341">
        <v>7</v>
      </c>
      <c r="K341">
        <v>0.64979740060774749</v>
      </c>
      <c r="L341">
        <f t="shared" si="5"/>
        <v>0.46779978169343522</v>
      </c>
      <c r="M341">
        <v>3.0397508214926594E-3</v>
      </c>
      <c r="N341" t="s">
        <v>17</v>
      </c>
      <c r="O341">
        <v>296</v>
      </c>
      <c r="P341" t="s">
        <v>1446</v>
      </c>
    </row>
    <row r="342" spans="1:16" x14ac:dyDescent="0.2">
      <c r="A342" t="s">
        <v>818</v>
      </c>
      <c r="B342" t="s">
        <v>818</v>
      </c>
      <c r="C342">
        <v>6</v>
      </c>
      <c r="D342" t="s">
        <v>17</v>
      </c>
      <c r="E342" t="s">
        <v>17</v>
      </c>
      <c r="F342">
        <v>3</v>
      </c>
      <c r="G342">
        <v>6</v>
      </c>
      <c r="H342" t="s">
        <v>17</v>
      </c>
      <c r="I342" t="s">
        <v>17</v>
      </c>
      <c r="J342">
        <v>3</v>
      </c>
      <c r="K342">
        <v>0.44876854627969964</v>
      </c>
      <c r="L342">
        <f t="shared" si="5"/>
        <v>3.7028674644389254</v>
      </c>
      <c r="M342">
        <v>1.6617304490826539E-2</v>
      </c>
      <c r="N342" t="s">
        <v>17</v>
      </c>
      <c r="O342">
        <v>296</v>
      </c>
      <c r="P342" t="s">
        <v>1446</v>
      </c>
    </row>
    <row r="343" spans="1:16" x14ac:dyDescent="0.2">
      <c r="A343" t="s">
        <v>818</v>
      </c>
      <c r="B343" t="s">
        <v>818</v>
      </c>
      <c r="C343">
        <v>9</v>
      </c>
      <c r="D343" t="s">
        <v>17</v>
      </c>
      <c r="E343" t="s">
        <v>17</v>
      </c>
      <c r="F343">
        <v>8</v>
      </c>
      <c r="G343">
        <v>9</v>
      </c>
      <c r="H343" t="s">
        <v>17</v>
      </c>
      <c r="I343" t="s">
        <v>17</v>
      </c>
      <c r="J343">
        <v>8</v>
      </c>
      <c r="K343">
        <v>0.55475452492241029</v>
      </c>
      <c r="L343">
        <f t="shared" si="5"/>
        <v>3.3242009132420094</v>
      </c>
      <c r="M343">
        <v>1.8441154983722133E-2</v>
      </c>
      <c r="N343" t="s">
        <v>17</v>
      </c>
      <c r="O343">
        <v>296</v>
      </c>
      <c r="P343" t="s">
        <v>1446</v>
      </c>
    </row>
    <row r="344" spans="1:16" x14ac:dyDescent="0.2">
      <c r="A344" t="s">
        <v>818</v>
      </c>
      <c r="B344" t="s">
        <v>818</v>
      </c>
      <c r="C344">
        <v>7</v>
      </c>
      <c r="D344" t="s">
        <v>17</v>
      </c>
      <c r="E344" t="s">
        <v>17</v>
      </c>
      <c r="F344">
        <v>6</v>
      </c>
      <c r="G344">
        <v>7</v>
      </c>
      <c r="H344" t="s">
        <v>17</v>
      </c>
      <c r="I344" t="s">
        <v>17</v>
      </c>
      <c r="J344">
        <v>6</v>
      </c>
      <c r="K344">
        <v>0.60430246331274073</v>
      </c>
      <c r="L344">
        <f t="shared" si="5"/>
        <v>2.3474178403755865</v>
      </c>
      <c r="M344">
        <v>1.4185503833632412E-2</v>
      </c>
      <c r="N344" t="s">
        <v>17</v>
      </c>
      <c r="O344">
        <v>296</v>
      </c>
      <c r="P344" t="s">
        <v>1446</v>
      </c>
    </row>
    <row r="345" spans="1:16" x14ac:dyDescent="0.2">
      <c r="A345" t="s">
        <v>818</v>
      </c>
      <c r="B345" t="s">
        <v>818</v>
      </c>
      <c r="C345">
        <v>9</v>
      </c>
      <c r="D345" t="s">
        <v>17</v>
      </c>
      <c r="E345" t="s">
        <v>17</v>
      </c>
      <c r="F345">
        <v>6</v>
      </c>
      <c r="G345">
        <v>9</v>
      </c>
      <c r="H345" t="s">
        <v>17</v>
      </c>
      <c r="I345" t="s">
        <v>17</v>
      </c>
      <c r="J345">
        <v>6</v>
      </c>
      <c r="K345">
        <v>0.48443495591854679</v>
      </c>
      <c r="L345">
        <f t="shared" si="5"/>
        <v>1.9033674963396781</v>
      </c>
      <c r="M345">
        <v>9.2205774918610664E-3</v>
      </c>
      <c r="N345" t="s">
        <v>17</v>
      </c>
      <c r="O345">
        <v>296</v>
      </c>
      <c r="P345" t="s">
        <v>1446</v>
      </c>
    </row>
    <row r="346" spans="1:16" x14ac:dyDescent="0.2">
      <c r="A346" t="s">
        <v>818</v>
      </c>
      <c r="B346" t="s">
        <v>818</v>
      </c>
      <c r="C346">
        <v>7</v>
      </c>
      <c r="D346" t="s">
        <v>17</v>
      </c>
      <c r="E346" t="s">
        <v>17</v>
      </c>
      <c r="F346">
        <v>5</v>
      </c>
      <c r="G346">
        <v>7</v>
      </c>
      <c r="H346" t="s">
        <v>17</v>
      </c>
      <c r="I346" t="s">
        <v>17</v>
      </c>
      <c r="J346">
        <v>5</v>
      </c>
      <c r="K346">
        <v>0.50105226040937345</v>
      </c>
      <c r="L346">
        <f t="shared" si="5"/>
        <v>0.48533872598584427</v>
      </c>
      <c r="M346">
        <v>2.4318006571941277E-3</v>
      </c>
      <c r="N346" t="s">
        <v>17</v>
      </c>
      <c r="O346">
        <v>296</v>
      </c>
      <c r="P346" t="s">
        <v>1446</v>
      </c>
    </row>
    <row r="347" spans="1:16" x14ac:dyDescent="0.2">
      <c r="A347" t="s">
        <v>818</v>
      </c>
      <c r="B347" t="s">
        <v>818</v>
      </c>
      <c r="C347">
        <v>8</v>
      </c>
      <c r="D347" t="s">
        <v>17</v>
      </c>
      <c r="E347" t="s">
        <v>17</v>
      </c>
      <c r="F347">
        <v>8</v>
      </c>
      <c r="G347">
        <v>8</v>
      </c>
      <c r="H347" t="s">
        <v>17</v>
      </c>
      <c r="I347" t="s">
        <v>17</v>
      </c>
      <c r="J347">
        <v>8</v>
      </c>
      <c r="K347">
        <v>0.66530012979736008</v>
      </c>
      <c r="L347">
        <f t="shared" si="5"/>
        <v>2.4367956137678957</v>
      </c>
      <c r="M347">
        <v>1.6212004381294186E-2</v>
      </c>
      <c r="N347" t="s">
        <v>17</v>
      </c>
      <c r="O347">
        <v>296</v>
      </c>
      <c r="P347" t="s">
        <v>1446</v>
      </c>
    </row>
    <row r="348" spans="1:16" x14ac:dyDescent="0.2">
      <c r="A348" t="s">
        <v>818</v>
      </c>
      <c r="B348" t="s">
        <v>818</v>
      </c>
      <c r="C348">
        <v>8</v>
      </c>
      <c r="D348" t="s">
        <v>17</v>
      </c>
      <c r="E348" t="s">
        <v>17</v>
      </c>
      <c r="F348">
        <v>7</v>
      </c>
      <c r="G348">
        <v>8</v>
      </c>
      <c r="H348" t="s">
        <v>17</v>
      </c>
      <c r="I348" t="s">
        <v>17</v>
      </c>
      <c r="J348">
        <v>7</v>
      </c>
      <c r="K348">
        <v>0.54016372097924559</v>
      </c>
      <c r="L348">
        <f t="shared" si="5"/>
        <v>0.93791033577190019</v>
      </c>
      <c r="M348">
        <v>5.0662513691544326E-3</v>
      </c>
      <c r="N348" t="s">
        <v>17</v>
      </c>
      <c r="O348">
        <v>296</v>
      </c>
      <c r="P348" t="s">
        <v>1446</v>
      </c>
    </row>
    <row r="349" spans="1:16" x14ac:dyDescent="0.2">
      <c r="A349" t="s">
        <v>818</v>
      </c>
      <c r="B349" t="s">
        <v>818</v>
      </c>
      <c r="C349">
        <v>8</v>
      </c>
      <c r="D349" t="s">
        <v>17</v>
      </c>
      <c r="E349" t="s">
        <v>17</v>
      </c>
      <c r="F349">
        <v>6</v>
      </c>
      <c r="G349">
        <v>8</v>
      </c>
      <c r="H349" t="s">
        <v>17</v>
      </c>
      <c r="I349" t="s">
        <v>17</v>
      </c>
      <c r="J349">
        <v>6</v>
      </c>
      <c r="K349">
        <v>0.52344509146103602</v>
      </c>
      <c r="L349">
        <f t="shared" si="5"/>
        <v>1.1227255129694156</v>
      </c>
      <c r="M349">
        <v>5.8768515882191424E-3</v>
      </c>
      <c r="N349" t="s">
        <v>17</v>
      </c>
      <c r="O349">
        <v>296</v>
      </c>
      <c r="P349" t="s">
        <v>1446</v>
      </c>
    </row>
  </sheetData>
  <phoneticPr fontId="2"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4AC70-6855-F04D-AFDA-193FE86D1B86}">
  <dimension ref="A1:O19"/>
  <sheetViews>
    <sheetView workbookViewId="0">
      <selection activeCell="B1" sqref="B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1399</v>
      </c>
      <c r="B2" t="s">
        <v>209</v>
      </c>
      <c r="C2">
        <v>6</v>
      </c>
      <c r="D2">
        <v>5</v>
      </c>
      <c r="E2">
        <v>1</v>
      </c>
      <c r="F2">
        <v>6</v>
      </c>
      <c r="G2">
        <v>5</v>
      </c>
      <c r="H2">
        <v>2</v>
      </c>
      <c r="I2">
        <v>6.2E-2</v>
      </c>
      <c r="J2">
        <v>50</v>
      </c>
      <c r="K2">
        <f>I2*J2/100</f>
        <v>3.1E-2</v>
      </c>
      <c r="L2">
        <v>0.64</v>
      </c>
      <c r="M2">
        <v>296</v>
      </c>
      <c r="N2" t="s">
        <v>201</v>
      </c>
      <c r="O2" t="s">
        <v>1459</v>
      </c>
    </row>
    <row r="3" spans="1:15" x14ac:dyDescent="0.2">
      <c r="A3" t="s">
        <v>1399</v>
      </c>
      <c r="B3" t="s">
        <v>1399</v>
      </c>
      <c r="C3">
        <v>6</v>
      </c>
      <c r="D3">
        <v>5</v>
      </c>
      <c r="E3">
        <v>1</v>
      </c>
      <c r="F3">
        <v>6</v>
      </c>
      <c r="G3">
        <v>5</v>
      </c>
      <c r="H3">
        <v>2</v>
      </c>
      <c r="I3">
        <v>0.28089999999999998</v>
      </c>
      <c r="J3">
        <v>50</v>
      </c>
      <c r="K3">
        <f t="shared" ref="K3:K19" si="0">I3*J3/100</f>
        <v>0.14044999999999999</v>
      </c>
      <c r="L3" t="s">
        <v>17</v>
      </c>
      <c r="M3">
        <v>296</v>
      </c>
      <c r="N3" t="s">
        <v>201</v>
      </c>
      <c r="O3" t="s">
        <v>1460</v>
      </c>
    </row>
    <row r="4" spans="1:15" x14ac:dyDescent="0.2">
      <c r="A4" t="s">
        <v>1399</v>
      </c>
      <c r="B4" t="s">
        <v>32</v>
      </c>
      <c r="C4">
        <v>6</v>
      </c>
      <c r="D4">
        <v>5</v>
      </c>
      <c r="E4">
        <v>1</v>
      </c>
      <c r="F4">
        <v>6</v>
      </c>
      <c r="G4">
        <v>5</v>
      </c>
      <c r="H4">
        <v>2</v>
      </c>
      <c r="I4">
        <v>8.0299999999999996E-2</v>
      </c>
      <c r="J4">
        <v>50</v>
      </c>
      <c r="K4">
        <f t="shared" si="0"/>
        <v>4.0149999999999998E-2</v>
      </c>
      <c r="L4">
        <v>0.50600000000000001</v>
      </c>
      <c r="M4">
        <v>296</v>
      </c>
      <c r="N4" t="s">
        <v>201</v>
      </c>
      <c r="O4" t="s">
        <v>1461</v>
      </c>
    </row>
    <row r="5" spans="1:15" x14ac:dyDescent="0.2">
      <c r="A5" t="s">
        <v>1399</v>
      </c>
      <c r="B5" t="s">
        <v>209</v>
      </c>
      <c r="C5">
        <v>4</v>
      </c>
      <c r="D5">
        <v>4</v>
      </c>
      <c r="E5">
        <v>0</v>
      </c>
      <c r="F5">
        <v>4</v>
      </c>
      <c r="G5">
        <v>4</v>
      </c>
      <c r="H5">
        <v>1</v>
      </c>
      <c r="I5">
        <v>7.4800000000000005E-2</v>
      </c>
      <c r="J5">
        <v>50</v>
      </c>
      <c r="K5">
        <f t="shared" si="0"/>
        <v>3.7400000000000003E-2</v>
      </c>
      <c r="L5">
        <v>0.73</v>
      </c>
      <c r="M5">
        <v>296</v>
      </c>
      <c r="N5" t="s">
        <v>201</v>
      </c>
      <c r="O5" t="s">
        <v>1462</v>
      </c>
    </row>
    <row r="6" spans="1:15" x14ac:dyDescent="0.2">
      <c r="A6" t="s">
        <v>1399</v>
      </c>
      <c r="B6" t="s">
        <v>1399</v>
      </c>
      <c r="C6">
        <v>4</v>
      </c>
      <c r="D6">
        <v>4</v>
      </c>
      <c r="E6">
        <v>0</v>
      </c>
      <c r="F6">
        <v>4</v>
      </c>
      <c r="G6">
        <v>4</v>
      </c>
      <c r="H6">
        <v>1</v>
      </c>
      <c r="I6">
        <v>0.29870000000000002</v>
      </c>
      <c r="J6">
        <v>50</v>
      </c>
      <c r="K6">
        <f t="shared" si="0"/>
        <v>0.14935000000000001</v>
      </c>
      <c r="L6" t="s">
        <v>17</v>
      </c>
      <c r="M6">
        <v>296</v>
      </c>
      <c r="N6" t="s">
        <v>201</v>
      </c>
      <c r="O6" t="s">
        <v>1463</v>
      </c>
    </row>
    <row r="7" spans="1:15" x14ac:dyDescent="0.2">
      <c r="A7" t="s">
        <v>1399</v>
      </c>
      <c r="B7" t="s">
        <v>32</v>
      </c>
      <c r="C7">
        <v>4</v>
      </c>
      <c r="D7">
        <v>4</v>
      </c>
      <c r="E7">
        <v>0</v>
      </c>
      <c r="F7">
        <v>4</v>
      </c>
      <c r="G7">
        <v>4</v>
      </c>
      <c r="H7">
        <v>1</v>
      </c>
      <c r="I7">
        <v>9.7070000000000004E-2</v>
      </c>
      <c r="J7">
        <v>50</v>
      </c>
      <c r="K7">
        <f t="shared" si="0"/>
        <v>4.8535000000000002E-2</v>
      </c>
      <c r="L7">
        <v>0.59099999999999997</v>
      </c>
      <c r="M7">
        <v>296</v>
      </c>
      <c r="N7" t="s">
        <v>201</v>
      </c>
      <c r="O7" t="s">
        <v>1464</v>
      </c>
    </row>
    <row r="8" spans="1:15" x14ac:dyDescent="0.2">
      <c r="A8" t="s">
        <v>1399</v>
      </c>
      <c r="B8" t="s">
        <v>209</v>
      </c>
      <c r="C8">
        <v>7</v>
      </c>
      <c r="D8">
        <v>5</v>
      </c>
      <c r="E8">
        <v>2</v>
      </c>
      <c r="F8">
        <v>7</v>
      </c>
      <c r="G8">
        <v>5</v>
      </c>
      <c r="H8">
        <v>3</v>
      </c>
      <c r="I8">
        <v>6.1899999999999997E-2</v>
      </c>
      <c r="J8">
        <v>50</v>
      </c>
      <c r="K8">
        <f t="shared" si="0"/>
        <v>3.0949999999999998E-2</v>
      </c>
      <c r="L8">
        <v>0.59</v>
      </c>
      <c r="M8">
        <v>296</v>
      </c>
      <c r="N8" t="s">
        <v>201</v>
      </c>
      <c r="O8" t="s">
        <v>1465</v>
      </c>
    </row>
    <row r="9" spans="1:15" x14ac:dyDescent="0.2">
      <c r="A9" t="s">
        <v>1399</v>
      </c>
      <c r="B9" t="s">
        <v>1399</v>
      </c>
      <c r="C9">
        <v>7</v>
      </c>
      <c r="D9">
        <v>5</v>
      </c>
      <c r="E9">
        <v>2</v>
      </c>
      <c r="F9">
        <v>7</v>
      </c>
      <c r="G9">
        <v>5</v>
      </c>
      <c r="H9">
        <v>3</v>
      </c>
      <c r="I9">
        <v>0.31269999999999998</v>
      </c>
      <c r="J9">
        <v>50</v>
      </c>
      <c r="K9">
        <f t="shared" si="0"/>
        <v>0.15634999999999999</v>
      </c>
      <c r="L9" t="s">
        <v>17</v>
      </c>
      <c r="M9">
        <v>296</v>
      </c>
      <c r="N9" t="s">
        <v>201</v>
      </c>
      <c r="O9" t="s">
        <v>1466</v>
      </c>
    </row>
    <row r="10" spans="1:15" x14ac:dyDescent="0.2">
      <c r="A10" t="s">
        <v>1399</v>
      </c>
      <c r="B10" t="s">
        <v>32</v>
      </c>
      <c r="C10">
        <v>7</v>
      </c>
      <c r="D10">
        <v>5</v>
      </c>
      <c r="E10">
        <v>2</v>
      </c>
      <c r="F10">
        <v>7</v>
      </c>
      <c r="G10">
        <v>5</v>
      </c>
      <c r="H10">
        <v>3</v>
      </c>
      <c r="I10">
        <v>8.6730000000000002E-2</v>
      </c>
      <c r="J10">
        <v>50</v>
      </c>
      <c r="K10">
        <f t="shared" si="0"/>
        <v>4.3365000000000001E-2</v>
      </c>
      <c r="L10">
        <v>0.51500000000000001</v>
      </c>
      <c r="M10">
        <v>296</v>
      </c>
      <c r="N10" t="s">
        <v>201</v>
      </c>
      <c r="O10" t="s">
        <v>1467</v>
      </c>
    </row>
    <row r="11" spans="1:15" x14ac:dyDescent="0.2">
      <c r="A11" t="s">
        <v>1399</v>
      </c>
      <c r="B11" t="s">
        <v>209</v>
      </c>
      <c r="C11">
        <v>10</v>
      </c>
      <c r="D11">
        <v>6</v>
      </c>
      <c r="E11">
        <v>4</v>
      </c>
      <c r="F11">
        <v>10</v>
      </c>
      <c r="G11">
        <v>6</v>
      </c>
      <c r="H11">
        <v>5</v>
      </c>
      <c r="I11">
        <v>4.8599999999999997E-2</v>
      </c>
      <c r="J11">
        <v>50</v>
      </c>
      <c r="K11">
        <f t="shared" si="0"/>
        <v>2.4299999999999999E-2</v>
      </c>
      <c r="L11">
        <v>0.45</v>
      </c>
      <c r="M11">
        <v>296</v>
      </c>
      <c r="N11" t="s">
        <v>201</v>
      </c>
      <c r="O11" t="s">
        <v>1468</v>
      </c>
    </row>
    <row r="12" spans="1:15" x14ac:dyDescent="0.2">
      <c r="A12" t="s">
        <v>1399</v>
      </c>
      <c r="B12" t="s">
        <v>1399</v>
      </c>
      <c r="C12">
        <v>10</v>
      </c>
      <c r="D12">
        <v>6</v>
      </c>
      <c r="E12">
        <v>4</v>
      </c>
      <c r="F12">
        <v>10</v>
      </c>
      <c r="G12">
        <v>6</v>
      </c>
      <c r="H12">
        <v>5</v>
      </c>
      <c r="I12">
        <v>0.32669999999999999</v>
      </c>
      <c r="J12">
        <v>50</v>
      </c>
      <c r="K12">
        <f t="shared" si="0"/>
        <v>0.16335</v>
      </c>
      <c r="L12" t="s">
        <v>17</v>
      </c>
      <c r="M12">
        <v>296</v>
      </c>
      <c r="N12" t="s">
        <v>201</v>
      </c>
      <c r="O12" t="s">
        <v>1469</v>
      </c>
    </row>
    <row r="13" spans="1:15" x14ac:dyDescent="0.2">
      <c r="A13" t="s">
        <v>1399</v>
      </c>
      <c r="B13" t="s">
        <v>32</v>
      </c>
      <c r="C13">
        <v>10</v>
      </c>
      <c r="D13">
        <v>6</v>
      </c>
      <c r="E13">
        <v>4</v>
      </c>
      <c r="F13">
        <v>10</v>
      </c>
      <c r="G13">
        <v>6</v>
      </c>
      <c r="H13">
        <v>5</v>
      </c>
      <c r="I13">
        <v>7.4370000000000006E-2</v>
      </c>
      <c r="J13">
        <v>50</v>
      </c>
      <c r="K13">
        <f t="shared" si="0"/>
        <v>3.7185000000000003E-2</v>
      </c>
      <c r="L13">
        <v>0.316</v>
      </c>
      <c r="M13">
        <v>296</v>
      </c>
      <c r="N13" t="s">
        <v>201</v>
      </c>
      <c r="O13" t="s">
        <v>1470</v>
      </c>
    </row>
    <row r="14" spans="1:15" x14ac:dyDescent="0.2">
      <c r="A14" t="s">
        <v>1399</v>
      </c>
      <c r="B14" t="s">
        <v>209</v>
      </c>
      <c r="C14">
        <v>5</v>
      </c>
      <c r="D14">
        <v>4</v>
      </c>
      <c r="E14">
        <v>1</v>
      </c>
      <c r="F14">
        <v>5</v>
      </c>
      <c r="G14">
        <v>4</v>
      </c>
      <c r="H14">
        <v>2</v>
      </c>
      <c r="I14">
        <v>7.4399999999999994E-2</v>
      </c>
      <c r="J14">
        <v>50</v>
      </c>
      <c r="K14">
        <f t="shared" si="0"/>
        <v>3.7199999999999997E-2</v>
      </c>
      <c r="L14">
        <v>0.69</v>
      </c>
      <c r="M14">
        <v>296</v>
      </c>
      <c r="N14" t="s">
        <v>201</v>
      </c>
      <c r="O14" t="s">
        <v>1471</v>
      </c>
    </row>
    <row r="15" spans="1:15" x14ac:dyDescent="0.2">
      <c r="A15" t="s">
        <v>1399</v>
      </c>
      <c r="B15" t="s">
        <v>1399</v>
      </c>
      <c r="C15">
        <v>5</v>
      </c>
      <c r="D15">
        <v>4</v>
      </c>
      <c r="E15">
        <v>1</v>
      </c>
      <c r="F15">
        <v>5</v>
      </c>
      <c r="G15">
        <v>4</v>
      </c>
      <c r="H15">
        <v>2</v>
      </c>
      <c r="I15">
        <v>0.3306</v>
      </c>
      <c r="J15">
        <v>50</v>
      </c>
      <c r="K15">
        <f t="shared" si="0"/>
        <v>0.1653</v>
      </c>
      <c r="L15" t="s">
        <v>17</v>
      </c>
      <c r="M15">
        <v>296</v>
      </c>
      <c r="N15" t="s">
        <v>201</v>
      </c>
      <c r="O15" t="s">
        <v>1472</v>
      </c>
    </row>
    <row r="16" spans="1:15" x14ac:dyDescent="0.2">
      <c r="A16" t="s">
        <v>1399</v>
      </c>
      <c r="B16" t="s">
        <v>32</v>
      </c>
      <c r="C16">
        <v>5</v>
      </c>
      <c r="D16">
        <v>4</v>
      </c>
      <c r="E16">
        <v>1</v>
      </c>
      <c r="F16">
        <v>5</v>
      </c>
      <c r="G16">
        <v>4</v>
      </c>
      <c r="H16">
        <v>2</v>
      </c>
      <c r="I16">
        <v>0.10674</v>
      </c>
      <c r="J16">
        <v>50</v>
      </c>
      <c r="K16">
        <f t="shared" si="0"/>
        <v>5.3370000000000001E-2</v>
      </c>
      <c r="L16">
        <v>0.379</v>
      </c>
      <c r="M16">
        <v>296</v>
      </c>
      <c r="N16" t="s">
        <v>201</v>
      </c>
      <c r="O16" t="s">
        <v>1473</v>
      </c>
    </row>
    <row r="17" spans="1:15" x14ac:dyDescent="0.2">
      <c r="A17" t="s">
        <v>1399</v>
      </c>
      <c r="B17" t="s">
        <v>209</v>
      </c>
      <c r="C17">
        <v>3</v>
      </c>
      <c r="D17">
        <v>3</v>
      </c>
      <c r="E17">
        <v>0</v>
      </c>
      <c r="F17">
        <v>3</v>
      </c>
      <c r="G17">
        <v>3</v>
      </c>
      <c r="H17">
        <v>1</v>
      </c>
      <c r="I17">
        <v>8.3099999999999993E-2</v>
      </c>
      <c r="J17">
        <v>50</v>
      </c>
      <c r="K17">
        <f t="shared" si="0"/>
        <v>4.1549999999999997E-2</v>
      </c>
      <c r="L17">
        <v>0.77</v>
      </c>
      <c r="M17">
        <v>296</v>
      </c>
      <c r="N17" t="s">
        <v>201</v>
      </c>
      <c r="O17" t="s">
        <v>1474</v>
      </c>
    </row>
    <row r="18" spans="1:15" x14ac:dyDescent="0.2">
      <c r="A18" t="s">
        <v>1399</v>
      </c>
      <c r="B18" t="s">
        <v>1399</v>
      </c>
      <c r="C18">
        <v>3</v>
      </c>
      <c r="D18">
        <v>3</v>
      </c>
      <c r="E18">
        <v>0</v>
      </c>
      <c r="F18">
        <v>3</v>
      </c>
      <c r="G18">
        <v>3</v>
      </c>
      <c r="H18">
        <v>1</v>
      </c>
      <c r="I18">
        <v>0.34810000000000002</v>
      </c>
      <c r="J18">
        <v>50</v>
      </c>
      <c r="K18">
        <f t="shared" si="0"/>
        <v>0.17405000000000001</v>
      </c>
      <c r="L18" t="s">
        <v>17</v>
      </c>
      <c r="M18">
        <v>296</v>
      </c>
      <c r="N18" t="s">
        <v>201</v>
      </c>
      <c r="O18" t="s">
        <v>1475</v>
      </c>
    </row>
    <row r="19" spans="1:15" x14ac:dyDescent="0.2">
      <c r="A19" t="s">
        <v>1399</v>
      </c>
      <c r="B19" t="s">
        <v>32</v>
      </c>
      <c r="C19">
        <v>3</v>
      </c>
      <c r="D19">
        <v>3</v>
      </c>
      <c r="E19">
        <v>0</v>
      </c>
      <c r="F19">
        <v>3</v>
      </c>
      <c r="G19">
        <v>3</v>
      </c>
      <c r="H19">
        <v>1</v>
      </c>
      <c r="I19">
        <v>0.13825999999999999</v>
      </c>
      <c r="J19">
        <v>50</v>
      </c>
      <c r="K19">
        <f t="shared" si="0"/>
        <v>6.9129999999999997E-2</v>
      </c>
      <c r="L19">
        <v>0.48299999999999998</v>
      </c>
      <c r="M19">
        <v>296</v>
      </c>
      <c r="N19" t="s">
        <v>201</v>
      </c>
      <c r="O19" t="s">
        <v>1476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5718-C447-3C4A-81F9-E8DFF53DF5E1}">
  <dimension ref="A1:O55"/>
  <sheetViews>
    <sheetView workbookViewId="0">
      <selection activeCell="B51" sqref="B5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1477</v>
      </c>
      <c r="B2" t="s">
        <v>239</v>
      </c>
      <c r="C2">
        <f>F2+1</f>
        <v>2</v>
      </c>
      <c r="D2" t="s">
        <v>17</v>
      </c>
      <c r="E2" t="s">
        <v>17</v>
      </c>
      <c r="F2">
        <v>1</v>
      </c>
      <c r="G2" t="s">
        <v>17</v>
      </c>
      <c r="H2" t="s">
        <v>17</v>
      </c>
      <c r="I2">
        <v>5.7955E-2</v>
      </c>
      <c r="J2">
        <v>50</v>
      </c>
      <c r="K2">
        <f>J2*I2/100</f>
        <v>2.89775E-2</v>
      </c>
      <c r="L2" t="s">
        <v>17</v>
      </c>
      <c r="M2">
        <v>296</v>
      </c>
      <c r="N2" t="s">
        <v>18</v>
      </c>
      <c r="O2" t="s">
        <v>1478</v>
      </c>
    </row>
    <row r="3" spans="1:15" x14ac:dyDescent="0.2">
      <c r="A3" t="s">
        <v>1477</v>
      </c>
      <c r="B3" t="s">
        <v>239</v>
      </c>
      <c r="C3">
        <f t="shared" ref="C3:C16" si="0">F3+1</f>
        <v>3</v>
      </c>
      <c r="D3" t="s">
        <v>17</v>
      </c>
      <c r="E3" t="s">
        <v>17</v>
      </c>
      <c r="F3">
        <v>2</v>
      </c>
      <c r="G3" t="s">
        <v>17</v>
      </c>
      <c r="H3" t="s">
        <v>17</v>
      </c>
      <c r="I3">
        <v>4.2402000000000002E-2</v>
      </c>
      <c r="J3">
        <v>50</v>
      </c>
      <c r="K3">
        <f>J3*I3/100</f>
        <v>2.1201000000000005E-2</v>
      </c>
      <c r="L3" t="s">
        <v>17</v>
      </c>
      <c r="M3">
        <v>296</v>
      </c>
      <c r="N3" t="s">
        <v>18</v>
      </c>
      <c r="O3" t="s">
        <v>1478</v>
      </c>
    </row>
    <row r="4" spans="1:15" x14ac:dyDescent="0.2">
      <c r="A4" t="s">
        <v>1477</v>
      </c>
      <c r="B4" t="s">
        <v>239</v>
      </c>
      <c r="C4">
        <f t="shared" si="0"/>
        <v>4</v>
      </c>
      <c r="D4" t="s">
        <v>17</v>
      </c>
      <c r="E4" t="s">
        <v>17</v>
      </c>
      <c r="F4">
        <v>3</v>
      </c>
      <c r="G4" t="s">
        <v>17</v>
      </c>
      <c r="H4" t="s">
        <v>17</v>
      </c>
      <c r="I4">
        <v>3.7169000000000001E-2</v>
      </c>
      <c r="J4">
        <v>50</v>
      </c>
      <c r="K4">
        <f t="shared" ref="K4:K47" si="1">J4*I4/100</f>
        <v>1.85845E-2</v>
      </c>
      <c r="L4" t="s">
        <v>17</v>
      </c>
      <c r="M4">
        <v>296</v>
      </c>
      <c r="N4" t="s">
        <v>18</v>
      </c>
      <c r="O4" t="s">
        <v>1478</v>
      </c>
    </row>
    <row r="5" spans="1:15" x14ac:dyDescent="0.2">
      <c r="A5" t="s">
        <v>1477</v>
      </c>
      <c r="B5" t="s">
        <v>239</v>
      </c>
      <c r="C5">
        <f t="shared" si="0"/>
        <v>5</v>
      </c>
      <c r="D5" t="s">
        <v>17</v>
      </c>
      <c r="E5" t="s">
        <v>17</v>
      </c>
      <c r="F5">
        <v>4</v>
      </c>
      <c r="G5" t="s">
        <v>17</v>
      </c>
      <c r="H5" t="s">
        <v>17</v>
      </c>
      <c r="I5">
        <v>3.2261999999999999E-2</v>
      </c>
      <c r="J5">
        <v>50</v>
      </c>
      <c r="K5">
        <f t="shared" si="1"/>
        <v>1.6131E-2</v>
      </c>
      <c r="L5" t="s">
        <v>17</v>
      </c>
      <c r="M5">
        <v>296</v>
      </c>
      <c r="N5" t="s">
        <v>18</v>
      </c>
      <c r="O5" t="s">
        <v>1478</v>
      </c>
    </row>
    <row r="6" spans="1:15" x14ac:dyDescent="0.2">
      <c r="A6" t="s">
        <v>1477</v>
      </c>
      <c r="B6" t="s">
        <v>239</v>
      </c>
      <c r="C6">
        <f t="shared" si="0"/>
        <v>6</v>
      </c>
      <c r="D6" t="s">
        <v>17</v>
      </c>
      <c r="E6" t="s">
        <v>17</v>
      </c>
      <c r="F6">
        <v>5</v>
      </c>
      <c r="G6" t="s">
        <v>17</v>
      </c>
      <c r="H6" t="s">
        <v>17</v>
      </c>
      <c r="I6">
        <v>2.7585999999999999E-2</v>
      </c>
      <c r="J6">
        <v>50</v>
      </c>
      <c r="K6">
        <f t="shared" si="1"/>
        <v>1.3793E-2</v>
      </c>
      <c r="L6" t="s">
        <v>17</v>
      </c>
      <c r="M6">
        <v>296</v>
      </c>
      <c r="N6" t="s">
        <v>18</v>
      </c>
      <c r="O6" t="s">
        <v>1478</v>
      </c>
    </row>
    <row r="7" spans="1:15" x14ac:dyDescent="0.2">
      <c r="A7" t="s">
        <v>1477</v>
      </c>
      <c r="B7" t="s">
        <v>239</v>
      </c>
      <c r="C7">
        <f t="shared" si="0"/>
        <v>7</v>
      </c>
      <c r="D7" t="s">
        <v>17</v>
      </c>
      <c r="E7" t="s">
        <v>17</v>
      </c>
      <c r="F7">
        <v>6</v>
      </c>
      <c r="G7" t="s">
        <v>17</v>
      </c>
      <c r="H7" t="s">
        <v>17</v>
      </c>
      <c r="I7">
        <v>2.3345000000000001E-2</v>
      </c>
      <c r="J7">
        <v>50</v>
      </c>
      <c r="K7">
        <f t="shared" si="1"/>
        <v>1.1672500000000001E-2</v>
      </c>
      <c r="L7" t="s">
        <v>17</v>
      </c>
      <c r="M7">
        <v>296</v>
      </c>
      <c r="N7" t="s">
        <v>18</v>
      </c>
      <c r="O7" t="s">
        <v>1478</v>
      </c>
    </row>
    <row r="8" spans="1:15" x14ac:dyDescent="0.2">
      <c r="A8" t="s">
        <v>1477</v>
      </c>
      <c r="B8" t="s">
        <v>239</v>
      </c>
      <c r="C8">
        <f t="shared" si="0"/>
        <v>8</v>
      </c>
      <c r="D8" t="s">
        <v>17</v>
      </c>
      <c r="E8" t="s">
        <v>17</v>
      </c>
      <c r="F8">
        <v>7</v>
      </c>
      <c r="G8" t="s">
        <v>17</v>
      </c>
      <c r="H8" t="s">
        <v>17</v>
      </c>
      <c r="I8">
        <v>1.9851000000000001E-2</v>
      </c>
      <c r="J8">
        <v>50</v>
      </c>
      <c r="K8">
        <f t="shared" si="1"/>
        <v>9.9255000000000003E-3</v>
      </c>
      <c r="L8" t="s">
        <v>17</v>
      </c>
      <c r="M8">
        <v>296</v>
      </c>
      <c r="N8" t="s">
        <v>18</v>
      </c>
      <c r="O8" t="s">
        <v>1478</v>
      </c>
    </row>
    <row r="9" spans="1:15" x14ac:dyDescent="0.2">
      <c r="A9" t="s">
        <v>1477</v>
      </c>
      <c r="B9" t="s">
        <v>239</v>
      </c>
      <c r="C9">
        <f t="shared" si="0"/>
        <v>9</v>
      </c>
      <c r="D9" t="s">
        <v>17</v>
      </c>
      <c r="E9" t="s">
        <v>17</v>
      </c>
      <c r="F9">
        <v>8</v>
      </c>
      <c r="G9" t="s">
        <v>17</v>
      </c>
      <c r="H9" t="s">
        <v>17</v>
      </c>
      <c r="I9">
        <v>1.7278999999999999E-2</v>
      </c>
      <c r="J9">
        <v>50</v>
      </c>
      <c r="K9">
        <f t="shared" si="1"/>
        <v>8.6394999999999996E-3</v>
      </c>
      <c r="L9" t="s">
        <v>17</v>
      </c>
      <c r="M9">
        <v>296</v>
      </c>
      <c r="N9" t="s">
        <v>18</v>
      </c>
      <c r="O9" t="s">
        <v>1478</v>
      </c>
    </row>
    <row r="10" spans="1:15" x14ac:dyDescent="0.2">
      <c r="A10" t="s">
        <v>1477</v>
      </c>
      <c r="B10" t="s">
        <v>239</v>
      </c>
      <c r="C10">
        <f t="shared" si="0"/>
        <v>10</v>
      </c>
      <c r="D10" t="s">
        <v>17</v>
      </c>
      <c r="E10" t="s">
        <v>17</v>
      </c>
      <c r="F10">
        <v>9</v>
      </c>
      <c r="G10" t="s">
        <v>17</v>
      </c>
      <c r="H10" t="s">
        <v>17</v>
      </c>
      <c r="I10">
        <v>1.5573999999999999E-2</v>
      </c>
      <c r="J10">
        <v>50</v>
      </c>
      <c r="K10">
        <f t="shared" si="1"/>
        <v>7.7869999999999997E-3</v>
      </c>
      <c r="L10" t="s">
        <v>17</v>
      </c>
      <c r="M10">
        <v>296</v>
      </c>
      <c r="N10" t="s">
        <v>18</v>
      </c>
      <c r="O10" t="s">
        <v>1478</v>
      </c>
    </row>
    <row r="11" spans="1:15" x14ac:dyDescent="0.2">
      <c r="A11" t="s">
        <v>1477</v>
      </c>
      <c r="B11" t="s">
        <v>239</v>
      </c>
      <c r="C11">
        <f t="shared" si="0"/>
        <v>11</v>
      </c>
      <c r="D11" t="s">
        <v>17</v>
      </c>
      <c r="E11" t="s">
        <v>17</v>
      </c>
      <c r="F11">
        <v>10</v>
      </c>
      <c r="G11" t="s">
        <v>17</v>
      </c>
      <c r="H11" t="s">
        <v>17</v>
      </c>
      <c r="I11">
        <v>1.4441000000000001E-2</v>
      </c>
      <c r="J11">
        <v>50</v>
      </c>
      <c r="K11">
        <f t="shared" si="1"/>
        <v>7.2205000000000012E-3</v>
      </c>
      <c r="L11" t="s">
        <v>17</v>
      </c>
      <c r="M11">
        <v>296</v>
      </c>
      <c r="N11" t="s">
        <v>18</v>
      </c>
      <c r="O11" t="s">
        <v>1478</v>
      </c>
    </row>
    <row r="12" spans="1:15" x14ac:dyDescent="0.2">
      <c r="A12" t="s">
        <v>1477</v>
      </c>
      <c r="B12" t="s">
        <v>239</v>
      </c>
      <c r="C12">
        <f t="shared" si="0"/>
        <v>12</v>
      </c>
      <c r="D12" t="s">
        <v>17</v>
      </c>
      <c r="E12" t="s">
        <v>17</v>
      </c>
      <c r="F12">
        <v>11</v>
      </c>
      <c r="G12" t="s">
        <v>17</v>
      </c>
      <c r="H12" t="s">
        <v>17</v>
      </c>
      <c r="I12">
        <v>1.3538E-2</v>
      </c>
      <c r="J12">
        <v>50</v>
      </c>
      <c r="K12">
        <f t="shared" si="1"/>
        <v>6.7689999999999998E-3</v>
      </c>
      <c r="L12" t="s">
        <v>17</v>
      </c>
      <c r="M12">
        <v>296</v>
      </c>
      <c r="N12" t="s">
        <v>18</v>
      </c>
      <c r="O12" t="s">
        <v>1478</v>
      </c>
    </row>
    <row r="13" spans="1:15" x14ac:dyDescent="0.2">
      <c r="A13" t="s">
        <v>1477</v>
      </c>
      <c r="B13" t="s">
        <v>239</v>
      </c>
      <c r="C13">
        <f t="shared" si="0"/>
        <v>13</v>
      </c>
      <c r="D13" t="s">
        <v>17</v>
      </c>
      <c r="E13" t="s">
        <v>17</v>
      </c>
      <c r="F13">
        <v>12</v>
      </c>
      <c r="G13" t="s">
        <v>17</v>
      </c>
      <c r="H13" t="s">
        <v>17</v>
      </c>
      <c r="I13">
        <v>1.2626999999999999E-2</v>
      </c>
      <c r="J13">
        <v>50</v>
      </c>
      <c r="K13">
        <f t="shared" si="1"/>
        <v>6.3134999999999997E-3</v>
      </c>
      <c r="L13" t="s">
        <v>17</v>
      </c>
      <c r="M13">
        <v>296</v>
      </c>
      <c r="N13" t="s">
        <v>18</v>
      </c>
      <c r="O13" t="s">
        <v>1478</v>
      </c>
    </row>
    <row r="14" spans="1:15" x14ac:dyDescent="0.2">
      <c r="A14" t="s">
        <v>1477</v>
      </c>
      <c r="B14" t="s">
        <v>239</v>
      </c>
      <c r="C14">
        <f t="shared" si="0"/>
        <v>14</v>
      </c>
      <c r="D14" t="s">
        <v>17</v>
      </c>
      <c r="E14" t="s">
        <v>17</v>
      </c>
      <c r="F14">
        <v>13</v>
      </c>
      <c r="G14" t="s">
        <v>17</v>
      </c>
      <c r="H14" t="s">
        <v>17</v>
      </c>
      <c r="I14">
        <v>1.1646999999999999E-2</v>
      </c>
      <c r="J14">
        <v>50</v>
      </c>
      <c r="K14">
        <f t="shared" si="1"/>
        <v>5.8234999999999988E-3</v>
      </c>
      <c r="L14" t="s">
        <v>17</v>
      </c>
      <c r="M14">
        <v>296</v>
      </c>
      <c r="N14" t="s">
        <v>18</v>
      </c>
      <c r="O14" t="s">
        <v>1478</v>
      </c>
    </row>
    <row r="15" spans="1:15" x14ac:dyDescent="0.2">
      <c r="A15" t="s">
        <v>1477</v>
      </c>
      <c r="B15" t="s">
        <v>239</v>
      </c>
      <c r="C15">
        <f t="shared" si="0"/>
        <v>15</v>
      </c>
      <c r="D15" t="s">
        <v>17</v>
      </c>
      <c r="E15" t="s">
        <v>17</v>
      </c>
      <c r="F15">
        <v>14</v>
      </c>
      <c r="G15" t="s">
        <v>17</v>
      </c>
      <c r="H15" t="s">
        <v>17</v>
      </c>
      <c r="I15">
        <v>1.0664999999999999E-2</v>
      </c>
      <c r="J15">
        <v>50</v>
      </c>
      <c r="K15">
        <f t="shared" si="1"/>
        <v>5.3325000000000004E-3</v>
      </c>
      <c r="L15" t="s">
        <v>17</v>
      </c>
      <c r="M15">
        <v>296</v>
      </c>
      <c r="N15" t="s">
        <v>18</v>
      </c>
      <c r="O15" t="s">
        <v>1478</v>
      </c>
    </row>
    <row r="16" spans="1:15" x14ac:dyDescent="0.2">
      <c r="A16" t="s">
        <v>1477</v>
      </c>
      <c r="B16" t="s">
        <v>239</v>
      </c>
      <c r="C16">
        <f t="shared" si="0"/>
        <v>16</v>
      </c>
      <c r="D16" t="s">
        <v>17</v>
      </c>
      <c r="E16" t="s">
        <v>17</v>
      </c>
      <c r="F16">
        <v>15</v>
      </c>
      <c r="G16" t="s">
        <v>17</v>
      </c>
      <c r="H16" t="s">
        <v>17</v>
      </c>
      <c r="I16">
        <v>9.7809999999999998E-3</v>
      </c>
      <c r="J16">
        <v>50</v>
      </c>
      <c r="K16">
        <f t="shared" si="1"/>
        <v>4.8904999999999999E-3</v>
      </c>
      <c r="L16" t="s">
        <v>17</v>
      </c>
      <c r="M16">
        <v>296</v>
      </c>
      <c r="N16" t="s">
        <v>18</v>
      </c>
      <c r="O16" t="s">
        <v>1478</v>
      </c>
    </row>
    <row r="17" spans="1:15" x14ac:dyDescent="0.2">
      <c r="A17" t="s">
        <v>1477</v>
      </c>
      <c r="B17" t="s">
        <v>239</v>
      </c>
      <c r="C17">
        <v>1</v>
      </c>
      <c r="D17" t="s">
        <v>17</v>
      </c>
      <c r="E17" t="s">
        <v>17</v>
      </c>
      <c r="F17">
        <v>2</v>
      </c>
      <c r="G17" t="s">
        <v>17</v>
      </c>
      <c r="H17" t="s">
        <v>17</v>
      </c>
      <c r="I17">
        <v>7.0935999999999999E-2</v>
      </c>
      <c r="J17">
        <v>50</v>
      </c>
      <c r="K17">
        <f t="shared" si="1"/>
        <v>3.5468E-2</v>
      </c>
      <c r="L17" t="s">
        <v>17</v>
      </c>
      <c r="M17">
        <v>296</v>
      </c>
      <c r="N17" t="s">
        <v>18</v>
      </c>
      <c r="O17" t="s">
        <v>1479</v>
      </c>
    </row>
    <row r="18" spans="1:15" x14ac:dyDescent="0.2">
      <c r="A18" t="s">
        <v>1477</v>
      </c>
      <c r="B18" t="s">
        <v>239</v>
      </c>
      <c r="C18">
        <v>2</v>
      </c>
      <c r="D18" t="s">
        <v>17</v>
      </c>
      <c r="E18" t="s">
        <v>17</v>
      </c>
      <c r="F18">
        <v>3</v>
      </c>
      <c r="G18" t="s">
        <v>17</v>
      </c>
      <c r="H18" t="s">
        <v>17</v>
      </c>
      <c r="I18">
        <v>4.4942000000000003E-2</v>
      </c>
      <c r="J18">
        <v>50</v>
      </c>
      <c r="K18">
        <f t="shared" si="1"/>
        <v>2.2471000000000001E-2</v>
      </c>
      <c r="L18" t="s">
        <v>17</v>
      </c>
      <c r="M18">
        <v>296</v>
      </c>
      <c r="N18" t="s">
        <v>18</v>
      </c>
      <c r="O18" t="s">
        <v>1479</v>
      </c>
    </row>
    <row r="19" spans="1:15" x14ac:dyDescent="0.2">
      <c r="A19" t="s">
        <v>1477</v>
      </c>
      <c r="B19" t="s">
        <v>239</v>
      </c>
      <c r="C19">
        <v>3</v>
      </c>
      <c r="D19" t="s">
        <v>17</v>
      </c>
      <c r="E19" t="s">
        <v>17</v>
      </c>
      <c r="F19">
        <v>4</v>
      </c>
      <c r="G19" t="s">
        <v>17</v>
      </c>
      <c r="H19" t="s">
        <v>17</v>
      </c>
      <c r="I19">
        <v>3.8767000000000003E-2</v>
      </c>
      <c r="J19">
        <v>50</v>
      </c>
      <c r="K19">
        <f t="shared" si="1"/>
        <v>1.9383500000000001E-2</v>
      </c>
      <c r="L19" t="s">
        <v>17</v>
      </c>
      <c r="M19">
        <v>296</v>
      </c>
      <c r="N19" t="s">
        <v>18</v>
      </c>
      <c r="O19" t="s">
        <v>1479</v>
      </c>
    </row>
    <row r="20" spans="1:15" x14ac:dyDescent="0.2">
      <c r="A20" t="s">
        <v>1477</v>
      </c>
      <c r="B20" t="s">
        <v>239</v>
      </c>
      <c r="C20">
        <v>4</v>
      </c>
      <c r="D20" t="s">
        <v>17</v>
      </c>
      <c r="E20" t="s">
        <v>17</v>
      </c>
      <c r="F20">
        <v>5</v>
      </c>
      <c r="G20" t="s">
        <v>17</v>
      </c>
      <c r="H20" t="s">
        <v>17</v>
      </c>
      <c r="I20">
        <v>3.3557999999999998E-2</v>
      </c>
      <c r="J20">
        <v>50</v>
      </c>
      <c r="K20">
        <f t="shared" si="1"/>
        <v>1.6778999999999999E-2</v>
      </c>
      <c r="L20" t="s">
        <v>17</v>
      </c>
      <c r="M20">
        <v>296</v>
      </c>
      <c r="N20" t="s">
        <v>18</v>
      </c>
      <c r="O20" t="s">
        <v>1479</v>
      </c>
    </row>
    <row r="21" spans="1:15" x14ac:dyDescent="0.2">
      <c r="A21" t="s">
        <v>1477</v>
      </c>
      <c r="B21" t="s">
        <v>239</v>
      </c>
      <c r="C21">
        <v>5</v>
      </c>
      <c r="D21" t="s">
        <v>17</v>
      </c>
      <c r="E21" t="s">
        <v>17</v>
      </c>
      <c r="F21">
        <v>6</v>
      </c>
      <c r="G21" t="s">
        <v>17</v>
      </c>
      <c r="H21" t="s">
        <v>17</v>
      </c>
      <c r="I21">
        <v>2.8681999999999999E-2</v>
      </c>
      <c r="J21">
        <v>50</v>
      </c>
      <c r="K21">
        <f t="shared" si="1"/>
        <v>1.4341E-2</v>
      </c>
      <c r="L21" t="s">
        <v>17</v>
      </c>
      <c r="M21">
        <v>296</v>
      </c>
      <c r="N21" t="s">
        <v>18</v>
      </c>
      <c r="O21" t="s">
        <v>1479</v>
      </c>
    </row>
    <row r="22" spans="1:15" x14ac:dyDescent="0.2">
      <c r="A22" t="s">
        <v>1477</v>
      </c>
      <c r="B22" t="s">
        <v>239</v>
      </c>
      <c r="C22">
        <v>6</v>
      </c>
      <c r="D22" t="s">
        <v>17</v>
      </c>
      <c r="E22" t="s">
        <v>17</v>
      </c>
      <c r="F22">
        <v>7</v>
      </c>
      <c r="G22" t="s">
        <v>17</v>
      </c>
      <c r="H22" t="s">
        <v>17</v>
      </c>
      <c r="I22">
        <v>2.4167999999999999E-2</v>
      </c>
      <c r="J22">
        <v>50</v>
      </c>
      <c r="K22">
        <f t="shared" si="1"/>
        <v>1.2083999999999999E-2</v>
      </c>
      <c r="L22" t="s">
        <v>17</v>
      </c>
      <c r="M22">
        <v>296</v>
      </c>
      <c r="N22" t="s">
        <v>18</v>
      </c>
      <c r="O22" t="s">
        <v>1479</v>
      </c>
    </row>
    <row r="23" spans="1:15" x14ac:dyDescent="0.2">
      <c r="A23" t="s">
        <v>1477</v>
      </c>
      <c r="B23" t="s">
        <v>239</v>
      </c>
      <c r="C23">
        <v>7</v>
      </c>
      <c r="D23" t="s">
        <v>17</v>
      </c>
      <c r="E23" t="s">
        <v>17</v>
      </c>
      <c r="F23">
        <v>8</v>
      </c>
      <c r="G23" t="s">
        <v>17</v>
      </c>
      <c r="H23" t="s">
        <v>17</v>
      </c>
      <c r="I23">
        <v>2.0223000000000001E-2</v>
      </c>
      <c r="J23">
        <v>50</v>
      </c>
      <c r="K23">
        <f t="shared" si="1"/>
        <v>1.0111500000000001E-2</v>
      </c>
      <c r="L23" t="s">
        <v>17</v>
      </c>
      <c r="M23">
        <v>296</v>
      </c>
      <c r="N23" t="s">
        <v>18</v>
      </c>
      <c r="O23" t="s">
        <v>1479</v>
      </c>
    </row>
    <row r="24" spans="1:15" x14ac:dyDescent="0.2">
      <c r="A24" t="s">
        <v>1477</v>
      </c>
      <c r="B24" t="s">
        <v>239</v>
      </c>
      <c r="C24">
        <v>8</v>
      </c>
      <c r="D24" t="s">
        <v>17</v>
      </c>
      <c r="E24" t="s">
        <v>17</v>
      </c>
      <c r="F24">
        <v>9</v>
      </c>
      <c r="G24" t="s">
        <v>17</v>
      </c>
      <c r="H24" t="s">
        <v>17</v>
      </c>
      <c r="I24">
        <v>1.7038999999999999E-2</v>
      </c>
      <c r="J24">
        <v>50</v>
      </c>
      <c r="K24">
        <f t="shared" si="1"/>
        <v>8.5194999999999993E-3</v>
      </c>
      <c r="L24" t="s">
        <v>17</v>
      </c>
      <c r="M24">
        <v>296</v>
      </c>
      <c r="N24" t="s">
        <v>18</v>
      </c>
      <c r="O24" t="s">
        <v>1479</v>
      </c>
    </row>
    <row r="25" spans="1:15" x14ac:dyDescent="0.2">
      <c r="A25" t="s">
        <v>1477</v>
      </c>
      <c r="B25" t="s">
        <v>239</v>
      </c>
      <c r="C25">
        <v>9</v>
      </c>
      <c r="D25" t="s">
        <v>17</v>
      </c>
      <c r="E25" t="s">
        <v>17</v>
      </c>
      <c r="F25">
        <v>10</v>
      </c>
      <c r="G25" t="s">
        <v>17</v>
      </c>
      <c r="H25" t="s">
        <v>17</v>
      </c>
      <c r="I25">
        <v>1.4648E-2</v>
      </c>
      <c r="J25">
        <v>50</v>
      </c>
      <c r="K25">
        <f t="shared" si="1"/>
        <v>7.3239999999999998E-3</v>
      </c>
      <c r="L25" t="s">
        <v>17</v>
      </c>
      <c r="M25">
        <v>296</v>
      </c>
      <c r="N25" t="s">
        <v>18</v>
      </c>
      <c r="O25" t="s">
        <v>1479</v>
      </c>
    </row>
    <row r="26" spans="1:15" x14ac:dyDescent="0.2">
      <c r="A26" t="s">
        <v>1477</v>
      </c>
      <c r="B26" t="s">
        <v>239</v>
      </c>
      <c r="C26">
        <v>10</v>
      </c>
      <c r="D26" t="s">
        <v>17</v>
      </c>
      <c r="E26" t="s">
        <v>17</v>
      </c>
      <c r="F26">
        <v>11</v>
      </c>
      <c r="G26" t="s">
        <v>17</v>
      </c>
      <c r="H26" t="s">
        <v>17</v>
      </c>
      <c r="I26">
        <v>1.2885000000000001E-2</v>
      </c>
      <c r="J26">
        <v>50</v>
      </c>
      <c r="K26">
        <f t="shared" si="1"/>
        <v>6.4425000000000003E-3</v>
      </c>
      <c r="L26" t="s">
        <v>17</v>
      </c>
      <c r="M26">
        <v>296</v>
      </c>
      <c r="N26" t="s">
        <v>18</v>
      </c>
      <c r="O26" t="s">
        <v>1479</v>
      </c>
    </row>
    <row r="27" spans="1:15" x14ac:dyDescent="0.2">
      <c r="A27" t="s">
        <v>1477</v>
      </c>
      <c r="B27" t="s">
        <v>239</v>
      </c>
      <c r="C27">
        <v>11</v>
      </c>
      <c r="D27" t="s">
        <v>17</v>
      </c>
      <c r="E27" t="s">
        <v>17</v>
      </c>
      <c r="F27">
        <v>12</v>
      </c>
      <c r="G27" t="s">
        <v>17</v>
      </c>
      <c r="H27" t="s">
        <v>17</v>
      </c>
      <c r="I27">
        <v>1.1509999999999999E-2</v>
      </c>
      <c r="J27">
        <v>50</v>
      </c>
      <c r="K27">
        <f t="shared" si="1"/>
        <v>5.7549999999999997E-3</v>
      </c>
      <c r="L27" t="s">
        <v>17</v>
      </c>
      <c r="M27">
        <v>296</v>
      </c>
      <c r="N27" t="s">
        <v>18</v>
      </c>
      <c r="O27" t="s">
        <v>1479</v>
      </c>
    </row>
    <row r="28" spans="1:15" x14ac:dyDescent="0.2">
      <c r="A28" t="s">
        <v>1477</v>
      </c>
      <c r="B28" t="s">
        <v>239</v>
      </c>
      <c r="C28">
        <v>12</v>
      </c>
      <c r="D28" t="s">
        <v>17</v>
      </c>
      <c r="E28" t="s">
        <v>17</v>
      </c>
      <c r="F28">
        <v>13</v>
      </c>
      <c r="G28" t="s">
        <v>17</v>
      </c>
      <c r="H28" t="s">
        <v>17</v>
      </c>
      <c r="I28">
        <v>1.0312999999999999E-2</v>
      </c>
      <c r="J28">
        <v>50</v>
      </c>
      <c r="K28">
        <f t="shared" si="1"/>
        <v>5.1564999999999996E-3</v>
      </c>
      <c r="L28" t="s">
        <v>17</v>
      </c>
      <c r="M28">
        <v>296</v>
      </c>
      <c r="N28" t="s">
        <v>18</v>
      </c>
      <c r="O28" t="s">
        <v>1479</v>
      </c>
    </row>
    <row r="29" spans="1:15" x14ac:dyDescent="0.2">
      <c r="A29" t="s">
        <v>1477</v>
      </c>
      <c r="B29" t="s">
        <v>239</v>
      </c>
      <c r="C29">
        <v>13</v>
      </c>
      <c r="D29" t="s">
        <v>17</v>
      </c>
      <c r="E29" t="s">
        <v>17</v>
      </c>
      <c r="F29">
        <v>14</v>
      </c>
      <c r="G29" t="s">
        <v>17</v>
      </c>
      <c r="H29" t="s">
        <v>17</v>
      </c>
      <c r="I29">
        <v>9.1970000000000003E-3</v>
      </c>
      <c r="J29">
        <v>50</v>
      </c>
      <c r="K29">
        <f t="shared" si="1"/>
        <v>4.5985000000000002E-3</v>
      </c>
      <c r="L29" t="s">
        <v>17</v>
      </c>
      <c r="M29">
        <v>296</v>
      </c>
      <c r="N29" t="s">
        <v>18</v>
      </c>
      <c r="O29" t="s">
        <v>1479</v>
      </c>
    </row>
    <row r="30" spans="1:15" x14ac:dyDescent="0.2">
      <c r="A30" t="s">
        <v>1477</v>
      </c>
      <c r="B30" t="s">
        <v>239</v>
      </c>
      <c r="C30">
        <v>14</v>
      </c>
      <c r="D30" t="s">
        <v>17</v>
      </c>
      <c r="E30" t="s">
        <v>17</v>
      </c>
      <c r="F30">
        <v>15</v>
      </c>
      <c r="G30" t="s">
        <v>17</v>
      </c>
      <c r="H30" t="s">
        <v>17</v>
      </c>
      <c r="I30">
        <v>8.1759999999999992E-3</v>
      </c>
      <c r="J30">
        <v>50</v>
      </c>
      <c r="K30">
        <f t="shared" si="1"/>
        <v>4.0879999999999996E-3</v>
      </c>
      <c r="L30" t="s">
        <v>17</v>
      </c>
      <c r="M30">
        <v>296</v>
      </c>
      <c r="N30" t="s">
        <v>18</v>
      </c>
      <c r="O30" t="s">
        <v>1479</v>
      </c>
    </row>
    <row r="31" spans="1:15" x14ac:dyDescent="0.2">
      <c r="A31" t="s">
        <v>1477</v>
      </c>
      <c r="B31" t="s">
        <v>239</v>
      </c>
      <c r="C31">
        <v>15</v>
      </c>
      <c r="D31" t="s">
        <v>17</v>
      </c>
      <c r="E31" t="s">
        <v>17</v>
      </c>
      <c r="F31">
        <v>16</v>
      </c>
      <c r="G31" t="s">
        <v>17</v>
      </c>
      <c r="H31" t="s">
        <v>17</v>
      </c>
      <c r="I31">
        <v>7.2870000000000001E-3</v>
      </c>
      <c r="J31">
        <v>50</v>
      </c>
      <c r="K31">
        <f t="shared" si="1"/>
        <v>3.6435E-3</v>
      </c>
      <c r="L31" t="s">
        <v>17</v>
      </c>
      <c r="M31">
        <v>296</v>
      </c>
      <c r="N31" t="s">
        <v>18</v>
      </c>
      <c r="O31" t="s">
        <v>1479</v>
      </c>
    </row>
    <row r="32" spans="1:15" x14ac:dyDescent="0.2">
      <c r="A32" t="s">
        <v>1477</v>
      </c>
      <c r="B32" t="s">
        <v>239</v>
      </c>
      <c r="C32">
        <v>2</v>
      </c>
      <c r="D32" t="s">
        <v>17</v>
      </c>
      <c r="E32" t="s">
        <v>17</v>
      </c>
      <c r="F32">
        <v>1</v>
      </c>
      <c r="G32" t="s">
        <v>17</v>
      </c>
      <c r="H32" t="s">
        <v>17</v>
      </c>
      <c r="I32">
        <v>5.3520999999999999E-2</v>
      </c>
      <c r="J32">
        <v>50</v>
      </c>
      <c r="K32">
        <f t="shared" si="1"/>
        <v>2.67605E-2</v>
      </c>
      <c r="L32" t="s">
        <v>17</v>
      </c>
      <c r="M32">
        <v>296</v>
      </c>
      <c r="N32" t="s">
        <v>18</v>
      </c>
      <c r="O32" t="s">
        <v>1480</v>
      </c>
    </row>
    <row r="33" spans="1:15" x14ac:dyDescent="0.2">
      <c r="A33" t="s">
        <v>1477</v>
      </c>
      <c r="B33" t="s">
        <v>239</v>
      </c>
      <c r="C33">
        <v>3</v>
      </c>
      <c r="D33" t="s">
        <v>17</v>
      </c>
      <c r="E33" t="s">
        <v>17</v>
      </c>
      <c r="F33">
        <v>2</v>
      </c>
      <c r="G33" t="s">
        <v>17</v>
      </c>
      <c r="H33" t="s">
        <v>17</v>
      </c>
      <c r="I33">
        <v>4.1356999999999998E-2</v>
      </c>
      <c r="J33">
        <v>50</v>
      </c>
      <c r="K33">
        <f t="shared" si="1"/>
        <v>2.0678499999999999E-2</v>
      </c>
      <c r="L33" t="s">
        <v>17</v>
      </c>
      <c r="M33">
        <v>296</v>
      </c>
      <c r="N33" t="s">
        <v>18</v>
      </c>
      <c r="O33" t="s">
        <v>1480</v>
      </c>
    </row>
    <row r="34" spans="1:15" x14ac:dyDescent="0.2">
      <c r="A34" t="s">
        <v>1477</v>
      </c>
      <c r="B34" t="s">
        <v>239</v>
      </c>
      <c r="C34">
        <v>4</v>
      </c>
      <c r="D34" t="s">
        <v>17</v>
      </c>
      <c r="E34" t="s">
        <v>17</v>
      </c>
      <c r="F34">
        <v>3</v>
      </c>
      <c r="G34" t="s">
        <v>17</v>
      </c>
      <c r="H34" t="s">
        <v>17</v>
      </c>
      <c r="I34">
        <v>3.7409999999999999E-2</v>
      </c>
      <c r="J34">
        <v>50</v>
      </c>
      <c r="K34">
        <f t="shared" si="1"/>
        <v>1.8704999999999999E-2</v>
      </c>
      <c r="L34" t="s">
        <v>17</v>
      </c>
      <c r="M34">
        <v>296</v>
      </c>
      <c r="N34" t="s">
        <v>18</v>
      </c>
      <c r="O34" t="s">
        <v>1480</v>
      </c>
    </row>
    <row r="35" spans="1:15" x14ac:dyDescent="0.2">
      <c r="A35" t="s">
        <v>1477</v>
      </c>
      <c r="B35" t="s">
        <v>239</v>
      </c>
      <c r="C35">
        <v>5</v>
      </c>
      <c r="D35" t="s">
        <v>17</v>
      </c>
      <c r="E35" t="s">
        <v>17</v>
      </c>
      <c r="F35">
        <v>4</v>
      </c>
      <c r="G35" t="s">
        <v>17</v>
      </c>
      <c r="H35" t="s">
        <v>17</v>
      </c>
      <c r="I35">
        <v>3.3862000000000003E-2</v>
      </c>
      <c r="J35">
        <v>50</v>
      </c>
      <c r="K35">
        <f t="shared" si="1"/>
        <v>1.6931000000000002E-2</v>
      </c>
      <c r="L35" t="s">
        <v>17</v>
      </c>
      <c r="M35">
        <v>296</v>
      </c>
      <c r="N35" t="s">
        <v>18</v>
      </c>
      <c r="O35" t="s">
        <v>1480</v>
      </c>
    </row>
    <row r="36" spans="1:15" x14ac:dyDescent="0.2">
      <c r="A36" t="s">
        <v>1477</v>
      </c>
      <c r="B36" t="s">
        <v>239</v>
      </c>
      <c r="C36">
        <v>6</v>
      </c>
      <c r="D36" t="s">
        <v>17</v>
      </c>
      <c r="E36" t="s">
        <v>17</v>
      </c>
      <c r="F36">
        <v>5</v>
      </c>
      <c r="G36" t="s">
        <v>17</v>
      </c>
      <c r="H36" t="s">
        <v>17</v>
      </c>
      <c r="I36">
        <v>3.0609999999999998E-2</v>
      </c>
      <c r="J36">
        <v>50</v>
      </c>
      <c r="K36">
        <f t="shared" si="1"/>
        <v>1.5304999999999999E-2</v>
      </c>
      <c r="L36" t="s">
        <v>17</v>
      </c>
      <c r="M36">
        <v>296</v>
      </c>
      <c r="N36" t="s">
        <v>18</v>
      </c>
      <c r="O36" t="s">
        <v>1480</v>
      </c>
    </row>
    <row r="37" spans="1:15" x14ac:dyDescent="0.2">
      <c r="A37" t="s">
        <v>1477</v>
      </c>
      <c r="B37" t="s">
        <v>239</v>
      </c>
      <c r="C37">
        <v>7</v>
      </c>
      <c r="D37" t="s">
        <v>17</v>
      </c>
      <c r="E37" t="s">
        <v>17</v>
      </c>
      <c r="F37">
        <v>6</v>
      </c>
      <c r="G37" t="s">
        <v>17</v>
      </c>
      <c r="H37" t="s">
        <v>17</v>
      </c>
      <c r="I37">
        <v>2.7677E-2</v>
      </c>
      <c r="J37">
        <v>50</v>
      </c>
      <c r="K37">
        <f t="shared" si="1"/>
        <v>1.38385E-2</v>
      </c>
      <c r="L37" t="s">
        <v>17</v>
      </c>
      <c r="M37">
        <v>296</v>
      </c>
      <c r="N37" t="s">
        <v>18</v>
      </c>
      <c r="O37" t="s">
        <v>1480</v>
      </c>
    </row>
    <row r="38" spans="1:15" x14ac:dyDescent="0.2">
      <c r="A38" t="s">
        <v>1477</v>
      </c>
      <c r="B38" t="s">
        <v>239</v>
      </c>
      <c r="C38">
        <v>8</v>
      </c>
      <c r="D38" t="s">
        <v>17</v>
      </c>
      <c r="E38" t="s">
        <v>17</v>
      </c>
      <c r="F38">
        <v>7</v>
      </c>
      <c r="G38" t="s">
        <v>17</v>
      </c>
      <c r="H38" t="s">
        <v>17</v>
      </c>
      <c r="I38">
        <v>2.5089E-2</v>
      </c>
      <c r="J38">
        <v>50</v>
      </c>
      <c r="K38">
        <f t="shared" si="1"/>
        <v>1.25445E-2</v>
      </c>
      <c r="L38" t="s">
        <v>17</v>
      </c>
      <c r="M38">
        <v>296</v>
      </c>
      <c r="N38" t="s">
        <v>18</v>
      </c>
      <c r="O38" t="s">
        <v>1480</v>
      </c>
    </row>
    <row r="39" spans="1:15" x14ac:dyDescent="0.2">
      <c r="A39" t="s">
        <v>1477</v>
      </c>
      <c r="B39" t="s">
        <v>239</v>
      </c>
      <c r="C39">
        <v>9</v>
      </c>
      <c r="D39" t="s">
        <v>17</v>
      </c>
      <c r="E39" t="s">
        <v>17</v>
      </c>
      <c r="F39">
        <v>8</v>
      </c>
      <c r="G39" t="s">
        <v>17</v>
      </c>
      <c r="H39" t="s">
        <v>17</v>
      </c>
      <c r="I39">
        <v>2.2832000000000002E-2</v>
      </c>
      <c r="J39">
        <v>50</v>
      </c>
      <c r="K39">
        <f t="shared" si="1"/>
        <v>1.1416000000000003E-2</v>
      </c>
      <c r="L39" t="s">
        <v>17</v>
      </c>
      <c r="M39">
        <v>296</v>
      </c>
      <c r="N39" t="s">
        <v>18</v>
      </c>
      <c r="O39" t="s">
        <v>1480</v>
      </c>
    </row>
    <row r="40" spans="1:15" x14ac:dyDescent="0.2">
      <c r="A40" t="s">
        <v>1477</v>
      </c>
      <c r="B40" t="s">
        <v>239</v>
      </c>
      <c r="C40">
        <v>10</v>
      </c>
      <c r="D40" t="s">
        <v>17</v>
      </c>
      <c r="E40" t="s">
        <v>17</v>
      </c>
      <c r="F40">
        <v>9</v>
      </c>
      <c r="G40" t="s">
        <v>17</v>
      </c>
      <c r="H40" t="s">
        <v>17</v>
      </c>
      <c r="I40">
        <v>2.0888E-2</v>
      </c>
      <c r="J40">
        <v>50</v>
      </c>
      <c r="K40">
        <f t="shared" si="1"/>
        <v>1.0444E-2</v>
      </c>
      <c r="L40" t="s">
        <v>17</v>
      </c>
      <c r="M40">
        <v>296</v>
      </c>
      <c r="N40" t="s">
        <v>18</v>
      </c>
      <c r="O40" t="s">
        <v>1480</v>
      </c>
    </row>
    <row r="41" spans="1:15" x14ac:dyDescent="0.2">
      <c r="A41" t="s">
        <v>1477</v>
      </c>
      <c r="B41" t="s">
        <v>239</v>
      </c>
      <c r="C41">
        <v>1</v>
      </c>
      <c r="D41" t="s">
        <v>17</v>
      </c>
      <c r="E41" t="s">
        <v>17</v>
      </c>
      <c r="F41">
        <v>2</v>
      </c>
      <c r="G41" t="s">
        <v>17</v>
      </c>
      <c r="H41" t="s">
        <v>17</v>
      </c>
      <c r="I41">
        <v>6.7321000000000006E-2</v>
      </c>
      <c r="J41">
        <v>50</v>
      </c>
      <c r="K41">
        <f t="shared" si="1"/>
        <v>3.3660500000000003E-2</v>
      </c>
      <c r="L41" t="s">
        <v>17</v>
      </c>
      <c r="M41">
        <v>296</v>
      </c>
      <c r="N41" t="s">
        <v>18</v>
      </c>
      <c r="O41" t="s">
        <v>1481</v>
      </c>
    </row>
    <row r="42" spans="1:15" x14ac:dyDescent="0.2">
      <c r="A42" t="s">
        <v>1477</v>
      </c>
      <c r="B42" t="s">
        <v>239</v>
      </c>
      <c r="C42">
        <v>2</v>
      </c>
      <c r="D42" t="s">
        <v>17</v>
      </c>
      <c r="E42" t="s">
        <v>17</v>
      </c>
      <c r="F42">
        <v>3</v>
      </c>
      <c r="G42" t="s">
        <v>17</v>
      </c>
      <c r="H42" t="s">
        <v>17</v>
      </c>
      <c r="I42">
        <v>4.4949000000000003E-2</v>
      </c>
      <c r="J42">
        <v>50</v>
      </c>
      <c r="K42">
        <f t="shared" si="1"/>
        <v>2.2474500000000001E-2</v>
      </c>
      <c r="L42" t="s">
        <v>17</v>
      </c>
      <c r="M42">
        <v>296</v>
      </c>
      <c r="N42" t="s">
        <v>18</v>
      </c>
      <c r="O42" t="s">
        <v>1481</v>
      </c>
    </row>
    <row r="43" spans="1:15" x14ac:dyDescent="0.2">
      <c r="A43" t="s">
        <v>1477</v>
      </c>
      <c r="B43" t="s">
        <v>239</v>
      </c>
      <c r="C43">
        <v>3</v>
      </c>
      <c r="D43" t="s">
        <v>17</v>
      </c>
      <c r="E43" t="s">
        <v>17</v>
      </c>
      <c r="F43">
        <v>4</v>
      </c>
      <c r="G43" t="s">
        <v>17</v>
      </c>
      <c r="H43" t="s">
        <v>17</v>
      </c>
      <c r="I43">
        <v>3.9675000000000002E-2</v>
      </c>
      <c r="J43">
        <v>50</v>
      </c>
      <c r="K43">
        <f t="shared" si="1"/>
        <v>1.9837500000000001E-2</v>
      </c>
      <c r="L43" t="s">
        <v>17</v>
      </c>
      <c r="M43">
        <v>296</v>
      </c>
      <c r="N43" t="s">
        <v>18</v>
      </c>
      <c r="O43" t="s">
        <v>1481</v>
      </c>
    </row>
    <row r="44" spans="1:15" x14ac:dyDescent="0.2">
      <c r="A44" t="s">
        <v>1477</v>
      </c>
      <c r="B44" t="s">
        <v>239</v>
      </c>
      <c r="C44">
        <v>4</v>
      </c>
      <c r="D44" t="s">
        <v>17</v>
      </c>
      <c r="E44" t="s">
        <v>17</v>
      </c>
      <c r="F44">
        <v>5</v>
      </c>
      <c r="G44" t="s">
        <v>17</v>
      </c>
      <c r="H44" t="s">
        <v>17</v>
      </c>
      <c r="I44">
        <v>3.5464000000000002E-2</v>
      </c>
      <c r="J44">
        <v>50</v>
      </c>
      <c r="K44">
        <f t="shared" si="1"/>
        <v>1.7732000000000001E-2</v>
      </c>
      <c r="L44" t="s">
        <v>17</v>
      </c>
      <c r="M44">
        <v>296</v>
      </c>
      <c r="N44" t="s">
        <v>18</v>
      </c>
      <c r="O44" t="s">
        <v>1481</v>
      </c>
    </row>
    <row r="45" spans="1:15" x14ac:dyDescent="0.2">
      <c r="A45" t="s">
        <v>1477</v>
      </c>
      <c r="B45" t="s">
        <v>239</v>
      </c>
      <c r="C45">
        <v>5</v>
      </c>
      <c r="D45" t="s">
        <v>17</v>
      </c>
      <c r="E45" t="s">
        <v>17</v>
      </c>
      <c r="F45">
        <v>6</v>
      </c>
      <c r="G45" t="s">
        <v>17</v>
      </c>
      <c r="H45" t="s">
        <v>17</v>
      </c>
      <c r="I45">
        <v>3.1761999999999999E-2</v>
      </c>
      <c r="J45">
        <v>50</v>
      </c>
      <c r="K45">
        <f t="shared" si="1"/>
        <v>1.5880999999999999E-2</v>
      </c>
      <c r="L45" t="s">
        <v>17</v>
      </c>
      <c r="M45">
        <v>296</v>
      </c>
      <c r="N45" t="s">
        <v>18</v>
      </c>
      <c r="O45" t="s">
        <v>1481</v>
      </c>
    </row>
    <row r="46" spans="1:15" x14ac:dyDescent="0.2">
      <c r="A46" t="s">
        <v>1477</v>
      </c>
      <c r="B46" t="s">
        <v>239</v>
      </c>
      <c r="C46">
        <v>6</v>
      </c>
      <c r="D46" t="s">
        <v>17</v>
      </c>
      <c r="E46" t="s">
        <v>17</v>
      </c>
      <c r="F46">
        <v>7</v>
      </c>
      <c r="G46" t="s">
        <v>17</v>
      </c>
      <c r="H46" t="s">
        <v>17</v>
      </c>
      <c r="I46">
        <v>2.8435999999999999E-2</v>
      </c>
      <c r="J46">
        <v>50</v>
      </c>
      <c r="K46">
        <f t="shared" si="1"/>
        <v>1.4218E-2</v>
      </c>
      <c r="L46" t="s">
        <v>17</v>
      </c>
      <c r="M46">
        <v>296</v>
      </c>
      <c r="N46" t="s">
        <v>18</v>
      </c>
      <c r="O46" t="s">
        <v>1481</v>
      </c>
    </row>
    <row r="47" spans="1:15" x14ac:dyDescent="0.2">
      <c r="A47" t="s">
        <v>1477</v>
      </c>
      <c r="B47" t="s">
        <v>239</v>
      </c>
      <c r="C47">
        <v>7</v>
      </c>
      <c r="D47" t="s">
        <v>17</v>
      </c>
      <c r="E47" t="s">
        <v>17</v>
      </c>
      <c r="F47">
        <v>8</v>
      </c>
      <c r="G47" t="s">
        <v>17</v>
      </c>
      <c r="H47" t="s">
        <v>17</v>
      </c>
      <c r="I47">
        <v>2.5468999999999999E-2</v>
      </c>
      <c r="J47">
        <v>50</v>
      </c>
      <c r="K47">
        <f t="shared" si="1"/>
        <v>1.2734499999999999E-2</v>
      </c>
      <c r="L47" t="s">
        <v>17</v>
      </c>
      <c r="M47">
        <v>296</v>
      </c>
      <c r="N47" t="s">
        <v>18</v>
      </c>
      <c r="O47" t="s">
        <v>1481</v>
      </c>
    </row>
    <row r="48" spans="1:15" x14ac:dyDescent="0.2">
      <c r="A48" t="s">
        <v>32</v>
      </c>
      <c r="B48" t="s">
        <v>190</v>
      </c>
      <c r="C48">
        <f t="shared" ref="C48:C51" si="2">F48+1</f>
        <v>2</v>
      </c>
      <c r="D48" t="s">
        <v>17</v>
      </c>
      <c r="E48" t="s">
        <v>17</v>
      </c>
      <c r="F48">
        <v>1</v>
      </c>
      <c r="G48" t="s">
        <v>17</v>
      </c>
      <c r="H48" t="s">
        <v>17</v>
      </c>
      <c r="I48">
        <v>0.16639799999999999</v>
      </c>
      <c r="J48">
        <v>50</v>
      </c>
      <c r="K48">
        <f t="shared" ref="K48:K52" si="3">J48*I48/100</f>
        <v>8.3198999999999981E-2</v>
      </c>
      <c r="L48" t="s">
        <v>17</v>
      </c>
      <c r="M48">
        <v>296</v>
      </c>
      <c r="N48" t="s">
        <v>18</v>
      </c>
      <c r="O48" t="s">
        <v>1482</v>
      </c>
    </row>
    <row r="49" spans="1:15" x14ac:dyDescent="0.2">
      <c r="A49" t="s">
        <v>32</v>
      </c>
      <c r="B49" t="s">
        <v>190</v>
      </c>
      <c r="C49">
        <f t="shared" si="2"/>
        <v>3</v>
      </c>
      <c r="D49" t="s">
        <v>17</v>
      </c>
      <c r="E49" t="s">
        <v>17</v>
      </c>
      <c r="F49">
        <v>2</v>
      </c>
      <c r="G49" t="s">
        <v>17</v>
      </c>
      <c r="H49" t="s">
        <v>17</v>
      </c>
      <c r="I49">
        <v>0.16639799999999999</v>
      </c>
      <c r="J49">
        <v>50</v>
      </c>
      <c r="K49">
        <f t="shared" si="3"/>
        <v>8.3198999999999981E-2</v>
      </c>
      <c r="L49" t="s">
        <v>17</v>
      </c>
      <c r="M49">
        <v>296</v>
      </c>
      <c r="N49" t="s">
        <v>18</v>
      </c>
      <c r="O49" t="s">
        <v>1482</v>
      </c>
    </row>
    <row r="50" spans="1:15" x14ac:dyDescent="0.2">
      <c r="A50" t="s">
        <v>173</v>
      </c>
      <c r="B50" t="s">
        <v>32</v>
      </c>
      <c r="C50">
        <f t="shared" si="2"/>
        <v>2</v>
      </c>
      <c r="D50" t="s">
        <v>17</v>
      </c>
      <c r="E50" t="s">
        <v>17</v>
      </c>
      <c r="F50">
        <v>1</v>
      </c>
      <c r="G50" t="s">
        <v>17</v>
      </c>
      <c r="H50" t="s">
        <v>17</v>
      </c>
      <c r="I50">
        <v>0.111945</v>
      </c>
      <c r="J50">
        <v>50</v>
      </c>
      <c r="K50">
        <f t="shared" si="3"/>
        <v>5.5972500000000001E-2</v>
      </c>
      <c r="L50" t="s">
        <v>17</v>
      </c>
      <c r="M50">
        <v>296</v>
      </c>
      <c r="N50" t="s">
        <v>18</v>
      </c>
      <c r="O50" t="s">
        <v>1483</v>
      </c>
    </row>
    <row r="51" spans="1:15" x14ac:dyDescent="0.2">
      <c r="A51" t="s">
        <v>173</v>
      </c>
      <c r="B51" t="s">
        <v>32</v>
      </c>
      <c r="C51">
        <f t="shared" si="2"/>
        <v>3</v>
      </c>
      <c r="D51" t="s">
        <v>17</v>
      </c>
      <c r="E51" t="s">
        <v>17</v>
      </c>
      <c r="F51">
        <v>2</v>
      </c>
      <c r="G51" t="s">
        <v>17</v>
      </c>
      <c r="H51" t="s">
        <v>17</v>
      </c>
      <c r="I51">
        <v>0.110042</v>
      </c>
      <c r="J51">
        <v>50</v>
      </c>
      <c r="K51">
        <f t="shared" si="3"/>
        <v>5.5021000000000007E-2</v>
      </c>
      <c r="L51" t="s">
        <v>17</v>
      </c>
      <c r="M51">
        <v>296</v>
      </c>
      <c r="N51" t="s">
        <v>18</v>
      </c>
      <c r="O51" t="s">
        <v>1483</v>
      </c>
    </row>
    <row r="52" spans="1:15" x14ac:dyDescent="0.2">
      <c r="A52" t="s">
        <v>173</v>
      </c>
      <c r="B52" t="s">
        <v>32</v>
      </c>
      <c r="C52">
        <f t="shared" ref="C52:C55" si="4">F52+1</f>
        <v>4</v>
      </c>
      <c r="D52" t="s">
        <v>17</v>
      </c>
      <c r="E52" t="s">
        <v>17</v>
      </c>
      <c r="F52">
        <v>3</v>
      </c>
      <c r="G52" t="s">
        <v>17</v>
      </c>
      <c r="H52" t="s">
        <v>17</v>
      </c>
      <c r="I52">
        <v>0.10706599999999999</v>
      </c>
      <c r="J52">
        <v>50</v>
      </c>
      <c r="K52">
        <f t="shared" si="3"/>
        <v>5.3532999999999997E-2</v>
      </c>
      <c r="L52" t="s">
        <v>17</v>
      </c>
      <c r="M52">
        <v>296</v>
      </c>
      <c r="N52" t="s">
        <v>18</v>
      </c>
      <c r="O52" t="s">
        <v>1483</v>
      </c>
    </row>
    <row r="53" spans="1:15" x14ac:dyDescent="0.2">
      <c r="A53" t="s">
        <v>32</v>
      </c>
      <c r="B53" t="s">
        <v>32</v>
      </c>
      <c r="C53">
        <f t="shared" si="4"/>
        <v>2</v>
      </c>
      <c r="D53" t="s">
        <v>17</v>
      </c>
      <c r="E53" t="s">
        <v>17</v>
      </c>
      <c r="F53">
        <v>1</v>
      </c>
      <c r="G53" t="s">
        <v>17</v>
      </c>
      <c r="H53" t="s">
        <v>17</v>
      </c>
      <c r="I53">
        <v>8.7785000000000002E-2</v>
      </c>
      <c r="J53">
        <v>50</v>
      </c>
      <c r="K53">
        <f>J53*I53/100</f>
        <v>4.3892500000000008E-2</v>
      </c>
      <c r="L53" t="s">
        <v>17</v>
      </c>
      <c r="M53">
        <v>296</v>
      </c>
      <c r="N53" t="s">
        <v>18</v>
      </c>
      <c r="O53" t="s">
        <v>1484</v>
      </c>
    </row>
    <row r="54" spans="1:15" x14ac:dyDescent="0.2">
      <c r="A54" t="s">
        <v>32</v>
      </c>
      <c r="B54" t="s">
        <v>32</v>
      </c>
      <c r="C54">
        <f t="shared" si="4"/>
        <v>3</v>
      </c>
      <c r="D54" t="s">
        <v>17</v>
      </c>
      <c r="E54" t="s">
        <v>17</v>
      </c>
      <c r="F54">
        <v>2</v>
      </c>
      <c r="G54" t="s">
        <v>17</v>
      </c>
      <c r="H54" t="s">
        <v>17</v>
      </c>
      <c r="I54">
        <v>8.7415000000000007E-2</v>
      </c>
      <c r="J54">
        <v>50</v>
      </c>
      <c r="K54">
        <f>J54*I54/100</f>
        <v>4.3707500000000003E-2</v>
      </c>
      <c r="L54" t="s">
        <v>17</v>
      </c>
      <c r="M54">
        <v>296</v>
      </c>
      <c r="N54" t="s">
        <v>18</v>
      </c>
      <c r="O54" t="s">
        <v>1484</v>
      </c>
    </row>
    <row r="55" spans="1:15" x14ac:dyDescent="0.2">
      <c r="A55" t="s">
        <v>32</v>
      </c>
      <c r="B55" t="s">
        <v>32</v>
      </c>
      <c r="C55">
        <f t="shared" si="4"/>
        <v>4</v>
      </c>
      <c r="D55" t="s">
        <v>17</v>
      </c>
      <c r="E55" t="s">
        <v>17</v>
      </c>
      <c r="F55">
        <v>3</v>
      </c>
      <c r="G55" t="s">
        <v>17</v>
      </c>
      <c r="H55" t="s">
        <v>17</v>
      </c>
      <c r="I55">
        <v>8.6312E-2</v>
      </c>
      <c r="J55">
        <v>50</v>
      </c>
      <c r="K55">
        <f t="shared" ref="K55" si="5">J55*I55/100</f>
        <v>4.3156E-2</v>
      </c>
      <c r="L55" t="s">
        <v>17</v>
      </c>
      <c r="M55">
        <v>296</v>
      </c>
      <c r="N55" t="s">
        <v>18</v>
      </c>
      <c r="O55" t="s">
        <v>1484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9286-F634-0247-A7CB-B9599EBCBE3C}">
  <dimension ref="A1:O26"/>
  <sheetViews>
    <sheetView workbookViewId="0">
      <selection activeCell="O26" sqref="O2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173</v>
      </c>
      <c r="B2" t="s">
        <v>58</v>
      </c>
      <c r="C2">
        <v>1</v>
      </c>
      <c r="D2" t="s">
        <v>17</v>
      </c>
      <c r="E2" t="s">
        <v>17</v>
      </c>
      <c r="F2">
        <v>0</v>
      </c>
      <c r="G2" t="s">
        <v>17</v>
      </c>
      <c r="H2" t="s">
        <v>17</v>
      </c>
      <c r="I2">
        <v>1.10928</v>
      </c>
      <c r="J2">
        <v>50</v>
      </c>
      <c r="K2">
        <f>I2*J2/100</f>
        <v>0.55464000000000002</v>
      </c>
      <c r="L2" t="s">
        <v>17</v>
      </c>
      <c r="M2">
        <v>10</v>
      </c>
      <c r="N2" t="s">
        <v>201</v>
      </c>
      <c r="O2" t="s">
        <v>1485</v>
      </c>
    </row>
    <row r="3" spans="1:15" x14ac:dyDescent="0.2">
      <c r="A3" t="s">
        <v>173</v>
      </c>
      <c r="B3" t="s">
        <v>58</v>
      </c>
      <c r="C3">
        <v>1</v>
      </c>
      <c r="D3" t="s">
        <v>17</v>
      </c>
      <c r="E3" t="s">
        <v>17</v>
      </c>
      <c r="F3">
        <v>0</v>
      </c>
      <c r="G3" t="s">
        <v>17</v>
      </c>
      <c r="H3" t="s">
        <v>17</v>
      </c>
      <c r="I3">
        <v>0.18748999999999999</v>
      </c>
      <c r="J3">
        <v>50</v>
      </c>
      <c r="K3">
        <f>I3*J3/100</f>
        <v>9.3744999999999995E-2</v>
      </c>
      <c r="L3" t="s">
        <v>17</v>
      </c>
      <c r="M3">
        <v>77</v>
      </c>
      <c r="N3" t="s">
        <v>201</v>
      </c>
      <c r="O3" t="s">
        <v>1486</v>
      </c>
    </row>
    <row r="4" spans="1:15" x14ac:dyDescent="0.2">
      <c r="A4" t="s">
        <v>173</v>
      </c>
      <c r="B4" t="s">
        <v>58</v>
      </c>
      <c r="C4">
        <v>1</v>
      </c>
      <c r="D4" t="s">
        <v>17</v>
      </c>
      <c r="E4" t="s">
        <v>17</v>
      </c>
      <c r="F4">
        <v>0</v>
      </c>
      <c r="G4" t="s">
        <v>17</v>
      </c>
      <c r="H4" t="s">
        <v>17</v>
      </c>
      <c r="I4">
        <v>9.9299999999999999E-2</v>
      </c>
      <c r="J4">
        <v>50</v>
      </c>
      <c r="K4">
        <f t="shared" ref="K4:K26" si="0">I4*J4/100</f>
        <v>4.965E-2</v>
      </c>
      <c r="L4" t="s">
        <v>17</v>
      </c>
      <c r="M4">
        <v>193</v>
      </c>
      <c r="N4" t="s">
        <v>201</v>
      </c>
      <c r="O4" t="s">
        <v>1487</v>
      </c>
    </row>
    <row r="5" spans="1:15" x14ac:dyDescent="0.2">
      <c r="A5" t="s">
        <v>173</v>
      </c>
      <c r="B5" t="s">
        <v>58</v>
      </c>
      <c r="C5">
        <v>1</v>
      </c>
      <c r="D5" t="s">
        <v>17</v>
      </c>
      <c r="E5" t="s">
        <v>17</v>
      </c>
      <c r="F5">
        <v>0</v>
      </c>
      <c r="G5" t="s">
        <v>17</v>
      </c>
      <c r="H5" t="s">
        <v>17</v>
      </c>
      <c r="I5">
        <v>7.6450000000000004E-2</v>
      </c>
      <c r="J5">
        <v>50</v>
      </c>
      <c r="K5">
        <f t="shared" si="0"/>
        <v>3.8225000000000002E-2</v>
      </c>
      <c r="L5" t="s">
        <v>17</v>
      </c>
      <c r="M5">
        <v>296</v>
      </c>
      <c r="N5" t="s">
        <v>201</v>
      </c>
      <c r="O5" t="s">
        <v>1488</v>
      </c>
    </row>
    <row r="6" spans="1:15" x14ac:dyDescent="0.2">
      <c r="A6" t="s">
        <v>173</v>
      </c>
      <c r="B6" t="s">
        <v>58</v>
      </c>
      <c r="C6">
        <v>1</v>
      </c>
      <c r="D6" t="s">
        <v>17</v>
      </c>
      <c r="E6" t="s">
        <v>17</v>
      </c>
      <c r="F6">
        <v>0</v>
      </c>
      <c r="G6" t="s">
        <v>17</v>
      </c>
      <c r="H6" t="s">
        <v>17</v>
      </c>
      <c r="I6">
        <v>5.6500000000000002E-2</v>
      </c>
      <c r="J6">
        <v>50</v>
      </c>
      <c r="K6">
        <f t="shared" si="0"/>
        <v>2.8250000000000001E-2</v>
      </c>
      <c r="L6" t="s">
        <v>17</v>
      </c>
      <c r="M6">
        <v>500</v>
      </c>
      <c r="N6" t="s">
        <v>201</v>
      </c>
      <c r="O6" t="s">
        <v>1489</v>
      </c>
    </row>
    <row r="7" spans="1:15" x14ac:dyDescent="0.2">
      <c r="A7" t="s">
        <v>173</v>
      </c>
      <c r="B7" t="s">
        <v>58</v>
      </c>
      <c r="C7">
        <v>2</v>
      </c>
      <c r="D7" t="s">
        <v>17</v>
      </c>
      <c r="E7" t="s">
        <v>17</v>
      </c>
      <c r="F7">
        <v>1</v>
      </c>
      <c r="G7" t="s">
        <v>17</v>
      </c>
      <c r="H7" t="s">
        <v>17</v>
      </c>
      <c r="I7">
        <v>0.99092000000000002</v>
      </c>
      <c r="J7">
        <v>50</v>
      </c>
      <c r="K7">
        <f t="shared" si="0"/>
        <v>0.49546000000000001</v>
      </c>
      <c r="L7" t="s">
        <v>17</v>
      </c>
      <c r="M7">
        <v>10</v>
      </c>
      <c r="N7" t="s">
        <v>201</v>
      </c>
      <c r="O7" t="s">
        <v>1490</v>
      </c>
    </row>
    <row r="8" spans="1:15" x14ac:dyDescent="0.2">
      <c r="A8" t="s">
        <v>173</v>
      </c>
      <c r="B8" t="s">
        <v>58</v>
      </c>
      <c r="C8">
        <v>2</v>
      </c>
      <c r="D8" t="s">
        <v>17</v>
      </c>
      <c r="E8" t="s">
        <v>17</v>
      </c>
      <c r="F8">
        <v>1</v>
      </c>
      <c r="G8" t="s">
        <v>17</v>
      </c>
      <c r="H8" t="s">
        <v>17</v>
      </c>
      <c r="I8">
        <v>0.17244000000000001</v>
      </c>
      <c r="J8">
        <v>50</v>
      </c>
      <c r="K8">
        <f t="shared" si="0"/>
        <v>8.6220000000000005E-2</v>
      </c>
      <c r="L8" t="s">
        <v>17</v>
      </c>
      <c r="M8">
        <v>77</v>
      </c>
      <c r="N8" t="s">
        <v>201</v>
      </c>
      <c r="O8" t="s">
        <v>1491</v>
      </c>
    </row>
    <row r="9" spans="1:15" x14ac:dyDescent="0.2">
      <c r="A9" t="s">
        <v>173</v>
      </c>
      <c r="B9" t="s">
        <v>58</v>
      </c>
      <c r="C9">
        <v>2</v>
      </c>
      <c r="D9" t="s">
        <v>17</v>
      </c>
      <c r="E9" t="s">
        <v>17</v>
      </c>
      <c r="F9">
        <v>1</v>
      </c>
      <c r="G9" t="s">
        <v>17</v>
      </c>
      <c r="H9" t="s">
        <v>17</v>
      </c>
      <c r="I9">
        <v>9.2189999999999994E-2</v>
      </c>
      <c r="J9">
        <v>50</v>
      </c>
      <c r="K9">
        <f t="shared" si="0"/>
        <v>4.6094999999999997E-2</v>
      </c>
      <c r="L9" t="s">
        <v>17</v>
      </c>
      <c r="M9">
        <v>193</v>
      </c>
      <c r="N9" t="s">
        <v>201</v>
      </c>
      <c r="O9" t="s">
        <v>1492</v>
      </c>
    </row>
    <row r="10" spans="1:15" x14ac:dyDescent="0.2">
      <c r="A10" t="s">
        <v>173</v>
      </c>
      <c r="B10" t="s">
        <v>58</v>
      </c>
      <c r="C10">
        <v>2</v>
      </c>
      <c r="D10" t="s">
        <v>17</v>
      </c>
      <c r="E10" t="s">
        <v>17</v>
      </c>
      <c r="F10">
        <v>1</v>
      </c>
      <c r="G10" t="s">
        <v>17</v>
      </c>
      <c r="H10" t="s">
        <v>17</v>
      </c>
      <c r="I10">
        <v>7.1340000000000001E-2</v>
      </c>
      <c r="J10">
        <v>50</v>
      </c>
      <c r="K10">
        <f t="shared" si="0"/>
        <v>3.567E-2</v>
      </c>
      <c r="L10" t="s">
        <v>17</v>
      </c>
      <c r="M10">
        <v>296</v>
      </c>
      <c r="N10" t="s">
        <v>201</v>
      </c>
      <c r="O10" t="s">
        <v>1493</v>
      </c>
    </row>
    <row r="11" spans="1:15" x14ac:dyDescent="0.2">
      <c r="A11" t="s">
        <v>173</v>
      </c>
      <c r="B11" t="s">
        <v>58</v>
      </c>
      <c r="C11">
        <v>2</v>
      </c>
      <c r="D11" t="s">
        <v>17</v>
      </c>
      <c r="E11" t="s">
        <v>17</v>
      </c>
      <c r="F11">
        <v>1</v>
      </c>
      <c r="G11" t="s">
        <v>17</v>
      </c>
      <c r="H11" t="s">
        <v>17</v>
      </c>
      <c r="I11">
        <v>5.3089999999999998E-2</v>
      </c>
      <c r="J11">
        <v>50</v>
      </c>
      <c r="K11">
        <f t="shared" si="0"/>
        <v>2.6544999999999999E-2</v>
      </c>
      <c r="L11" t="s">
        <v>17</v>
      </c>
      <c r="M11">
        <v>500</v>
      </c>
      <c r="N11" t="s">
        <v>201</v>
      </c>
      <c r="O11" t="s">
        <v>1494</v>
      </c>
    </row>
    <row r="12" spans="1:15" x14ac:dyDescent="0.2">
      <c r="A12" t="s">
        <v>173</v>
      </c>
      <c r="B12" t="s">
        <v>58</v>
      </c>
      <c r="C12">
        <v>3</v>
      </c>
      <c r="D12" t="s">
        <v>17</v>
      </c>
      <c r="E12" t="s">
        <v>17</v>
      </c>
      <c r="F12">
        <v>2</v>
      </c>
      <c r="G12" t="s">
        <v>17</v>
      </c>
      <c r="H12" t="s">
        <v>17</v>
      </c>
      <c r="I12">
        <v>0.85885999999999996</v>
      </c>
      <c r="J12">
        <v>50</v>
      </c>
      <c r="K12">
        <f t="shared" si="0"/>
        <v>0.42942999999999998</v>
      </c>
      <c r="L12" t="s">
        <v>17</v>
      </c>
      <c r="M12">
        <v>10</v>
      </c>
      <c r="N12" t="s">
        <v>201</v>
      </c>
      <c r="O12" t="s">
        <v>1495</v>
      </c>
    </row>
    <row r="13" spans="1:15" x14ac:dyDescent="0.2">
      <c r="A13" t="s">
        <v>173</v>
      </c>
      <c r="B13" t="s">
        <v>58</v>
      </c>
      <c r="C13">
        <v>3</v>
      </c>
      <c r="D13" t="s">
        <v>17</v>
      </c>
      <c r="E13" t="s">
        <v>17</v>
      </c>
      <c r="F13">
        <v>2</v>
      </c>
      <c r="G13" t="s">
        <v>17</v>
      </c>
      <c r="H13" t="s">
        <v>17</v>
      </c>
      <c r="I13">
        <v>0.16928000000000001</v>
      </c>
      <c r="J13">
        <v>50</v>
      </c>
      <c r="K13">
        <f t="shared" si="0"/>
        <v>8.4640000000000007E-2</v>
      </c>
      <c r="L13" t="s">
        <v>17</v>
      </c>
      <c r="M13">
        <v>77</v>
      </c>
      <c r="N13" t="s">
        <v>201</v>
      </c>
      <c r="O13" t="s">
        <v>1496</v>
      </c>
    </row>
    <row r="14" spans="1:15" x14ac:dyDescent="0.2">
      <c r="A14" t="s">
        <v>173</v>
      </c>
      <c r="B14" t="s">
        <v>58</v>
      </c>
      <c r="C14">
        <v>3</v>
      </c>
      <c r="D14" t="s">
        <v>17</v>
      </c>
      <c r="E14" t="s">
        <v>17</v>
      </c>
      <c r="F14">
        <v>2</v>
      </c>
      <c r="G14" t="s">
        <v>17</v>
      </c>
      <c r="H14" t="s">
        <v>17</v>
      </c>
      <c r="I14">
        <v>9.0749999999999997E-2</v>
      </c>
      <c r="J14">
        <v>50</v>
      </c>
      <c r="K14">
        <f t="shared" si="0"/>
        <v>4.5374999999999999E-2</v>
      </c>
      <c r="L14" t="s">
        <v>17</v>
      </c>
      <c r="M14">
        <v>193</v>
      </c>
      <c r="N14" t="s">
        <v>201</v>
      </c>
      <c r="O14" t="s">
        <v>1497</v>
      </c>
    </row>
    <row r="15" spans="1:15" x14ac:dyDescent="0.2">
      <c r="A15" t="s">
        <v>173</v>
      </c>
      <c r="B15" t="s">
        <v>58</v>
      </c>
      <c r="C15">
        <v>3</v>
      </c>
      <c r="D15" t="s">
        <v>17</v>
      </c>
      <c r="E15" t="s">
        <v>17</v>
      </c>
      <c r="F15">
        <v>2</v>
      </c>
      <c r="G15" t="s">
        <v>17</v>
      </c>
      <c r="H15" t="s">
        <v>17</v>
      </c>
      <c r="I15">
        <v>7.0199999999999999E-2</v>
      </c>
      <c r="J15">
        <v>50</v>
      </c>
      <c r="K15">
        <f t="shared" si="0"/>
        <v>3.5099999999999999E-2</v>
      </c>
      <c r="L15" t="s">
        <v>17</v>
      </c>
      <c r="M15">
        <v>296</v>
      </c>
      <c r="N15" t="s">
        <v>201</v>
      </c>
      <c r="O15" t="s">
        <v>1498</v>
      </c>
    </row>
    <row r="16" spans="1:15" x14ac:dyDescent="0.2">
      <c r="A16" t="s">
        <v>173</v>
      </c>
      <c r="B16" t="s">
        <v>58</v>
      </c>
      <c r="C16">
        <v>3</v>
      </c>
      <c r="D16" t="s">
        <v>17</v>
      </c>
      <c r="E16" t="s">
        <v>17</v>
      </c>
      <c r="F16">
        <v>2</v>
      </c>
      <c r="G16" t="s">
        <v>17</v>
      </c>
      <c r="H16" t="s">
        <v>17</v>
      </c>
      <c r="I16">
        <v>5.2179999999999997E-2</v>
      </c>
      <c r="J16">
        <v>50</v>
      </c>
      <c r="K16">
        <f t="shared" si="0"/>
        <v>2.6089999999999999E-2</v>
      </c>
      <c r="L16" t="s">
        <v>17</v>
      </c>
      <c r="M16">
        <v>500</v>
      </c>
      <c r="N16" t="s">
        <v>201</v>
      </c>
      <c r="O16" t="s">
        <v>1499</v>
      </c>
    </row>
    <row r="17" spans="1:15" x14ac:dyDescent="0.2">
      <c r="A17" t="s">
        <v>173</v>
      </c>
      <c r="B17" t="s">
        <v>58</v>
      </c>
      <c r="C17">
        <v>4</v>
      </c>
      <c r="D17" t="s">
        <v>17</v>
      </c>
      <c r="E17" t="s">
        <v>17</v>
      </c>
      <c r="F17">
        <v>3</v>
      </c>
      <c r="G17" t="s">
        <v>17</v>
      </c>
      <c r="H17" t="s">
        <v>17</v>
      </c>
      <c r="I17">
        <v>0.82135000000000002</v>
      </c>
      <c r="J17">
        <v>50</v>
      </c>
      <c r="K17">
        <f t="shared" si="0"/>
        <v>0.41067500000000001</v>
      </c>
      <c r="L17" t="s">
        <v>17</v>
      </c>
      <c r="M17">
        <v>10</v>
      </c>
      <c r="N17" t="s">
        <v>201</v>
      </c>
      <c r="O17" t="s">
        <v>1500</v>
      </c>
    </row>
    <row r="18" spans="1:15" x14ac:dyDescent="0.2">
      <c r="A18" t="s">
        <v>173</v>
      </c>
      <c r="B18" t="s">
        <v>58</v>
      </c>
      <c r="C18">
        <v>4</v>
      </c>
      <c r="D18" t="s">
        <v>17</v>
      </c>
      <c r="E18" t="s">
        <v>17</v>
      </c>
      <c r="F18">
        <v>3</v>
      </c>
      <c r="G18" t="s">
        <v>17</v>
      </c>
      <c r="H18" t="s">
        <v>17</v>
      </c>
      <c r="I18">
        <v>0.16636000000000001</v>
      </c>
      <c r="J18">
        <v>50</v>
      </c>
      <c r="K18">
        <f t="shared" si="0"/>
        <v>8.317999999999999E-2</v>
      </c>
      <c r="L18" t="s">
        <v>17</v>
      </c>
      <c r="M18">
        <v>77</v>
      </c>
      <c r="N18" t="s">
        <v>201</v>
      </c>
      <c r="O18" t="s">
        <v>1501</v>
      </c>
    </row>
    <row r="19" spans="1:15" x14ac:dyDescent="0.2">
      <c r="A19" t="s">
        <v>173</v>
      </c>
      <c r="B19" t="s">
        <v>58</v>
      </c>
      <c r="C19">
        <v>4</v>
      </c>
      <c r="D19" t="s">
        <v>17</v>
      </c>
      <c r="E19" t="s">
        <v>17</v>
      </c>
      <c r="F19">
        <v>3</v>
      </c>
      <c r="G19" t="s">
        <v>17</v>
      </c>
      <c r="H19" t="s">
        <v>17</v>
      </c>
      <c r="I19">
        <v>9.0130000000000002E-2</v>
      </c>
      <c r="J19">
        <v>50</v>
      </c>
      <c r="K19">
        <f t="shared" si="0"/>
        <v>4.5065000000000001E-2</v>
      </c>
      <c r="L19" t="s">
        <v>17</v>
      </c>
      <c r="M19">
        <v>193</v>
      </c>
      <c r="N19" t="s">
        <v>201</v>
      </c>
      <c r="O19" t="s">
        <v>1502</v>
      </c>
    </row>
    <row r="20" spans="1:15" x14ac:dyDescent="0.2">
      <c r="A20" t="s">
        <v>173</v>
      </c>
      <c r="B20" t="s">
        <v>58</v>
      </c>
      <c r="C20">
        <v>4</v>
      </c>
      <c r="D20" t="s">
        <v>17</v>
      </c>
      <c r="E20" t="s">
        <v>17</v>
      </c>
      <c r="F20">
        <v>3</v>
      </c>
      <c r="G20" t="s">
        <v>17</v>
      </c>
      <c r="H20" t="s">
        <v>17</v>
      </c>
      <c r="I20">
        <v>6.9739999999999996E-2</v>
      </c>
      <c r="J20">
        <v>50</v>
      </c>
      <c r="K20">
        <f t="shared" si="0"/>
        <v>3.4869999999999998E-2</v>
      </c>
      <c r="L20" t="s">
        <v>17</v>
      </c>
      <c r="M20">
        <v>296</v>
      </c>
      <c r="N20" t="s">
        <v>201</v>
      </c>
      <c r="O20" t="s">
        <v>1503</v>
      </c>
    </row>
    <row r="21" spans="1:15" x14ac:dyDescent="0.2">
      <c r="A21" t="s">
        <v>173</v>
      </c>
      <c r="B21" t="s">
        <v>58</v>
      </c>
      <c r="C21">
        <v>4</v>
      </c>
      <c r="D21" t="s">
        <v>17</v>
      </c>
      <c r="E21" t="s">
        <v>17</v>
      </c>
      <c r="F21">
        <v>3</v>
      </c>
      <c r="G21" t="s">
        <v>17</v>
      </c>
      <c r="H21" t="s">
        <v>17</v>
      </c>
      <c r="I21">
        <v>5.1830000000000001E-2</v>
      </c>
      <c r="J21">
        <v>50</v>
      </c>
      <c r="K21">
        <f t="shared" si="0"/>
        <v>2.5915000000000001E-2</v>
      </c>
      <c r="L21" t="s">
        <v>17</v>
      </c>
      <c r="M21">
        <v>500</v>
      </c>
      <c r="N21" t="s">
        <v>201</v>
      </c>
      <c r="O21" t="s">
        <v>1504</v>
      </c>
    </row>
    <row r="22" spans="1:15" x14ac:dyDescent="0.2">
      <c r="A22" t="s">
        <v>173</v>
      </c>
      <c r="B22" t="s">
        <v>58</v>
      </c>
      <c r="C22">
        <v>5</v>
      </c>
      <c r="D22" t="s">
        <v>17</v>
      </c>
      <c r="E22" t="s">
        <v>17</v>
      </c>
      <c r="F22">
        <v>4</v>
      </c>
      <c r="G22" t="s">
        <v>17</v>
      </c>
      <c r="H22" t="s">
        <v>17</v>
      </c>
      <c r="I22">
        <v>0.82279000000000002</v>
      </c>
      <c r="J22">
        <v>50</v>
      </c>
      <c r="K22">
        <f t="shared" si="0"/>
        <v>0.41139499999999996</v>
      </c>
      <c r="L22" t="s">
        <v>17</v>
      </c>
      <c r="M22">
        <v>10</v>
      </c>
      <c r="N22" t="s">
        <v>201</v>
      </c>
      <c r="O22" t="s">
        <v>1505</v>
      </c>
    </row>
    <row r="23" spans="1:15" x14ac:dyDescent="0.2">
      <c r="A23" t="s">
        <v>173</v>
      </c>
      <c r="B23" t="s">
        <v>58</v>
      </c>
      <c r="C23">
        <v>5</v>
      </c>
      <c r="D23" t="s">
        <v>17</v>
      </c>
      <c r="E23" t="s">
        <v>17</v>
      </c>
      <c r="F23">
        <v>4</v>
      </c>
      <c r="G23" t="s">
        <v>17</v>
      </c>
      <c r="H23" t="s">
        <v>17</v>
      </c>
      <c r="I23">
        <v>0.16467000000000001</v>
      </c>
      <c r="J23">
        <v>50</v>
      </c>
      <c r="K23">
        <f t="shared" si="0"/>
        <v>8.2335000000000005E-2</v>
      </c>
      <c r="L23" t="s">
        <v>17</v>
      </c>
      <c r="M23">
        <v>77</v>
      </c>
      <c r="N23" t="s">
        <v>201</v>
      </c>
      <c r="O23" t="s">
        <v>1506</v>
      </c>
    </row>
    <row r="24" spans="1:15" x14ac:dyDescent="0.2">
      <c r="A24" t="s">
        <v>173</v>
      </c>
      <c r="B24" t="s">
        <v>58</v>
      </c>
      <c r="C24">
        <v>5</v>
      </c>
      <c r="D24" t="s">
        <v>17</v>
      </c>
      <c r="E24" t="s">
        <v>17</v>
      </c>
      <c r="F24">
        <v>4</v>
      </c>
      <c r="G24" t="s">
        <v>17</v>
      </c>
      <c r="H24" t="s">
        <v>17</v>
      </c>
      <c r="I24">
        <v>8.9849999999999999E-2</v>
      </c>
      <c r="J24">
        <v>50</v>
      </c>
      <c r="K24">
        <f t="shared" si="0"/>
        <v>4.4925E-2</v>
      </c>
      <c r="L24" t="s">
        <v>17</v>
      </c>
      <c r="M24">
        <v>193</v>
      </c>
      <c r="N24" t="s">
        <v>201</v>
      </c>
      <c r="O24" t="s">
        <v>1507</v>
      </c>
    </row>
    <row r="25" spans="1:15" x14ac:dyDescent="0.2">
      <c r="A25" t="s">
        <v>173</v>
      </c>
      <c r="B25" t="s">
        <v>58</v>
      </c>
      <c r="C25">
        <v>5</v>
      </c>
      <c r="D25" t="s">
        <v>17</v>
      </c>
      <c r="E25" t="s">
        <v>17</v>
      </c>
      <c r="F25">
        <v>4</v>
      </c>
      <c r="G25" t="s">
        <v>17</v>
      </c>
      <c r="H25" t="s">
        <v>17</v>
      </c>
      <c r="I25">
        <v>6.9570000000000007E-2</v>
      </c>
      <c r="J25">
        <v>50</v>
      </c>
      <c r="K25">
        <f t="shared" si="0"/>
        <v>3.4785000000000003E-2</v>
      </c>
      <c r="L25" t="s">
        <v>17</v>
      </c>
      <c r="M25">
        <v>296</v>
      </c>
      <c r="N25" t="s">
        <v>201</v>
      </c>
      <c r="O25" t="s">
        <v>1508</v>
      </c>
    </row>
    <row r="26" spans="1:15" x14ac:dyDescent="0.2">
      <c r="A26" t="s">
        <v>173</v>
      </c>
      <c r="B26" t="s">
        <v>58</v>
      </c>
      <c r="C26">
        <v>5</v>
      </c>
      <c r="D26" t="s">
        <v>17</v>
      </c>
      <c r="E26" t="s">
        <v>17</v>
      </c>
      <c r="F26">
        <v>4</v>
      </c>
      <c r="G26" t="s">
        <v>17</v>
      </c>
      <c r="H26" t="s">
        <v>17</v>
      </c>
      <c r="I26">
        <v>5.1679999999999997E-2</v>
      </c>
      <c r="J26">
        <v>50</v>
      </c>
      <c r="K26">
        <f t="shared" si="0"/>
        <v>2.5839999999999995E-2</v>
      </c>
      <c r="L26" t="s">
        <v>17</v>
      </c>
      <c r="M26">
        <v>500</v>
      </c>
      <c r="N26" t="s">
        <v>201</v>
      </c>
      <c r="O26" t="s">
        <v>1509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5553B-8158-A546-B32C-505CD9118FC0}">
  <dimension ref="A1:O70"/>
  <sheetViews>
    <sheetView topLeftCell="A52" workbookViewId="0">
      <selection activeCell="O46" sqref="O4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238</v>
      </c>
      <c r="B2" t="s">
        <v>58</v>
      </c>
      <c r="C2">
        <v>2</v>
      </c>
      <c r="D2" t="s">
        <v>17</v>
      </c>
      <c r="E2" t="s">
        <v>17</v>
      </c>
      <c r="F2">
        <v>2</v>
      </c>
      <c r="G2" t="s">
        <v>17</v>
      </c>
      <c r="H2" t="s">
        <v>17</v>
      </c>
      <c r="I2">
        <v>0.1396</v>
      </c>
      <c r="J2">
        <v>20.057300000000001</v>
      </c>
      <c r="K2">
        <v>2.8000000000000001E-2</v>
      </c>
      <c r="L2" t="s">
        <v>17</v>
      </c>
      <c r="M2">
        <v>143</v>
      </c>
      <c r="N2" t="s">
        <v>201</v>
      </c>
      <c r="O2" t="s">
        <v>1510</v>
      </c>
    </row>
    <row r="3" spans="1:15" x14ac:dyDescent="0.2">
      <c r="A3" t="s">
        <v>238</v>
      </c>
      <c r="B3" t="s">
        <v>58</v>
      </c>
      <c r="C3">
        <v>3</v>
      </c>
      <c r="D3" t="s">
        <v>17</v>
      </c>
      <c r="E3" t="s">
        <v>17</v>
      </c>
      <c r="F3">
        <v>3</v>
      </c>
      <c r="G3" t="s">
        <v>17</v>
      </c>
      <c r="H3" t="s">
        <v>17</v>
      </c>
      <c r="I3">
        <v>0.13469999999999999</v>
      </c>
      <c r="J3">
        <v>5.9390999999999998</v>
      </c>
      <c r="K3">
        <v>8.0000000000000002E-3</v>
      </c>
      <c r="L3" t="s">
        <v>17</v>
      </c>
      <c r="M3">
        <v>143</v>
      </c>
      <c r="N3" t="s">
        <v>201</v>
      </c>
      <c r="O3" t="s">
        <v>1511</v>
      </c>
    </row>
    <row r="4" spans="1:15" x14ac:dyDescent="0.2">
      <c r="A4" t="s">
        <v>238</v>
      </c>
      <c r="B4" t="s">
        <v>58</v>
      </c>
      <c r="C4">
        <v>4</v>
      </c>
      <c r="D4" t="s">
        <v>17</v>
      </c>
      <c r="E4" t="s">
        <v>17</v>
      </c>
      <c r="F4">
        <v>4</v>
      </c>
      <c r="G4" t="s">
        <v>17</v>
      </c>
      <c r="H4" t="s">
        <v>17</v>
      </c>
      <c r="I4">
        <v>0.1444</v>
      </c>
      <c r="J4">
        <v>5.5401999999999996</v>
      </c>
      <c r="K4">
        <v>8.0000000000000002E-3</v>
      </c>
      <c r="L4" t="s">
        <v>17</v>
      </c>
      <c r="M4">
        <v>143</v>
      </c>
      <c r="N4" t="s">
        <v>201</v>
      </c>
      <c r="O4" t="s">
        <v>1512</v>
      </c>
    </row>
    <row r="5" spans="1:15" x14ac:dyDescent="0.2">
      <c r="A5" t="s">
        <v>238</v>
      </c>
      <c r="B5" t="s">
        <v>58</v>
      </c>
      <c r="C5">
        <v>5</v>
      </c>
      <c r="D5" t="s">
        <v>17</v>
      </c>
      <c r="E5" t="s">
        <v>17</v>
      </c>
      <c r="F5">
        <v>5</v>
      </c>
      <c r="G5" t="s">
        <v>17</v>
      </c>
      <c r="H5" t="s">
        <v>17</v>
      </c>
      <c r="I5">
        <v>0.13550000000000001</v>
      </c>
      <c r="J5">
        <v>4.4279999999999999</v>
      </c>
      <c r="K5">
        <v>6.0000000000000001E-3</v>
      </c>
      <c r="L5" t="s">
        <v>17</v>
      </c>
      <c r="M5">
        <v>143</v>
      </c>
      <c r="N5" t="s">
        <v>201</v>
      </c>
      <c r="O5" t="s">
        <v>1513</v>
      </c>
    </row>
    <row r="6" spans="1:15" x14ac:dyDescent="0.2">
      <c r="A6" t="s">
        <v>238</v>
      </c>
      <c r="B6" t="s">
        <v>58</v>
      </c>
      <c r="C6">
        <v>6</v>
      </c>
      <c r="D6" t="s">
        <v>17</v>
      </c>
      <c r="E6" t="s">
        <v>17</v>
      </c>
      <c r="F6">
        <v>6</v>
      </c>
      <c r="G6" t="s">
        <v>17</v>
      </c>
      <c r="H6" t="s">
        <v>17</v>
      </c>
      <c r="I6">
        <v>0.14899999999999999</v>
      </c>
      <c r="J6">
        <v>7.3826000000000001</v>
      </c>
      <c r="K6">
        <v>1.0999999999999999E-2</v>
      </c>
      <c r="L6" t="s">
        <v>17</v>
      </c>
      <c r="M6">
        <v>143</v>
      </c>
      <c r="N6" t="s">
        <v>201</v>
      </c>
      <c r="O6" t="s">
        <v>1514</v>
      </c>
    </row>
    <row r="7" spans="1:15" x14ac:dyDescent="0.2">
      <c r="A7" t="s">
        <v>238</v>
      </c>
      <c r="B7" t="s">
        <v>58</v>
      </c>
      <c r="C7">
        <v>7</v>
      </c>
      <c r="D7" t="s">
        <v>17</v>
      </c>
      <c r="E7" t="s">
        <v>17</v>
      </c>
      <c r="F7">
        <v>7</v>
      </c>
      <c r="G7" t="s">
        <v>17</v>
      </c>
      <c r="H7" t="s">
        <v>17</v>
      </c>
      <c r="I7">
        <v>0.1411</v>
      </c>
      <c r="J7">
        <v>5.6696999999999997</v>
      </c>
      <c r="K7">
        <v>8.0000000000000002E-3</v>
      </c>
      <c r="L7" t="s">
        <v>17</v>
      </c>
      <c r="M7">
        <v>143</v>
      </c>
      <c r="N7" t="s">
        <v>201</v>
      </c>
      <c r="O7" t="s">
        <v>1515</v>
      </c>
    </row>
    <row r="8" spans="1:15" x14ac:dyDescent="0.2">
      <c r="A8" t="s">
        <v>238</v>
      </c>
      <c r="B8" t="s">
        <v>58</v>
      </c>
      <c r="C8">
        <v>8</v>
      </c>
      <c r="D8" t="s">
        <v>17</v>
      </c>
      <c r="E8" t="s">
        <v>17</v>
      </c>
      <c r="F8">
        <v>8</v>
      </c>
      <c r="G8" t="s">
        <v>17</v>
      </c>
      <c r="H8" t="s">
        <v>17</v>
      </c>
      <c r="I8">
        <v>0.1444</v>
      </c>
      <c r="J8">
        <v>11.080299999999999</v>
      </c>
      <c r="K8">
        <v>1.6E-2</v>
      </c>
      <c r="L8" t="s">
        <v>17</v>
      </c>
      <c r="M8">
        <v>143</v>
      </c>
      <c r="N8" t="s">
        <v>201</v>
      </c>
      <c r="O8" t="s">
        <v>1516</v>
      </c>
    </row>
    <row r="9" spans="1:15" x14ac:dyDescent="0.2">
      <c r="A9" t="s">
        <v>238</v>
      </c>
      <c r="B9" t="s">
        <v>58</v>
      </c>
      <c r="C9">
        <v>9</v>
      </c>
      <c r="D9" t="s">
        <v>17</v>
      </c>
      <c r="E9" t="s">
        <v>17</v>
      </c>
      <c r="F9">
        <v>9</v>
      </c>
      <c r="G9" t="s">
        <v>17</v>
      </c>
      <c r="H9" t="s">
        <v>17</v>
      </c>
      <c r="I9">
        <v>0.1429</v>
      </c>
      <c r="J9">
        <v>8.3975000000000009</v>
      </c>
      <c r="K9">
        <v>1.2E-2</v>
      </c>
      <c r="L9" t="s">
        <v>17</v>
      </c>
      <c r="M9">
        <v>143</v>
      </c>
      <c r="N9" t="s">
        <v>201</v>
      </c>
      <c r="O9" t="s">
        <v>1517</v>
      </c>
    </row>
    <row r="10" spans="1:15" x14ac:dyDescent="0.2">
      <c r="A10" t="s">
        <v>238</v>
      </c>
      <c r="B10" t="s">
        <v>58</v>
      </c>
      <c r="C10">
        <v>10</v>
      </c>
      <c r="D10" t="s">
        <v>17</v>
      </c>
      <c r="E10" t="s">
        <v>17</v>
      </c>
      <c r="F10">
        <v>10</v>
      </c>
      <c r="G10" t="s">
        <v>17</v>
      </c>
      <c r="H10" t="s">
        <v>17</v>
      </c>
      <c r="I10">
        <v>0.14219999999999999</v>
      </c>
      <c r="J10">
        <v>11.955</v>
      </c>
      <c r="K10">
        <v>1.7000000000000001E-2</v>
      </c>
      <c r="L10" t="s">
        <v>17</v>
      </c>
      <c r="M10">
        <v>143</v>
      </c>
      <c r="N10" t="s">
        <v>201</v>
      </c>
      <c r="O10" t="s">
        <v>1518</v>
      </c>
    </row>
    <row r="11" spans="1:15" x14ac:dyDescent="0.2">
      <c r="A11" t="s">
        <v>238</v>
      </c>
      <c r="B11" t="s">
        <v>58</v>
      </c>
      <c r="C11">
        <v>11</v>
      </c>
      <c r="D11" t="s">
        <v>17</v>
      </c>
      <c r="E11" t="s">
        <v>17</v>
      </c>
      <c r="F11">
        <v>11</v>
      </c>
      <c r="G11" t="s">
        <v>17</v>
      </c>
      <c r="H11" t="s">
        <v>17</v>
      </c>
      <c r="I11">
        <v>0.14019999999999999</v>
      </c>
      <c r="J11">
        <v>2.8531</v>
      </c>
      <c r="K11">
        <v>4.0000000000000001E-3</v>
      </c>
      <c r="L11" t="s">
        <v>17</v>
      </c>
      <c r="M11">
        <v>143</v>
      </c>
      <c r="N11" t="s">
        <v>201</v>
      </c>
      <c r="O11" t="s">
        <v>1519</v>
      </c>
    </row>
    <row r="12" spans="1:15" x14ac:dyDescent="0.2">
      <c r="A12" t="s">
        <v>238</v>
      </c>
      <c r="B12" t="s">
        <v>58</v>
      </c>
      <c r="C12">
        <v>12</v>
      </c>
      <c r="D12" t="s">
        <v>17</v>
      </c>
      <c r="E12" t="s">
        <v>17</v>
      </c>
      <c r="F12">
        <v>12</v>
      </c>
      <c r="G12" t="s">
        <v>17</v>
      </c>
      <c r="H12" t="s">
        <v>17</v>
      </c>
      <c r="I12">
        <v>0.13020000000000001</v>
      </c>
      <c r="J12">
        <v>5.3762999999999996</v>
      </c>
      <c r="K12">
        <v>7.0000000000000001E-3</v>
      </c>
      <c r="L12" t="s">
        <v>17</v>
      </c>
      <c r="M12">
        <v>143</v>
      </c>
      <c r="N12" t="s">
        <v>201</v>
      </c>
      <c r="O12" t="s">
        <v>1520</v>
      </c>
    </row>
    <row r="13" spans="1:15" x14ac:dyDescent="0.2">
      <c r="A13" t="s">
        <v>238</v>
      </c>
      <c r="B13" t="s">
        <v>58</v>
      </c>
      <c r="C13">
        <v>13</v>
      </c>
      <c r="D13" t="s">
        <v>17</v>
      </c>
      <c r="E13" t="s">
        <v>17</v>
      </c>
      <c r="F13">
        <v>13</v>
      </c>
      <c r="G13" t="s">
        <v>17</v>
      </c>
      <c r="H13" t="s">
        <v>17</v>
      </c>
      <c r="I13">
        <v>0.1411</v>
      </c>
      <c r="J13">
        <v>6.3784999999999998</v>
      </c>
      <c r="K13">
        <v>8.9999999999999993E-3</v>
      </c>
      <c r="L13" t="s">
        <v>17</v>
      </c>
      <c r="M13">
        <v>143</v>
      </c>
      <c r="N13" t="s">
        <v>201</v>
      </c>
      <c r="O13" t="s">
        <v>1521</v>
      </c>
    </row>
    <row r="14" spans="1:15" x14ac:dyDescent="0.2">
      <c r="A14" t="s">
        <v>238</v>
      </c>
      <c r="B14" t="s">
        <v>58</v>
      </c>
      <c r="C14">
        <v>14</v>
      </c>
      <c r="D14" t="s">
        <v>17</v>
      </c>
      <c r="E14" t="s">
        <v>17</v>
      </c>
      <c r="F14">
        <v>14</v>
      </c>
      <c r="G14" t="s">
        <v>17</v>
      </c>
      <c r="H14" t="s">
        <v>17</v>
      </c>
      <c r="I14">
        <v>0.12189999999999999</v>
      </c>
      <c r="J14">
        <v>29.532399999999999</v>
      </c>
      <c r="K14">
        <v>3.5999999999999997E-2</v>
      </c>
      <c r="L14" t="s">
        <v>17</v>
      </c>
      <c r="M14">
        <v>143</v>
      </c>
      <c r="N14" t="s">
        <v>201</v>
      </c>
      <c r="O14" t="s">
        <v>1522</v>
      </c>
    </row>
    <row r="15" spans="1:15" x14ac:dyDescent="0.2">
      <c r="A15" t="s">
        <v>238</v>
      </c>
      <c r="B15" t="s">
        <v>58</v>
      </c>
      <c r="C15">
        <v>15</v>
      </c>
      <c r="D15" t="s">
        <v>17</v>
      </c>
      <c r="E15" t="s">
        <v>17</v>
      </c>
      <c r="F15">
        <v>15</v>
      </c>
      <c r="G15" t="s">
        <v>17</v>
      </c>
      <c r="H15" t="s">
        <v>17</v>
      </c>
      <c r="I15">
        <v>0.1353</v>
      </c>
      <c r="J15">
        <v>11.086499999999999</v>
      </c>
      <c r="K15">
        <v>1.4999999999999999E-2</v>
      </c>
      <c r="L15" t="s">
        <v>17</v>
      </c>
      <c r="M15">
        <v>143</v>
      </c>
      <c r="N15" t="s">
        <v>201</v>
      </c>
      <c r="O15" t="s">
        <v>1523</v>
      </c>
    </row>
    <row r="16" spans="1:15" x14ac:dyDescent="0.2">
      <c r="A16" t="s">
        <v>238</v>
      </c>
      <c r="B16" t="s">
        <v>58</v>
      </c>
      <c r="C16">
        <v>16</v>
      </c>
      <c r="D16" t="s">
        <v>17</v>
      </c>
      <c r="E16" t="s">
        <v>17</v>
      </c>
      <c r="F16">
        <v>16</v>
      </c>
      <c r="G16" t="s">
        <v>17</v>
      </c>
      <c r="H16" t="s">
        <v>17</v>
      </c>
      <c r="I16">
        <v>0.1206</v>
      </c>
      <c r="J16">
        <v>22.388100000000001</v>
      </c>
      <c r="K16">
        <v>2.7E-2</v>
      </c>
      <c r="L16" t="s">
        <v>17</v>
      </c>
      <c r="M16">
        <v>143</v>
      </c>
      <c r="N16" t="s">
        <v>201</v>
      </c>
      <c r="O16" t="s">
        <v>1524</v>
      </c>
    </row>
    <row r="17" spans="1:15" x14ac:dyDescent="0.2">
      <c r="A17" t="s">
        <v>238</v>
      </c>
      <c r="B17" t="s">
        <v>58</v>
      </c>
      <c r="C17">
        <v>17</v>
      </c>
      <c r="D17" t="s">
        <v>17</v>
      </c>
      <c r="E17" t="s">
        <v>17</v>
      </c>
      <c r="F17">
        <v>17</v>
      </c>
      <c r="G17" t="s">
        <v>17</v>
      </c>
      <c r="H17" t="s">
        <v>17</v>
      </c>
      <c r="I17">
        <v>0.12189999999999999</v>
      </c>
      <c r="J17">
        <v>7.3830999999999998</v>
      </c>
      <c r="K17">
        <v>8.9999999999999993E-3</v>
      </c>
      <c r="L17" t="s">
        <v>17</v>
      </c>
      <c r="M17">
        <v>143</v>
      </c>
      <c r="N17" t="s">
        <v>201</v>
      </c>
      <c r="O17" t="s">
        <v>1525</v>
      </c>
    </row>
    <row r="19" spans="1:15" x14ac:dyDescent="0.2">
      <c r="A19" t="s">
        <v>238</v>
      </c>
      <c r="B19" t="s">
        <v>58</v>
      </c>
      <c r="C19">
        <v>0</v>
      </c>
      <c r="D19" t="s">
        <v>17</v>
      </c>
      <c r="E19" t="s">
        <v>17</v>
      </c>
      <c r="F19">
        <v>0</v>
      </c>
      <c r="G19" t="s">
        <v>17</v>
      </c>
      <c r="H19" t="s">
        <v>17</v>
      </c>
      <c r="I19">
        <v>0.17424999999999999</v>
      </c>
      <c r="J19">
        <v>50</v>
      </c>
      <c r="K19">
        <f>I19*J19/100</f>
        <v>8.712499999999998E-2</v>
      </c>
      <c r="L19">
        <v>0.63</v>
      </c>
      <c r="M19">
        <v>143</v>
      </c>
      <c r="N19" t="s">
        <v>17</v>
      </c>
      <c r="O19" t="s">
        <v>1526</v>
      </c>
    </row>
    <row r="20" spans="1:15" x14ac:dyDescent="0.2">
      <c r="A20" t="s">
        <v>238</v>
      </c>
      <c r="B20" t="s">
        <v>58</v>
      </c>
      <c r="C20">
        <v>1</v>
      </c>
      <c r="D20" t="s">
        <v>17</v>
      </c>
      <c r="E20" t="s">
        <v>17</v>
      </c>
      <c r="F20">
        <v>1</v>
      </c>
      <c r="G20" t="s">
        <v>17</v>
      </c>
      <c r="H20" t="s">
        <v>17</v>
      </c>
      <c r="I20">
        <v>0.125</v>
      </c>
      <c r="J20">
        <v>50</v>
      </c>
      <c r="K20">
        <f t="shared" ref="K20:K70" si="0">I20*J20/100</f>
        <v>6.25E-2</v>
      </c>
      <c r="L20">
        <v>0.51</v>
      </c>
      <c r="M20">
        <v>143</v>
      </c>
      <c r="N20" t="s">
        <v>17</v>
      </c>
      <c r="O20" t="s">
        <v>1527</v>
      </c>
    </row>
    <row r="21" spans="1:15" x14ac:dyDescent="0.2">
      <c r="A21" t="s">
        <v>238</v>
      </c>
      <c r="B21" t="s">
        <v>58</v>
      </c>
      <c r="C21">
        <v>2</v>
      </c>
      <c r="D21" t="s">
        <v>17</v>
      </c>
      <c r="E21" t="s">
        <v>17</v>
      </c>
      <c r="F21">
        <v>2</v>
      </c>
      <c r="G21" t="s">
        <v>17</v>
      </c>
      <c r="H21" t="s">
        <v>17</v>
      </c>
      <c r="I21">
        <v>0.13020000000000001</v>
      </c>
      <c r="J21">
        <v>50</v>
      </c>
      <c r="K21">
        <f t="shared" si="0"/>
        <v>6.5100000000000005E-2</v>
      </c>
      <c r="L21">
        <v>0.57999999999999996</v>
      </c>
      <c r="M21">
        <v>143</v>
      </c>
      <c r="N21" t="s">
        <v>17</v>
      </c>
      <c r="O21" t="s">
        <v>1528</v>
      </c>
    </row>
    <row r="22" spans="1:15" x14ac:dyDescent="0.2">
      <c r="A22" t="s">
        <v>238</v>
      </c>
      <c r="B22" t="s">
        <v>58</v>
      </c>
      <c r="C22">
        <v>3</v>
      </c>
      <c r="D22" t="s">
        <v>17</v>
      </c>
      <c r="E22" t="s">
        <v>17</v>
      </c>
      <c r="F22">
        <v>3</v>
      </c>
      <c r="G22" t="s">
        <v>17</v>
      </c>
      <c r="H22" t="s">
        <v>17</v>
      </c>
      <c r="I22">
        <v>0.13539999999999999</v>
      </c>
      <c r="J22">
        <v>50</v>
      </c>
      <c r="K22">
        <f t="shared" si="0"/>
        <v>6.7699999999999996E-2</v>
      </c>
      <c r="L22">
        <v>0.6</v>
      </c>
      <c r="M22">
        <v>143</v>
      </c>
      <c r="N22" t="s">
        <v>17</v>
      </c>
      <c r="O22" t="s">
        <v>1529</v>
      </c>
    </row>
    <row r="23" spans="1:15" x14ac:dyDescent="0.2">
      <c r="A23" t="s">
        <v>238</v>
      </c>
      <c r="B23" t="s">
        <v>58</v>
      </c>
      <c r="C23">
        <v>4</v>
      </c>
      <c r="D23" t="s">
        <v>17</v>
      </c>
      <c r="E23" t="s">
        <v>17</v>
      </c>
      <c r="F23">
        <v>4</v>
      </c>
      <c r="G23" t="s">
        <v>17</v>
      </c>
      <c r="H23" t="s">
        <v>17</v>
      </c>
      <c r="I23">
        <v>0.13915</v>
      </c>
      <c r="J23">
        <v>50</v>
      </c>
      <c r="K23">
        <f t="shared" si="0"/>
        <v>6.9574999999999998E-2</v>
      </c>
      <c r="L23">
        <v>0.61</v>
      </c>
      <c r="M23">
        <v>143</v>
      </c>
      <c r="N23" t="s">
        <v>17</v>
      </c>
      <c r="O23" t="s">
        <v>1530</v>
      </c>
    </row>
    <row r="24" spans="1:15" x14ac:dyDescent="0.2">
      <c r="A24" t="s">
        <v>238</v>
      </c>
      <c r="B24" t="s">
        <v>58</v>
      </c>
      <c r="C24">
        <v>5</v>
      </c>
      <c r="D24" t="s">
        <v>17</v>
      </c>
      <c r="E24" t="s">
        <v>17</v>
      </c>
      <c r="F24">
        <v>5</v>
      </c>
      <c r="G24" t="s">
        <v>17</v>
      </c>
      <c r="H24" t="s">
        <v>17</v>
      </c>
      <c r="I24">
        <v>0.14130000000000001</v>
      </c>
      <c r="J24">
        <v>50</v>
      </c>
      <c r="K24">
        <f t="shared" si="0"/>
        <v>7.0650000000000004E-2</v>
      </c>
      <c r="L24">
        <v>0.61</v>
      </c>
      <c r="M24">
        <v>143</v>
      </c>
      <c r="N24" t="s">
        <v>17</v>
      </c>
      <c r="O24" t="s">
        <v>1531</v>
      </c>
    </row>
    <row r="25" spans="1:15" x14ac:dyDescent="0.2">
      <c r="A25" t="s">
        <v>238</v>
      </c>
      <c r="B25" t="s">
        <v>58</v>
      </c>
      <c r="C25">
        <v>6</v>
      </c>
      <c r="D25" t="s">
        <v>17</v>
      </c>
      <c r="E25" t="s">
        <v>17</v>
      </c>
      <c r="F25">
        <v>6</v>
      </c>
      <c r="G25" t="s">
        <v>17</v>
      </c>
      <c r="H25" t="s">
        <v>17</v>
      </c>
      <c r="I25">
        <v>0.14235</v>
      </c>
      <c r="J25">
        <v>50</v>
      </c>
      <c r="K25">
        <f t="shared" si="0"/>
        <v>7.1175000000000002E-2</v>
      </c>
      <c r="L25">
        <v>0.62</v>
      </c>
      <c r="M25">
        <v>143</v>
      </c>
      <c r="N25" t="s">
        <v>17</v>
      </c>
      <c r="O25" t="s">
        <v>1532</v>
      </c>
    </row>
    <row r="26" spans="1:15" x14ac:dyDescent="0.2">
      <c r="A26" t="s">
        <v>238</v>
      </c>
      <c r="B26" t="s">
        <v>58</v>
      </c>
      <c r="C26">
        <v>7</v>
      </c>
      <c r="D26" t="s">
        <v>17</v>
      </c>
      <c r="E26" t="s">
        <v>17</v>
      </c>
      <c r="F26">
        <v>7</v>
      </c>
      <c r="G26" t="s">
        <v>17</v>
      </c>
      <c r="H26" t="s">
        <v>17</v>
      </c>
      <c r="I26">
        <v>0.14369999999999999</v>
      </c>
      <c r="J26">
        <v>50</v>
      </c>
      <c r="K26">
        <f t="shared" si="0"/>
        <v>7.1849999999999997E-2</v>
      </c>
      <c r="L26">
        <v>0.61</v>
      </c>
      <c r="M26">
        <v>143</v>
      </c>
      <c r="N26" t="s">
        <v>17</v>
      </c>
      <c r="O26" t="s">
        <v>1533</v>
      </c>
    </row>
    <row r="27" spans="1:15" x14ac:dyDescent="0.2">
      <c r="A27" t="s">
        <v>238</v>
      </c>
      <c r="B27" t="s">
        <v>58</v>
      </c>
      <c r="C27">
        <v>8</v>
      </c>
      <c r="D27" t="s">
        <v>17</v>
      </c>
      <c r="E27" t="s">
        <v>17</v>
      </c>
      <c r="F27">
        <v>8</v>
      </c>
      <c r="G27" t="s">
        <v>17</v>
      </c>
      <c r="H27" t="s">
        <v>17</v>
      </c>
      <c r="I27">
        <v>0.1439</v>
      </c>
      <c r="J27">
        <v>50</v>
      </c>
      <c r="K27">
        <f t="shared" si="0"/>
        <v>7.195E-2</v>
      </c>
      <c r="L27">
        <v>0.61</v>
      </c>
      <c r="M27">
        <v>143</v>
      </c>
      <c r="N27" t="s">
        <v>17</v>
      </c>
      <c r="O27" t="s">
        <v>1534</v>
      </c>
    </row>
    <row r="28" spans="1:15" x14ac:dyDescent="0.2">
      <c r="A28" t="s">
        <v>238</v>
      </c>
      <c r="B28" t="s">
        <v>58</v>
      </c>
      <c r="C28">
        <v>9</v>
      </c>
      <c r="D28" t="s">
        <v>17</v>
      </c>
      <c r="E28" t="s">
        <v>17</v>
      </c>
      <c r="F28">
        <v>9</v>
      </c>
      <c r="G28" t="s">
        <v>17</v>
      </c>
      <c r="H28" t="s">
        <v>17</v>
      </c>
      <c r="I28">
        <v>0.14380000000000001</v>
      </c>
      <c r="J28">
        <v>50</v>
      </c>
      <c r="K28">
        <f t="shared" si="0"/>
        <v>7.1900000000000006E-2</v>
      </c>
      <c r="L28">
        <v>0.61</v>
      </c>
      <c r="M28">
        <v>143</v>
      </c>
      <c r="N28" t="s">
        <v>17</v>
      </c>
      <c r="O28" t="s">
        <v>1535</v>
      </c>
    </row>
    <row r="29" spans="1:15" x14ac:dyDescent="0.2">
      <c r="A29" t="s">
        <v>238</v>
      </c>
      <c r="B29" t="s">
        <v>58</v>
      </c>
      <c r="C29">
        <v>10</v>
      </c>
      <c r="D29" t="s">
        <v>17</v>
      </c>
      <c r="E29" t="s">
        <v>17</v>
      </c>
      <c r="F29">
        <v>10</v>
      </c>
      <c r="G29" t="s">
        <v>17</v>
      </c>
      <c r="H29" t="s">
        <v>17</v>
      </c>
      <c r="I29">
        <v>0.1419</v>
      </c>
      <c r="J29">
        <v>50</v>
      </c>
      <c r="K29">
        <f t="shared" si="0"/>
        <v>7.0949999999999999E-2</v>
      </c>
      <c r="L29">
        <v>0.61</v>
      </c>
      <c r="M29">
        <v>143</v>
      </c>
      <c r="N29" t="s">
        <v>17</v>
      </c>
      <c r="O29" t="s">
        <v>1536</v>
      </c>
    </row>
    <row r="30" spans="1:15" x14ac:dyDescent="0.2">
      <c r="A30" t="s">
        <v>238</v>
      </c>
      <c r="B30" t="s">
        <v>58</v>
      </c>
      <c r="C30">
        <v>11</v>
      </c>
      <c r="D30" t="s">
        <v>17</v>
      </c>
      <c r="E30" t="s">
        <v>17</v>
      </c>
      <c r="F30">
        <v>11</v>
      </c>
      <c r="G30" t="s">
        <v>17</v>
      </c>
      <c r="H30" t="s">
        <v>17</v>
      </c>
      <c r="I30">
        <v>0.1399</v>
      </c>
      <c r="J30">
        <v>50</v>
      </c>
      <c r="K30">
        <f t="shared" si="0"/>
        <v>6.9949999999999998E-2</v>
      </c>
      <c r="L30">
        <v>0.61</v>
      </c>
      <c r="M30">
        <v>143</v>
      </c>
      <c r="N30" t="s">
        <v>17</v>
      </c>
      <c r="O30" t="s">
        <v>1537</v>
      </c>
    </row>
    <row r="31" spans="1:15" x14ac:dyDescent="0.2">
      <c r="A31" t="s">
        <v>238</v>
      </c>
      <c r="B31" t="s">
        <v>58</v>
      </c>
      <c r="C31">
        <v>12</v>
      </c>
      <c r="D31" t="s">
        <v>17</v>
      </c>
      <c r="E31" t="s">
        <v>17</v>
      </c>
      <c r="F31">
        <v>12</v>
      </c>
      <c r="G31" t="s">
        <v>17</v>
      </c>
      <c r="H31" t="s">
        <v>17</v>
      </c>
      <c r="I31">
        <v>0.13805000000000001</v>
      </c>
      <c r="J31">
        <v>50</v>
      </c>
      <c r="K31">
        <f t="shared" si="0"/>
        <v>6.9025000000000003E-2</v>
      </c>
      <c r="L31">
        <v>0.61</v>
      </c>
      <c r="M31">
        <v>143</v>
      </c>
      <c r="N31" t="s">
        <v>17</v>
      </c>
      <c r="O31" t="s">
        <v>1538</v>
      </c>
    </row>
    <row r="32" spans="1:15" x14ac:dyDescent="0.2">
      <c r="A32" t="s">
        <v>238</v>
      </c>
      <c r="B32" t="s">
        <v>58</v>
      </c>
      <c r="C32">
        <v>13</v>
      </c>
      <c r="D32" t="s">
        <v>17</v>
      </c>
      <c r="E32" t="s">
        <v>17</v>
      </c>
      <c r="F32">
        <v>13</v>
      </c>
      <c r="G32" t="s">
        <v>17</v>
      </c>
      <c r="H32" t="s">
        <v>17</v>
      </c>
      <c r="I32">
        <v>0.13614999999999999</v>
      </c>
      <c r="J32">
        <v>50</v>
      </c>
      <c r="K32">
        <f t="shared" si="0"/>
        <v>6.8074999999999997E-2</v>
      </c>
      <c r="L32">
        <v>0.61</v>
      </c>
      <c r="M32">
        <v>143</v>
      </c>
      <c r="N32" t="s">
        <v>17</v>
      </c>
      <c r="O32" t="s">
        <v>1539</v>
      </c>
    </row>
    <row r="33" spans="1:15" x14ac:dyDescent="0.2">
      <c r="A33" t="s">
        <v>238</v>
      </c>
      <c r="B33" t="s">
        <v>58</v>
      </c>
      <c r="C33">
        <v>14</v>
      </c>
      <c r="D33" t="s">
        <v>17</v>
      </c>
      <c r="E33" t="s">
        <v>17</v>
      </c>
      <c r="F33">
        <v>14</v>
      </c>
      <c r="G33" t="s">
        <v>17</v>
      </c>
      <c r="H33" t="s">
        <v>17</v>
      </c>
      <c r="I33">
        <v>0.13400000000000001</v>
      </c>
      <c r="J33">
        <v>50</v>
      </c>
      <c r="K33">
        <f t="shared" si="0"/>
        <v>6.7000000000000004E-2</v>
      </c>
      <c r="L33">
        <v>0.61</v>
      </c>
      <c r="M33">
        <v>143</v>
      </c>
      <c r="N33" t="s">
        <v>17</v>
      </c>
      <c r="O33" t="s">
        <v>1540</v>
      </c>
    </row>
    <row r="34" spans="1:15" x14ac:dyDescent="0.2">
      <c r="A34" t="s">
        <v>238</v>
      </c>
      <c r="B34" t="s">
        <v>58</v>
      </c>
      <c r="C34">
        <v>15</v>
      </c>
      <c r="D34" t="s">
        <v>17</v>
      </c>
      <c r="E34" t="s">
        <v>17</v>
      </c>
      <c r="F34">
        <v>15</v>
      </c>
      <c r="G34" t="s">
        <v>17</v>
      </c>
      <c r="H34" t="s">
        <v>17</v>
      </c>
      <c r="I34">
        <v>0.13605</v>
      </c>
      <c r="J34">
        <v>50</v>
      </c>
      <c r="K34">
        <f t="shared" si="0"/>
        <v>6.8025000000000002E-2</v>
      </c>
      <c r="L34">
        <v>0.61</v>
      </c>
      <c r="M34">
        <v>143</v>
      </c>
      <c r="N34" t="s">
        <v>17</v>
      </c>
      <c r="O34" t="s">
        <v>1541</v>
      </c>
    </row>
    <row r="35" spans="1:15" x14ac:dyDescent="0.2">
      <c r="A35" t="s">
        <v>238</v>
      </c>
      <c r="B35" t="s">
        <v>58</v>
      </c>
      <c r="C35">
        <v>16</v>
      </c>
      <c r="D35" t="s">
        <v>17</v>
      </c>
      <c r="E35" t="s">
        <v>17</v>
      </c>
      <c r="F35">
        <v>16</v>
      </c>
      <c r="G35" t="s">
        <v>17</v>
      </c>
      <c r="H35" t="s">
        <v>17</v>
      </c>
      <c r="I35">
        <v>0.13184999999999999</v>
      </c>
      <c r="J35">
        <v>50</v>
      </c>
      <c r="K35">
        <f t="shared" si="0"/>
        <v>6.5924999999999997E-2</v>
      </c>
      <c r="L35">
        <v>0.61</v>
      </c>
      <c r="M35">
        <v>143</v>
      </c>
      <c r="N35" t="s">
        <v>17</v>
      </c>
      <c r="O35" t="s">
        <v>1542</v>
      </c>
    </row>
    <row r="36" spans="1:15" x14ac:dyDescent="0.2">
      <c r="A36" t="s">
        <v>238</v>
      </c>
      <c r="B36" t="s">
        <v>58</v>
      </c>
      <c r="C36">
        <v>17</v>
      </c>
      <c r="D36" t="s">
        <v>17</v>
      </c>
      <c r="E36" t="s">
        <v>17</v>
      </c>
      <c r="F36">
        <v>17</v>
      </c>
      <c r="G36" t="s">
        <v>17</v>
      </c>
      <c r="H36" t="s">
        <v>17</v>
      </c>
      <c r="I36">
        <v>0.13070000000000001</v>
      </c>
      <c r="J36">
        <v>50</v>
      </c>
      <c r="K36">
        <f t="shared" si="0"/>
        <v>6.5350000000000005E-2</v>
      </c>
      <c r="L36">
        <v>0.61</v>
      </c>
      <c r="M36">
        <v>143</v>
      </c>
      <c r="N36" t="s">
        <v>17</v>
      </c>
      <c r="O36" t="s">
        <v>1543</v>
      </c>
    </row>
    <row r="37" spans="1:15" x14ac:dyDescent="0.2">
      <c r="A37" t="s">
        <v>238</v>
      </c>
      <c r="B37" t="s">
        <v>58</v>
      </c>
      <c r="C37">
        <v>18</v>
      </c>
      <c r="D37" t="s">
        <v>17</v>
      </c>
      <c r="E37" t="s">
        <v>17</v>
      </c>
      <c r="F37">
        <v>18</v>
      </c>
      <c r="G37" t="s">
        <v>17</v>
      </c>
      <c r="H37" t="s">
        <v>17</v>
      </c>
      <c r="I37">
        <v>0.13089999999999999</v>
      </c>
      <c r="J37">
        <v>50</v>
      </c>
      <c r="K37">
        <f t="shared" si="0"/>
        <v>6.5449999999999994E-2</v>
      </c>
      <c r="L37">
        <v>0.61</v>
      </c>
      <c r="M37">
        <v>143</v>
      </c>
      <c r="N37" t="s">
        <v>17</v>
      </c>
      <c r="O37" t="s">
        <v>1544</v>
      </c>
    </row>
    <row r="38" spans="1:15" x14ac:dyDescent="0.2">
      <c r="A38" t="s">
        <v>238</v>
      </c>
      <c r="B38" t="s">
        <v>58</v>
      </c>
      <c r="C38">
        <v>19</v>
      </c>
      <c r="D38" t="s">
        <v>17</v>
      </c>
      <c r="E38" t="s">
        <v>17</v>
      </c>
      <c r="F38">
        <v>19</v>
      </c>
      <c r="G38" t="s">
        <v>17</v>
      </c>
      <c r="H38" t="s">
        <v>17</v>
      </c>
      <c r="I38">
        <v>0.12855</v>
      </c>
      <c r="J38">
        <v>50</v>
      </c>
      <c r="K38">
        <f t="shared" si="0"/>
        <v>6.4274999999999999E-2</v>
      </c>
      <c r="L38">
        <v>0.62</v>
      </c>
      <c r="M38">
        <v>143</v>
      </c>
      <c r="N38" t="s">
        <v>17</v>
      </c>
      <c r="O38" t="s">
        <v>1545</v>
      </c>
    </row>
    <row r="39" spans="1:15" x14ac:dyDescent="0.2">
      <c r="A39" t="s">
        <v>238</v>
      </c>
      <c r="B39" t="s">
        <v>58</v>
      </c>
      <c r="C39">
        <v>20</v>
      </c>
      <c r="D39" t="s">
        <v>17</v>
      </c>
      <c r="E39" t="s">
        <v>17</v>
      </c>
      <c r="F39">
        <v>20</v>
      </c>
      <c r="G39" t="s">
        <v>17</v>
      </c>
      <c r="H39" t="s">
        <v>17</v>
      </c>
      <c r="I39">
        <v>0.12755</v>
      </c>
      <c r="J39">
        <v>50</v>
      </c>
      <c r="K39">
        <f t="shared" si="0"/>
        <v>6.3774999999999998E-2</v>
      </c>
      <c r="L39">
        <v>0.63</v>
      </c>
      <c r="M39">
        <v>143</v>
      </c>
      <c r="N39" t="s">
        <v>17</v>
      </c>
      <c r="O39" t="s">
        <v>1546</v>
      </c>
    </row>
    <row r="40" spans="1:15" x14ac:dyDescent="0.2">
      <c r="A40" t="s">
        <v>238</v>
      </c>
      <c r="B40" t="s">
        <v>58</v>
      </c>
      <c r="C40">
        <v>21</v>
      </c>
      <c r="D40" t="s">
        <v>17</v>
      </c>
      <c r="E40" t="s">
        <v>17</v>
      </c>
      <c r="F40">
        <v>21</v>
      </c>
      <c r="G40" t="s">
        <v>17</v>
      </c>
      <c r="H40" t="s">
        <v>17</v>
      </c>
      <c r="I40">
        <v>0.12255000000000001</v>
      </c>
      <c r="J40">
        <v>50</v>
      </c>
      <c r="K40">
        <f t="shared" si="0"/>
        <v>6.1275000000000003E-2</v>
      </c>
      <c r="L40">
        <v>0.63</v>
      </c>
      <c r="M40">
        <v>143</v>
      </c>
      <c r="N40" t="s">
        <v>17</v>
      </c>
      <c r="O40" t="s">
        <v>1547</v>
      </c>
    </row>
    <row r="41" spans="1:15" x14ac:dyDescent="0.2">
      <c r="A41" t="s">
        <v>238</v>
      </c>
      <c r="B41" t="s">
        <v>58</v>
      </c>
      <c r="C41">
        <v>22</v>
      </c>
      <c r="D41" t="s">
        <v>17</v>
      </c>
      <c r="E41" t="s">
        <v>17</v>
      </c>
      <c r="F41">
        <v>22</v>
      </c>
      <c r="G41" t="s">
        <v>17</v>
      </c>
      <c r="H41" t="s">
        <v>17</v>
      </c>
      <c r="I41">
        <v>0.12404999999999999</v>
      </c>
      <c r="J41">
        <v>50</v>
      </c>
      <c r="K41">
        <f t="shared" si="0"/>
        <v>6.2024999999999997E-2</v>
      </c>
      <c r="L41">
        <v>0.63</v>
      </c>
      <c r="M41">
        <v>143</v>
      </c>
      <c r="N41" t="s">
        <v>17</v>
      </c>
      <c r="O41" t="s">
        <v>1548</v>
      </c>
    </row>
    <row r="42" spans="1:15" x14ac:dyDescent="0.2">
      <c r="A42" t="s">
        <v>238</v>
      </c>
      <c r="B42" t="s">
        <v>58</v>
      </c>
      <c r="C42">
        <v>23</v>
      </c>
      <c r="D42" t="s">
        <v>17</v>
      </c>
      <c r="E42" t="s">
        <v>17</v>
      </c>
      <c r="F42">
        <v>23</v>
      </c>
      <c r="G42" t="s">
        <v>17</v>
      </c>
      <c r="H42" t="s">
        <v>17</v>
      </c>
      <c r="I42">
        <v>0.12095</v>
      </c>
      <c r="J42">
        <v>50</v>
      </c>
      <c r="K42">
        <f t="shared" si="0"/>
        <v>6.0475000000000001E-2</v>
      </c>
      <c r="L42">
        <v>0.65</v>
      </c>
      <c r="M42">
        <v>143</v>
      </c>
      <c r="N42" t="s">
        <v>17</v>
      </c>
      <c r="O42" t="s">
        <v>1549</v>
      </c>
    </row>
    <row r="43" spans="1:15" x14ac:dyDescent="0.2">
      <c r="A43" t="s">
        <v>238</v>
      </c>
      <c r="B43" t="s">
        <v>58</v>
      </c>
      <c r="C43">
        <v>24</v>
      </c>
      <c r="D43" t="s">
        <v>17</v>
      </c>
      <c r="E43" t="s">
        <v>17</v>
      </c>
      <c r="F43">
        <v>24</v>
      </c>
      <c r="G43" t="s">
        <v>17</v>
      </c>
      <c r="H43" t="s">
        <v>17</v>
      </c>
      <c r="I43">
        <v>0.1225</v>
      </c>
      <c r="J43">
        <v>50</v>
      </c>
      <c r="K43">
        <f t="shared" si="0"/>
        <v>6.1249999999999999E-2</v>
      </c>
      <c r="L43">
        <v>0.61</v>
      </c>
      <c r="M43">
        <v>143</v>
      </c>
      <c r="N43" t="s">
        <v>17</v>
      </c>
      <c r="O43" t="s">
        <v>1550</v>
      </c>
    </row>
    <row r="44" spans="1:15" x14ac:dyDescent="0.2">
      <c r="A44" t="s">
        <v>238</v>
      </c>
      <c r="B44" t="s">
        <v>58</v>
      </c>
      <c r="C44">
        <v>25</v>
      </c>
      <c r="D44" t="s">
        <v>17</v>
      </c>
      <c r="E44" t="s">
        <v>17</v>
      </c>
      <c r="F44">
        <v>25</v>
      </c>
      <c r="G44" t="s">
        <v>17</v>
      </c>
      <c r="H44" t="s">
        <v>17</v>
      </c>
      <c r="I44">
        <v>0.1186</v>
      </c>
      <c r="J44">
        <v>50</v>
      </c>
      <c r="K44">
        <f t="shared" si="0"/>
        <v>5.9299999999999999E-2</v>
      </c>
      <c r="L44" t="s">
        <v>17</v>
      </c>
      <c r="M44">
        <v>143</v>
      </c>
      <c r="N44" t="s">
        <v>17</v>
      </c>
      <c r="O44" t="s">
        <v>1551</v>
      </c>
    </row>
    <row r="46" spans="1:15" x14ac:dyDescent="0.2">
      <c r="A46" t="s">
        <v>238</v>
      </c>
      <c r="B46" t="s">
        <v>58</v>
      </c>
      <c r="C46">
        <v>0</v>
      </c>
      <c r="D46" t="s">
        <v>17</v>
      </c>
      <c r="E46" t="s">
        <v>17</v>
      </c>
      <c r="F46">
        <v>0</v>
      </c>
      <c r="G46" t="s">
        <v>17</v>
      </c>
      <c r="H46" t="s">
        <v>17</v>
      </c>
      <c r="I46">
        <v>0.10666</v>
      </c>
      <c r="J46">
        <v>50</v>
      </c>
      <c r="K46">
        <f t="shared" si="0"/>
        <v>5.3330000000000002E-2</v>
      </c>
      <c r="L46">
        <v>0.63</v>
      </c>
      <c r="M46">
        <v>295</v>
      </c>
      <c r="N46" t="s">
        <v>17</v>
      </c>
      <c r="O46" t="s">
        <v>1552</v>
      </c>
    </row>
    <row r="47" spans="1:15" x14ac:dyDescent="0.2">
      <c r="A47" t="s">
        <v>238</v>
      </c>
      <c r="B47" t="s">
        <v>58</v>
      </c>
      <c r="C47">
        <v>1</v>
      </c>
      <c r="D47" t="s">
        <v>17</v>
      </c>
      <c r="E47" t="s">
        <v>17</v>
      </c>
      <c r="F47">
        <v>1</v>
      </c>
      <c r="G47" t="s">
        <v>17</v>
      </c>
      <c r="H47" t="s">
        <v>17</v>
      </c>
      <c r="I47">
        <v>8.2739999999999994E-2</v>
      </c>
      <c r="J47">
        <v>50</v>
      </c>
      <c r="K47">
        <f t="shared" si="0"/>
        <v>4.1369999999999997E-2</v>
      </c>
      <c r="L47">
        <v>0.51</v>
      </c>
      <c r="M47">
        <v>295</v>
      </c>
      <c r="N47" t="s">
        <v>17</v>
      </c>
      <c r="O47" t="s">
        <v>1553</v>
      </c>
    </row>
    <row r="48" spans="1:15" x14ac:dyDescent="0.2">
      <c r="A48" t="s">
        <v>238</v>
      </c>
      <c r="B48" t="s">
        <v>58</v>
      </c>
      <c r="C48">
        <v>2</v>
      </c>
      <c r="D48" t="s">
        <v>17</v>
      </c>
      <c r="E48" t="s">
        <v>17</v>
      </c>
      <c r="F48">
        <v>2</v>
      </c>
      <c r="G48" t="s">
        <v>17</v>
      </c>
      <c r="H48" t="s">
        <v>17</v>
      </c>
      <c r="I48">
        <v>8.3669999999999994E-2</v>
      </c>
      <c r="J48">
        <v>50</v>
      </c>
      <c r="K48">
        <f t="shared" si="0"/>
        <v>4.1834999999999997E-2</v>
      </c>
      <c r="L48">
        <v>0.57999999999999996</v>
      </c>
      <c r="M48">
        <v>295</v>
      </c>
      <c r="N48" t="s">
        <v>17</v>
      </c>
      <c r="O48" t="s">
        <v>1554</v>
      </c>
    </row>
    <row r="49" spans="1:15" x14ac:dyDescent="0.2">
      <c r="A49" t="s">
        <v>238</v>
      </c>
      <c r="B49" t="s">
        <v>58</v>
      </c>
      <c r="C49">
        <v>3</v>
      </c>
      <c r="D49" t="s">
        <v>17</v>
      </c>
      <c r="E49" t="s">
        <v>17</v>
      </c>
      <c r="F49">
        <v>3</v>
      </c>
      <c r="G49" t="s">
        <v>17</v>
      </c>
      <c r="H49" t="s">
        <v>17</v>
      </c>
      <c r="I49">
        <v>8.3970000000000003E-2</v>
      </c>
      <c r="J49">
        <v>50</v>
      </c>
      <c r="K49">
        <f t="shared" si="0"/>
        <v>4.1985000000000001E-2</v>
      </c>
      <c r="L49">
        <v>0.6</v>
      </c>
      <c r="M49">
        <v>295</v>
      </c>
      <c r="N49" t="s">
        <v>17</v>
      </c>
      <c r="O49" t="s">
        <v>1555</v>
      </c>
    </row>
    <row r="50" spans="1:15" x14ac:dyDescent="0.2">
      <c r="A50" t="s">
        <v>238</v>
      </c>
      <c r="B50" t="s">
        <v>58</v>
      </c>
      <c r="C50">
        <v>4</v>
      </c>
      <c r="D50" t="s">
        <v>17</v>
      </c>
      <c r="E50" t="s">
        <v>17</v>
      </c>
      <c r="F50">
        <v>4</v>
      </c>
      <c r="G50" t="s">
        <v>17</v>
      </c>
      <c r="H50" t="s">
        <v>17</v>
      </c>
      <c r="I50">
        <v>8.5370000000000001E-2</v>
      </c>
      <c r="J50">
        <v>50</v>
      </c>
      <c r="K50">
        <f t="shared" si="0"/>
        <v>4.2685000000000001E-2</v>
      </c>
      <c r="L50">
        <v>0.61</v>
      </c>
      <c r="M50">
        <v>295</v>
      </c>
      <c r="N50" t="s">
        <v>17</v>
      </c>
      <c r="O50" t="s">
        <v>1556</v>
      </c>
    </row>
    <row r="51" spans="1:15" x14ac:dyDescent="0.2">
      <c r="A51" t="s">
        <v>238</v>
      </c>
      <c r="B51" t="s">
        <v>58</v>
      </c>
      <c r="C51">
        <v>5</v>
      </c>
      <c r="D51" t="s">
        <v>17</v>
      </c>
      <c r="E51" t="s">
        <v>17</v>
      </c>
      <c r="F51">
        <v>5</v>
      </c>
      <c r="G51" t="s">
        <v>17</v>
      </c>
      <c r="H51" t="s">
        <v>17</v>
      </c>
      <c r="I51">
        <v>8.5959999999999995E-2</v>
      </c>
      <c r="J51">
        <v>50</v>
      </c>
      <c r="K51">
        <f t="shared" si="0"/>
        <v>4.2979999999999997E-2</v>
      </c>
      <c r="L51">
        <v>0.61</v>
      </c>
      <c r="M51">
        <v>295</v>
      </c>
      <c r="N51" t="s">
        <v>17</v>
      </c>
      <c r="O51" t="s">
        <v>1557</v>
      </c>
    </row>
    <row r="52" spans="1:15" x14ac:dyDescent="0.2">
      <c r="A52" t="s">
        <v>238</v>
      </c>
      <c r="B52" t="s">
        <v>58</v>
      </c>
      <c r="C52">
        <v>6</v>
      </c>
      <c r="D52" t="s">
        <v>17</v>
      </c>
      <c r="E52" t="s">
        <v>17</v>
      </c>
      <c r="F52">
        <v>6</v>
      </c>
      <c r="G52" t="s">
        <v>17</v>
      </c>
      <c r="H52" t="s">
        <v>17</v>
      </c>
      <c r="I52">
        <v>8.6870000000000003E-2</v>
      </c>
      <c r="J52">
        <v>50</v>
      </c>
      <c r="K52">
        <f t="shared" si="0"/>
        <v>4.3435000000000008E-2</v>
      </c>
      <c r="L52">
        <v>0.62</v>
      </c>
      <c r="M52">
        <v>295</v>
      </c>
      <c r="N52" t="s">
        <v>17</v>
      </c>
      <c r="O52" t="s">
        <v>1558</v>
      </c>
    </row>
    <row r="53" spans="1:15" x14ac:dyDescent="0.2">
      <c r="A53" t="s">
        <v>238</v>
      </c>
      <c r="B53" t="s">
        <v>58</v>
      </c>
      <c r="C53">
        <v>7</v>
      </c>
      <c r="D53" t="s">
        <v>17</v>
      </c>
      <c r="E53" t="s">
        <v>17</v>
      </c>
      <c r="F53">
        <v>7</v>
      </c>
      <c r="G53" t="s">
        <v>17</v>
      </c>
      <c r="H53" t="s">
        <v>17</v>
      </c>
      <c r="I53">
        <v>8.7110000000000007E-2</v>
      </c>
      <c r="J53">
        <v>50</v>
      </c>
      <c r="K53">
        <f t="shared" si="0"/>
        <v>4.3555000000000003E-2</v>
      </c>
      <c r="L53">
        <v>0.61</v>
      </c>
      <c r="M53">
        <v>295</v>
      </c>
      <c r="N53" t="s">
        <v>17</v>
      </c>
      <c r="O53" t="s">
        <v>1559</v>
      </c>
    </row>
    <row r="54" spans="1:15" x14ac:dyDescent="0.2">
      <c r="A54" t="s">
        <v>238</v>
      </c>
      <c r="B54" t="s">
        <v>58</v>
      </c>
      <c r="C54">
        <v>8</v>
      </c>
      <c r="D54" t="s">
        <v>17</v>
      </c>
      <c r="E54" t="s">
        <v>17</v>
      </c>
      <c r="F54">
        <v>8</v>
      </c>
      <c r="G54" t="s">
        <v>17</v>
      </c>
      <c r="H54" t="s">
        <v>17</v>
      </c>
      <c r="I54">
        <v>8.7609999999999993E-2</v>
      </c>
      <c r="J54">
        <v>50</v>
      </c>
      <c r="K54">
        <f t="shared" si="0"/>
        <v>4.3804999999999997E-2</v>
      </c>
      <c r="L54">
        <v>0.61</v>
      </c>
      <c r="M54">
        <v>295</v>
      </c>
      <c r="N54" t="s">
        <v>17</v>
      </c>
      <c r="O54" t="s">
        <v>1560</v>
      </c>
    </row>
    <row r="55" spans="1:15" x14ac:dyDescent="0.2">
      <c r="A55" t="s">
        <v>238</v>
      </c>
      <c r="B55" t="s">
        <v>58</v>
      </c>
      <c r="C55">
        <v>9</v>
      </c>
      <c r="D55" t="s">
        <v>17</v>
      </c>
      <c r="E55" t="s">
        <v>17</v>
      </c>
      <c r="F55">
        <v>9</v>
      </c>
      <c r="G55" t="s">
        <v>17</v>
      </c>
      <c r="H55" t="s">
        <v>17</v>
      </c>
      <c r="I55">
        <v>8.7690000000000004E-2</v>
      </c>
      <c r="J55">
        <v>50</v>
      </c>
      <c r="K55">
        <f t="shared" si="0"/>
        <v>4.3845000000000002E-2</v>
      </c>
      <c r="L55">
        <v>0.61</v>
      </c>
      <c r="M55">
        <v>295</v>
      </c>
      <c r="N55" t="s">
        <v>17</v>
      </c>
      <c r="O55" t="s">
        <v>1561</v>
      </c>
    </row>
    <row r="56" spans="1:15" x14ac:dyDescent="0.2">
      <c r="A56" t="s">
        <v>238</v>
      </c>
      <c r="B56" t="s">
        <v>58</v>
      </c>
      <c r="C56">
        <v>10</v>
      </c>
      <c r="D56" t="s">
        <v>17</v>
      </c>
      <c r="E56" t="s">
        <v>17</v>
      </c>
      <c r="F56">
        <v>10</v>
      </c>
      <c r="G56" t="s">
        <v>17</v>
      </c>
      <c r="H56" t="s">
        <v>17</v>
      </c>
      <c r="I56">
        <v>8.7889999999999996E-2</v>
      </c>
      <c r="J56">
        <v>50</v>
      </c>
      <c r="K56">
        <f t="shared" si="0"/>
        <v>4.3944999999999998E-2</v>
      </c>
      <c r="L56">
        <v>0.61</v>
      </c>
      <c r="M56">
        <v>295</v>
      </c>
      <c r="N56" t="s">
        <v>17</v>
      </c>
      <c r="O56" t="s">
        <v>1562</v>
      </c>
    </row>
    <row r="57" spans="1:15" x14ac:dyDescent="0.2">
      <c r="A57" t="s">
        <v>238</v>
      </c>
      <c r="B57" t="s">
        <v>58</v>
      </c>
      <c r="C57">
        <v>11</v>
      </c>
      <c r="D57" t="s">
        <v>17</v>
      </c>
      <c r="E57" t="s">
        <v>17</v>
      </c>
      <c r="F57">
        <v>11</v>
      </c>
      <c r="G57" t="s">
        <v>17</v>
      </c>
      <c r="H57" t="s">
        <v>17</v>
      </c>
      <c r="I57">
        <v>8.788E-2</v>
      </c>
      <c r="J57">
        <v>50</v>
      </c>
      <c r="K57">
        <f t="shared" si="0"/>
        <v>4.394E-2</v>
      </c>
      <c r="L57">
        <v>0.61</v>
      </c>
      <c r="M57">
        <v>295</v>
      </c>
      <c r="N57" t="s">
        <v>17</v>
      </c>
      <c r="O57" t="s">
        <v>1563</v>
      </c>
    </row>
    <row r="58" spans="1:15" x14ac:dyDescent="0.2">
      <c r="A58" t="s">
        <v>238</v>
      </c>
      <c r="B58" t="s">
        <v>58</v>
      </c>
      <c r="C58">
        <v>12</v>
      </c>
      <c r="D58" t="s">
        <v>17</v>
      </c>
      <c r="E58" t="s">
        <v>17</v>
      </c>
      <c r="F58">
        <v>12</v>
      </c>
      <c r="G58" t="s">
        <v>17</v>
      </c>
      <c r="H58" t="s">
        <v>17</v>
      </c>
      <c r="I58">
        <v>8.7550000000000003E-2</v>
      </c>
      <c r="J58">
        <v>50</v>
      </c>
      <c r="K58">
        <f t="shared" si="0"/>
        <v>4.3775000000000001E-2</v>
      </c>
      <c r="L58">
        <v>0.61</v>
      </c>
      <c r="M58">
        <v>295</v>
      </c>
      <c r="N58" t="s">
        <v>17</v>
      </c>
      <c r="O58" t="s">
        <v>1564</v>
      </c>
    </row>
    <row r="59" spans="1:15" x14ac:dyDescent="0.2">
      <c r="A59" t="s">
        <v>238</v>
      </c>
      <c r="B59" t="s">
        <v>58</v>
      </c>
      <c r="C59">
        <v>13</v>
      </c>
      <c r="D59" t="s">
        <v>17</v>
      </c>
      <c r="E59" t="s">
        <v>17</v>
      </c>
      <c r="F59">
        <v>13</v>
      </c>
      <c r="G59" t="s">
        <v>17</v>
      </c>
      <c r="H59" t="s">
        <v>17</v>
      </c>
      <c r="I59">
        <v>8.7569999999999995E-2</v>
      </c>
      <c r="J59">
        <v>50</v>
      </c>
      <c r="K59">
        <f t="shared" si="0"/>
        <v>4.3784999999999998E-2</v>
      </c>
      <c r="L59">
        <v>0.61</v>
      </c>
      <c r="M59">
        <v>295</v>
      </c>
      <c r="N59" t="s">
        <v>17</v>
      </c>
      <c r="O59" t="s">
        <v>1565</v>
      </c>
    </row>
    <row r="60" spans="1:15" x14ac:dyDescent="0.2">
      <c r="A60" t="s">
        <v>238</v>
      </c>
      <c r="B60" t="s">
        <v>58</v>
      </c>
      <c r="C60">
        <v>14</v>
      </c>
      <c r="D60" t="s">
        <v>17</v>
      </c>
      <c r="E60" t="s">
        <v>17</v>
      </c>
      <c r="F60">
        <v>14</v>
      </c>
      <c r="G60" t="s">
        <v>17</v>
      </c>
      <c r="H60" t="s">
        <v>17</v>
      </c>
      <c r="I60">
        <v>8.6980000000000002E-2</v>
      </c>
      <c r="J60">
        <v>50</v>
      </c>
      <c r="K60">
        <f t="shared" si="0"/>
        <v>4.3490000000000001E-2</v>
      </c>
      <c r="L60">
        <v>0.61</v>
      </c>
      <c r="M60">
        <v>295</v>
      </c>
      <c r="N60" t="s">
        <v>17</v>
      </c>
      <c r="O60" t="s">
        <v>1566</v>
      </c>
    </row>
    <row r="61" spans="1:15" x14ac:dyDescent="0.2">
      <c r="A61" t="s">
        <v>238</v>
      </c>
      <c r="B61" t="s">
        <v>58</v>
      </c>
      <c r="C61">
        <v>15</v>
      </c>
      <c r="D61" t="s">
        <v>17</v>
      </c>
      <c r="E61" t="s">
        <v>17</v>
      </c>
      <c r="F61">
        <v>15</v>
      </c>
      <c r="G61" t="s">
        <v>17</v>
      </c>
      <c r="H61" t="s">
        <v>17</v>
      </c>
      <c r="I61">
        <v>8.6830000000000004E-2</v>
      </c>
      <c r="J61">
        <v>50</v>
      </c>
      <c r="K61">
        <f t="shared" si="0"/>
        <v>4.3415000000000002E-2</v>
      </c>
      <c r="L61">
        <v>0.61</v>
      </c>
      <c r="M61">
        <v>295</v>
      </c>
      <c r="N61" t="s">
        <v>17</v>
      </c>
      <c r="O61" t="s">
        <v>1567</v>
      </c>
    </row>
    <row r="62" spans="1:15" x14ac:dyDescent="0.2">
      <c r="A62" t="s">
        <v>238</v>
      </c>
      <c r="B62" t="s">
        <v>58</v>
      </c>
      <c r="C62">
        <v>16</v>
      </c>
      <c r="D62" t="s">
        <v>17</v>
      </c>
      <c r="E62" t="s">
        <v>17</v>
      </c>
      <c r="F62">
        <v>16</v>
      </c>
      <c r="G62" t="s">
        <v>17</v>
      </c>
      <c r="H62" t="s">
        <v>17</v>
      </c>
      <c r="I62">
        <v>8.6330000000000004E-2</v>
      </c>
      <c r="J62">
        <v>50</v>
      </c>
      <c r="K62">
        <f t="shared" si="0"/>
        <v>4.3165000000000002E-2</v>
      </c>
      <c r="L62">
        <v>0.61</v>
      </c>
      <c r="M62">
        <v>295</v>
      </c>
      <c r="N62" t="s">
        <v>17</v>
      </c>
      <c r="O62" t="s">
        <v>1568</v>
      </c>
    </row>
    <row r="63" spans="1:15" x14ac:dyDescent="0.2">
      <c r="A63" t="s">
        <v>238</v>
      </c>
      <c r="B63" t="s">
        <v>58</v>
      </c>
      <c r="C63">
        <v>17</v>
      </c>
      <c r="D63" t="s">
        <v>17</v>
      </c>
      <c r="E63" t="s">
        <v>17</v>
      </c>
      <c r="F63">
        <v>17</v>
      </c>
      <c r="G63" t="s">
        <v>17</v>
      </c>
      <c r="H63" t="s">
        <v>17</v>
      </c>
      <c r="I63">
        <v>8.4930000000000005E-2</v>
      </c>
      <c r="J63">
        <v>50</v>
      </c>
      <c r="K63">
        <f t="shared" si="0"/>
        <v>4.2465000000000003E-2</v>
      </c>
      <c r="L63">
        <v>0.61</v>
      </c>
      <c r="M63">
        <v>295</v>
      </c>
      <c r="N63" t="s">
        <v>17</v>
      </c>
      <c r="O63" t="s">
        <v>1569</v>
      </c>
    </row>
    <row r="64" spans="1:15" x14ac:dyDescent="0.2">
      <c r="A64" t="s">
        <v>238</v>
      </c>
      <c r="B64" t="s">
        <v>58</v>
      </c>
      <c r="C64">
        <v>18</v>
      </c>
      <c r="D64" t="s">
        <v>17</v>
      </c>
      <c r="E64" t="s">
        <v>17</v>
      </c>
      <c r="F64">
        <v>18</v>
      </c>
      <c r="G64" t="s">
        <v>17</v>
      </c>
      <c r="H64" t="s">
        <v>17</v>
      </c>
      <c r="I64">
        <v>8.5169999999999996E-2</v>
      </c>
      <c r="J64">
        <v>50</v>
      </c>
      <c r="K64">
        <f t="shared" si="0"/>
        <v>4.2584999999999998E-2</v>
      </c>
      <c r="L64">
        <v>0.61</v>
      </c>
      <c r="M64">
        <v>295</v>
      </c>
      <c r="N64" t="s">
        <v>17</v>
      </c>
      <c r="O64" t="s">
        <v>1570</v>
      </c>
    </row>
    <row r="65" spans="1:15" x14ac:dyDescent="0.2">
      <c r="A65" t="s">
        <v>238</v>
      </c>
      <c r="B65" t="s">
        <v>58</v>
      </c>
      <c r="C65">
        <v>19</v>
      </c>
      <c r="D65" t="s">
        <v>17</v>
      </c>
      <c r="E65" t="s">
        <v>17</v>
      </c>
      <c r="F65">
        <v>19</v>
      </c>
      <c r="G65" t="s">
        <v>17</v>
      </c>
      <c r="H65" t="s">
        <v>17</v>
      </c>
      <c r="I65">
        <v>8.3900000000000002E-2</v>
      </c>
      <c r="J65">
        <v>50</v>
      </c>
      <c r="K65">
        <f t="shared" si="0"/>
        <v>4.1950000000000001E-2</v>
      </c>
      <c r="L65">
        <v>0.62</v>
      </c>
      <c r="M65">
        <v>295</v>
      </c>
      <c r="N65" t="s">
        <v>17</v>
      </c>
      <c r="O65" t="s">
        <v>1571</v>
      </c>
    </row>
    <row r="66" spans="1:15" x14ac:dyDescent="0.2">
      <c r="A66" t="s">
        <v>238</v>
      </c>
      <c r="B66" t="s">
        <v>58</v>
      </c>
      <c r="C66">
        <v>20</v>
      </c>
      <c r="D66" t="s">
        <v>17</v>
      </c>
      <c r="E66" t="s">
        <v>17</v>
      </c>
      <c r="F66">
        <v>20</v>
      </c>
      <c r="G66" t="s">
        <v>17</v>
      </c>
      <c r="H66" t="s">
        <v>17</v>
      </c>
      <c r="I66">
        <v>8.4279999999999994E-2</v>
      </c>
      <c r="J66">
        <v>50</v>
      </c>
      <c r="K66">
        <f t="shared" si="0"/>
        <v>4.2139999999999997E-2</v>
      </c>
      <c r="L66">
        <v>0.63</v>
      </c>
      <c r="M66">
        <v>295</v>
      </c>
      <c r="N66" t="s">
        <v>17</v>
      </c>
      <c r="O66" t="s">
        <v>1572</v>
      </c>
    </row>
    <row r="67" spans="1:15" x14ac:dyDescent="0.2">
      <c r="A67" t="s">
        <v>238</v>
      </c>
      <c r="B67" t="s">
        <v>58</v>
      </c>
      <c r="C67">
        <v>21</v>
      </c>
      <c r="D67" t="s">
        <v>17</v>
      </c>
      <c r="E67" t="s">
        <v>17</v>
      </c>
      <c r="F67">
        <v>21</v>
      </c>
      <c r="G67" t="s">
        <v>17</v>
      </c>
      <c r="H67" t="s">
        <v>17</v>
      </c>
      <c r="I67">
        <v>8.3290000000000003E-2</v>
      </c>
      <c r="J67">
        <v>50</v>
      </c>
      <c r="K67">
        <f t="shared" si="0"/>
        <v>4.1645000000000001E-2</v>
      </c>
      <c r="L67">
        <v>0.63</v>
      </c>
      <c r="M67">
        <v>295</v>
      </c>
      <c r="N67" t="s">
        <v>17</v>
      </c>
      <c r="O67" t="s">
        <v>1573</v>
      </c>
    </row>
    <row r="68" spans="1:15" x14ac:dyDescent="0.2">
      <c r="A68" t="s">
        <v>238</v>
      </c>
      <c r="B68" t="s">
        <v>58</v>
      </c>
      <c r="C68">
        <v>22</v>
      </c>
      <c r="D68" t="s">
        <v>17</v>
      </c>
      <c r="E68" t="s">
        <v>17</v>
      </c>
      <c r="F68">
        <v>22</v>
      </c>
      <c r="G68" t="s">
        <v>17</v>
      </c>
      <c r="H68" t="s">
        <v>17</v>
      </c>
      <c r="I68">
        <v>8.1670000000000006E-2</v>
      </c>
      <c r="J68">
        <v>50</v>
      </c>
      <c r="K68">
        <f t="shared" si="0"/>
        <v>4.0834999999999996E-2</v>
      </c>
      <c r="L68">
        <v>0.63</v>
      </c>
      <c r="M68">
        <v>295</v>
      </c>
      <c r="N68" t="s">
        <v>17</v>
      </c>
      <c r="O68" t="s">
        <v>1574</v>
      </c>
    </row>
    <row r="69" spans="1:15" x14ac:dyDescent="0.2">
      <c r="A69" t="s">
        <v>238</v>
      </c>
      <c r="B69" t="s">
        <v>58</v>
      </c>
      <c r="C69">
        <v>23</v>
      </c>
      <c r="D69" t="s">
        <v>17</v>
      </c>
      <c r="E69" t="s">
        <v>17</v>
      </c>
      <c r="F69">
        <v>23</v>
      </c>
      <c r="G69" t="s">
        <v>17</v>
      </c>
      <c r="H69" t="s">
        <v>17</v>
      </c>
      <c r="I69">
        <v>8.0930000000000002E-2</v>
      </c>
      <c r="J69">
        <v>50</v>
      </c>
      <c r="K69">
        <f t="shared" si="0"/>
        <v>4.0465000000000001E-2</v>
      </c>
      <c r="L69">
        <v>0.65</v>
      </c>
      <c r="M69">
        <v>295</v>
      </c>
      <c r="N69" t="s">
        <v>17</v>
      </c>
      <c r="O69" t="s">
        <v>1575</v>
      </c>
    </row>
    <row r="70" spans="1:15" x14ac:dyDescent="0.2">
      <c r="A70" t="s">
        <v>238</v>
      </c>
      <c r="B70" t="s">
        <v>58</v>
      </c>
      <c r="C70">
        <v>24</v>
      </c>
      <c r="D70" t="s">
        <v>17</v>
      </c>
      <c r="E70" t="s">
        <v>17</v>
      </c>
      <c r="F70">
        <v>24</v>
      </c>
      <c r="G70" t="s">
        <v>17</v>
      </c>
      <c r="H70" t="s">
        <v>17</v>
      </c>
      <c r="I70">
        <v>8.0610000000000001E-2</v>
      </c>
      <c r="J70">
        <v>50</v>
      </c>
      <c r="K70">
        <f t="shared" si="0"/>
        <v>4.0305000000000001E-2</v>
      </c>
      <c r="L70">
        <v>0.61</v>
      </c>
      <c r="M70">
        <v>295</v>
      </c>
      <c r="N70" t="s">
        <v>17</v>
      </c>
      <c r="O70" t="s">
        <v>1576</v>
      </c>
    </row>
  </sheetData>
  <phoneticPr fontId="2"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E0753-2F40-3946-B42C-031F80E8E767}">
  <dimension ref="A1:O167"/>
  <sheetViews>
    <sheetView workbookViewId="0">
      <selection activeCell="O1" sqref="O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32</v>
      </c>
      <c r="B2" t="s">
        <v>191</v>
      </c>
      <c r="C2">
        <v>2</v>
      </c>
      <c r="D2" t="s">
        <v>17</v>
      </c>
      <c r="E2" t="s">
        <v>17</v>
      </c>
      <c r="F2">
        <v>1</v>
      </c>
      <c r="G2" t="s">
        <v>17</v>
      </c>
      <c r="H2" t="s">
        <v>17</v>
      </c>
      <c r="I2">
        <v>6.9669999999999996E-2</v>
      </c>
      <c r="J2">
        <v>50</v>
      </c>
      <c r="K2">
        <f>I2*J2/100</f>
        <v>3.4834999999999998E-2</v>
      </c>
      <c r="L2" t="s">
        <v>17</v>
      </c>
      <c r="M2">
        <v>296</v>
      </c>
      <c r="N2" t="s">
        <v>201</v>
      </c>
      <c r="O2" t="s">
        <v>1577</v>
      </c>
    </row>
    <row r="3" spans="1:15" x14ac:dyDescent="0.2">
      <c r="A3" t="s">
        <v>32</v>
      </c>
      <c r="B3" t="s">
        <v>191</v>
      </c>
      <c r="C3">
        <v>3</v>
      </c>
      <c r="D3" t="s">
        <v>17</v>
      </c>
      <c r="E3" t="s">
        <v>17</v>
      </c>
      <c r="F3">
        <v>2</v>
      </c>
      <c r="G3" t="s">
        <v>17</v>
      </c>
      <c r="H3" t="s">
        <v>17</v>
      </c>
      <c r="I3">
        <v>6.6570000000000004E-2</v>
      </c>
      <c r="J3">
        <v>50</v>
      </c>
      <c r="K3">
        <f t="shared" ref="K3:K45" si="0">I3*J3/100</f>
        <v>3.3285000000000002E-2</v>
      </c>
      <c r="L3" t="s">
        <v>17</v>
      </c>
      <c r="M3">
        <v>296</v>
      </c>
      <c r="N3" t="s">
        <v>201</v>
      </c>
      <c r="O3" t="s">
        <v>1578</v>
      </c>
    </row>
    <row r="4" spans="1:15" x14ac:dyDescent="0.2">
      <c r="A4" t="s">
        <v>32</v>
      </c>
      <c r="B4" t="s">
        <v>191</v>
      </c>
      <c r="C4">
        <v>4</v>
      </c>
      <c r="D4" t="s">
        <v>17</v>
      </c>
      <c r="E4" t="s">
        <v>17</v>
      </c>
      <c r="F4">
        <v>3</v>
      </c>
      <c r="G4" t="s">
        <v>17</v>
      </c>
      <c r="H4" t="s">
        <v>17</v>
      </c>
      <c r="I4">
        <v>6.4250000000000002E-2</v>
      </c>
      <c r="J4">
        <v>50</v>
      </c>
      <c r="K4">
        <f t="shared" si="0"/>
        <v>3.2125000000000001E-2</v>
      </c>
      <c r="L4" t="s">
        <v>17</v>
      </c>
      <c r="M4">
        <v>296</v>
      </c>
      <c r="N4" t="s">
        <v>201</v>
      </c>
      <c r="O4" t="s">
        <v>1579</v>
      </c>
    </row>
    <row r="5" spans="1:15" x14ac:dyDescent="0.2">
      <c r="A5" t="s">
        <v>32</v>
      </c>
      <c r="B5" t="s">
        <v>191</v>
      </c>
      <c r="C5">
        <v>5</v>
      </c>
      <c r="D5" t="s">
        <v>17</v>
      </c>
      <c r="E5" t="s">
        <v>17</v>
      </c>
      <c r="F5">
        <v>4</v>
      </c>
      <c r="G5" t="s">
        <v>17</v>
      </c>
      <c r="H5" t="s">
        <v>17</v>
      </c>
      <c r="I5">
        <v>6.3E-2</v>
      </c>
      <c r="J5">
        <v>50</v>
      </c>
      <c r="K5">
        <f t="shared" si="0"/>
        <v>3.15E-2</v>
      </c>
      <c r="L5" t="s">
        <v>17</v>
      </c>
      <c r="M5">
        <v>296</v>
      </c>
      <c r="N5" t="s">
        <v>201</v>
      </c>
      <c r="O5" t="s">
        <v>1580</v>
      </c>
    </row>
    <row r="6" spans="1:15" x14ac:dyDescent="0.2">
      <c r="A6" t="s">
        <v>32</v>
      </c>
      <c r="B6" t="s">
        <v>191</v>
      </c>
      <c r="C6">
        <v>6</v>
      </c>
      <c r="D6" t="s">
        <v>17</v>
      </c>
      <c r="E6" t="s">
        <v>17</v>
      </c>
      <c r="F6">
        <v>5</v>
      </c>
      <c r="G6" t="s">
        <v>17</v>
      </c>
      <c r="H6" t="s">
        <v>17</v>
      </c>
      <c r="I6">
        <v>6.2230000000000001E-2</v>
      </c>
      <c r="J6">
        <v>50</v>
      </c>
      <c r="K6">
        <f t="shared" si="0"/>
        <v>3.1115E-2</v>
      </c>
      <c r="L6" t="s">
        <v>17</v>
      </c>
      <c r="M6">
        <v>296</v>
      </c>
      <c r="N6" t="s">
        <v>201</v>
      </c>
      <c r="O6" t="s">
        <v>1581</v>
      </c>
    </row>
    <row r="7" spans="1:15" x14ac:dyDescent="0.2">
      <c r="A7" t="s">
        <v>32</v>
      </c>
      <c r="B7" t="s">
        <v>191</v>
      </c>
      <c r="C7">
        <v>7</v>
      </c>
      <c r="D7" t="s">
        <v>17</v>
      </c>
      <c r="E7" t="s">
        <v>17</v>
      </c>
      <c r="F7">
        <v>6</v>
      </c>
      <c r="G7" t="s">
        <v>17</v>
      </c>
      <c r="H7" t="s">
        <v>17</v>
      </c>
      <c r="I7">
        <v>6.1710000000000001E-2</v>
      </c>
      <c r="J7">
        <v>50</v>
      </c>
      <c r="K7">
        <f t="shared" si="0"/>
        <v>3.0855E-2</v>
      </c>
      <c r="L7" t="s">
        <v>17</v>
      </c>
      <c r="M7">
        <v>296</v>
      </c>
      <c r="N7" t="s">
        <v>201</v>
      </c>
      <c r="O7" t="s">
        <v>1582</v>
      </c>
    </row>
    <row r="8" spans="1:15" x14ac:dyDescent="0.2">
      <c r="A8" t="s">
        <v>32</v>
      </c>
      <c r="B8" t="s">
        <v>191</v>
      </c>
      <c r="C8">
        <v>8</v>
      </c>
      <c r="D8" t="s">
        <v>17</v>
      </c>
      <c r="E8" t="s">
        <v>17</v>
      </c>
      <c r="F8">
        <v>7</v>
      </c>
      <c r="G8" t="s">
        <v>17</v>
      </c>
      <c r="H8" t="s">
        <v>17</v>
      </c>
      <c r="I8">
        <v>6.1350000000000002E-2</v>
      </c>
      <c r="J8">
        <v>50</v>
      </c>
      <c r="K8">
        <f t="shared" si="0"/>
        <v>3.0674999999999997E-2</v>
      </c>
      <c r="L8" t="s">
        <v>17</v>
      </c>
      <c r="M8">
        <v>296</v>
      </c>
      <c r="N8" t="s">
        <v>201</v>
      </c>
      <c r="O8" t="s">
        <v>1583</v>
      </c>
    </row>
    <row r="9" spans="1:15" x14ac:dyDescent="0.2">
      <c r="A9" t="s">
        <v>32</v>
      </c>
      <c r="B9" t="s">
        <v>191</v>
      </c>
      <c r="C9">
        <v>9</v>
      </c>
      <c r="D9" t="s">
        <v>17</v>
      </c>
      <c r="E9" t="s">
        <v>17</v>
      </c>
      <c r="F9">
        <v>8</v>
      </c>
      <c r="G9" t="s">
        <v>17</v>
      </c>
      <c r="H9" t="s">
        <v>17</v>
      </c>
      <c r="I9">
        <v>6.1080000000000002E-2</v>
      </c>
      <c r="J9">
        <v>50</v>
      </c>
      <c r="K9">
        <f t="shared" si="0"/>
        <v>3.0540000000000001E-2</v>
      </c>
      <c r="L9" t="s">
        <v>17</v>
      </c>
      <c r="M9">
        <v>296</v>
      </c>
      <c r="N9" t="s">
        <v>201</v>
      </c>
      <c r="O9" t="s">
        <v>1584</v>
      </c>
    </row>
    <row r="10" spans="1:15" x14ac:dyDescent="0.2">
      <c r="A10" t="s">
        <v>32</v>
      </c>
      <c r="B10" t="s">
        <v>191</v>
      </c>
      <c r="C10">
        <v>10</v>
      </c>
      <c r="D10" t="s">
        <v>17</v>
      </c>
      <c r="E10" t="s">
        <v>17</v>
      </c>
      <c r="F10">
        <v>9</v>
      </c>
      <c r="G10" t="s">
        <v>17</v>
      </c>
      <c r="H10" t="s">
        <v>17</v>
      </c>
      <c r="I10">
        <v>6.089E-2</v>
      </c>
      <c r="J10">
        <v>50</v>
      </c>
      <c r="K10">
        <f t="shared" si="0"/>
        <v>3.0445000000000003E-2</v>
      </c>
      <c r="L10" t="s">
        <v>17</v>
      </c>
      <c r="M10">
        <v>296</v>
      </c>
      <c r="N10" t="s">
        <v>201</v>
      </c>
      <c r="O10" t="s">
        <v>1585</v>
      </c>
    </row>
    <row r="11" spans="1:15" x14ac:dyDescent="0.2">
      <c r="A11" t="s">
        <v>32</v>
      </c>
      <c r="B11" t="s">
        <v>191</v>
      </c>
      <c r="C11">
        <v>11</v>
      </c>
      <c r="D11" t="s">
        <v>17</v>
      </c>
      <c r="E11" t="s">
        <v>17</v>
      </c>
      <c r="F11">
        <v>10</v>
      </c>
      <c r="G11" t="s">
        <v>17</v>
      </c>
      <c r="H11" t="s">
        <v>17</v>
      </c>
      <c r="I11">
        <v>6.0729999999999999E-2</v>
      </c>
      <c r="J11">
        <v>50</v>
      </c>
      <c r="K11">
        <f t="shared" si="0"/>
        <v>3.0364999999999996E-2</v>
      </c>
      <c r="L11" t="s">
        <v>17</v>
      </c>
      <c r="M11">
        <v>296</v>
      </c>
      <c r="N11" t="s">
        <v>201</v>
      </c>
      <c r="O11" t="s">
        <v>1586</v>
      </c>
    </row>
    <row r="12" spans="1:15" x14ac:dyDescent="0.2">
      <c r="A12" t="s">
        <v>32</v>
      </c>
      <c r="B12" t="s">
        <v>191</v>
      </c>
      <c r="C12">
        <v>12</v>
      </c>
      <c r="D12" t="s">
        <v>17</v>
      </c>
      <c r="E12" t="s">
        <v>17</v>
      </c>
      <c r="F12">
        <v>11</v>
      </c>
      <c r="G12" t="s">
        <v>17</v>
      </c>
      <c r="H12" t="s">
        <v>17</v>
      </c>
      <c r="I12">
        <v>6.0609999999999997E-2</v>
      </c>
      <c r="J12">
        <v>50</v>
      </c>
      <c r="K12">
        <f t="shared" si="0"/>
        <v>3.0304999999999999E-2</v>
      </c>
      <c r="L12" t="s">
        <v>17</v>
      </c>
      <c r="M12">
        <v>296</v>
      </c>
      <c r="N12" t="s">
        <v>201</v>
      </c>
      <c r="O12" t="s">
        <v>1587</v>
      </c>
    </row>
    <row r="13" spans="1:15" x14ac:dyDescent="0.2">
      <c r="A13" t="s">
        <v>32</v>
      </c>
      <c r="B13" t="s">
        <v>191</v>
      </c>
      <c r="C13">
        <v>13</v>
      </c>
      <c r="D13" t="s">
        <v>17</v>
      </c>
      <c r="E13" t="s">
        <v>17</v>
      </c>
      <c r="F13">
        <v>12</v>
      </c>
      <c r="G13" t="s">
        <v>17</v>
      </c>
      <c r="H13" t="s">
        <v>17</v>
      </c>
      <c r="I13">
        <v>6.0519999999999997E-2</v>
      </c>
      <c r="J13">
        <v>50</v>
      </c>
      <c r="K13">
        <f t="shared" si="0"/>
        <v>3.0259999999999999E-2</v>
      </c>
      <c r="L13" t="s">
        <v>17</v>
      </c>
      <c r="M13">
        <v>296</v>
      </c>
      <c r="N13" t="s">
        <v>201</v>
      </c>
      <c r="O13" t="s">
        <v>1588</v>
      </c>
    </row>
    <row r="14" spans="1:15" x14ac:dyDescent="0.2">
      <c r="A14" t="s">
        <v>32</v>
      </c>
      <c r="B14" t="s">
        <v>191</v>
      </c>
      <c r="C14">
        <v>14</v>
      </c>
      <c r="D14" t="s">
        <v>17</v>
      </c>
      <c r="E14" t="s">
        <v>17</v>
      </c>
      <c r="F14">
        <v>13</v>
      </c>
      <c r="G14" t="s">
        <v>17</v>
      </c>
      <c r="H14" t="s">
        <v>17</v>
      </c>
      <c r="I14">
        <v>6.0440000000000001E-2</v>
      </c>
      <c r="J14">
        <v>50</v>
      </c>
      <c r="K14">
        <f t="shared" si="0"/>
        <v>3.0220000000000004E-2</v>
      </c>
      <c r="L14" t="s">
        <v>17</v>
      </c>
      <c r="M14">
        <v>296</v>
      </c>
      <c r="N14" t="s">
        <v>201</v>
      </c>
      <c r="O14" t="s">
        <v>1589</v>
      </c>
    </row>
    <row r="15" spans="1:15" x14ac:dyDescent="0.2">
      <c r="A15" t="s">
        <v>32</v>
      </c>
      <c r="B15" t="s">
        <v>191</v>
      </c>
      <c r="C15">
        <v>15</v>
      </c>
      <c r="D15" t="s">
        <v>17</v>
      </c>
      <c r="E15" t="s">
        <v>17</v>
      </c>
      <c r="F15">
        <v>14</v>
      </c>
      <c r="G15" t="s">
        <v>17</v>
      </c>
      <c r="H15" t="s">
        <v>17</v>
      </c>
      <c r="I15">
        <v>6.037E-2</v>
      </c>
      <c r="J15">
        <v>50</v>
      </c>
      <c r="K15">
        <f t="shared" si="0"/>
        <v>3.0185E-2</v>
      </c>
      <c r="L15" t="s">
        <v>17</v>
      </c>
      <c r="M15">
        <v>296</v>
      </c>
      <c r="N15" t="s">
        <v>201</v>
      </c>
      <c r="O15" t="s">
        <v>1590</v>
      </c>
    </row>
    <row r="16" spans="1:15" x14ac:dyDescent="0.2">
      <c r="A16" t="s">
        <v>32</v>
      </c>
      <c r="B16" t="s">
        <v>191</v>
      </c>
      <c r="C16">
        <v>16</v>
      </c>
      <c r="D16" t="s">
        <v>17</v>
      </c>
      <c r="E16" t="s">
        <v>17</v>
      </c>
      <c r="F16">
        <v>15</v>
      </c>
      <c r="G16" t="s">
        <v>17</v>
      </c>
      <c r="H16" t="s">
        <v>17</v>
      </c>
      <c r="I16">
        <v>6.0310000000000002E-2</v>
      </c>
      <c r="J16">
        <v>50</v>
      </c>
      <c r="K16">
        <f t="shared" si="0"/>
        <v>3.0155000000000001E-2</v>
      </c>
      <c r="L16" t="s">
        <v>17</v>
      </c>
      <c r="M16">
        <v>296</v>
      </c>
      <c r="N16" t="s">
        <v>201</v>
      </c>
      <c r="O16" t="s">
        <v>1591</v>
      </c>
    </row>
    <row r="17" spans="1:15" x14ac:dyDescent="0.2">
      <c r="A17" t="s">
        <v>32</v>
      </c>
      <c r="B17" t="s">
        <v>191</v>
      </c>
      <c r="C17">
        <v>17</v>
      </c>
      <c r="D17" t="s">
        <v>17</v>
      </c>
      <c r="E17" t="s">
        <v>17</v>
      </c>
      <c r="F17">
        <v>16</v>
      </c>
      <c r="G17" t="s">
        <v>17</v>
      </c>
      <c r="H17" t="s">
        <v>17</v>
      </c>
      <c r="I17">
        <v>6.0249999999999998E-2</v>
      </c>
      <c r="J17">
        <v>50</v>
      </c>
      <c r="K17">
        <f t="shared" si="0"/>
        <v>3.0124999999999999E-2</v>
      </c>
      <c r="L17" t="s">
        <v>17</v>
      </c>
      <c r="M17">
        <v>296</v>
      </c>
      <c r="N17" t="s">
        <v>201</v>
      </c>
      <c r="O17" t="s">
        <v>1592</v>
      </c>
    </row>
    <row r="18" spans="1:15" x14ac:dyDescent="0.2">
      <c r="A18" t="s">
        <v>32</v>
      </c>
      <c r="B18" t="s">
        <v>191</v>
      </c>
      <c r="C18">
        <v>18</v>
      </c>
      <c r="D18" t="s">
        <v>17</v>
      </c>
      <c r="E18" t="s">
        <v>17</v>
      </c>
      <c r="F18">
        <v>17</v>
      </c>
      <c r="G18" t="s">
        <v>17</v>
      </c>
      <c r="H18" t="s">
        <v>17</v>
      </c>
      <c r="I18">
        <v>6.021E-2</v>
      </c>
      <c r="J18">
        <v>50</v>
      </c>
      <c r="K18">
        <f t="shared" si="0"/>
        <v>3.0105E-2</v>
      </c>
      <c r="L18" t="s">
        <v>17</v>
      </c>
      <c r="M18">
        <v>296</v>
      </c>
      <c r="N18" t="s">
        <v>201</v>
      </c>
      <c r="O18" t="s">
        <v>1593</v>
      </c>
    </row>
    <row r="19" spans="1:15" x14ac:dyDescent="0.2">
      <c r="A19" t="s">
        <v>32</v>
      </c>
      <c r="B19" t="s">
        <v>191</v>
      </c>
      <c r="C19">
        <v>19</v>
      </c>
      <c r="D19" t="s">
        <v>17</v>
      </c>
      <c r="E19" t="s">
        <v>17</v>
      </c>
      <c r="F19">
        <v>18</v>
      </c>
      <c r="G19" t="s">
        <v>17</v>
      </c>
      <c r="H19" t="s">
        <v>17</v>
      </c>
      <c r="I19">
        <v>6.0159999999999998E-2</v>
      </c>
      <c r="J19">
        <v>50</v>
      </c>
      <c r="K19">
        <f t="shared" si="0"/>
        <v>3.0079999999999999E-2</v>
      </c>
      <c r="L19" t="s">
        <v>17</v>
      </c>
      <c r="M19">
        <v>296</v>
      </c>
      <c r="N19" t="s">
        <v>201</v>
      </c>
      <c r="O19" t="s">
        <v>1594</v>
      </c>
    </row>
    <row r="20" spans="1:15" x14ac:dyDescent="0.2">
      <c r="A20" t="s">
        <v>32</v>
      </c>
      <c r="B20" t="s">
        <v>191</v>
      </c>
      <c r="C20">
        <v>20</v>
      </c>
      <c r="D20" t="s">
        <v>17</v>
      </c>
      <c r="E20" t="s">
        <v>17</v>
      </c>
      <c r="F20">
        <v>19</v>
      </c>
      <c r="G20" t="s">
        <v>17</v>
      </c>
      <c r="H20" t="s">
        <v>17</v>
      </c>
      <c r="I20">
        <v>6.012E-2</v>
      </c>
      <c r="J20">
        <v>50</v>
      </c>
      <c r="K20">
        <f t="shared" si="0"/>
        <v>3.0059999999999996E-2</v>
      </c>
      <c r="L20" t="s">
        <v>17</v>
      </c>
      <c r="M20">
        <v>296</v>
      </c>
      <c r="N20" t="s">
        <v>201</v>
      </c>
      <c r="O20" t="s">
        <v>1595</v>
      </c>
    </row>
    <row r="21" spans="1:15" x14ac:dyDescent="0.2">
      <c r="A21" t="s">
        <v>32</v>
      </c>
      <c r="B21" t="s">
        <v>191</v>
      </c>
      <c r="C21">
        <v>21</v>
      </c>
      <c r="D21" t="s">
        <v>17</v>
      </c>
      <c r="E21" t="s">
        <v>17</v>
      </c>
      <c r="F21">
        <v>20</v>
      </c>
      <c r="G21" t="s">
        <v>17</v>
      </c>
      <c r="H21" t="s">
        <v>17</v>
      </c>
      <c r="I21">
        <v>6.0080000000000001E-2</v>
      </c>
      <c r="J21">
        <v>50</v>
      </c>
      <c r="K21">
        <f t="shared" si="0"/>
        <v>3.0040000000000001E-2</v>
      </c>
      <c r="L21" t="s">
        <v>17</v>
      </c>
      <c r="M21">
        <v>296</v>
      </c>
      <c r="N21" t="s">
        <v>201</v>
      </c>
      <c r="O21" t="s">
        <v>1596</v>
      </c>
    </row>
    <row r="22" spans="1:15" x14ac:dyDescent="0.2">
      <c r="A22" t="s">
        <v>32</v>
      </c>
      <c r="B22" t="s">
        <v>191</v>
      </c>
      <c r="C22">
        <v>22</v>
      </c>
      <c r="D22" t="s">
        <v>17</v>
      </c>
      <c r="E22" t="s">
        <v>17</v>
      </c>
      <c r="F22">
        <v>21</v>
      </c>
      <c r="G22" t="s">
        <v>17</v>
      </c>
      <c r="H22" t="s">
        <v>17</v>
      </c>
      <c r="I22">
        <v>6.003E-2</v>
      </c>
      <c r="J22">
        <v>50</v>
      </c>
      <c r="K22">
        <f t="shared" si="0"/>
        <v>3.0015E-2</v>
      </c>
      <c r="L22" t="s">
        <v>17</v>
      </c>
      <c r="M22">
        <v>296</v>
      </c>
      <c r="N22" t="s">
        <v>201</v>
      </c>
      <c r="O22" t="s">
        <v>1597</v>
      </c>
    </row>
    <row r="23" spans="1:15" x14ac:dyDescent="0.2">
      <c r="A23" t="s">
        <v>32</v>
      </c>
      <c r="B23" t="s">
        <v>191</v>
      </c>
      <c r="C23">
        <v>23</v>
      </c>
      <c r="D23" t="s">
        <v>17</v>
      </c>
      <c r="E23" t="s">
        <v>17</v>
      </c>
      <c r="F23">
        <v>22</v>
      </c>
      <c r="G23" t="s">
        <v>17</v>
      </c>
      <c r="H23" t="s">
        <v>17</v>
      </c>
      <c r="I23">
        <v>0.06</v>
      </c>
      <c r="J23">
        <v>50</v>
      </c>
      <c r="K23">
        <f t="shared" si="0"/>
        <v>0.03</v>
      </c>
      <c r="L23" t="s">
        <v>17</v>
      </c>
      <c r="M23">
        <v>296</v>
      </c>
      <c r="N23" t="s">
        <v>201</v>
      </c>
      <c r="O23" t="s">
        <v>1598</v>
      </c>
    </row>
    <row r="24" spans="1:15" x14ac:dyDescent="0.2">
      <c r="A24" t="s">
        <v>32</v>
      </c>
      <c r="B24" t="s">
        <v>191</v>
      </c>
      <c r="C24">
        <v>24</v>
      </c>
      <c r="D24" t="s">
        <v>17</v>
      </c>
      <c r="E24" t="s">
        <v>17</v>
      </c>
      <c r="F24">
        <v>23</v>
      </c>
      <c r="G24" t="s">
        <v>17</v>
      </c>
      <c r="H24" t="s">
        <v>17</v>
      </c>
      <c r="I24">
        <v>5.9970000000000002E-2</v>
      </c>
      <c r="J24">
        <v>50</v>
      </c>
      <c r="K24">
        <f t="shared" si="0"/>
        <v>2.9984999999999998E-2</v>
      </c>
      <c r="L24" t="s">
        <v>17</v>
      </c>
      <c r="M24">
        <v>296</v>
      </c>
      <c r="N24" t="s">
        <v>201</v>
      </c>
      <c r="O24" t="s">
        <v>1599</v>
      </c>
    </row>
    <row r="25" spans="1:15" x14ac:dyDescent="0.2">
      <c r="A25" t="s">
        <v>32</v>
      </c>
      <c r="B25" t="s">
        <v>191</v>
      </c>
      <c r="C25">
        <v>25</v>
      </c>
      <c r="D25" t="s">
        <v>17</v>
      </c>
      <c r="E25" t="s">
        <v>17</v>
      </c>
      <c r="F25">
        <v>24</v>
      </c>
      <c r="G25" t="s">
        <v>17</v>
      </c>
      <c r="H25" t="s">
        <v>17</v>
      </c>
      <c r="I25">
        <v>5.9929999999999997E-2</v>
      </c>
      <c r="J25">
        <v>50</v>
      </c>
      <c r="K25">
        <f t="shared" si="0"/>
        <v>2.9964999999999999E-2</v>
      </c>
      <c r="L25" t="s">
        <v>17</v>
      </c>
      <c r="M25">
        <v>296</v>
      </c>
      <c r="N25" t="s">
        <v>201</v>
      </c>
      <c r="O25" t="s">
        <v>1600</v>
      </c>
    </row>
    <row r="26" spans="1:15" x14ac:dyDescent="0.2">
      <c r="A26" t="s">
        <v>32</v>
      </c>
      <c r="B26" t="s">
        <v>191</v>
      </c>
      <c r="C26">
        <v>26</v>
      </c>
      <c r="D26" t="s">
        <v>17</v>
      </c>
      <c r="E26" t="s">
        <v>17</v>
      </c>
      <c r="F26">
        <v>25</v>
      </c>
      <c r="G26" t="s">
        <v>17</v>
      </c>
      <c r="H26" t="s">
        <v>17</v>
      </c>
      <c r="I26">
        <v>5.9900000000000002E-2</v>
      </c>
      <c r="J26">
        <v>50</v>
      </c>
      <c r="K26">
        <f t="shared" si="0"/>
        <v>2.9950000000000001E-2</v>
      </c>
      <c r="L26" t="s">
        <v>17</v>
      </c>
      <c r="M26">
        <v>296</v>
      </c>
      <c r="N26" t="s">
        <v>201</v>
      </c>
      <c r="O26" t="s">
        <v>1601</v>
      </c>
    </row>
    <row r="27" spans="1:15" x14ac:dyDescent="0.2">
      <c r="A27" t="s">
        <v>32</v>
      </c>
      <c r="B27" t="s">
        <v>191</v>
      </c>
      <c r="C27">
        <v>27</v>
      </c>
      <c r="D27" t="s">
        <v>17</v>
      </c>
      <c r="E27" t="s">
        <v>17</v>
      </c>
      <c r="F27">
        <v>26</v>
      </c>
      <c r="G27" t="s">
        <v>17</v>
      </c>
      <c r="H27" t="s">
        <v>17</v>
      </c>
      <c r="I27">
        <v>5.987E-2</v>
      </c>
      <c r="J27">
        <v>50</v>
      </c>
      <c r="K27">
        <f t="shared" si="0"/>
        <v>2.9935E-2</v>
      </c>
      <c r="L27" t="s">
        <v>17</v>
      </c>
      <c r="M27">
        <v>296</v>
      </c>
      <c r="N27" t="s">
        <v>201</v>
      </c>
      <c r="O27" t="s">
        <v>1602</v>
      </c>
    </row>
    <row r="28" spans="1:15" x14ac:dyDescent="0.2">
      <c r="A28" t="s">
        <v>32</v>
      </c>
      <c r="B28" t="s">
        <v>191</v>
      </c>
      <c r="C28">
        <v>28</v>
      </c>
      <c r="D28" t="s">
        <v>17</v>
      </c>
      <c r="E28" t="s">
        <v>17</v>
      </c>
      <c r="F28">
        <v>27</v>
      </c>
      <c r="G28" t="s">
        <v>17</v>
      </c>
      <c r="H28" t="s">
        <v>17</v>
      </c>
      <c r="I28">
        <v>5.9839999999999997E-2</v>
      </c>
      <c r="J28">
        <v>50</v>
      </c>
      <c r="K28">
        <f t="shared" si="0"/>
        <v>2.9919999999999999E-2</v>
      </c>
      <c r="L28" t="s">
        <v>17</v>
      </c>
      <c r="M28">
        <v>296</v>
      </c>
      <c r="N28" t="s">
        <v>201</v>
      </c>
      <c r="O28" t="s">
        <v>1603</v>
      </c>
    </row>
    <row r="29" spans="1:15" x14ac:dyDescent="0.2">
      <c r="A29" t="s">
        <v>32</v>
      </c>
      <c r="B29" t="s">
        <v>191</v>
      </c>
      <c r="C29">
        <v>29</v>
      </c>
      <c r="D29" t="s">
        <v>17</v>
      </c>
      <c r="E29" t="s">
        <v>17</v>
      </c>
      <c r="F29">
        <v>28</v>
      </c>
      <c r="G29" t="s">
        <v>17</v>
      </c>
      <c r="H29" t="s">
        <v>17</v>
      </c>
      <c r="I29">
        <v>5.9819999999999998E-2</v>
      </c>
      <c r="J29">
        <v>50</v>
      </c>
      <c r="K29">
        <f t="shared" si="0"/>
        <v>2.9910000000000003E-2</v>
      </c>
      <c r="L29" t="s">
        <v>17</v>
      </c>
      <c r="M29">
        <v>296</v>
      </c>
      <c r="N29" t="s">
        <v>201</v>
      </c>
      <c r="O29" t="s">
        <v>1604</v>
      </c>
    </row>
    <row r="30" spans="1:15" x14ac:dyDescent="0.2">
      <c r="A30" t="s">
        <v>32</v>
      </c>
      <c r="B30" t="s">
        <v>191</v>
      </c>
      <c r="C30">
        <v>30</v>
      </c>
      <c r="D30" t="s">
        <v>17</v>
      </c>
      <c r="E30" t="s">
        <v>17</v>
      </c>
      <c r="F30">
        <v>29</v>
      </c>
      <c r="G30" t="s">
        <v>17</v>
      </c>
      <c r="H30" t="s">
        <v>17</v>
      </c>
      <c r="I30">
        <v>5.978E-2</v>
      </c>
      <c r="J30">
        <v>50</v>
      </c>
      <c r="K30">
        <f t="shared" si="0"/>
        <v>2.989E-2</v>
      </c>
      <c r="L30" t="s">
        <v>17</v>
      </c>
      <c r="M30">
        <v>296</v>
      </c>
      <c r="N30" t="s">
        <v>201</v>
      </c>
      <c r="O30" t="s">
        <v>1605</v>
      </c>
    </row>
    <row r="31" spans="1:15" x14ac:dyDescent="0.2">
      <c r="A31" t="s">
        <v>32</v>
      </c>
      <c r="B31" t="s">
        <v>191</v>
      </c>
      <c r="C31">
        <v>31</v>
      </c>
      <c r="D31" t="s">
        <v>17</v>
      </c>
      <c r="E31" t="s">
        <v>17</v>
      </c>
      <c r="F31">
        <v>30</v>
      </c>
      <c r="G31" t="s">
        <v>17</v>
      </c>
      <c r="H31" t="s">
        <v>17</v>
      </c>
      <c r="I31">
        <v>5.9729999999999998E-2</v>
      </c>
      <c r="J31">
        <v>50</v>
      </c>
      <c r="K31">
        <f t="shared" si="0"/>
        <v>2.9864999999999999E-2</v>
      </c>
      <c r="L31" t="s">
        <v>17</v>
      </c>
      <c r="M31">
        <v>296</v>
      </c>
      <c r="N31" t="s">
        <v>201</v>
      </c>
      <c r="O31" t="s">
        <v>1606</v>
      </c>
    </row>
    <row r="32" spans="1:15" x14ac:dyDescent="0.2">
      <c r="A32" t="s">
        <v>32</v>
      </c>
      <c r="B32" t="s">
        <v>191</v>
      </c>
      <c r="C32">
        <v>32</v>
      </c>
      <c r="D32" t="s">
        <v>17</v>
      </c>
      <c r="E32" t="s">
        <v>17</v>
      </c>
      <c r="F32">
        <v>31</v>
      </c>
      <c r="G32" t="s">
        <v>17</v>
      </c>
      <c r="H32" t="s">
        <v>17</v>
      </c>
      <c r="I32">
        <v>5.969E-2</v>
      </c>
      <c r="J32">
        <v>50</v>
      </c>
      <c r="K32">
        <f t="shared" si="0"/>
        <v>2.9845E-2</v>
      </c>
      <c r="L32" t="s">
        <v>17</v>
      </c>
      <c r="M32">
        <v>296</v>
      </c>
      <c r="N32" t="s">
        <v>201</v>
      </c>
      <c r="O32" t="s">
        <v>1607</v>
      </c>
    </row>
    <row r="33" spans="1:15" x14ac:dyDescent="0.2">
      <c r="A33" t="s">
        <v>32</v>
      </c>
      <c r="B33" t="s">
        <v>191</v>
      </c>
      <c r="C33">
        <v>33</v>
      </c>
      <c r="D33" t="s">
        <v>17</v>
      </c>
      <c r="E33" t="s">
        <v>17</v>
      </c>
      <c r="F33">
        <v>32</v>
      </c>
      <c r="G33" t="s">
        <v>17</v>
      </c>
      <c r="H33" t="s">
        <v>17</v>
      </c>
      <c r="I33">
        <v>5.9650000000000002E-2</v>
      </c>
      <c r="J33">
        <v>50</v>
      </c>
      <c r="K33">
        <f t="shared" si="0"/>
        <v>2.9825000000000001E-2</v>
      </c>
      <c r="L33" t="s">
        <v>17</v>
      </c>
      <c r="M33">
        <v>296</v>
      </c>
      <c r="N33" t="s">
        <v>201</v>
      </c>
      <c r="O33" t="s">
        <v>1608</v>
      </c>
    </row>
    <row r="34" spans="1:15" x14ac:dyDescent="0.2">
      <c r="A34" t="s">
        <v>32</v>
      </c>
      <c r="B34" t="s">
        <v>191</v>
      </c>
      <c r="C34">
        <v>34</v>
      </c>
      <c r="D34" t="s">
        <v>17</v>
      </c>
      <c r="E34" t="s">
        <v>17</v>
      </c>
      <c r="F34">
        <v>33</v>
      </c>
      <c r="G34" t="s">
        <v>17</v>
      </c>
      <c r="H34" t="s">
        <v>17</v>
      </c>
      <c r="I34">
        <v>5.9610000000000003E-2</v>
      </c>
      <c r="J34">
        <v>50</v>
      </c>
      <c r="K34">
        <f t="shared" si="0"/>
        <v>2.9805000000000002E-2</v>
      </c>
      <c r="L34" t="s">
        <v>17</v>
      </c>
      <c r="M34">
        <v>296</v>
      </c>
      <c r="N34" t="s">
        <v>201</v>
      </c>
      <c r="O34" t="s">
        <v>1609</v>
      </c>
    </row>
    <row r="35" spans="1:15" x14ac:dyDescent="0.2">
      <c r="A35" t="s">
        <v>32</v>
      </c>
      <c r="B35" t="s">
        <v>191</v>
      </c>
      <c r="C35">
        <v>35</v>
      </c>
      <c r="D35" t="s">
        <v>17</v>
      </c>
      <c r="E35" t="s">
        <v>17</v>
      </c>
      <c r="F35">
        <v>34</v>
      </c>
      <c r="G35" t="s">
        <v>17</v>
      </c>
      <c r="H35" t="s">
        <v>17</v>
      </c>
      <c r="I35">
        <v>5.9589999999999997E-2</v>
      </c>
      <c r="J35">
        <v>50</v>
      </c>
      <c r="K35">
        <f t="shared" si="0"/>
        <v>2.9794999999999999E-2</v>
      </c>
      <c r="L35" t="s">
        <v>17</v>
      </c>
      <c r="M35">
        <v>296</v>
      </c>
      <c r="N35" t="s">
        <v>201</v>
      </c>
      <c r="O35" t="s">
        <v>1610</v>
      </c>
    </row>
    <row r="36" spans="1:15" x14ac:dyDescent="0.2">
      <c r="A36" t="s">
        <v>32</v>
      </c>
      <c r="B36" t="s">
        <v>191</v>
      </c>
      <c r="C36">
        <v>36</v>
      </c>
      <c r="D36" t="s">
        <v>17</v>
      </c>
      <c r="E36" t="s">
        <v>17</v>
      </c>
      <c r="F36">
        <v>35</v>
      </c>
      <c r="G36" t="s">
        <v>17</v>
      </c>
      <c r="H36" t="s">
        <v>17</v>
      </c>
      <c r="I36">
        <v>5.9569999999999998E-2</v>
      </c>
      <c r="J36">
        <v>50</v>
      </c>
      <c r="K36">
        <f t="shared" si="0"/>
        <v>2.9784999999999999E-2</v>
      </c>
      <c r="L36" t="s">
        <v>17</v>
      </c>
      <c r="M36">
        <v>296</v>
      </c>
      <c r="N36" t="s">
        <v>201</v>
      </c>
      <c r="O36" t="s">
        <v>1611</v>
      </c>
    </row>
    <row r="37" spans="1:15" x14ac:dyDescent="0.2">
      <c r="A37" t="s">
        <v>32</v>
      </c>
      <c r="B37" t="s">
        <v>191</v>
      </c>
      <c r="C37">
        <v>37</v>
      </c>
      <c r="D37" t="s">
        <v>17</v>
      </c>
      <c r="E37" t="s">
        <v>17</v>
      </c>
      <c r="F37">
        <v>36</v>
      </c>
      <c r="G37" t="s">
        <v>17</v>
      </c>
      <c r="H37" t="s">
        <v>17</v>
      </c>
      <c r="I37">
        <v>5.9540000000000003E-2</v>
      </c>
      <c r="J37">
        <v>50</v>
      </c>
      <c r="K37">
        <f t="shared" si="0"/>
        <v>2.9770000000000005E-2</v>
      </c>
      <c r="L37" t="s">
        <v>17</v>
      </c>
      <c r="M37">
        <v>296</v>
      </c>
      <c r="N37" t="s">
        <v>201</v>
      </c>
      <c r="O37" t="s">
        <v>1612</v>
      </c>
    </row>
    <row r="38" spans="1:15" x14ac:dyDescent="0.2">
      <c r="A38" t="s">
        <v>32</v>
      </c>
      <c r="B38" t="s">
        <v>191</v>
      </c>
      <c r="C38">
        <v>38</v>
      </c>
      <c r="D38" t="s">
        <v>17</v>
      </c>
      <c r="E38" t="s">
        <v>17</v>
      </c>
      <c r="F38">
        <v>37</v>
      </c>
      <c r="G38" t="s">
        <v>17</v>
      </c>
      <c r="H38" t="s">
        <v>17</v>
      </c>
      <c r="I38">
        <v>5.951E-2</v>
      </c>
      <c r="J38">
        <v>50</v>
      </c>
      <c r="K38">
        <f t="shared" si="0"/>
        <v>2.9754999999999997E-2</v>
      </c>
      <c r="L38" t="s">
        <v>17</v>
      </c>
      <c r="M38">
        <v>296</v>
      </c>
      <c r="N38" t="s">
        <v>201</v>
      </c>
      <c r="O38" t="s">
        <v>1613</v>
      </c>
    </row>
    <row r="39" spans="1:15" x14ac:dyDescent="0.2">
      <c r="A39" t="s">
        <v>32</v>
      </c>
      <c r="B39" t="s">
        <v>191</v>
      </c>
      <c r="C39">
        <v>39</v>
      </c>
      <c r="D39" t="s">
        <v>17</v>
      </c>
      <c r="E39" t="s">
        <v>17</v>
      </c>
      <c r="F39">
        <v>38</v>
      </c>
      <c r="G39" t="s">
        <v>17</v>
      </c>
      <c r="H39" t="s">
        <v>17</v>
      </c>
      <c r="I39">
        <v>5.951E-2</v>
      </c>
      <c r="J39">
        <v>50</v>
      </c>
      <c r="K39">
        <f t="shared" si="0"/>
        <v>2.9754999999999997E-2</v>
      </c>
      <c r="L39" t="s">
        <v>17</v>
      </c>
      <c r="M39">
        <v>296</v>
      </c>
      <c r="N39" t="s">
        <v>201</v>
      </c>
      <c r="O39" t="s">
        <v>1614</v>
      </c>
    </row>
    <row r="40" spans="1:15" x14ac:dyDescent="0.2">
      <c r="A40" t="s">
        <v>32</v>
      </c>
      <c r="B40" t="s">
        <v>191</v>
      </c>
      <c r="C40">
        <v>40</v>
      </c>
      <c r="D40" t="s">
        <v>17</v>
      </c>
      <c r="E40" t="s">
        <v>17</v>
      </c>
      <c r="F40">
        <v>39</v>
      </c>
      <c r="G40" t="s">
        <v>17</v>
      </c>
      <c r="H40" t="s">
        <v>17</v>
      </c>
      <c r="I40">
        <v>5.9490000000000001E-2</v>
      </c>
      <c r="J40">
        <v>50</v>
      </c>
      <c r="K40">
        <f t="shared" si="0"/>
        <v>2.9745000000000001E-2</v>
      </c>
      <c r="L40" t="s">
        <v>17</v>
      </c>
      <c r="M40">
        <v>296</v>
      </c>
      <c r="N40" t="s">
        <v>201</v>
      </c>
      <c r="O40" t="s">
        <v>1615</v>
      </c>
    </row>
    <row r="41" spans="1:15" x14ac:dyDescent="0.2">
      <c r="A41" t="s">
        <v>32</v>
      </c>
      <c r="B41" t="s">
        <v>191</v>
      </c>
      <c r="C41">
        <v>41</v>
      </c>
      <c r="D41" t="s">
        <v>17</v>
      </c>
      <c r="E41" t="s">
        <v>17</v>
      </c>
      <c r="F41">
        <v>40</v>
      </c>
      <c r="G41" t="s">
        <v>17</v>
      </c>
      <c r="H41" t="s">
        <v>17</v>
      </c>
      <c r="I41">
        <v>5.9470000000000002E-2</v>
      </c>
      <c r="J41">
        <v>50</v>
      </c>
      <c r="K41">
        <f t="shared" si="0"/>
        <v>2.9735000000000001E-2</v>
      </c>
      <c r="L41" t="s">
        <v>17</v>
      </c>
      <c r="M41">
        <v>296</v>
      </c>
      <c r="N41" t="s">
        <v>201</v>
      </c>
      <c r="O41" t="s">
        <v>1616</v>
      </c>
    </row>
    <row r="42" spans="1:15" x14ac:dyDescent="0.2">
      <c r="A42" t="s">
        <v>32</v>
      </c>
      <c r="B42" t="s">
        <v>191</v>
      </c>
      <c r="C42">
        <v>42</v>
      </c>
      <c r="D42" t="s">
        <v>17</v>
      </c>
      <c r="E42" t="s">
        <v>17</v>
      </c>
      <c r="F42">
        <v>41</v>
      </c>
      <c r="G42" t="s">
        <v>17</v>
      </c>
      <c r="H42" t="s">
        <v>17</v>
      </c>
      <c r="I42">
        <v>5.9409999999999998E-2</v>
      </c>
      <c r="J42">
        <v>50</v>
      </c>
      <c r="K42">
        <f t="shared" si="0"/>
        <v>2.9704999999999999E-2</v>
      </c>
      <c r="L42" t="s">
        <v>17</v>
      </c>
      <c r="M42">
        <v>296</v>
      </c>
      <c r="N42" t="s">
        <v>201</v>
      </c>
      <c r="O42" t="s">
        <v>1617</v>
      </c>
    </row>
    <row r="43" spans="1:15" x14ac:dyDescent="0.2">
      <c r="A43" t="s">
        <v>32</v>
      </c>
      <c r="B43" t="s">
        <v>191</v>
      </c>
      <c r="C43">
        <v>43</v>
      </c>
      <c r="D43" t="s">
        <v>17</v>
      </c>
      <c r="E43" t="s">
        <v>17</v>
      </c>
      <c r="F43">
        <v>42</v>
      </c>
      <c r="G43" t="s">
        <v>17</v>
      </c>
      <c r="H43" t="s">
        <v>17</v>
      </c>
      <c r="I43">
        <v>5.9360000000000003E-2</v>
      </c>
      <c r="J43">
        <v>50</v>
      </c>
      <c r="K43">
        <f t="shared" si="0"/>
        <v>2.9679999999999998E-2</v>
      </c>
      <c r="L43" t="s">
        <v>17</v>
      </c>
      <c r="M43">
        <v>296</v>
      </c>
      <c r="N43" t="s">
        <v>201</v>
      </c>
      <c r="O43" t="s">
        <v>1618</v>
      </c>
    </row>
    <row r="44" spans="1:15" x14ac:dyDescent="0.2">
      <c r="A44" t="s">
        <v>32</v>
      </c>
      <c r="B44" t="s">
        <v>191</v>
      </c>
      <c r="C44">
        <v>44</v>
      </c>
      <c r="D44" t="s">
        <v>17</v>
      </c>
      <c r="E44" t="s">
        <v>17</v>
      </c>
      <c r="F44">
        <v>43</v>
      </c>
      <c r="G44" t="s">
        <v>17</v>
      </c>
      <c r="H44" t="s">
        <v>17</v>
      </c>
      <c r="I44">
        <v>5.9299999999999999E-2</v>
      </c>
      <c r="J44">
        <v>50</v>
      </c>
      <c r="K44">
        <f t="shared" si="0"/>
        <v>2.9649999999999999E-2</v>
      </c>
      <c r="L44" t="s">
        <v>17</v>
      </c>
      <c r="M44">
        <v>296</v>
      </c>
      <c r="N44" t="s">
        <v>201</v>
      </c>
      <c r="O44" t="s">
        <v>1619</v>
      </c>
    </row>
    <row r="45" spans="1:15" x14ac:dyDescent="0.2">
      <c r="A45" t="s">
        <v>32</v>
      </c>
      <c r="B45" t="s">
        <v>191</v>
      </c>
      <c r="C45">
        <v>45</v>
      </c>
      <c r="D45" t="s">
        <v>17</v>
      </c>
      <c r="E45" t="s">
        <v>17</v>
      </c>
      <c r="F45">
        <v>44</v>
      </c>
      <c r="G45" t="s">
        <v>17</v>
      </c>
      <c r="H45" t="s">
        <v>17</v>
      </c>
      <c r="I45">
        <v>5.9249999999999997E-2</v>
      </c>
      <c r="J45">
        <v>50</v>
      </c>
      <c r="K45">
        <f t="shared" si="0"/>
        <v>2.9624999999999999E-2</v>
      </c>
      <c r="L45" t="s">
        <v>17</v>
      </c>
      <c r="M45">
        <v>296</v>
      </c>
      <c r="N45" t="s">
        <v>201</v>
      </c>
      <c r="O45" t="s">
        <v>1620</v>
      </c>
    </row>
    <row r="46" spans="1:15" x14ac:dyDescent="0.2">
      <c r="A46" t="s">
        <v>32</v>
      </c>
      <c r="B46" t="s">
        <v>191</v>
      </c>
      <c r="C46">
        <v>46</v>
      </c>
      <c r="D46" t="s">
        <v>17</v>
      </c>
      <c r="E46" t="s">
        <v>17</v>
      </c>
      <c r="F46">
        <v>45</v>
      </c>
      <c r="G46" t="s">
        <v>17</v>
      </c>
      <c r="H46" t="s">
        <v>17</v>
      </c>
      <c r="I46">
        <v>5.9209999999999999E-2</v>
      </c>
      <c r="J46">
        <v>50</v>
      </c>
      <c r="K46">
        <f t="shared" ref="K46:K70" si="1">I46*J46/100</f>
        <v>2.9605000000000003E-2</v>
      </c>
      <c r="L46" t="s">
        <v>17</v>
      </c>
      <c r="M46">
        <v>296</v>
      </c>
      <c r="N46" t="s">
        <v>201</v>
      </c>
      <c r="O46" t="s">
        <v>1621</v>
      </c>
    </row>
    <row r="47" spans="1:15" x14ac:dyDescent="0.2">
      <c r="A47" t="s">
        <v>32</v>
      </c>
      <c r="B47" t="s">
        <v>191</v>
      </c>
      <c r="C47">
        <v>47</v>
      </c>
      <c r="D47" t="s">
        <v>17</v>
      </c>
      <c r="E47" t="s">
        <v>17</v>
      </c>
      <c r="F47">
        <v>46</v>
      </c>
      <c r="G47" t="s">
        <v>17</v>
      </c>
      <c r="H47" t="s">
        <v>17</v>
      </c>
      <c r="I47">
        <v>5.9159999999999997E-2</v>
      </c>
      <c r="J47">
        <v>50</v>
      </c>
      <c r="K47">
        <f t="shared" si="1"/>
        <v>2.9579999999999999E-2</v>
      </c>
      <c r="L47" t="s">
        <v>17</v>
      </c>
      <c r="M47">
        <v>296</v>
      </c>
      <c r="N47" t="s">
        <v>201</v>
      </c>
      <c r="O47" t="s">
        <v>1622</v>
      </c>
    </row>
    <row r="48" spans="1:15" x14ac:dyDescent="0.2">
      <c r="A48" t="s">
        <v>32</v>
      </c>
      <c r="B48" t="s">
        <v>191</v>
      </c>
      <c r="C48">
        <v>48</v>
      </c>
      <c r="D48" t="s">
        <v>17</v>
      </c>
      <c r="E48" t="s">
        <v>17</v>
      </c>
      <c r="F48">
        <v>47</v>
      </c>
      <c r="G48" t="s">
        <v>17</v>
      </c>
      <c r="H48" t="s">
        <v>17</v>
      </c>
      <c r="I48">
        <v>5.9130000000000002E-2</v>
      </c>
      <c r="J48">
        <v>50</v>
      </c>
      <c r="K48">
        <f t="shared" si="1"/>
        <v>2.9565000000000001E-2</v>
      </c>
      <c r="L48" t="s">
        <v>17</v>
      </c>
      <c r="M48">
        <v>296</v>
      </c>
      <c r="N48" t="s">
        <v>201</v>
      </c>
      <c r="O48" t="s">
        <v>1623</v>
      </c>
    </row>
    <row r="49" spans="1:15" x14ac:dyDescent="0.2">
      <c r="A49" t="s">
        <v>32</v>
      </c>
      <c r="B49" t="s">
        <v>191</v>
      </c>
      <c r="C49">
        <v>49</v>
      </c>
      <c r="D49" t="s">
        <v>17</v>
      </c>
      <c r="E49" t="s">
        <v>17</v>
      </c>
      <c r="F49">
        <v>48</v>
      </c>
      <c r="G49" t="s">
        <v>17</v>
      </c>
      <c r="H49" t="s">
        <v>17</v>
      </c>
      <c r="I49">
        <v>5.9089999999999997E-2</v>
      </c>
      <c r="J49">
        <v>50</v>
      </c>
      <c r="K49">
        <f t="shared" si="1"/>
        <v>2.9544999999999998E-2</v>
      </c>
      <c r="L49" t="s">
        <v>17</v>
      </c>
      <c r="M49">
        <v>296</v>
      </c>
      <c r="N49" t="s">
        <v>201</v>
      </c>
      <c r="O49" t="s">
        <v>1624</v>
      </c>
    </row>
    <row r="50" spans="1:15" x14ac:dyDescent="0.2">
      <c r="A50" t="s">
        <v>32</v>
      </c>
      <c r="B50" t="s">
        <v>191</v>
      </c>
      <c r="C50">
        <v>50</v>
      </c>
      <c r="D50" t="s">
        <v>17</v>
      </c>
      <c r="E50" t="s">
        <v>17</v>
      </c>
      <c r="F50">
        <v>49</v>
      </c>
      <c r="G50" t="s">
        <v>17</v>
      </c>
      <c r="H50" t="s">
        <v>17</v>
      </c>
      <c r="I50">
        <v>5.9049999999999998E-2</v>
      </c>
      <c r="J50">
        <v>50</v>
      </c>
      <c r="K50">
        <f t="shared" si="1"/>
        <v>2.9525000000000003E-2</v>
      </c>
      <c r="L50" t="s">
        <v>17</v>
      </c>
      <c r="M50">
        <v>296</v>
      </c>
      <c r="N50" t="s">
        <v>201</v>
      </c>
      <c r="O50" t="s">
        <v>1625</v>
      </c>
    </row>
    <row r="51" spans="1:15" x14ac:dyDescent="0.2">
      <c r="A51" t="s">
        <v>32</v>
      </c>
      <c r="B51" t="s">
        <v>191</v>
      </c>
      <c r="C51">
        <v>51</v>
      </c>
      <c r="D51" t="s">
        <v>17</v>
      </c>
      <c r="E51" t="s">
        <v>17</v>
      </c>
      <c r="F51">
        <v>50</v>
      </c>
      <c r="G51" t="s">
        <v>17</v>
      </c>
      <c r="H51" t="s">
        <v>17</v>
      </c>
      <c r="I51">
        <v>5.901E-2</v>
      </c>
      <c r="J51">
        <v>50</v>
      </c>
      <c r="K51">
        <f t="shared" si="1"/>
        <v>2.9505E-2</v>
      </c>
      <c r="L51" t="s">
        <v>17</v>
      </c>
      <c r="M51">
        <v>296</v>
      </c>
      <c r="N51" t="s">
        <v>201</v>
      </c>
      <c r="O51" t="s">
        <v>1626</v>
      </c>
    </row>
    <row r="52" spans="1:15" x14ac:dyDescent="0.2">
      <c r="A52" t="s">
        <v>32</v>
      </c>
      <c r="B52" t="s">
        <v>191</v>
      </c>
      <c r="C52">
        <v>52</v>
      </c>
      <c r="D52" t="s">
        <v>17</v>
      </c>
      <c r="E52" t="s">
        <v>17</v>
      </c>
      <c r="F52">
        <v>51</v>
      </c>
      <c r="G52" t="s">
        <v>17</v>
      </c>
      <c r="H52" t="s">
        <v>17</v>
      </c>
      <c r="I52">
        <v>5.8979999999999998E-2</v>
      </c>
      <c r="J52">
        <v>50</v>
      </c>
      <c r="K52">
        <f t="shared" si="1"/>
        <v>2.9489999999999999E-2</v>
      </c>
      <c r="L52" t="s">
        <v>17</v>
      </c>
      <c r="M52">
        <v>296</v>
      </c>
      <c r="N52" t="s">
        <v>201</v>
      </c>
      <c r="O52" t="s">
        <v>1627</v>
      </c>
    </row>
    <row r="53" spans="1:15" x14ac:dyDescent="0.2">
      <c r="A53" t="s">
        <v>32</v>
      </c>
      <c r="B53" t="s">
        <v>191</v>
      </c>
      <c r="C53">
        <v>53</v>
      </c>
      <c r="D53" t="s">
        <v>17</v>
      </c>
      <c r="E53" t="s">
        <v>17</v>
      </c>
      <c r="F53">
        <v>52</v>
      </c>
      <c r="G53" t="s">
        <v>17</v>
      </c>
      <c r="H53" t="s">
        <v>17</v>
      </c>
      <c r="I53">
        <v>5.8950000000000002E-2</v>
      </c>
      <c r="J53">
        <v>50</v>
      </c>
      <c r="K53">
        <f t="shared" si="1"/>
        <v>2.9475000000000001E-2</v>
      </c>
      <c r="L53" t="s">
        <v>17</v>
      </c>
      <c r="M53">
        <v>296</v>
      </c>
      <c r="N53" t="s">
        <v>201</v>
      </c>
      <c r="O53" t="s">
        <v>1628</v>
      </c>
    </row>
    <row r="54" spans="1:15" x14ac:dyDescent="0.2">
      <c r="A54" t="s">
        <v>32</v>
      </c>
      <c r="B54" t="s">
        <v>191</v>
      </c>
      <c r="C54">
        <v>54</v>
      </c>
      <c r="D54" t="s">
        <v>17</v>
      </c>
      <c r="E54" t="s">
        <v>17</v>
      </c>
      <c r="F54">
        <v>53</v>
      </c>
      <c r="G54" t="s">
        <v>17</v>
      </c>
      <c r="H54" t="s">
        <v>17</v>
      </c>
      <c r="I54">
        <v>5.8909999999999997E-2</v>
      </c>
      <c r="J54">
        <v>50</v>
      </c>
      <c r="K54">
        <f t="shared" si="1"/>
        <v>2.9454999999999999E-2</v>
      </c>
      <c r="L54" t="s">
        <v>17</v>
      </c>
      <c r="M54">
        <v>296</v>
      </c>
      <c r="N54" t="s">
        <v>201</v>
      </c>
      <c r="O54" t="s">
        <v>1629</v>
      </c>
    </row>
    <row r="55" spans="1:15" x14ac:dyDescent="0.2">
      <c r="A55" t="s">
        <v>32</v>
      </c>
      <c r="B55" t="s">
        <v>191</v>
      </c>
      <c r="C55">
        <v>55</v>
      </c>
      <c r="D55" t="s">
        <v>17</v>
      </c>
      <c r="E55" t="s">
        <v>17</v>
      </c>
      <c r="F55">
        <v>54</v>
      </c>
      <c r="G55" t="s">
        <v>17</v>
      </c>
      <c r="H55" t="s">
        <v>17</v>
      </c>
      <c r="I55">
        <v>5.8869999999999999E-2</v>
      </c>
      <c r="J55">
        <v>50</v>
      </c>
      <c r="K55">
        <f t="shared" si="1"/>
        <v>2.9434999999999999E-2</v>
      </c>
      <c r="L55" t="s">
        <v>17</v>
      </c>
      <c r="M55">
        <v>296</v>
      </c>
      <c r="N55" t="s">
        <v>201</v>
      </c>
      <c r="O55" t="s">
        <v>1630</v>
      </c>
    </row>
    <row r="56" spans="1:15" x14ac:dyDescent="0.2">
      <c r="A56" t="s">
        <v>32</v>
      </c>
      <c r="B56" t="s">
        <v>191</v>
      </c>
      <c r="C56">
        <v>56</v>
      </c>
      <c r="D56" t="s">
        <v>17</v>
      </c>
      <c r="E56" t="s">
        <v>17</v>
      </c>
      <c r="F56">
        <v>55</v>
      </c>
      <c r="G56" t="s">
        <v>17</v>
      </c>
      <c r="H56" t="s">
        <v>17</v>
      </c>
      <c r="I56">
        <v>5.8840000000000003E-2</v>
      </c>
      <c r="J56">
        <v>50</v>
      </c>
      <c r="K56">
        <f t="shared" si="1"/>
        <v>2.9420000000000002E-2</v>
      </c>
      <c r="L56" t="s">
        <v>17</v>
      </c>
      <c r="M56">
        <v>296</v>
      </c>
      <c r="N56" t="s">
        <v>201</v>
      </c>
      <c r="O56" t="s">
        <v>1631</v>
      </c>
    </row>
    <row r="57" spans="1:15" x14ac:dyDescent="0.2">
      <c r="A57" t="s">
        <v>32</v>
      </c>
      <c r="B57" t="s">
        <v>191</v>
      </c>
      <c r="C57">
        <v>57</v>
      </c>
      <c r="D57" t="s">
        <v>17</v>
      </c>
      <c r="E57" t="s">
        <v>17</v>
      </c>
      <c r="F57">
        <v>56</v>
      </c>
      <c r="G57" t="s">
        <v>17</v>
      </c>
      <c r="H57" t="s">
        <v>17</v>
      </c>
      <c r="I57">
        <v>5.8810000000000001E-2</v>
      </c>
      <c r="J57">
        <v>50</v>
      </c>
      <c r="K57">
        <f t="shared" si="1"/>
        <v>2.9405000000000001E-2</v>
      </c>
      <c r="L57" t="s">
        <v>17</v>
      </c>
      <c r="M57">
        <v>296</v>
      </c>
      <c r="N57" t="s">
        <v>201</v>
      </c>
      <c r="O57" t="s">
        <v>1632</v>
      </c>
    </row>
    <row r="58" spans="1:15" x14ac:dyDescent="0.2">
      <c r="A58" t="s">
        <v>32</v>
      </c>
      <c r="B58" t="s">
        <v>191</v>
      </c>
      <c r="C58">
        <v>58</v>
      </c>
      <c r="D58" t="s">
        <v>17</v>
      </c>
      <c r="E58" t="s">
        <v>17</v>
      </c>
      <c r="F58">
        <v>57</v>
      </c>
      <c r="G58" t="s">
        <v>17</v>
      </c>
      <c r="H58" t="s">
        <v>17</v>
      </c>
      <c r="I58">
        <v>5.8779999999999999E-2</v>
      </c>
      <c r="J58">
        <v>50</v>
      </c>
      <c r="K58">
        <f t="shared" si="1"/>
        <v>2.9389999999999999E-2</v>
      </c>
      <c r="L58" t="s">
        <v>17</v>
      </c>
      <c r="M58">
        <v>296</v>
      </c>
      <c r="N58" t="s">
        <v>201</v>
      </c>
      <c r="O58" t="s">
        <v>1633</v>
      </c>
    </row>
    <row r="59" spans="1:15" x14ac:dyDescent="0.2">
      <c r="A59" t="s">
        <v>32</v>
      </c>
      <c r="B59" t="s">
        <v>191</v>
      </c>
      <c r="C59">
        <v>59</v>
      </c>
      <c r="D59" t="s">
        <v>17</v>
      </c>
      <c r="E59" t="s">
        <v>17</v>
      </c>
      <c r="F59">
        <v>58</v>
      </c>
      <c r="G59" t="s">
        <v>17</v>
      </c>
      <c r="H59" t="s">
        <v>17</v>
      </c>
      <c r="I59">
        <v>5.8749999999999997E-2</v>
      </c>
      <c r="J59">
        <v>50</v>
      </c>
      <c r="K59">
        <f t="shared" si="1"/>
        <v>2.9374999999999998E-2</v>
      </c>
      <c r="L59" t="s">
        <v>17</v>
      </c>
      <c r="M59">
        <v>296</v>
      </c>
      <c r="N59" t="s">
        <v>201</v>
      </c>
      <c r="O59" t="s">
        <v>1634</v>
      </c>
    </row>
    <row r="60" spans="1:15" x14ac:dyDescent="0.2">
      <c r="A60" t="s">
        <v>32</v>
      </c>
      <c r="B60" t="s">
        <v>191</v>
      </c>
      <c r="C60">
        <v>60</v>
      </c>
      <c r="D60" t="s">
        <v>17</v>
      </c>
      <c r="E60" t="s">
        <v>17</v>
      </c>
      <c r="F60">
        <v>59</v>
      </c>
      <c r="G60" t="s">
        <v>17</v>
      </c>
      <c r="H60" t="s">
        <v>17</v>
      </c>
      <c r="I60">
        <v>5.8720000000000001E-2</v>
      </c>
      <c r="J60">
        <v>50</v>
      </c>
      <c r="K60">
        <f t="shared" si="1"/>
        <v>2.9360000000000001E-2</v>
      </c>
      <c r="L60" t="s">
        <v>17</v>
      </c>
      <c r="M60">
        <v>296</v>
      </c>
      <c r="N60" t="s">
        <v>201</v>
      </c>
      <c r="O60" t="s">
        <v>1635</v>
      </c>
    </row>
    <row r="61" spans="1:15" x14ac:dyDescent="0.2">
      <c r="A61" t="s">
        <v>32</v>
      </c>
      <c r="B61" t="s">
        <v>191</v>
      </c>
      <c r="C61">
        <v>61</v>
      </c>
      <c r="D61" t="s">
        <v>17</v>
      </c>
      <c r="E61" t="s">
        <v>17</v>
      </c>
      <c r="F61">
        <v>60</v>
      </c>
      <c r="G61" t="s">
        <v>17</v>
      </c>
      <c r="H61" t="s">
        <v>17</v>
      </c>
      <c r="I61">
        <v>5.8680000000000003E-2</v>
      </c>
      <c r="J61">
        <v>50</v>
      </c>
      <c r="K61">
        <f t="shared" si="1"/>
        <v>2.9340000000000001E-2</v>
      </c>
      <c r="L61" t="s">
        <v>17</v>
      </c>
      <c r="M61">
        <v>296</v>
      </c>
      <c r="N61" t="s">
        <v>201</v>
      </c>
      <c r="O61" t="s">
        <v>1636</v>
      </c>
    </row>
    <row r="62" spans="1:15" x14ac:dyDescent="0.2">
      <c r="A62" t="s">
        <v>32</v>
      </c>
      <c r="B62" t="s">
        <v>191</v>
      </c>
      <c r="C62">
        <v>62</v>
      </c>
      <c r="D62" t="s">
        <v>17</v>
      </c>
      <c r="E62" t="s">
        <v>17</v>
      </c>
      <c r="F62">
        <v>61</v>
      </c>
      <c r="G62" t="s">
        <v>17</v>
      </c>
      <c r="H62" t="s">
        <v>17</v>
      </c>
      <c r="I62">
        <v>5.8659999999999997E-2</v>
      </c>
      <c r="J62">
        <v>50</v>
      </c>
      <c r="K62">
        <f t="shared" si="1"/>
        <v>2.9329999999999998E-2</v>
      </c>
      <c r="L62" t="s">
        <v>17</v>
      </c>
      <c r="M62">
        <v>296</v>
      </c>
      <c r="N62" t="s">
        <v>201</v>
      </c>
      <c r="O62" t="s">
        <v>1637</v>
      </c>
    </row>
    <row r="63" spans="1:15" x14ac:dyDescent="0.2">
      <c r="A63" t="s">
        <v>32</v>
      </c>
      <c r="B63" t="s">
        <v>191</v>
      </c>
      <c r="C63">
        <v>63</v>
      </c>
      <c r="D63" t="s">
        <v>17</v>
      </c>
      <c r="E63" t="s">
        <v>17</v>
      </c>
      <c r="F63">
        <v>62</v>
      </c>
      <c r="G63" t="s">
        <v>17</v>
      </c>
      <c r="H63" t="s">
        <v>17</v>
      </c>
      <c r="I63">
        <v>5.8630000000000002E-2</v>
      </c>
      <c r="J63">
        <v>50</v>
      </c>
      <c r="K63">
        <f t="shared" si="1"/>
        <v>2.9315000000000001E-2</v>
      </c>
      <c r="L63" t="s">
        <v>17</v>
      </c>
      <c r="M63">
        <v>296</v>
      </c>
      <c r="N63" t="s">
        <v>201</v>
      </c>
      <c r="O63" t="s">
        <v>1638</v>
      </c>
    </row>
    <row r="64" spans="1:15" x14ac:dyDescent="0.2">
      <c r="A64" t="s">
        <v>32</v>
      </c>
      <c r="B64" t="s">
        <v>191</v>
      </c>
      <c r="C64">
        <v>64</v>
      </c>
      <c r="D64" t="s">
        <v>17</v>
      </c>
      <c r="E64" t="s">
        <v>17</v>
      </c>
      <c r="F64">
        <v>63</v>
      </c>
      <c r="G64" t="s">
        <v>17</v>
      </c>
      <c r="H64" t="s">
        <v>17</v>
      </c>
      <c r="I64">
        <v>5.8610000000000002E-2</v>
      </c>
      <c r="J64">
        <v>50</v>
      </c>
      <c r="K64">
        <f t="shared" si="1"/>
        <v>2.9305000000000005E-2</v>
      </c>
      <c r="L64" t="s">
        <v>17</v>
      </c>
      <c r="M64">
        <v>296</v>
      </c>
      <c r="N64" t="s">
        <v>201</v>
      </c>
      <c r="O64" t="s">
        <v>1639</v>
      </c>
    </row>
    <row r="65" spans="1:15" x14ac:dyDescent="0.2">
      <c r="A65" t="s">
        <v>32</v>
      </c>
      <c r="B65" t="s">
        <v>191</v>
      </c>
      <c r="C65">
        <v>65</v>
      </c>
      <c r="D65" t="s">
        <v>17</v>
      </c>
      <c r="E65" t="s">
        <v>17</v>
      </c>
      <c r="F65">
        <v>64</v>
      </c>
      <c r="G65" t="s">
        <v>17</v>
      </c>
      <c r="H65" t="s">
        <v>17</v>
      </c>
      <c r="I65">
        <v>5.8590000000000003E-2</v>
      </c>
      <c r="J65">
        <v>50</v>
      </c>
      <c r="K65">
        <f t="shared" si="1"/>
        <v>2.9295000000000002E-2</v>
      </c>
      <c r="L65" t="s">
        <v>17</v>
      </c>
      <c r="M65">
        <v>296</v>
      </c>
      <c r="N65" t="s">
        <v>201</v>
      </c>
      <c r="O65" t="s">
        <v>1640</v>
      </c>
    </row>
    <row r="66" spans="1:15" x14ac:dyDescent="0.2">
      <c r="A66" t="s">
        <v>32</v>
      </c>
      <c r="B66" t="s">
        <v>191</v>
      </c>
      <c r="C66">
        <v>66</v>
      </c>
      <c r="D66" t="s">
        <v>17</v>
      </c>
      <c r="E66" t="s">
        <v>17</v>
      </c>
      <c r="F66">
        <v>65</v>
      </c>
      <c r="G66" t="s">
        <v>17</v>
      </c>
      <c r="H66" t="s">
        <v>17</v>
      </c>
      <c r="I66">
        <v>5.8569999999999997E-2</v>
      </c>
      <c r="J66">
        <v>50</v>
      </c>
      <c r="K66">
        <f t="shared" si="1"/>
        <v>2.9284999999999995E-2</v>
      </c>
      <c r="L66" t="s">
        <v>17</v>
      </c>
      <c r="M66">
        <v>296</v>
      </c>
      <c r="N66" t="s">
        <v>201</v>
      </c>
      <c r="O66" t="s">
        <v>1641</v>
      </c>
    </row>
    <row r="67" spans="1:15" x14ac:dyDescent="0.2">
      <c r="A67" t="s">
        <v>32</v>
      </c>
      <c r="B67" t="s">
        <v>191</v>
      </c>
      <c r="C67">
        <v>67</v>
      </c>
      <c r="D67" t="s">
        <v>17</v>
      </c>
      <c r="E67" t="s">
        <v>17</v>
      </c>
      <c r="F67">
        <v>66</v>
      </c>
      <c r="G67" t="s">
        <v>17</v>
      </c>
      <c r="H67" t="s">
        <v>17</v>
      </c>
      <c r="I67">
        <v>5.8540000000000002E-2</v>
      </c>
      <c r="J67">
        <v>50</v>
      </c>
      <c r="K67">
        <f t="shared" si="1"/>
        <v>2.9270000000000001E-2</v>
      </c>
      <c r="L67" t="s">
        <v>17</v>
      </c>
      <c r="M67">
        <v>296</v>
      </c>
      <c r="N67" t="s">
        <v>201</v>
      </c>
      <c r="O67" t="s">
        <v>1642</v>
      </c>
    </row>
    <row r="68" spans="1:15" x14ac:dyDescent="0.2">
      <c r="A68" t="s">
        <v>32</v>
      </c>
      <c r="B68" t="s">
        <v>191</v>
      </c>
      <c r="C68">
        <v>68</v>
      </c>
      <c r="D68" t="s">
        <v>17</v>
      </c>
      <c r="E68" t="s">
        <v>17</v>
      </c>
      <c r="F68">
        <v>67</v>
      </c>
      <c r="G68" t="s">
        <v>17</v>
      </c>
      <c r="H68" t="s">
        <v>17</v>
      </c>
      <c r="I68">
        <v>5.8520000000000003E-2</v>
      </c>
      <c r="J68">
        <v>50</v>
      </c>
      <c r="K68">
        <f t="shared" si="1"/>
        <v>2.9260000000000001E-2</v>
      </c>
      <c r="L68" t="s">
        <v>17</v>
      </c>
      <c r="M68">
        <v>296</v>
      </c>
      <c r="N68" t="s">
        <v>201</v>
      </c>
      <c r="O68" t="s">
        <v>1643</v>
      </c>
    </row>
    <row r="69" spans="1:15" x14ac:dyDescent="0.2">
      <c r="A69" t="s">
        <v>32</v>
      </c>
      <c r="B69" t="s">
        <v>191</v>
      </c>
      <c r="C69">
        <v>69</v>
      </c>
      <c r="D69" t="s">
        <v>17</v>
      </c>
      <c r="E69" t="s">
        <v>17</v>
      </c>
      <c r="F69">
        <v>68</v>
      </c>
      <c r="G69" t="s">
        <v>17</v>
      </c>
      <c r="H69" t="s">
        <v>17</v>
      </c>
      <c r="I69">
        <v>5.8500000000000003E-2</v>
      </c>
      <c r="J69">
        <v>50</v>
      </c>
      <c r="K69">
        <f t="shared" si="1"/>
        <v>2.9250000000000002E-2</v>
      </c>
      <c r="L69" t="s">
        <v>17</v>
      </c>
      <c r="M69">
        <v>296</v>
      </c>
      <c r="N69" t="s">
        <v>201</v>
      </c>
      <c r="O69" t="s">
        <v>1644</v>
      </c>
    </row>
    <row r="70" spans="1:15" x14ac:dyDescent="0.2">
      <c r="A70" t="s">
        <v>32</v>
      </c>
      <c r="B70" t="s">
        <v>191</v>
      </c>
      <c r="C70">
        <v>70</v>
      </c>
      <c r="D70" t="s">
        <v>17</v>
      </c>
      <c r="E70" t="s">
        <v>17</v>
      </c>
      <c r="F70">
        <v>69</v>
      </c>
      <c r="G70" t="s">
        <v>17</v>
      </c>
      <c r="H70" t="s">
        <v>17</v>
      </c>
      <c r="I70">
        <v>5.8479999999999997E-2</v>
      </c>
      <c r="J70">
        <v>50</v>
      </c>
      <c r="K70">
        <f t="shared" si="1"/>
        <v>2.9239999999999999E-2</v>
      </c>
      <c r="L70" t="s">
        <v>17</v>
      </c>
      <c r="M70">
        <v>296</v>
      </c>
      <c r="N70" t="s">
        <v>201</v>
      </c>
      <c r="O70" t="s">
        <v>1645</v>
      </c>
    </row>
    <row r="71" spans="1:15" x14ac:dyDescent="0.2">
      <c r="A71" t="s">
        <v>32</v>
      </c>
      <c r="B71" t="s">
        <v>191</v>
      </c>
      <c r="C71">
        <v>71</v>
      </c>
      <c r="D71" t="s">
        <v>17</v>
      </c>
      <c r="E71" t="s">
        <v>17</v>
      </c>
      <c r="F71">
        <v>70</v>
      </c>
      <c r="G71" t="s">
        <v>17</v>
      </c>
      <c r="H71" t="s">
        <v>17</v>
      </c>
      <c r="I71">
        <v>5.8459999999999998E-2</v>
      </c>
      <c r="J71">
        <v>50</v>
      </c>
      <c r="K71">
        <f t="shared" ref="K71:K77" si="2">I71*J71/100</f>
        <v>2.9229999999999999E-2</v>
      </c>
      <c r="L71" t="s">
        <v>17</v>
      </c>
      <c r="M71">
        <v>296</v>
      </c>
      <c r="N71" t="s">
        <v>201</v>
      </c>
      <c r="O71" t="s">
        <v>1646</v>
      </c>
    </row>
    <row r="72" spans="1:15" x14ac:dyDescent="0.2">
      <c r="A72" t="s">
        <v>32</v>
      </c>
      <c r="B72" t="s">
        <v>191</v>
      </c>
      <c r="C72">
        <v>72</v>
      </c>
      <c r="D72" t="s">
        <v>17</v>
      </c>
      <c r="E72" t="s">
        <v>17</v>
      </c>
      <c r="F72">
        <v>71</v>
      </c>
      <c r="G72" t="s">
        <v>17</v>
      </c>
      <c r="H72" t="s">
        <v>17</v>
      </c>
      <c r="I72">
        <v>5.8439999999999999E-2</v>
      </c>
      <c r="J72">
        <v>50</v>
      </c>
      <c r="K72">
        <f t="shared" si="2"/>
        <v>2.9220000000000003E-2</v>
      </c>
      <c r="L72" t="s">
        <v>17</v>
      </c>
      <c r="M72">
        <v>296</v>
      </c>
      <c r="N72" t="s">
        <v>201</v>
      </c>
      <c r="O72" t="s">
        <v>1647</v>
      </c>
    </row>
    <row r="73" spans="1:15" x14ac:dyDescent="0.2">
      <c r="A73" t="s">
        <v>32</v>
      </c>
      <c r="B73" t="s">
        <v>191</v>
      </c>
      <c r="C73">
        <v>73</v>
      </c>
      <c r="D73" t="s">
        <v>17</v>
      </c>
      <c r="E73" t="s">
        <v>17</v>
      </c>
      <c r="F73">
        <v>72</v>
      </c>
      <c r="G73" t="s">
        <v>17</v>
      </c>
      <c r="H73" t="s">
        <v>17</v>
      </c>
      <c r="I73">
        <v>5.8430000000000003E-2</v>
      </c>
      <c r="J73">
        <v>50</v>
      </c>
      <c r="K73">
        <f t="shared" si="2"/>
        <v>2.9215000000000001E-2</v>
      </c>
      <c r="L73" t="s">
        <v>17</v>
      </c>
      <c r="M73">
        <v>296</v>
      </c>
      <c r="N73" t="s">
        <v>201</v>
      </c>
      <c r="O73" t="s">
        <v>1648</v>
      </c>
    </row>
    <row r="74" spans="1:15" x14ac:dyDescent="0.2">
      <c r="A74" t="s">
        <v>32</v>
      </c>
      <c r="B74" t="s">
        <v>191</v>
      </c>
      <c r="C74">
        <v>74</v>
      </c>
      <c r="D74" t="s">
        <v>17</v>
      </c>
      <c r="E74" t="s">
        <v>17</v>
      </c>
      <c r="F74">
        <v>73</v>
      </c>
      <c r="G74" t="s">
        <v>17</v>
      </c>
      <c r="H74" t="s">
        <v>17</v>
      </c>
      <c r="I74">
        <v>5.8409999999999997E-2</v>
      </c>
      <c r="J74">
        <v>50</v>
      </c>
      <c r="K74">
        <f t="shared" si="2"/>
        <v>2.9204999999999995E-2</v>
      </c>
      <c r="L74" t="s">
        <v>17</v>
      </c>
      <c r="M74">
        <v>296</v>
      </c>
      <c r="N74" t="s">
        <v>201</v>
      </c>
      <c r="O74" t="s">
        <v>1649</v>
      </c>
    </row>
    <row r="75" spans="1:15" x14ac:dyDescent="0.2">
      <c r="A75" t="s">
        <v>32</v>
      </c>
      <c r="B75" t="s">
        <v>191</v>
      </c>
      <c r="C75">
        <v>75</v>
      </c>
      <c r="D75" t="s">
        <v>17</v>
      </c>
      <c r="E75" t="s">
        <v>17</v>
      </c>
      <c r="F75">
        <v>74</v>
      </c>
      <c r="G75" t="s">
        <v>17</v>
      </c>
      <c r="H75" t="s">
        <v>17</v>
      </c>
      <c r="I75">
        <v>5.8389999999999997E-2</v>
      </c>
      <c r="J75">
        <v>50</v>
      </c>
      <c r="K75">
        <f t="shared" si="2"/>
        <v>2.9194999999999999E-2</v>
      </c>
      <c r="L75" t="s">
        <v>17</v>
      </c>
      <c r="M75">
        <v>296</v>
      </c>
      <c r="N75" t="s">
        <v>201</v>
      </c>
      <c r="O75" t="s">
        <v>1650</v>
      </c>
    </row>
    <row r="76" spans="1:15" x14ac:dyDescent="0.2">
      <c r="A76" t="s">
        <v>32</v>
      </c>
      <c r="B76" t="s">
        <v>191</v>
      </c>
      <c r="C76">
        <v>76</v>
      </c>
      <c r="D76" t="s">
        <v>17</v>
      </c>
      <c r="E76" t="s">
        <v>17</v>
      </c>
      <c r="F76">
        <v>75</v>
      </c>
      <c r="G76" t="s">
        <v>17</v>
      </c>
      <c r="H76" t="s">
        <v>17</v>
      </c>
      <c r="I76">
        <v>5.8380000000000001E-2</v>
      </c>
      <c r="J76">
        <v>50</v>
      </c>
      <c r="K76">
        <f t="shared" si="2"/>
        <v>2.9190000000000001E-2</v>
      </c>
      <c r="L76" t="s">
        <v>17</v>
      </c>
      <c r="M76">
        <v>296</v>
      </c>
      <c r="N76" t="s">
        <v>201</v>
      </c>
      <c r="O76" t="s">
        <v>1651</v>
      </c>
    </row>
    <row r="77" spans="1:15" x14ac:dyDescent="0.2">
      <c r="A77" t="s">
        <v>32</v>
      </c>
      <c r="B77" t="s">
        <v>191</v>
      </c>
      <c r="C77">
        <v>77</v>
      </c>
      <c r="D77" t="s">
        <v>17</v>
      </c>
      <c r="E77" t="s">
        <v>17</v>
      </c>
      <c r="F77">
        <v>76</v>
      </c>
      <c r="G77" t="s">
        <v>17</v>
      </c>
      <c r="H77" t="s">
        <v>17</v>
      </c>
      <c r="I77">
        <v>5.8360000000000002E-2</v>
      </c>
      <c r="J77">
        <v>50</v>
      </c>
      <c r="K77">
        <f t="shared" si="2"/>
        <v>2.9180000000000001E-2</v>
      </c>
      <c r="L77" t="s">
        <v>17</v>
      </c>
      <c r="M77">
        <v>296</v>
      </c>
      <c r="N77" t="s">
        <v>201</v>
      </c>
      <c r="O77" t="s">
        <v>1652</v>
      </c>
    </row>
    <row r="78" spans="1:15" x14ac:dyDescent="0.2">
      <c r="A78" t="s">
        <v>32</v>
      </c>
      <c r="B78" t="s">
        <v>191</v>
      </c>
      <c r="C78">
        <v>78</v>
      </c>
      <c r="D78" t="s">
        <v>17</v>
      </c>
      <c r="E78" t="s">
        <v>17</v>
      </c>
      <c r="F78">
        <v>77</v>
      </c>
      <c r="G78" t="s">
        <v>17</v>
      </c>
      <c r="H78" t="s">
        <v>17</v>
      </c>
      <c r="I78">
        <v>5.8349999999999999E-2</v>
      </c>
      <c r="J78">
        <v>50</v>
      </c>
      <c r="K78">
        <f t="shared" ref="K78:K91" si="3">I78*J78/100</f>
        <v>2.9175E-2</v>
      </c>
      <c r="L78" t="s">
        <v>17</v>
      </c>
      <c r="M78">
        <v>296</v>
      </c>
      <c r="N78" t="s">
        <v>201</v>
      </c>
      <c r="O78" t="s">
        <v>1653</v>
      </c>
    </row>
    <row r="79" spans="1:15" x14ac:dyDescent="0.2">
      <c r="A79" t="s">
        <v>32</v>
      </c>
      <c r="B79" t="s">
        <v>191</v>
      </c>
      <c r="C79">
        <v>79</v>
      </c>
      <c r="D79" t="s">
        <v>17</v>
      </c>
      <c r="E79" t="s">
        <v>17</v>
      </c>
      <c r="F79">
        <v>78</v>
      </c>
      <c r="G79" t="s">
        <v>17</v>
      </c>
      <c r="H79" t="s">
        <v>17</v>
      </c>
      <c r="I79">
        <v>5.8340000000000003E-2</v>
      </c>
      <c r="J79">
        <v>50</v>
      </c>
      <c r="K79">
        <f t="shared" si="3"/>
        <v>2.9170000000000001E-2</v>
      </c>
      <c r="L79" t="s">
        <v>17</v>
      </c>
      <c r="M79">
        <v>296</v>
      </c>
      <c r="N79" t="s">
        <v>201</v>
      </c>
      <c r="O79" t="s">
        <v>1654</v>
      </c>
    </row>
    <row r="80" spans="1:15" x14ac:dyDescent="0.2">
      <c r="A80" t="s">
        <v>32</v>
      </c>
      <c r="B80" t="s">
        <v>191</v>
      </c>
      <c r="C80">
        <v>80</v>
      </c>
      <c r="D80" t="s">
        <v>17</v>
      </c>
      <c r="E80" t="s">
        <v>17</v>
      </c>
      <c r="F80">
        <v>79</v>
      </c>
      <c r="G80" t="s">
        <v>17</v>
      </c>
      <c r="H80" t="s">
        <v>17</v>
      </c>
      <c r="I80">
        <v>5.833E-2</v>
      </c>
      <c r="J80">
        <v>50</v>
      </c>
      <c r="K80">
        <f t="shared" si="3"/>
        <v>2.9165E-2</v>
      </c>
      <c r="L80" t="s">
        <v>17</v>
      </c>
      <c r="M80">
        <v>296</v>
      </c>
      <c r="N80" t="s">
        <v>201</v>
      </c>
      <c r="O80" t="s">
        <v>1655</v>
      </c>
    </row>
    <row r="81" spans="1:15" x14ac:dyDescent="0.2">
      <c r="A81" t="s">
        <v>32</v>
      </c>
      <c r="B81" t="s">
        <v>191</v>
      </c>
      <c r="C81">
        <v>81</v>
      </c>
      <c r="D81" t="s">
        <v>17</v>
      </c>
      <c r="E81" t="s">
        <v>17</v>
      </c>
      <c r="F81">
        <v>80</v>
      </c>
      <c r="G81" t="s">
        <v>17</v>
      </c>
      <c r="H81" t="s">
        <v>17</v>
      </c>
      <c r="I81">
        <v>5.8319999999999997E-2</v>
      </c>
      <c r="J81">
        <v>50</v>
      </c>
      <c r="K81">
        <f t="shared" si="3"/>
        <v>2.9159999999999998E-2</v>
      </c>
      <c r="L81" t="s">
        <v>17</v>
      </c>
      <c r="M81">
        <v>296</v>
      </c>
      <c r="N81" t="s">
        <v>201</v>
      </c>
      <c r="O81" t="s">
        <v>1656</v>
      </c>
    </row>
    <row r="82" spans="1:15" x14ac:dyDescent="0.2">
      <c r="A82" t="s">
        <v>32</v>
      </c>
      <c r="B82" t="s">
        <v>191</v>
      </c>
      <c r="C82">
        <v>82</v>
      </c>
      <c r="D82" t="s">
        <v>17</v>
      </c>
      <c r="E82" t="s">
        <v>17</v>
      </c>
      <c r="F82">
        <v>81</v>
      </c>
      <c r="G82" t="s">
        <v>17</v>
      </c>
      <c r="H82" t="s">
        <v>17</v>
      </c>
      <c r="I82">
        <v>5.8319999999999997E-2</v>
      </c>
      <c r="J82">
        <v>50</v>
      </c>
      <c r="K82">
        <f t="shared" si="3"/>
        <v>2.9159999999999998E-2</v>
      </c>
      <c r="L82" t="s">
        <v>17</v>
      </c>
      <c r="M82">
        <v>296</v>
      </c>
      <c r="N82" t="s">
        <v>201</v>
      </c>
      <c r="O82" t="s">
        <v>1657</v>
      </c>
    </row>
    <row r="83" spans="1:15" x14ac:dyDescent="0.2">
      <c r="A83" t="s">
        <v>32</v>
      </c>
      <c r="B83" t="s">
        <v>191</v>
      </c>
      <c r="C83">
        <v>83</v>
      </c>
      <c r="D83" t="s">
        <v>17</v>
      </c>
      <c r="E83" t="s">
        <v>17</v>
      </c>
      <c r="F83">
        <v>82</v>
      </c>
      <c r="G83" t="s">
        <v>17</v>
      </c>
      <c r="H83" t="s">
        <v>17</v>
      </c>
      <c r="I83">
        <v>5.8310000000000001E-2</v>
      </c>
      <c r="J83">
        <v>50</v>
      </c>
      <c r="K83">
        <f t="shared" si="3"/>
        <v>2.9155E-2</v>
      </c>
      <c r="L83" t="s">
        <v>17</v>
      </c>
      <c r="M83">
        <v>296</v>
      </c>
      <c r="N83" t="s">
        <v>201</v>
      </c>
      <c r="O83" t="s">
        <v>1658</v>
      </c>
    </row>
    <row r="84" spans="1:15" x14ac:dyDescent="0.2">
      <c r="A84" t="s">
        <v>32</v>
      </c>
      <c r="B84" t="s">
        <v>191</v>
      </c>
      <c r="C84">
        <v>84</v>
      </c>
      <c r="D84" t="s">
        <v>17</v>
      </c>
      <c r="E84" t="s">
        <v>17</v>
      </c>
      <c r="F84">
        <v>83</v>
      </c>
      <c r="G84" t="s">
        <v>17</v>
      </c>
      <c r="H84" t="s">
        <v>17</v>
      </c>
      <c r="I84">
        <v>5.8310000000000001E-2</v>
      </c>
      <c r="J84">
        <v>50</v>
      </c>
      <c r="K84">
        <f t="shared" si="3"/>
        <v>2.9155E-2</v>
      </c>
      <c r="L84" t="s">
        <v>17</v>
      </c>
      <c r="M84">
        <v>296</v>
      </c>
      <c r="N84" t="s">
        <v>201</v>
      </c>
      <c r="O84" t="s">
        <v>1659</v>
      </c>
    </row>
    <row r="85" spans="1:15" x14ac:dyDescent="0.2">
      <c r="A85" t="s">
        <v>32</v>
      </c>
      <c r="B85" t="s">
        <v>191</v>
      </c>
      <c r="C85">
        <v>85</v>
      </c>
      <c r="D85" t="s">
        <v>17</v>
      </c>
      <c r="E85" t="s">
        <v>17</v>
      </c>
      <c r="F85">
        <v>84</v>
      </c>
      <c r="G85" t="s">
        <v>17</v>
      </c>
      <c r="H85" t="s">
        <v>17</v>
      </c>
      <c r="I85">
        <v>5.8299999999999998E-2</v>
      </c>
      <c r="J85">
        <v>50</v>
      </c>
      <c r="K85">
        <f t="shared" si="3"/>
        <v>2.9149999999999999E-2</v>
      </c>
      <c r="L85" t="s">
        <v>17</v>
      </c>
      <c r="M85">
        <v>296</v>
      </c>
      <c r="N85" t="s">
        <v>201</v>
      </c>
      <c r="O85" t="s">
        <v>1660</v>
      </c>
    </row>
    <row r="86" spans="1:15" x14ac:dyDescent="0.2">
      <c r="A86" t="s">
        <v>32</v>
      </c>
      <c r="B86" t="s">
        <v>191</v>
      </c>
      <c r="C86">
        <v>86</v>
      </c>
      <c r="D86" t="s">
        <v>17</v>
      </c>
      <c r="E86" t="s">
        <v>17</v>
      </c>
      <c r="F86">
        <v>85</v>
      </c>
      <c r="G86" t="s">
        <v>17</v>
      </c>
      <c r="H86" t="s">
        <v>17</v>
      </c>
      <c r="I86">
        <v>5.8299999999999998E-2</v>
      </c>
      <c r="J86">
        <v>50</v>
      </c>
      <c r="K86">
        <f t="shared" si="3"/>
        <v>2.9149999999999999E-2</v>
      </c>
      <c r="L86" t="s">
        <v>17</v>
      </c>
      <c r="M86">
        <v>296</v>
      </c>
      <c r="N86" t="s">
        <v>201</v>
      </c>
      <c r="O86" t="s">
        <v>1661</v>
      </c>
    </row>
    <row r="87" spans="1:15" x14ac:dyDescent="0.2">
      <c r="A87" t="s">
        <v>32</v>
      </c>
      <c r="B87" t="s">
        <v>191</v>
      </c>
      <c r="C87">
        <v>87</v>
      </c>
      <c r="D87" t="s">
        <v>17</v>
      </c>
      <c r="E87" t="s">
        <v>17</v>
      </c>
      <c r="F87">
        <v>86</v>
      </c>
      <c r="G87" t="s">
        <v>17</v>
      </c>
      <c r="H87" t="s">
        <v>17</v>
      </c>
      <c r="I87">
        <v>5.8290000000000002E-2</v>
      </c>
      <c r="J87">
        <v>50</v>
      </c>
      <c r="K87">
        <f t="shared" si="3"/>
        <v>2.9144999999999997E-2</v>
      </c>
      <c r="L87" t="s">
        <v>17</v>
      </c>
      <c r="M87">
        <v>296</v>
      </c>
      <c r="N87" t="s">
        <v>201</v>
      </c>
      <c r="O87" t="s">
        <v>1662</v>
      </c>
    </row>
    <row r="88" spans="1:15" x14ac:dyDescent="0.2">
      <c r="A88" t="s">
        <v>32</v>
      </c>
      <c r="B88" t="s">
        <v>191</v>
      </c>
      <c r="C88">
        <v>88</v>
      </c>
      <c r="D88" t="s">
        <v>17</v>
      </c>
      <c r="E88" t="s">
        <v>17</v>
      </c>
      <c r="F88">
        <v>87</v>
      </c>
      <c r="G88" t="s">
        <v>17</v>
      </c>
      <c r="H88" t="s">
        <v>17</v>
      </c>
      <c r="I88">
        <v>5.8290000000000002E-2</v>
      </c>
      <c r="J88">
        <v>50</v>
      </c>
      <c r="K88">
        <f t="shared" si="3"/>
        <v>2.9144999999999997E-2</v>
      </c>
      <c r="L88" t="s">
        <v>17</v>
      </c>
      <c r="M88">
        <v>296</v>
      </c>
      <c r="N88" t="s">
        <v>201</v>
      </c>
      <c r="O88" t="s">
        <v>1663</v>
      </c>
    </row>
    <row r="89" spans="1:15" x14ac:dyDescent="0.2">
      <c r="A89" t="s">
        <v>32</v>
      </c>
      <c r="B89" t="s">
        <v>191</v>
      </c>
      <c r="C89">
        <v>89</v>
      </c>
      <c r="D89" t="s">
        <v>17</v>
      </c>
      <c r="E89" t="s">
        <v>17</v>
      </c>
      <c r="F89">
        <v>88</v>
      </c>
      <c r="G89" t="s">
        <v>17</v>
      </c>
      <c r="H89" t="s">
        <v>17</v>
      </c>
      <c r="I89">
        <v>5.8290000000000002E-2</v>
      </c>
      <c r="J89">
        <v>50</v>
      </c>
      <c r="K89">
        <f t="shared" si="3"/>
        <v>2.9144999999999997E-2</v>
      </c>
      <c r="L89" t="s">
        <v>17</v>
      </c>
      <c r="M89">
        <v>296</v>
      </c>
      <c r="N89" t="s">
        <v>201</v>
      </c>
      <c r="O89" t="s">
        <v>1664</v>
      </c>
    </row>
    <row r="90" spans="1:15" x14ac:dyDescent="0.2">
      <c r="A90" t="s">
        <v>32</v>
      </c>
      <c r="B90" t="s">
        <v>191</v>
      </c>
      <c r="C90">
        <v>90</v>
      </c>
      <c r="D90" t="s">
        <v>17</v>
      </c>
      <c r="E90" t="s">
        <v>17</v>
      </c>
      <c r="F90">
        <v>89</v>
      </c>
      <c r="G90" t="s">
        <v>17</v>
      </c>
      <c r="H90" t="s">
        <v>17</v>
      </c>
      <c r="I90">
        <v>5.8279999999999998E-2</v>
      </c>
      <c r="J90">
        <v>50</v>
      </c>
      <c r="K90">
        <f t="shared" si="3"/>
        <v>2.9139999999999996E-2</v>
      </c>
      <c r="L90" t="s">
        <v>17</v>
      </c>
      <c r="M90">
        <v>296</v>
      </c>
      <c r="N90" t="s">
        <v>201</v>
      </c>
      <c r="O90" t="s">
        <v>1665</v>
      </c>
    </row>
    <row r="91" spans="1:15" x14ac:dyDescent="0.2">
      <c r="A91" t="s">
        <v>32</v>
      </c>
      <c r="B91" t="s">
        <v>191</v>
      </c>
      <c r="C91">
        <v>91</v>
      </c>
      <c r="D91" t="s">
        <v>17</v>
      </c>
      <c r="E91" t="s">
        <v>17</v>
      </c>
      <c r="F91">
        <v>90</v>
      </c>
      <c r="G91" t="s">
        <v>17</v>
      </c>
      <c r="H91" t="s">
        <v>17</v>
      </c>
      <c r="I91">
        <v>5.8279999999999998E-2</v>
      </c>
      <c r="J91">
        <v>50</v>
      </c>
      <c r="K91">
        <f t="shared" si="3"/>
        <v>2.9139999999999996E-2</v>
      </c>
      <c r="L91" t="s">
        <v>17</v>
      </c>
      <c r="M91">
        <v>296</v>
      </c>
      <c r="N91" t="s">
        <v>201</v>
      </c>
      <c r="O91" t="s">
        <v>1666</v>
      </c>
    </row>
    <row r="92" spans="1:15" x14ac:dyDescent="0.2">
      <c r="A92" t="s">
        <v>32</v>
      </c>
      <c r="B92" t="s">
        <v>191</v>
      </c>
      <c r="C92">
        <v>92</v>
      </c>
      <c r="D92" t="s">
        <v>17</v>
      </c>
      <c r="E92" t="s">
        <v>17</v>
      </c>
      <c r="F92">
        <v>91</v>
      </c>
      <c r="G92" t="s">
        <v>17</v>
      </c>
      <c r="H92" t="s">
        <v>17</v>
      </c>
      <c r="I92">
        <v>5.8279999999999998E-2</v>
      </c>
      <c r="J92">
        <v>50</v>
      </c>
      <c r="K92">
        <f t="shared" ref="K92:K123" si="4">I92*J92/100</f>
        <v>2.9139999999999996E-2</v>
      </c>
      <c r="L92" t="s">
        <v>17</v>
      </c>
      <c r="M92">
        <v>296</v>
      </c>
      <c r="N92" t="s">
        <v>201</v>
      </c>
      <c r="O92" t="s">
        <v>1667</v>
      </c>
    </row>
    <row r="93" spans="1:15" x14ac:dyDescent="0.2">
      <c r="A93" t="s">
        <v>32</v>
      </c>
      <c r="B93" t="s">
        <v>191</v>
      </c>
      <c r="C93">
        <v>93</v>
      </c>
      <c r="D93" t="s">
        <v>17</v>
      </c>
      <c r="E93" t="s">
        <v>17</v>
      </c>
      <c r="F93">
        <v>92</v>
      </c>
      <c r="G93" t="s">
        <v>17</v>
      </c>
      <c r="H93" t="s">
        <v>17</v>
      </c>
      <c r="I93">
        <v>5.8279999999999998E-2</v>
      </c>
      <c r="J93">
        <v>50</v>
      </c>
      <c r="K93">
        <f t="shared" si="4"/>
        <v>2.9139999999999996E-2</v>
      </c>
      <c r="L93" t="s">
        <v>17</v>
      </c>
      <c r="M93">
        <v>296</v>
      </c>
      <c r="N93" t="s">
        <v>201</v>
      </c>
      <c r="O93" t="s">
        <v>1668</v>
      </c>
    </row>
    <row r="94" spans="1:15" x14ac:dyDescent="0.2">
      <c r="A94" t="s">
        <v>32</v>
      </c>
      <c r="B94" t="s">
        <v>191</v>
      </c>
      <c r="C94">
        <v>94</v>
      </c>
      <c r="D94" t="s">
        <v>17</v>
      </c>
      <c r="E94" t="s">
        <v>17</v>
      </c>
      <c r="F94">
        <v>93</v>
      </c>
      <c r="G94" t="s">
        <v>17</v>
      </c>
      <c r="H94" t="s">
        <v>17</v>
      </c>
      <c r="I94">
        <v>5.8270000000000002E-2</v>
      </c>
      <c r="J94">
        <v>50</v>
      </c>
      <c r="K94">
        <f t="shared" si="4"/>
        <v>2.9135000000000001E-2</v>
      </c>
      <c r="L94" t="s">
        <v>17</v>
      </c>
      <c r="M94">
        <v>296</v>
      </c>
      <c r="N94" t="s">
        <v>201</v>
      </c>
      <c r="O94" t="s">
        <v>1669</v>
      </c>
    </row>
    <row r="95" spans="1:15" x14ac:dyDescent="0.2">
      <c r="A95" t="s">
        <v>32</v>
      </c>
      <c r="B95" t="s">
        <v>191</v>
      </c>
      <c r="C95">
        <v>95</v>
      </c>
      <c r="D95" t="s">
        <v>17</v>
      </c>
      <c r="E95" t="s">
        <v>17</v>
      </c>
      <c r="F95">
        <v>94</v>
      </c>
      <c r="G95" t="s">
        <v>17</v>
      </c>
      <c r="H95" t="s">
        <v>17</v>
      </c>
      <c r="I95">
        <v>5.8270000000000002E-2</v>
      </c>
      <c r="J95">
        <v>50</v>
      </c>
      <c r="K95">
        <f t="shared" si="4"/>
        <v>2.9135000000000001E-2</v>
      </c>
      <c r="L95" t="s">
        <v>17</v>
      </c>
      <c r="M95">
        <v>296</v>
      </c>
      <c r="N95" t="s">
        <v>201</v>
      </c>
      <c r="O95" t="s">
        <v>1670</v>
      </c>
    </row>
    <row r="96" spans="1:15" x14ac:dyDescent="0.2">
      <c r="A96" t="s">
        <v>32</v>
      </c>
      <c r="B96" t="s">
        <v>191</v>
      </c>
      <c r="C96">
        <v>96</v>
      </c>
      <c r="D96" t="s">
        <v>17</v>
      </c>
      <c r="E96" t="s">
        <v>17</v>
      </c>
      <c r="F96">
        <v>95</v>
      </c>
      <c r="G96" t="s">
        <v>17</v>
      </c>
      <c r="H96" t="s">
        <v>17</v>
      </c>
      <c r="I96">
        <v>5.8270000000000002E-2</v>
      </c>
      <c r="J96">
        <v>50</v>
      </c>
      <c r="K96">
        <f t="shared" si="4"/>
        <v>2.9135000000000001E-2</v>
      </c>
      <c r="L96" t="s">
        <v>17</v>
      </c>
      <c r="M96">
        <v>296</v>
      </c>
      <c r="N96" t="s">
        <v>201</v>
      </c>
      <c r="O96" t="s">
        <v>1671</v>
      </c>
    </row>
    <row r="97" spans="1:15" x14ac:dyDescent="0.2">
      <c r="A97" t="s">
        <v>32</v>
      </c>
      <c r="B97" t="s">
        <v>191</v>
      </c>
      <c r="C97">
        <v>97</v>
      </c>
      <c r="D97" t="s">
        <v>17</v>
      </c>
      <c r="E97" t="s">
        <v>17</v>
      </c>
      <c r="F97">
        <v>96</v>
      </c>
      <c r="G97" t="s">
        <v>17</v>
      </c>
      <c r="H97" t="s">
        <v>17</v>
      </c>
      <c r="I97">
        <v>5.8270000000000002E-2</v>
      </c>
      <c r="J97">
        <v>50</v>
      </c>
      <c r="K97">
        <f t="shared" si="4"/>
        <v>2.9135000000000001E-2</v>
      </c>
      <c r="L97" t="s">
        <v>17</v>
      </c>
      <c r="M97">
        <v>296</v>
      </c>
      <c r="N97" t="s">
        <v>201</v>
      </c>
      <c r="O97" t="s">
        <v>1672</v>
      </c>
    </row>
    <row r="98" spans="1:15" x14ac:dyDescent="0.2">
      <c r="A98" t="s">
        <v>32</v>
      </c>
      <c r="B98" t="s">
        <v>191</v>
      </c>
      <c r="C98">
        <v>98</v>
      </c>
      <c r="D98" t="s">
        <v>17</v>
      </c>
      <c r="E98" t="s">
        <v>17</v>
      </c>
      <c r="F98">
        <v>97</v>
      </c>
      <c r="G98" t="s">
        <v>17</v>
      </c>
      <c r="H98" t="s">
        <v>17</v>
      </c>
      <c r="I98">
        <v>5.8270000000000002E-2</v>
      </c>
      <c r="J98">
        <v>50</v>
      </c>
      <c r="K98">
        <f t="shared" si="4"/>
        <v>2.9135000000000001E-2</v>
      </c>
      <c r="L98" t="s">
        <v>17</v>
      </c>
      <c r="M98">
        <v>296</v>
      </c>
      <c r="N98" t="s">
        <v>201</v>
      </c>
      <c r="O98" t="s">
        <v>1673</v>
      </c>
    </row>
    <row r="99" spans="1:15" x14ac:dyDescent="0.2">
      <c r="A99" t="s">
        <v>32</v>
      </c>
      <c r="B99" t="s">
        <v>191</v>
      </c>
      <c r="C99">
        <v>99</v>
      </c>
      <c r="D99" t="s">
        <v>17</v>
      </c>
      <c r="E99" t="s">
        <v>17</v>
      </c>
      <c r="F99">
        <v>98</v>
      </c>
      <c r="G99" t="s">
        <v>17</v>
      </c>
      <c r="H99" t="s">
        <v>17</v>
      </c>
      <c r="I99">
        <v>5.8259999999999999E-2</v>
      </c>
      <c r="J99">
        <v>50</v>
      </c>
      <c r="K99">
        <f t="shared" si="4"/>
        <v>2.913E-2</v>
      </c>
      <c r="L99" t="s">
        <v>17</v>
      </c>
      <c r="M99">
        <v>296</v>
      </c>
      <c r="N99" t="s">
        <v>201</v>
      </c>
      <c r="O99" t="s">
        <v>1674</v>
      </c>
    </row>
    <row r="100" spans="1:15" x14ac:dyDescent="0.2">
      <c r="A100" t="s">
        <v>32</v>
      </c>
      <c r="B100" t="s">
        <v>191</v>
      </c>
      <c r="C100">
        <v>100</v>
      </c>
      <c r="D100" t="s">
        <v>17</v>
      </c>
      <c r="E100" t="s">
        <v>17</v>
      </c>
      <c r="F100">
        <v>99</v>
      </c>
      <c r="G100" t="s">
        <v>17</v>
      </c>
      <c r="H100" t="s">
        <v>17</v>
      </c>
      <c r="I100">
        <v>5.8259999999999999E-2</v>
      </c>
      <c r="J100">
        <v>50</v>
      </c>
      <c r="K100">
        <f t="shared" si="4"/>
        <v>2.913E-2</v>
      </c>
      <c r="L100" t="s">
        <v>17</v>
      </c>
      <c r="M100">
        <v>296</v>
      </c>
      <c r="N100" t="s">
        <v>201</v>
      </c>
      <c r="O100" t="s">
        <v>1675</v>
      </c>
    </row>
    <row r="101" spans="1:15" x14ac:dyDescent="0.2">
      <c r="A101" t="s">
        <v>32</v>
      </c>
      <c r="B101" t="s">
        <v>191</v>
      </c>
      <c r="C101">
        <v>101</v>
      </c>
      <c r="D101" t="s">
        <v>17</v>
      </c>
      <c r="E101" t="s">
        <v>17</v>
      </c>
      <c r="F101">
        <v>100</v>
      </c>
      <c r="G101" t="s">
        <v>17</v>
      </c>
      <c r="H101" t="s">
        <v>17</v>
      </c>
      <c r="I101">
        <v>5.8259999999999999E-2</v>
      </c>
      <c r="J101">
        <v>50</v>
      </c>
      <c r="K101">
        <f t="shared" si="4"/>
        <v>2.913E-2</v>
      </c>
      <c r="L101" t="s">
        <v>17</v>
      </c>
      <c r="M101">
        <v>296</v>
      </c>
      <c r="N101" t="s">
        <v>201</v>
      </c>
      <c r="O101" t="s">
        <v>1676</v>
      </c>
    </row>
    <row r="102" spans="1:15" x14ac:dyDescent="0.2">
      <c r="A102" t="s">
        <v>32</v>
      </c>
      <c r="B102" t="s">
        <v>191</v>
      </c>
      <c r="C102">
        <v>102</v>
      </c>
      <c r="D102" t="s">
        <v>17</v>
      </c>
      <c r="E102" t="s">
        <v>17</v>
      </c>
      <c r="F102">
        <v>101</v>
      </c>
      <c r="G102" t="s">
        <v>17</v>
      </c>
      <c r="H102" t="s">
        <v>17</v>
      </c>
      <c r="I102">
        <v>5.8259999999999999E-2</v>
      </c>
      <c r="J102">
        <v>50</v>
      </c>
      <c r="K102">
        <f t="shared" si="4"/>
        <v>2.913E-2</v>
      </c>
      <c r="L102" t="s">
        <v>17</v>
      </c>
      <c r="M102">
        <v>296</v>
      </c>
      <c r="N102" t="s">
        <v>201</v>
      </c>
      <c r="O102" t="s">
        <v>1677</v>
      </c>
    </row>
    <row r="103" spans="1:15" x14ac:dyDescent="0.2">
      <c r="A103" t="s">
        <v>32</v>
      </c>
      <c r="B103" t="s">
        <v>191</v>
      </c>
      <c r="C103">
        <v>103</v>
      </c>
      <c r="D103" t="s">
        <v>17</v>
      </c>
      <c r="E103" t="s">
        <v>17</v>
      </c>
      <c r="F103">
        <v>102</v>
      </c>
      <c r="G103" t="s">
        <v>17</v>
      </c>
      <c r="H103" t="s">
        <v>17</v>
      </c>
      <c r="I103">
        <v>5.8250000000000003E-2</v>
      </c>
      <c r="J103">
        <v>50</v>
      </c>
      <c r="K103">
        <f t="shared" si="4"/>
        <v>2.9125000000000002E-2</v>
      </c>
      <c r="L103" t="s">
        <v>17</v>
      </c>
      <c r="M103">
        <v>296</v>
      </c>
      <c r="N103" t="s">
        <v>201</v>
      </c>
      <c r="O103" t="s">
        <v>1678</v>
      </c>
    </row>
    <row r="104" spans="1:15" x14ac:dyDescent="0.2">
      <c r="A104" t="s">
        <v>32</v>
      </c>
      <c r="B104" t="s">
        <v>191</v>
      </c>
      <c r="C104">
        <v>104</v>
      </c>
      <c r="D104" t="s">
        <v>17</v>
      </c>
      <c r="E104" t="s">
        <v>17</v>
      </c>
      <c r="F104">
        <v>103</v>
      </c>
      <c r="G104" t="s">
        <v>17</v>
      </c>
      <c r="H104" t="s">
        <v>17</v>
      </c>
      <c r="I104">
        <v>5.8250000000000003E-2</v>
      </c>
      <c r="J104">
        <v>50</v>
      </c>
      <c r="K104">
        <f t="shared" si="4"/>
        <v>2.9125000000000002E-2</v>
      </c>
      <c r="L104" t="s">
        <v>17</v>
      </c>
      <c r="M104">
        <v>296</v>
      </c>
      <c r="N104" t="s">
        <v>201</v>
      </c>
      <c r="O104" t="s">
        <v>1679</v>
      </c>
    </row>
    <row r="105" spans="1:15" x14ac:dyDescent="0.2">
      <c r="A105" t="s">
        <v>32</v>
      </c>
      <c r="B105" t="s">
        <v>191</v>
      </c>
      <c r="C105">
        <v>105</v>
      </c>
      <c r="D105" t="s">
        <v>17</v>
      </c>
      <c r="E105" t="s">
        <v>17</v>
      </c>
      <c r="F105">
        <v>104</v>
      </c>
      <c r="G105" t="s">
        <v>17</v>
      </c>
      <c r="H105" t="s">
        <v>17</v>
      </c>
      <c r="I105">
        <v>5.8250000000000003E-2</v>
      </c>
      <c r="J105">
        <v>50</v>
      </c>
      <c r="K105">
        <f t="shared" si="4"/>
        <v>2.9125000000000002E-2</v>
      </c>
      <c r="L105" t="s">
        <v>17</v>
      </c>
      <c r="M105">
        <v>296</v>
      </c>
      <c r="N105" t="s">
        <v>201</v>
      </c>
    </row>
    <row r="106" spans="1:15" x14ac:dyDescent="0.2">
      <c r="A106" t="s">
        <v>32</v>
      </c>
      <c r="B106" t="s">
        <v>191</v>
      </c>
      <c r="C106">
        <v>106</v>
      </c>
      <c r="D106" t="s">
        <v>17</v>
      </c>
      <c r="E106" t="s">
        <v>17</v>
      </c>
      <c r="F106">
        <v>105</v>
      </c>
      <c r="G106" t="s">
        <v>17</v>
      </c>
      <c r="H106" t="s">
        <v>17</v>
      </c>
      <c r="I106">
        <v>5.8250000000000003E-2</v>
      </c>
      <c r="J106">
        <v>50</v>
      </c>
      <c r="K106">
        <f t="shared" si="4"/>
        <v>2.9125000000000002E-2</v>
      </c>
      <c r="L106" t="s">
        <v>17</v>
      </c>
      <c r="M106">
        <v>296</v>
      </c>
      <c r="N106" t="s">
        <v>201</v>
      </c>
      <c r="O106" t="s">
        <v>1680</v>
      </c>
    </row>
    <row r="107" spans="1:15" x14ac:dyDescent="0.2">
      <c r="A107" t="s">
        <v>32</v>
      </c>
      <c r="B107" t="s">
        <v>191</v>
      </c>
      <c r="C107">
        <v>107</v>
      </c>
      <c r="D107" t="s">
        <v>17</v>
      </c>
      <c r="E107" t="s">
        <v>17</v>
      </c>
      <c r="F107">
        <v>106</v>
      </c>
      <c r="G107" t="s">
        <v>17</v>
      </c>
      <c r="H107" t="s">
        <v>17</v>
      </c>
      <c r="I107">
        <v>5.8250000000000003E-2</v>
      </c>
      <c r="J107">
        <v>50</v>
      </c>
      <c r="K107">
        <f t="shared" si="4"/>
        <v>2.9125000000000002E-2</v>
      </c>
      <c r="L107" t="s">
        <v>17</v>
      </c>
      <c r="M107">
        <v>296</v>
      </c>
      <c r="N107" t="s">
        <v>201</v>
      </c>
      <c r="O107" t="s">
        <v>1681</v>
      </c>
    </row>
    <row r="108" spans="1:15" x14ac:dyDescent="0.2">
      <c r="A108" t="s">
        <v>32</v>
      </c>
      <c r="B108" t="s">
        <v>191</v>
      </c>
      <c r="C108">
        <v>108</v>
      </c>
      <c r="D108" t="s">
        <v>17</v>
      </c>
      <c r="E108" t="s">
        <v>17</v>
      </c>
      <c r="F108">
        <v>107</v>
      </c>
      <c r="G108" t="s">
        <v>17</v>
      </c>
      <c r="H108" t="s">
        <v>17</v>
      </c>
      <c r="I108">
        <v>5.8250000000000003E-2</v>
      </c>
      <c r="J108">
        <v>50</v>
      </c>
      <c r="K108">
        <f t="shared" si="4"/>
        <v>2.9125000000000002E-2</v>
      </c>
      <c r="L108" t="s">
        <v>17</v>
      </c>
      <c r="M108">
        <v>296</v>
      </c>
      <c r="N108" t="s">
        <v>201</v>
      </c>
      <c r="O108" t="s">
        <v>1682</v>
      </c>
    </row>
    <row r="109" spans="1:15" x14ac:dyDescent="0.2">
      <c r="A109" t="s">
        <v>32</v>
      </c>
      <c r="B109" t="s">
        <v>191</v>
      </c>
      <c r="C109">
        <v>109</v>
      </c>
      <c r="D109" t="s">
        <v>17</v>
      </c>
      <c r="E109" t="s">
        <v>17</v>
      </c>
      <c r="F109">
        <v>108</v>
      </c>
      <c r="G109" t="s">
        <v>17</v>
      </c>
      <c r="H109" t="s">
        <v>17</v>
      </c>
      <c r="I109">
        <v>5.8250000000000003E-2</v>
      </c>
      <c r="J109">
        <v>50</v>
      </c>
      <c r="K109">
        <f t="shared" si="4"/>
        <v>2.9125000000000002E-2</v>
      </c>
      <c r="L109" t="s">
        <v>17</v>
      </c>
      <c r="M109">
        <v>296</v>
      </c>
      <c r="N109" t="s">
        <v>201</v>
      </c>
      <c r="O109" t="s">
        <v>1683</v>
      </c>
    </row>
    <row r="110" spans="1:15" x14ac:dyDescent="0.2">
      <c r="A110" t="s">
        <v>32</v>
      </c>
      <c r="B110" t="s">
        <v>191</v>
      </c>
      <c r="C110">
        <v>110</v>
      </c>
      <c r="D110" t="s">
        <v>17</v>
      </c>
      <c r="E110" t="s">
        <v>17</v>
      </c>
      <c r="F110">
        <v>109</v>
      </c>
      <c r="G110" t="s">
        <v>17</v>
      </c>
      <c r="H110" t="s">
        <v>17</v>
      </c>
      <c r="I110">
        <v>5.8250000000000003E-2</v>
      </c>
      <c r="J110">
        <v>50</v>
      </c>
      <c r="K110">
        <f t="shared" si="4"/>
        <v>2.9125000000000002E-2</v>
      </c>
      <c r="L110" t="s">
        <v>17</v>
      </c>
      <c r="M110">
        <v>296</v>
      </c>
      <c r="N110" t="s">
        <v>201</v>
      </c>
      <c r="O110" t="s">
        <v>1684</v>
      </c>
    </row>
    <row r="111" spans="1:15" x14ac:dyDescent="0.2">
      <c r="A111" t="s">
        <v>32</v>
      </c>
      <c r="B111" t="s">
        <v>191</v>
      </c>
      <c r="C111">
        <v>111</v>
      </c>
      <c r="D111" t="s">
        <v>17</v>
      </c>
      <c r="E111" t="s">
        <v>17</v>
      </c>
      <c r="F111">
        <v>110</v>
      </c>
      <c r="G111" t="s">
        <v>17</v>
      </c>
      <c r="H111" t="s">
        <v>17</v>
      </c>
      <c r="I111">
        <v>5.8250000000000003E-2</v>
      </c>
      <c r="J111">
        <v>50</v>
      </c>
      <c r="K111">
        <f t="shared" si="4"/>
        <v>2.9125000000000002E-2</v>
      </c>
      <c r="L111" t="s">
        <v>17</v>
      </c>
      <c r="M111">
        <v>296</v>
      </c>
      <c r="N111" t="s">
        <v>201</v>
      </c>
      <c r="O111" t="s">
        <v>1685</v>
      </c>
    </row>
    <row r="112" spans="1:15" x14ac:dyDescent="0.2">
      <c r="A112" t="s">
        <v>32</v>
      </c>
      <c r="B112" t="s">
        <v>191</v>
      </c>
      <c r="C112">
        <v>112</v>
      </c>
      <c r="D112" t="s">
        <v>17</v>
      </c>
      <c r="E112" t="s">
        <v>17</v>
      </c>
      <c r="F112">
        <v>111</v>
      </c>
      <c r="G112" t="s">
        <v>17</v>
      </c>
      <c r="H112" t="s">
        <v>17</v>
      </c>
      <c r="I112">
        <v>5.824E-2</v>
      </c>
      <c r="J112">
        <v>50</v>
      </c>
      <c r="K112">
        <f t="shared" si="4"/>
        <v>2.912E-2</v>
      </c>
      <c r="L112" t="s">
        <v>17</v>
      </c>
      <c r="M112">
        <v>296</v>
      </c>
      <c r="N112" t="s">
        <v>201</v>
      </c>
      <c r="O112" t="s">
        <v>1686</v>
      </c>
    </row>
    <row r="113" spans="1:15" x14ac:dyDescent="0.2">
      <c r="A113" t="s">
        <v>32</v>
      </c>
      <c r="B113" t="s">
        <v>191</v>
      </c>
      <c r="C113">
        <v>113</v>
      </c>
      <c r="D113" t="s">
        <v>17</v>
      </c>
      <c r="E113" t="s">
        <v>17</v>
      </c>
      <c r="F113">
        <v>112</v>
      </c>
      <c r="G113" t="s">
        <v>17</v>
      </c>
      <c r="H113" t="s">
        <v>17</v>
      </c>
      <c r="I113">
        <v>5.824E-2</v>
      </c>
      <c r="J113">
        <v>50</v>
      </c>
      <c r="K113">
        <f t="shared" si="4"/>
        <v>2.912E-2</v>
      </c>
      <c r="L113" t="s">
        <v>17</v>
      </c>
      <c r="M113">
        <v>296</v>
      </c>
      <c r="N113" t="s">
        <v>201</v>
      </c>
      <c r="O113" t="s">
        <v>1687</v>
      </c>
    </row>
    <row r="114" spans="1:15" x14ac:dyDescent="0.2">
      <c r="A114" t="s">
        <v>32</v>
      </c>
      <c r="B114" t="s">
        <v>191</v>
      </c>
      <c r="C114">
        <v>114</v>
      </c>
      <c r="D114" t="s">
        <v>17</v>
      </c>
      <c r="E114" t="s">
        <v>17</v>
      </c>
      <c r="F114">
        <v>113</v>
      </c>
      <c r="G114" t="s">
        <v>17</v>
      </c>
      <c r="H114" t="s">
        <v>17</v>
      </c>
      <c r="I114">
        <v>5.824E-2</v>
      </c>
      <c r="J114">
        <v>50</v>
      </c>
      <c r="K114">
        <f t="shared" si="4"/>
        <v>2.912E-2</v>
      </c>
      <c r="L114" t="s">
        <v>17</v>
      </c>
      <c r="M114">
        <v>296</v>
      </c>
      <c r="N114" t="s">
        <v>201</v>
      </c>
      <c r="O114" t="s">
        <v>1688</v>
      </c>
    </row>
    <row r="115" spans="1:15" x14ac:dyDescent="0.2">
      <c r="A115" t="s">
        <v>32</v>
      </c>
      <c r="B115" t="s">
        <v>191</v>
      </c>
      <c r="C115">
        <v>115</v>
      </c>
      <c r="D115" t="s">
        <v>17</v>
      </c>
      <c r="E115" t="s">
        <v>17</v>
      </c>
      <c r="F115">
        <v>114</v>
      </c>
      <c r="G115" t="s">
        <v>17</v>
      </c>
      <c r="H115" t="s">
        <v>17</v>
      </c>
      <c r="I115">
        <v>5.824E-2</v>
      </c>
      <c r="J115">
        <v>50</v>
      </c>
      <c r="K115">
        <f t="shared" si="4"/>
        <v>2.912E-2</v>
      </c>
      <c r="L115" t="s">
        <v>17</v>
      </c>
      <c r="M115">
        <v>296</v>
      </c>
      <c r="N115" t="s">
        <v>201</v>
      </c>
      <c r="O115" t="s">
        <v>1689</v>
      </c>
    </row>
    <row r="116" spans="1:15" x14ac:dyDescent="0.2">
      <c r="A116" t="s">
        <v>32</v>
      </c>
      <c r="B116" t="s">
        <v>191</v>
      </c>
      <c r="C116">
        <v>116</v>
      </c>
      <c r="D116" t="s">
        <v>17</v>
      </c>
      <c r="E116" t="s">
        <v>17</v>
      </c>
      <c r="F116">
        <v>115</v>
      </c>
      <c r="G116" t="s">
        <v>17</v>
      </c>
      <c r="H116" t="s">
        <v>17</v>
      </c>
      <c r="I116">
        <v>5.824E-2</v>
      </c>
      <c r="J116">
        <v>50</v>
      </c>
      <c r="K116">
        <f t="shared" si="4"/>
        <v>2.912E-2</v>
      </c>
      <c r="L116" t="s">
        <v>17</v>
      </c>
      <c r="M116">
        <v>296</v>
      </c>
      <c r="N116" t="s">
        <v>201</v>
      </c>
      <c r="O116" t="s">
        <v>1690</v>
      </c>
    </row>
    <row r="117" spans="1:15" x14ac:dyDescent="0.2">
      <c r="A117" t="s">
        <v>32</v>
      </c>
      <c r="B117" t="s">
        <v>191</v>
      </c>
      <c r="C117">
        <v>117</v>
      </c>
      <c r="D117" t="s">
        <v>17</v>
      </c>
      <c r="E117" t="s">
        <v>17</v>
      </c>
      <c r="F117">
        <v>116</v>
      </c>
      <c r="G117" t="s">
        <v>17</v>
      </c>
      <c r="H117" t="s">
        <v>17</v>
      </c>
      <c r="I117">
        <v>5.824E-2</v>
      </c>
      <c r="J117">
        <v>50</v>
      </c>
      <c r="K117">
        <f t="shared" si="4"/>
        <v>2.912E-2</v>
      </c>
      <c r="L117" t="s">
        <v>17</v>
      </c>
      <c r="M117">
        <v>296</v>
      </c>
      <c r="N117" t="s">
        <v>201</v>
      </c>
      <c r="O117" t="s">
        <v>1691</v>
      </c>
    </row>
    <row r="118" spans="1:15" x14ac:dyDescent="0.2">
      <c r="A118" t="s">
        <v>32</v>
      </c>
      <c r="B118" t="s">
        <v>191</v>
      </c>
      <c r="C118">
        <v>118</v>
      </c>
      <c r="D118" t="s">
        <v>17</v>
      </c>
      <c r="E118" t="s">
        <v>17</v>
      </c>
      <c r="F118">
        <v>117</v>
      </c>
      <c r="G118" t="s">
        <v>17</v>
      </c>
      <c r="H118" t="s">
        <v>17</v>
      </c>
      <c r="I118">
        <v>5.824E-2</v>
      </c>
      <c r="J118">
        <v>50</v>
      </c>
      <c r="K118">
        <f t="shared" si="4"/>
        <v>2.912E-2</v>
      </c>
      <c r="L118" t="s">
        <v>17</v>
      </c>
      <c r="M118">
        <v>296</v>
      </c>
      <c r="N118" t="s">
        <v>201</v>
      </c>
      <c r="O118" t="s">
        <v>1692</v>
      </c>
    </row>
    <row r="119" spans="1:15" x14ac:dyDescent="0.2">
      <c r="A119" t="s">
        <v>32</v>
      </c>
      <c r="B119" t="s">
        <v>191</v>
      </c>
      <c r="C119">
        <v>119</v>
      </c>
      <c r="D119" t="s">
        <v>17</v>
      </c>
      <c r="E119" t="s">
        <v>17</v>
      </c>
      <c r="F119">
        <v>118</v>
      </c>
      <c r="G119" t="s">
        <v>17</v>
      </c>
      <c r="H119" t="s">
        <v>17</v>
      </c>
      <c r="I119">
        <v>5.824E-2</v>
      </c>
      <c r="J119">
        <v>50</v>
      </c>
      <c r="K119">
        <f t="shared" si="4"/>
        <v>2.912E-2</v>
      </c>
      <c r="L119" t="s">
        <v>17</v>
      </c>
      <c r="M119">
        <v>296</v>
      </c>
      <c r="N119" t="s">
        <v>201</v>
      </c>
      <c r="O119" t="s">
        <v>1693</v>
      </c>
    </row>
    <row r="120" spans="1:15" x14ac:dyDescent="0.2">
      <c r="A120" t="s">
        <v>32</v>
      </c>
      <c r="B120" t="s">
        <v>191</v>
      </c>
      <c r="C120">
        <v>120</v>
      </c>
      <c r="D120" t="s">
        <v>17</v>
      </c>
      <c r="E120" t="s">
        <v>17</v>
      </c>
      <c r="F120">
        <v>119</v>
      </c>
      <c r="G120" t="s">
        <v>17</v>
      </c>
      <c r="H120" t="s">
        <v>17</v>
      </c>
      <c r="I120">
        <v>5.824E-2</v>
      </c>
      <c r="J120">
        <v>50</v>
      </c>
      <c r="K120">
        <f t="shared" si="4"/>
        <v>2.912E-2</v>
      </c>
      <c r="L120" t="s">
        <v>17</v>
      </c>
      <c r="M120">
        <v>296</v>
      </c>
      <c r="N120" t="s">
        <v>201</v>
      </c>
      <c r="O120" t="s">
        <v>1694</v>
      </c>
    </row>
    <row r="121" spans="1:15" x14ac:dyDescent="0.2">
      <c r="A121" t="s">
        <v>32</v>
      </c>
      <c r="B121" t="s">
        <v>191</v>
      </c>
      <c r="C121">
        <v>121</v>
      </c>
      <c r="D121" t="s">
        <v>17</v>
      </c>
      <c r="E121" t="s">
        <v>17</v>
      </c>
      <c r="F121">
        <v>120</v>
      </c>
      <c r="G121" t="s">
        <v>17</v>
      </c>
      <c r="H121" t="s">
        <v>17</v>
      </c>
      <c r="I121">
        <v>5.824E-2</v>
      </c>
      <c r="J121">
        <v>50</v>
      </c>
      <c r="K121">
        <f t="shared" si="4"/>
        <v>2.912E-2</v>
      </c>
      <c r="L121" t="s">
        <v>17</v>
      </c>
      <c r="M121">
        <v>296</v>
      </c>
      <c r="N121" t="s">
        <v>201</v>
      </c>
      <c r="O121" t="s">
        <v>1695</v>
      </c>
    </row>
    <row r="122" spans="1:15" x14ac:dyDescent="0.2">
      <c r="A122" t="s">
        <v>32</v>
      </c>
      <c r="B122" t="s">
        <v>191</v>
      </c>
      <c r="C122">
        <v>122</v>
      </c>
      <c r="D122" t="s">
        <v>17</v>
      </c>
      <c r="E122" t="s">
        <v>17</v>
      </c>
      <c r="F122">
        <v>121</v>
      </c>
      <c r="G122" t="s">
        <v>17</v>
      </c>
      <c r="H122" t="s">
        <v>17</v>
      </c>
      <c r="I122">
        <v>5.824E-2</v>
      </c>
      <c r="J122">
        <v>50</v>
      </c>
      <c r="K122">
        <f t="shared" si="4"/>
        <v>2.912E-2</v>
      </c>
      <c r="L122" t="s">
        <v>17</v>
      </c>
      <c r="M122">
        <v>296</v>
      </c>
      <c r="N122" t="s">
        <v>201</v>
      </c>
      <c r="O122" t="s">
        <v>1696</v>
      </c>
    </row>
    <row r="123" spans="1:15" x14ac:dyDescent="0.2">
      <c r="A123" t="s">
        <v>32</v>
      </c>
      <c r="B123" t="s">
        <v>191</v>
      </c>
      <c r="C123">
        <v>123</v>
      </c>
      <c r="D123" t="s">
        <v>17</v>
      </c>
      <c r="E123" t="s">
        <v>17</v>
      </c>
      <c r="F123">
        <v>122</v>
      </c>
      <c r="G123" t="s">
        <v>17</v>
      </c>
      <c r="H123" t="s">
        <v>17</v>
      </c>
      <c r="I123">
        <v>5.824E-2</v>
      </c>
      <c r="J123">
        <v>50</v>
      </c>
      <c r="K123">
        <f t="shared" si="4"/>
        <v>2.912E-2</v>
      </c>
      <c r="L123" t="s">
        <v>17</v>
      </c>
      <c r="M123">
        <v>296</v>
      </c>
      <c r="N123" t="s">
        <v>201</v>
      </c>
      <c r="O123" t="s">
        <v>1697</v>
      </c>
    </row>
    <row r="124" spans="1:15" x14ac:dyDescent="0.2">
      <c r="A124" t="s">
        <v>32</v>
      </c>
      <c r="B124" t="s">
        <v>191</v>
      </c>
      <c r="C124">
        <v>124</v>
      </c>
      <c r="D124" t="s">
        <v>17</v>
      </c>
      <c r="E124" t="s">
        <v>17</v>
      </c>
      <c r="F124">
        <v>123</v>
      </c>
      <c r="G124" t="s">
        <v>17</v>
      </c>
      <c r="H124" t="s">
        <v>17</v>
      </c>
      <c r="I124">
        <v>5.824E-2</v>
      </c>
      <c r="J124">
        <v>50</v>
      </c>
      <c r="K124">
        <f t="shared" ref="K124:K155" si="5">I124*J124/100</f>
        <v>2.912E-2</v>
      </c>
      <c r="L124" t="s">
        <v>17</v>
      </c>
      <c r="M124">
        <v>296</v>
      </c>
      <c r="N124" t="s">
        <v>201</v>
      </c>
      <c r="O124" t="s">
        <v>1698</v>
      </c>
    </row>
    <row r="125" spans="1:15" x14ac:dyDescent="0.2">
      <c r="A125" t="s">
        <v>32</v>
      </c>
      <c r="B125" t="s">
        <v>191</v>
      </c>
      <c r="C125">
        <v>125</v>
      </c>
      <c r="D125" t="s">
        <v>17</v>
      </c>
      <c r="E125" t="s">
        <v>17</v>
      </c>
      <c r="F125">
        <v>124</v>
      </c>
      <c r="G125" t="s">
        <v>17</v>
      </c>
      <c r="H125" t="s">
        <v>17</v>
      </c>
      <c r="I125">
        <v>5.824E-2</v>
      </c>
      <c r="J125">
        <v>50</v>
      </c>
      <c r="K125">
        <f t="shared" si="5"/>
        <v>2.912E-2</v>
      </c>
      <c r="L125" t="s">
        <v>17</v>
      </c>
      <c r="M125">
        <v>296</v>
      </c>
      <c r="N125" t="s">
        <v>201</v>
      </c>
      <c r="O125" t="s">
        <v>1699</v>
      </c>
    </row>
    <row r="126" spans="1:15" x14ac:dyDescent="0.2">
      <c r="A126" t="s">
        <v>32</v>
      </c>
      <c r="B126" t="s">
        <v>191</v>
      </c>
      <c r="C126">
        <v>126</v>
      </c>
      <c r="D126" t="s">
        <v>17</v>
      </c>
      <c r="E126" t="s">
        <v>17</v>
      </c>
      <c r="F126">
        <v>125</v>
      </c>
      <c r="G126" t="s">
        <v>17</v>
      </c>
      <c r="H126" t="s">
        <v>17</v>
      </c>
      <c r="I126">
        <v>5.824E-2</v>
      </c>
      <c r="J126">
        <v>50</v>
      </c>
      <c r="K126">
        <f t="shared" si="5"/>
        <v>2.912E-2</v>
      </c>
      <c r="L126" t="s">
        <v>17</v>
      </c>
      <c r="M126">
        <v>296</v>
      </c>
      <c r="N126" t="s">
        <v>201</v>
      </c>
      <c r="O126" t="s">
        <v>1700</v>
      </c>
    </row>
    <row r="127" spans="1:15" x14ac:dyDescent="0.2">
      <c r="A127" t="s">
        <v>32</v>
      </c>
      <c r="B127" t="s">
        <v>191</v>
      </c>
      <c r="C127">
        <v>127</v>
      </c>
      <c r="D127" t="s">
        <v>17</v>
      </c>
      <c r="E127" t="s">
        <v>17</v>
      </c>
      <c r="F127">
        <v>126</v>
      </c>
      <c r="G127" t="s">
        <v>17</v>
      </c>
      <c r="H127" t="s">
        <v>17</v>
      </c>
      <c r="I127">
        <v>5.824E-2</v>
      </c>
      <c r="J127">
        <v>50</v>
      </c>
      <c r="K127">
        <f t="shared" si="5"/>
        <v>2.912E-2</v>
      </c>
      <c r="L127" t="s">
        <v>17</v>
      </c>
      <c r="M127">
        <v>296</v>
      </c>
      <c r="N127" t="s">
        <v>201</v>
      </c>
      <c r="O127" t="s">
        <v>1701</v>
      </c>
    </row>
    <row r="128" spans="1:15" x14ac:dyDescent="0.2">
      <c r="A128" t="s">
        <v>32</v>
      </c>
      <c r="B128" t="s">
        <v>191</v>
      </c>
      <c r="C128">
        <v>128</v>
      </c>
      <c r="D128" t="s">
        <v>17</v>
      </c>
      <c r="E128" t="s">
        <v>17</v>
      </c>
      <c r="F128">
        <v>127</v>
      </c>
      <c r="G128" t="s">
        <v>17</v>
      </c>
      <c r="H128" t="s">
        <v>17</v>
      </c>
      <c r="I128">
        <v>5.824E-2</v>
      </c>
      <c r="J128">
        <v>50</v>
      </c>
      <c r="K128">
        <f t="shared" si="5"/>
        <v>2.912E-2</v>
      </c>
      <c r="L128" t="s">
        <v>17</v>
      </c>
      <c r="M128">
        <v>296</v>
      </c>
      <c r="N128" t="s">
        <v>201</v>
      </c>
      <c r="O128" t="s">
        <v>1702</v>
      </c>
    </row>
    <row r="129" spans="1:15" x14ac:dyDescent="0.2">
      <c r="A129" t="s">
        <v>32</v>
      </c>
      <c r="B129" t="s">
        <v>191</v>
      </c>
      <c r="C129">
        <v>129</v>
      </c>
      <c r="D129" t="s">
        <v>17</v>
      </c>
      <c r="E129" t="s">
        <v>17</v>
      </c>
      <c r="F129">
        <v>128</v>
      </c>
      <c r="G129" t="s">
        <v>17</v>
      </c>
      <c r="H129" t="s">
        <v>17</v>
      </c>
      <c r="I129">
        <v>5.824E-2</v>
      </c>
      <c r="J129">
        <v>50</v>
      </c>
      <c r="K129">
        <f t="shared" si="5"/>
        <v>2.912E-2</v>
      </c>
      <c r="L129" t="s">
        <v>17</v>
      </c>
      <c r="M129">
        <v>296</v>
      </c>
      <c r="N129" t="s">
        <v>201</v>
      </c>
      <c r="O129" t="s">
        <v>1703</v>
      </c>
    </row>
    <row r="130" spans="1:15" x14ac:dyDescent="0.2">
      <c r="A130" t="s">
        <v>32</v>
      </c>
      <c r="B130" t="s">
        <v>191</v>
      </c>
      <c r="C130">
        <v>130</v>
      </c>
      <c r="D130" t="s">
        <v>17</v>
      </c>
      <c r="E130" t="s">
        <v>17</v>
      </c>
      <c r="F130">
        <v>129</v>
      </c>
      <c r="G130" t="s">
        <v>17</v>
      </c>
      <c r="H130" t="s">
        <v>17</v>
      </c>
      <c r="I130">
        <v>5.824E-2</v>
      </c>
      <c r="J130">
        <v>50</v>
      </c>
      <c r="K130">
        <f t="shared" si="5"/>
        <v>2.912E-2</v>
      </c>
      <c r="L130" t="s">
        <v>17</v>
      </c>
      <c r="M130">
        <v>296</v>
      </c>
      <c r="N130" t="s">
        <v>201</v>
      </c>
      <c r="O130" t="s">
        <v>1704</v>
      </c>
    </row>
    <row r="131" spans="1:15" x14ac:dyDescent="0.2">
      <c r="A131" t="s">
        <v>32</v>
      </c>
      <c r="B131" t="s">
        <v>191</v>
      </c>
      <c r="C131">
        <v>131</v>
      </c>
      <c r="D131" t="s">
        <v>17</v>
      </c>
      <c r="E131" t="s">
        <v>17</v>
      </c>
      <c r="F131">
        <v>130</v>
      </c>
      <c r="G131" t="s">
        <v>17</v>
      </c>
      <c r="H131" t="s">
        <v>17</v>
      </c>
      <c r="I131">
        <v>5.824E-2</v>
      </c>
      <c r="J131">
        <v>50</v>
      </c>
      <c r="K131">
        <f t="shared" si="5"/>
        <v>2.912E-2</v>
      </c>
      <c r="L131" t="s">
        <v>17</v>
      </c>
      <c r="M131">
        <v>296</v>
      </c>
      <c r="N131" t="s">
        <v>201</v>
      </c>
      <c r="O131" t="s">
        <v>1705</v>
      </c>
    </row>
    <row r="132" spans="1:15" x14ac:dyDescent="0.2">
      <c r="A132" t="s">
        <v>32</v>
      </c>
      <c r="B132" t="s">
        <v>191</v>
      </c>
      <c r="C132">
        <v>132</v>
      </c>
      <c r="D132" t="s">
        <v>17</v>
      </c>
      <c r="E132" t="s">
        <v>17</v>
      </c>
      <c r="F132">
        <v>131</v>
      </c>
      <c r="G132" t="s">
        <v>17</v>
      </c>
      <c r="H132" t="s">
        <v>17</v>
      </c>
      <c r="I132">
        <v>5.824E-2</v>
      </c>
      <c r="J132">
        <v>50</v>
      </c>
      <c r="K132">
        <f t="shared" si="5"/>
        <v>2.912E-2</v>
      </c>
      <c r="L132" t="s">
        <v>17</v>
      </c>
      <c r="M132">
        <v>296</v>
      </c>
      <c r="N132" t="s">
        <v>201</v>
      </c>
      <c r="O132" t="s">
        <v>1706</v>
      </c>
    </row>
    <row r="133" spans="1:15" x14ac:dyDescent="0.2">
      <c r="A133" t="s">
        <v>32</v>
      </c>
      <c r="B133" t="s">
        <v>191</v>
      </c>
      <c r="C133">
        <v>133</v>
      </c>
      <c r="D133" t="s">
        <v>17</v>
      </c>
      <c r="E133" t="s">
        <v>17</v>
      </c>
      <c r="F133">
        <v>132</v>
      </c>
      <c r="G133" t="s">
        <v>17</v>
      </c>
      <c r="H133" t="s">
        <v>17</v>
      </c>
      <c r="I133">
        <v>5.824E-2</v>
      </c>
      <c r="J133">
        <v>50</v>
      </c>
      <c r="K133">
        <f t="shared" si="5"/>
        <v>2.912E-2</v>
      </c>
      <c r="L133" t="s">
        <v>17</v>
      </c>
      <c r="M133">
        <v>296</v>
      </c>
      <c r="N133" t="s">
        <v>201</v>
      </c>
      <c r="O133" t="s">
        <v>1707</v>
      </c>
    </row>
    <row r="134" spans="1:15" x14ac:dyDescent="0.2">
      <c r="A134" t="s">
        <v>32</v>
      </c>
      <c r="B134" t="s">
        <v>191</v>
      </c>
      <c r="C134">
        <v>134</v>
      </c>
      <c r="D134" t="s">
        <v>17</v>
      </c>
      <c r="E134" t="s">
        <v>17</v>
      </c>
      <c r="F134">
        <v>133</v>
      </c>
      <c r="G134" t="s">
        <v>17</v>
      </c>
      <c r="H134" t="s">
        <v>17</v>
      </c>
      <c r="I134">
        <v>5.824E-2</v>
      </c>
      <c r="J134">
        <v>50</v>
      </c>
      <c r="K134">
        <f t="shared" si="5"/>
        <v>2.912E-2</v>
      </c>
      <c r="L134" t="s">
        <v>17</v>
      </c>
      <c r="M134">
        <v>296</v>
      </c>
      <c r="N134" t="s">
        <v>201</v>
      </c>
      <c r="O134" t="s">
        <v>1708</v>
      </c>
    </row>
    <row r="135" spans="1:15" x14ac:dyDescent="0.2">
      <c r="A135" t="s">
        <v>32</v>
      </c>
      <c r="B135" t="s">
        <v>191</v>
      </c>
      <c r="C135">
        <v>135</v>
      </c>
      <c r="D135" t="s">
        <v>17</v>
      </c>
      <c r="E135" t="s">
        <v>17</v>
      </c>
      <c r="F135">
        <v>134</v>
      </c>
      <c r="G135" t="s">
        <v>17</v>
      </c>
      <c r="H135" t="s">
        <v>17</v>
      </c>
      <c r="I135">
        <v>5.824E-2</v>
      </c>
      <c r="J135">
        <v>50</v>
      </c>
      <c r="K135">
        <f t="shared" si="5"/>
        <v>2.912E-2</v>
      </c>
      <c r="L135" t="s">
        <v>17</v>
      </c>
      <c r="M135">
        <v>296</v>
      </c>
      <c r="N135" t="s">
        <v>201</v>
      </c>
      <c r="O135" t="s">
        <v>1709</v>
      </c>
    </row>
    <row r="136" spans="1:15" x14ac:dyDescent="0.2">
      <c r="A136" t="s">
        <v>32</v>
      </c>
      <c r="B136" t="s">
        <v>191</v>
      </c>
      <c r="C136">
        <v>136</v>
      </c>
      <c r="D136" t="s">
        <v>17</v>
      </c>
      <c r="E136" t="s">
        <v>17</v>
      </c>
      <c r="F136">
        <v>135</v>
      </c>
      <c r="G136" t="s">
        <v>17</v>
      </c>
      <c r="H136" t="s">
        <v>17</v>
      </c>
      <c r="I136">
        <v>5.824E-2</v>
      </c>
      <c r="J136">
        <v>50</v>
      </c>
      <c r="K136">
        <f t="shared" si="5"/>
        <v>2.912E-2</v>
      </c>
      <c r="L136" t="s">
        <v>17</v>
      </c>
      <c r="M136">
        <v>296</v>
      </c>
      <c r="N136" t="s">
        <v>201</v>
      </c>
      <c r="O136" t="s">
        <v>1710</v>
      </c>
    </row>
    <row r="137" spans="1:15" x14ac:dyDescent="0.2">
      <c r="A137" t="s">
        <v>32</v>
      </c>
      <c r="B137" t="s">
        <v>191</v>
      </c>
      <c r="C137">
        <v>137</v>
      </c>
      <c r="D137" t="s">
        <v>17</v>
      </c>
      <c r="E137" t="s">
        <v>17</v>
      </c>
      <c r="F137">
        <v>136</v>
      </c>
      <c r="G137" t="s">
        <v>17</v>
      </c>
      <c r="H137" t="s">
        <v>17</v>
      </c>
      <c r="I137">
        <v>5.824E-2</v>
      </c>
      <c r="J137">
        <v>50</v>
      </c>
      <c r="K137">
        <f t="shared" si="5"/>
        <v>2.912E-2</v>
      </c>
      <c r="L137" t="s">
        <v>17</v>
      </c>
      <c r="M137">
        <v>296</v>
      </c>
      <c r="N137" t="s">
        <v>201</v>
      </c>
      <c r="O137" t="s">
        <v>1711</v>
      </c>
    </row>
    <row r="138" spans="1:15" x14ac:dyDescent="0.2">
      <c r="A138" t="s">
        <v>32</v>
      </c>
      <c r="B138" t="s">
        <v>191</v>
      </c>
      <c r="C138">
        <v>138</v>
      </c>
      <c r="D138" t="s">
        <v>17</v>
      </c>
      <c r="E138" t="s">
        <v>17</v>
      </c>
      <c r="F138">
        <v>137</v>
      </c>
      <c r="G138" t="s">
        <v>17</v>
      </c>
      <c r="H138" t="s">
        <v>17</v>
      </c>
      <c r="I138">
        <v>5.824E-2</v>
      </c>
      <c r="J138">
        <v>50</v>
      </c>
      <c r="K138">
        <f t="shared" si="5"/>
        <v>2.912E-2</v>
      </c>
      <c r="L138" t="s">
        <v>17</v>
      </c>
      <c r="M138">
        <v>296</v>
      </c>
      <c r="N138" t="s">
        <v>201</v>
      </c>
      <c r="O138" t="s">
        <v>1712</v>
      </c>
    </row>
    <row r="139" spans="1:15" x14ac:dyDescent="0.2">
      <c r="A139" t="s">
        <v>32</v>
      </c>
      <c r="B139" t="s">
        <v>191</v>
      </c>
      <c r="C139">
        <v>139</v>
      </c>
      <c r="D139" t="s">
        <v>17</v>
      </c>
      <c r="E139" t="s">
        <v>17</v>
      </c>
      <c r="F139">
        <v>138</v>
      </c>
      <c r="G139" t="s">
        <v>17</v>
      </c>
      <c r="H139" t="s">
        <v>17</v>
      </c>
      <c r="I139">
        <v>5.824E-2</v>
      </c>
      <c r="J139">
        <v>50</v>
      </c>
      <c r="K139">
        <f t="shared" si="5"/>
        <v>2.912E-2</v>
      </c>
      <c r="L139" t="s">
        <v>17</v>
      </c>
      <c r="M139">
        <v>296</v>
      </c>
      <c r="N139" t="s">
        <v>201</v>
      </c>
      <c r="O139" t="s">
        <v>1713</v>
      </c>
    </row>
    <row r="140" spans="1:15" x14ac:dyDescent="0.2">
      <c r="A140" t="s">
        <v>32</v>
      </c>
      <c r="B140" t="s">
        <v>191</v>
      </c>
      <c r="C140">
        <v>140</v>
      </c>
      <c r="D140" t="s">
        <v>17</v>
      </c>
      <c r="E140" t="s">
        <v>17</v>
      </c>
      <c r="F140">
        <v>139</v>
      </c>
      <c r="G140" t="s">
        <v>17</v>
      </c>
      <c r="H140" t="s">
        <v>17</v>
      </c>
      <c r="I140">
        <v>5.824E-2</v>
      </c>
      <c r="J140">
        <v>50</v>
      </c>
      <c r="K140">
        <f t="shared" si="5"/>
        <v>2.912E-2</v>
      </c>
      <c r="L140" t="s">
        <v>17</v>
      </c>
      <c r="M140">
        <v>296</v>
      </c>
      <c r="N140" t="s">
        <v>201</v>
      </c>
      <c r="O140" t="s">
        <v>1714</v>
      </c>
    </row>
    <row r="141" spans="1:15" x14ac:dyDescent="0.2">
      <c r="A141" t="s">
        <v>32</v>
      </c>
      <c r="B141" t="s">
        <v>191</v>
      </c>
      <c r="C141">
        <v>141</v>
      </c>
      <c r="D141" t="s">
        <v>17</v>
      </c>
      <c r="E141" t="s">
        <v>17</v>
      </c>
      <c r="F141">
        <v>140</v>
      </c>
      <c r="G141" t="s">
        <v>17</v>
      </c>
      <c r="H141" t="s">
        <v>17</v>
      </c>
      <c r="I141">
        <v>5.824E-2</v>
      </c>
      <c r="J141">
        <v>50</v>
      </c>
      <c r="K141">
        <f t="shared" si="5"/>
        <v>2.912E-2</v>
      </c>
      <c r="L141" t="s">
        <v>17</v>
      </c>
      <c r="M141">
        <v>296</v>
      </c>
      <c r="N141" t="s">
        <v>201</v>
      </c>
      <c r="O141" t="s">
        <v>1715</v>
      </c>
    </row>
    <row r="142" spans="1:15" x14ac:dyDescent="0.2">
      <c r="A142" t="s">
        <v>32</v>
      </c>
      <c r="B142" t="s">
        <v>191</v>
      </c>
      <c r="C142">
        <v>142</v>
      </c>
      <c r="D142" t="s">
        <v>17</v>
      </c>
      <c r="E142" t="s">
        <v>17</v>
      </c>
      <c r="F142">
        <v>141</v>
      </c>
      <c r="G142" t="s">
        <v>17</v>
      </c>
      <c r="H142" t="s">
        <v>17</v>
      </c>
      <c r="I142">
        <v>5.824E-2</v>
      </c>
      <c r="J142">
        <v>50</v>
      </c>
      <c r="K142">
        <f t="shared" si="5"/>
        <v>2.912E-2</v>
      </c>
      <c r="L142" t="s">
        <v>17</v>
      </c>
      <c r="M142">
        <v>296</v>
      </c>
      <c r="N142" t="s">
        <v>201</v>
      </c>
      <c r="O142" t="s">
        <v>1716</v>
      </c>
    </row>
    <row r="143" spans="1:15" x14ac:dyDescent="0.2">
      <c r="A143" t="s">
        <v>32</v>
      </c>
      <c r="B143" t="s">
        <v>191</v>
      </c>
      <c r="C143">
        <v>143</v>
      </c>
      <c r="D143" t="s">
        <v>17</v>
      </c>
      <c r="E143" t="s">
        <v>17</v>
      </c>
      <c r="F143">
        <v>142</v>
      </c>
      <c r="G143" t="s">
        <v>17</v>
      </c>
      <c r="H143" t="s">
        <v>17</v>
      </c>
      <c r="I143">
        <v>5.824E-2</v>
      </c>
      <c r="J143">
        <v>50</v>
      </c>
      <c r="K143">
        <f t="shared" si="5"/>
        <v>2.912E-2</v>
      </c>
      <c r="L143" t="s">
        <v>17</v>
      </c>
      <c r="M143">
        <v>296</v>
      </c>
      <c r="N143" t="s">
        <v>201</v>
      </c>
      <c r="O143" t="s">
        <v>1717</v>
      </c>
    </row>
    <row r="144" spans="1:15" x14ac:dyDescent="0.2">
      <c r="A144" t="s">
        <v>32</v>
      </c>
      <c r="B144" t="s">
        <v>191</v>
      </c>
      <c r="C144">
        <v>144</v>
      </c>
      <c r="D144" t="s">
        <v>17</v>
      </c>
      <c r="E144" t="s">
        <v>17</v>
      </c>
      <c r="F144">
        <v>143</v>
      </c>
      <c r="G144" t="s">
        <v>17</v>
      </c>
      <c r="H144" t="s">
        <v>17</v>
      </c>
      <c r="I144">
        <v>5.824E-2</v>
      </c>
      <c r="J144">
        <v>50</v>
      </c>
      <c r="K144">
        <f t="shared" si="5"/>
        <v>2.912E-2</v>
      </c>
      <c r="L144" t="s">
        <v>17</v>
      </c>
      <c r="M144">
        <v>296</v>
      </c>
      <c r="N144" t="s">
        <v>201</v>
      </c>
      <c r="O144" t="s">
        <v>1718</v>
      </c>
    </row>
    <row r="145" spans="1:15" x14ac:dyDescent="0.2">
      <c r="A145" t="s">
        <v>32</v>
      </c>
      <c r="B145" t="s">
        <v>191</v>
      </c>
      <c r="C145">
        <v>145</v>
      </c>
      <c r="D145" t="s">
        <v>17</v>
      </c>
      <c r="E145" t="s">
        <v>17</v>
      </c>
      <c r="F145">
        <v>144</v>
      </c>
      <c r="G145" t="s">
        <v>17</v>
      </c>
      <c r="H145" t="s">
        <v>17</v>
      </c>
      <c r="I145">
        <v>5.824E-2</v>
      </c>
      <c r="J145">
        <v>50</v>
      </c>
      <c r="K145">
        <f t="shared" si="5"/>
        <v>2.912E-2</v>
      </c>
      <c r="L145" t="s">
        <v>17</v>
      </c>
      <c r="M145">
        <v>296</v>
      </c>
      <c r="N145" t="s">
        <v>201</v>
      </c>
      <c r="O145" t="s">
        <v>1719</v>
      </c>
    </row>
    <row r="146" spans="1:15" x14ac:dyDescent="0.2">
      <c r="A146" t="s">
        <v>32</v>
      </c>
      <c r="B146" t="s">
        <v>191</v>
      </c>
      <c r="C146">
        <v>146</v>
      </c>
      <c r="D146" t="s">
        <v>17</v>
      </c>
      <c r="E146" t="s">
        <v>17</v>
      </c>
      <c r="F146">
        <v>145</v>
      </c>
      <c r="G146" t="s">
        <v>17</v>
      </c>
      <c r="H146" t="s">
        <v>17</v>
      </c>
      <c r="I146">
        <v>5.824E-2</v>
      </c>
      <c r="J146">
        <v>50</v>
      </c>
      <c r="K146">
        <f t="shared" si="5"/>
        <v>2.912E-2</v>
      </c>
      <c r="L146" t="s">
        <v>17</v>
      </c>
      <c r="M146">
        <v>296</v>
      </c>
      <c r="N146" t="s">
        <v>201</v>
      </c>
      <c r="O146" t="s">
        <v>1720</v>
      </c>
    </row>
    <row r="147" spans="1:15" x14ac:dyDescent="0.2">
      <c r="A147" t="s">
        <v>32</v>
      </c>
      <c r="B147" t="s">
        <v>191</v>
      </c>
      <c r="C147">
        <v>147</v>
      </c>
      <c r="D147" t="s">
        <v>17</v>
      </c>
      <c r="E147" t="s">
        <v>17</v>
      </c>
      <c r="F147">
        <v>146</v>
      </c>
      <c r="G147" t="s">
        <v>17</v>
      </c>
      <c r="H147" t="s">
        <v>17</v>
      </c>
      <c r="I147">
        <v>5.824E-2</v>
      </c>
      <c r="J147">
        <v>50</v>
      </c>
      <c r="K147">
        <f t="shared" si="5"/>
        <v>2.912E-2</v>
      </c>
      <c r="L147" t="s">
        <v>17</v>
      </c>
      <c r="M147">
        <v>296</v>
      </c>
      <c r="N147" t="s">
        <v>201</v>
      </c>
      <c r="O147" t="s">
        <v>1721</v>
      </c>
    </row>
    <row r="148" spans="1:15" x14ac:dyDescent="0.2">
      <c r="A148" t="s">
        <v>32</v>
      </c>
      <c r="B148" t="s">
        <v>191</v>
      </c>
      <c r="C148">
        <v>148</v>
      </c>
      <c r="D148" t="s">
        <v>17</v>
      </c>
      <c r="E148" t="s">
        <v>17</v>
      </c>
      <c r="F148">
        <v>147</v>
      </c>
      <c r="G148" t="s">
        <v>17</v>
      </c>
      <c r="H148" t="s">
        <v>17</v>
      </c>
      <c r="I148">
        <v>5.824E-2</v>
      </c>
      <c r="J148">
        <v>50</v>
      </c>
      <c r="K148">
        <f t="shared" si="5"/>
        <v>2.912E-2</v>
      </c>
      <c r="L148" t="s">
        <v>17</v>
      </c>
      <c r="M148">
        <v>296</v>
      </c>
      <c r="N148" t="s">
        <v>201</v>
      </c>
      <c r="O148" t="s">
        <v>1722</v>
      </c>
    </row>
    <row r="149" spans="1:15" x14ac:dyDescent="0.2">
      <c r="A149" t="s">
        <v>32</v>
      </c>
      <c r="B149" t="s">
        <v>191</v>
      </c>
      <c r="C149">
        <v>149</v>
      </c>
      <c r="D149" t="s">
        <v>17</v>
      </c>
      <c r="E149" t="s">
        <v>17</v>
      </c>
      <c r="F149">
        <v>148</v>
      </c>
      <c r="G149" t="s">
        <v>17</v>
      </c>
      <c r="H149" t="s">
        <v>17</v>
      </c>
      <c r="I149">
        <v>5.824E-2</v>
      </c>
      <c r="J149">
        <v>50</v>
      </c>
      <c r="K149">
        <f t="shared" si="5"/>
        <v>2.912E-2</v>
      </c>
      <c r="L149" t="s">
        <v>17</v>
      </c>
      <c r="M149">
        <v>296</v>
      </c>
      <c r="N149" t="s">
        <v>201</v>
      </c>
      <c r="O149" t="s">
        <v>1723</v>
      </c>
    </row>
    <row r="150" spans="1:15" x14ac:dyDescent="0.2">
      <c r="A150" t="s">
        <v>32</v>
      </c>
      <c r="B150" t="s">
        <v>191</v>
      </c>
      <c r="C150">
        <v>150</v>
      </c>
      <c r="D150" t="s">
        <v>17</v>
      </c>
      <c r="E150" t="s">
        <v>17</v>
      </c>
      <c r="F150">
        <v>149</v>
      </c>
      <c r="G150" t="s">
        <v>17</v>
      </c>
      <c r="H150" t="s">
        <v>17</v>
      </c>
      <c r="I150">
        <v>5.824E-2</v>
      </c>
      <c r="J150">
        <v>50</v>
      </c>
      <c r="K150">
        <f t="shared" si="5"/>
        <v>2.912E-2</v>
      </c>
      <c r="L150" t="s">
        <v>17</v>
      </c>
      <c r="M150">
        <v>296</v>
      </c>
      <c r="N150" t="s">
        <v>201</v>
      </c>
      <c r="O150" t="s">
        <v>1724</v>
      </c>
    </row>
    <row r="151" spans="1:15" x14ac:dyDescent="0.2">
      <c r="A151" t="s">
        <v>32</v>
      </c>
      <c r="B151" t="s">
        <v>191</v>
      </c>
      <c r="C151">
        <v>151</v>
      </c>
      <c r="D151" t="s">
        <v>17</v>
      </c>
      <c r="E151" t="s">
        <v>17</v>
      </c>
      <c r="F151">
        <v>150</v>
      </c>
      <c r="G151" t="s">
        <v>17</v>
      </c>
      <c r="H151" t="s">
        <v>17</v>
      </c>
      <c r="I151">
        <v>5.824E-2</v>
      </c>
      <c r="J151">
        <v>50</v>
      </c>
      <c r="K151">
        <f t="shared" si="5"/>
        <v>2.912E-2</v>
      </c>
      <c r="L151" t="s">
        <v>17</v>
      </c>
      <c r="M151">
        <v>296</v>
      </c>
      <c r="N151" t="s">
        <v>201</v>
      </c>
      <c r="O151" t="s">
        <v>1725</v>
      </c>
    </row>
    <row r="152" spans="1:15" x14ac:dyDescent="0.2">
      <c r="A152" t="s">
        <v>32</v>
      </c>
      <c r="B152" t="s">
        <v>191</v>
      </c>
      <c r="C152">
        <v>152</v>
      </c>
      <c r="D152" t="s">
        <v>17</v>
      </c>
      <c r="E152" t="s">
        <v>17</v>
      </c>
      <c r="F152">
        <v>151</v>
      </c>
      <c r="G152" t="s">
        <v>17</v>
      </c>
      <c r="H152" t="s">
        <v>17</v>
      </c>
      <c r="I152">
        <v>5.824E-2</v>
      </c>
      <c r="J152">
        <v>50</v>
      </c>
      <c r="K152">
        <f t="shared" si="5"/>
        <v>2.912E-2</v>
      </c>
      <c r="L152" t="s">
        <v>17</v>
      </c>
      <c r="M152">
        <v>296</v>
      </c>
      <c r="N152" t="s">
        <v>201</v>
      </c>
      <c r="O152" t="s">
        <v>1726</v>
      </c>
    </row>
    <row r="153" spans="1:15" x14ac:dyDescent="0.2">
      <c r="A153" t="s">
        <v>32</v>
      </c>
      <c r="B153" t="s">
        <v>191</v>
      </c>
      <c r="C153">
        <v>153</v>
      </c>
      <c r="D153" t="s">
        <v>17</v>
      </c>
      <c r="E153" t="s">
        <v>17</v>
      </c>
      <c r="F153">
        <v>152</v>
      </c>
      <c r="G153" t="s">
        <v>17</v>
      </c>
      <c r="H153" t="s">
        <v>17</v>
      </c>
      <c r="I153">
        <v>5.824E-2</v>
      </c>
      <c r="J153">
        <v>50</v>
      </c>
      <c r="K153">
        <f t="shared" si="5"/>
        <v>2.912E-2</v>
      </c>
      <c r="L153" t="s">
        <v>17</v>
      </c>
      <c r="M153">
        <v>296</v>
      </c>
      <c r="N153" t="s">
        <v>201</v>
      </c>
      <c r="O153" t="s">
        <v>1727</v>
      </c>
    </row>
    <row r="154" spans="1:15" x14ac:dyDescent="0.2">
      <c r="A154" t="s">
        <v>32</v>
      </c>
      <c r="B154" t="s">
        <v>191</v>
      </c>
      <c r="C154">
        <v>154</v>
      </c>
      <c r="D154" t="s">
        <v>17</v>
      </c>
      <c r="E154" t="s">
        <v>17</v>
      </c>
      <c r="F154">
        <v>153</v>
      </c>
      <c r="G154" t="s">
        <v>17</v>
      </c>
      <c r="H154" t="s">
        <v>17</v>
      </c>
      <c r="I154">
        <v>5.824E-2</v>
      </c>
      <c r="J154">
        <v>50</v>
      </c>
      <c r="K154">
        <f t="shared" si="5"/>
        <v>2.912E-2</v>
      </c>
      <c r="L154" t="s">
        <v>17</v>
      </c>
      <c r="M154">
        <v>296</v>
      </c>
      <c r="N154" t="s">
        <v>201</v>
      </c>
      <c r="O154" t="s">
        <v>1728</v>
      </c>
    </row>
    <row r="155" spans="1:15" x14ac:dyDescent="0.2">
      <c r="A155" t="s">
        <v>32</v>
      </c>
      <c r="B155" t="s">
        <v>191</v>
      </c>
      <c r="C155">
        <v>155</v>
      </c>
      <c r="D155" t="s">
        <v>17</v>
      </c>
      <c r="E155" t="s">
        <v>17</v>
      </c>
      <c r="F155">
        <v>154</v>
      </c>
      <c r="G155" t="s">
        <v>17</v>
      </c>
      <c r="H155" t="s">
        <v>17</v>
      </c>
      <c r="I155">
        <v>5.824E-2</v>
      </c>
      <c r="J155">
        <v>50</v>
      </c>
      <c r="K155">
        <f t="shared" si="5"/>
        <v>2.912E-2</v>
      </c>
      <c r="L155" t="s">
        <v>17</v>
      </c>
      <c r="M155">
        <v>296</v>
      </c>
      <c r="N155" t="s">
        <v>201</v>
      </c>
      <c r="O155" t="s">
        <v>1729</v>
      </c>
    </row>
    <row r="156" spans="1:15" x14ac:dyDescent="0.2">
      <c r="A156" t="s">
        <v>32</v>
      </c>
      <c r="B156" t="s">
        <v>191</v>
      </c>
      <c r="C156">
        <v>156</v>
      </c>
      <c r="D156" t="s">
        <v>17</v>
      </c>
      <c r="E156" t="s">
        <v>17</v>
      </c>
      <c r="F156">
        <v>155</v>
      </c>
      <c r="G156" t="s">
        <v>17</v>
      </c>
      <c r="H156" t="s">
        <v>17</v>
      </c>
      <c r="I156">
        <v>5.824E-2</v>
      </c>
      <c r="J156">
        <v>50</v>
      </c>
      <c r="K156">
        <f t="shared" ref="K156:K167" si="6">I156*J156/100</f>
        <v>2.912E-2</v>
      </c>
      <c r="L156" t="s">
        <v>17</v>
      </c>
      <c r="M156">
        <v>296</v>
      </c>
      <c r="N156" t="s">
        <v>201</v>
      </c>
      <c r="O156" t="s">
        <v>1730</v>
      </c>
    </row>
    <row r="157" spans="1:15" x14ac:dyDescent="0.2">
      <c r="A157" t="s">
        <v>32</v>
      </c>
      <c r="B157" t="s">
        <v>191</v>
      </c>
      <c r="C157">
        <v>157</v>
      </c>
      <c r="D157" t="s">
        <v>17</v>
      </c>
      <c r="E157" t="s">
        <v>17</v>
      </c>
      <c r="F157">
        <v>156</v>
      </c>
      <c r="G157" t="s">
        <v>17</v>
      </c>
      <c r="H157" t="s">
        <v>17</v>
      </c>
      <c r="I157">
        <v>5.824E-2</v>
      </c>
      <c r="J157">
        <v>50</v>
      </c>
      <c r="K157">
        <f t="shared" si="6"/>
        <v>2.912E-2</v>
      </c>
      <c r="L157" t="s">
        <v>17</v>
      </c>
      <c r="M157">
        <v>296</v>
      </c>
      <c r="N157" t="s">
        <v>201</v>
      </c>
      <c r="O157" t="s">
        <v>1731</v>
      </c>
    </row>
    <row r="158" spans="1:15" x14ac:dyDescent="0.2">
      <c r="A158" t="s">
        <v>32</v>
      </c>
      <c r="B158" t="s">
        <v>191</v>
      </c>
      <c r="C158">
        <v>158</v>
      </c>
      <c r="D158" t="s">
        <v>17</v>
      </c>
      <c r="E158" t="s">
        <v>17</v>
      </c>
      <c r="F158">
        <v>157</v>
      </c>
      <c r="G158" t="s">
        <v>17</v>
      </c>
      <c r="H158" t="s">
        <v>17</v>
      </c>
      <c r="I158">
        <v>5.824E-2</v>
      </c>
      <c r="J158">
        <v>50</v>
      </c>
      <c r="K158">
        <f t="shared" si="6"/>
        <v>2.912E-2</v>
      </c>
      <c r="L158" t="s">
        <v>17</v>
      </c>
      <c r="M158">
        <v>296</v>
      </c>
      <c r="N158" t="s">
        <v>201</v>
      </c>
      <c r="O158" t="s">
        <v>1732</v>
      </c>
    </row>
    <row r="159" spans="1:15" x14ac:dyDescent="0.2">
      <c r="A159" t="s">
        <v>32</v>
      </c>
      <c r="B159" t="s">
        <v>191</v>
      </c>
      <c r="C159">
        <v>159</v>
      </c>
      <c r="D159" t="s">
        <v>17</v>
      </c>
      <c r="E159" t="s">
        <v>17</v>
      </c>
      <c r="F159">
        <v>158</v>
      </c>
      <c r="G159" t="s">
        <v>17</v>
      </c>
      <c r="H159" t="s">
        <v>17</v>
      </c>
      <c r="I159">
        <v>5.824E-2</v>
      </c>
      <c r="J159">
        <v>50</v>
      </c>
      <c r="K159">
        <f t="shared" si="6"/>
        <v>2.912E-2</v>
      </c>
      <c r="L159" t="s">
        <v>17</v>
      </c>
      <c r="M159">
        <v>296</v>
      </c>
      <c r="N159" t="s">
        <v>201</v>
      </c>
      <c r="O159" t="s">
        <v>1733</v>
      </c>
    </row>
    <row r="160" spans="1:15" x14ac:dyDescent="0.2">
      <c r="A160" t="s">
        <v>32</v>
      </c>
      <c r="B160" t="s">
        <v>191</v>
      </c>
      <c r="C160">
        <v>160</v>
      </c>
      <c r="D160" t="s">
        <v>17</v>
      </c>
      <c r="E160" t="s">
        <v>17</v>
      </c>
      <c r="F160">
        <v>159</v>
      </c>
      <c r="G160" t="s">
        <v>17</v>
      </c>
      <c r="H160" t="s">
        <v>17</v>
      </c>
      <c r="I160">
        <v>5.824E-2</v>
      </c>
      <c r="J160">
        <v>50</v>
      </c>
      <c r="K160">
        <f t="shared" si="6"/>
        <v>2.912E-2</v>
      </c>
      <c r="L160" t="s">
        <v>17</v>
      </c>
      <c r="M160">
        <v>296</v>
      </c>
      <c r="N160" t="s">
        <v>201</v>
      </c>
      <c r="O160" t="s">
        <v>1734</v>
      </c>
    </row>
    <row r="161" spans="1:15" x14ac:dyDescent="0.2">
      <c r="A161" t="s">
        <v>32</v>
      </c>
      <c r="B161" t="s">
        <v>191</v>
      </c>
      <c r="C161">
        <v>161</v>
      </c>
      <c r="D161" t="s">
        <v>17</v>
      </c>
      <c r="E161" t="s">
        <v>17</v>
      </c>
      <c r="F161">
        <v>160</v>
      </c>
      <c r="G161" t="s">
        <v>17</v>
      </c>
      <c r="H161" t="s">
        <v>17</v>
      </c>
      <c r="I161">
        <v>5.824E-2</v>
      </c>
      <c r="J161">
        <v>50</v>
      </c>
      <c r="K161">
        <f t="shared" si="6"/>
        <v>2.912E-2</v>
      </c>
      <c r="L161" t="s">
        <v>17</v>
      </c>
      <c r="M161">
        <v>296</v>
      </c>
      <c r="N161" t="s">
        <v>201</v>
      </c>
      <c r="O161" t="s">
        <v>1735</v>
      </c>
    </row>
    <row r="162" spans="1:15" x14ac:dyDescent="0.2">
      <c r="A162" t="s">
        <v>32</v>
      </c>
      <c r="B162" t="s">
        <v>191</v>
      </c>
      <c r="C162">
        <v>162</v>
      </c>
      <c r="D162" t="s">
        <v>17</v>
      </c>
      <c r="E162" t="s">
        <v>17</v>
      </c>
      <c r="F162">
        <v>161</v>
      </c>
      <c r="G162" t="s">
        <v>17</v>
      </c>
      <c r="H162" t="s">
        <v>17</v>
      </c>
      <c r="I162">
        <v>5.824E-2</v>
      </c>
      <c r="J162">
        <v>50</v>
      </c>
      <c r="K162">
        <f t="shared" si="6"/>
        <v>2.912E-2</v>
      </c>
      <c r="L162" t="s">
        <v>17</v>
      </c>
      <c r="M162">
        <v>296</v>
      </c>
      <c r="N162" t="s">
        <v>201</v>
      </c>
      <c r="O162" t="s">
        <v>1736</v>
      </c>
    </row>
    <row r="163" spans="1:15" x14ac:dyDescent="0.2">
      <c r="A163" t="s">
        <v>32</v>
      </c>
      <c r="B163" t="s">
        <v>191</v>
      </c>
      <c r="C163">
        <v>163</v>
      </c>
      <c r="D163" t="s">
        <v>17</v>
      </c>
      <c r="E163" t="s">
        <v>17</v>
      </c>
      <c r="F163">
        <v>162</v>
      </c>
      <c r="G163" t="s">
        <v>17</v>
      </c>
      <c r="H163" t="s">
        <v>17</v>
      </c>
      <c r="I163">
        <v>5.824E-2</v>
      </c>
      <c r="J163">
        <v>50</v>
      </c>
      <c r="K163">
        <f t="shared" si="6"/>
        <v>2.912E-2</v>
      </c>
      <c r="L163" t="s">
        <v>17</v>
      </c>
      <c r="M163">
        <v>296</v>
      </c>
      <c r="N163" t="s">
        <v>201</v>
      </c>
      <c r="O163" t="s">
        <v>1737</v>
      </c>
    </row>
    <row r="164" spans="1:15" x14ac:dyDescent="0.2">
      <c r="A164" t="s">
        <v>32</v>
      </c>
      <c r="B164" t="s">
        <v>191</v>
      </c>
      <c r="C164">
        <v>164</v>
      </c>
      <c r="D164" t="s">
        <v>17</v>
      </c>
      <c r="E164" t="s">
        <v>17</v>
      </c>
      <c r="F164">
        <v>163</v>
      </c>
      <c r="G164" t="s">
        <v>17</v>
      </c>
      <c r="H164" t="s">
        <v>17</v>
      </c>
      <c r="I164">
        <v>5.824E-2</v>
      </c>
      <c r="J164">
        <v>50</v>
      </c>
      <c r="K164">
        <f t="shared" si="6"/>
        <v>2.912E-2</v>
      </c>
      <c r="L164" t="s">
        <v>17</v>
      </c>
      <c r="M164">
        <v>296</v>
      </c>
      <c r="N164" t="s">
        <v>201</v>
      </c>
      <c r="O164" t="s">
        <v>1738</v>
      </c>
    </row>
    <row r="165" spans="1:15" x14ac:dyDescent="0.2">
      <c r="A165" t="s">
        <v>32</v>
      </c>
      <c r="B165" t="s">
        <v>191</v>
      </c>
      <c r="C165">
        <v>165</v>
      </c>
      <c r="D165" t="s">
        <v>17</v>
      </c>
      <c r="E165" t="s">
        <v>17</v>
      </c>
      <c r="F165">
        <v>164</v>
      </c>
      <c r="G165" t="s">
        <v>17</v>
      </c>
      <c r="H165" t="s">
        <v>17</v>
      </c>
      <c r="I165">
        <v>5.824E-2</v>
      </c>
      <c r="J165">
        <v>50</v>
      </c>
      <c r="K165">
        <f t="shared" si="6"/>
        <v>2.912E-2</v>
      </c>
      <c r="L165" t="s">
        <v>17</v>
      </c>
      <c r="M165">
        <v>296</v>
      </c>
      <c r="N165" t="s">
        <v>201</v>
      </c>
      <c r="O165" t="s">
        <v>1739</v>
      </c>
    </row>
    <row r="166" spans="1:15" x14ac:dyDescent="0.2">
      <c r="A166" t="s">
        <v>32</v>
      </c>
      <c r="B166" t="s">
        <v>191</v>
      </c>
      <c r="C166">
        <v>166</v>
      </c>
      <c r="D166" t="s">
        <v>17</v>
      </c>
      <c r="E166" t="s">
        <v>17</v>
      </c>
      <c r="F166">
        <v>165</v>
      </c>
      <c r="G166" t="s">
        <v>17</v>
      </c>
      <c r="H166" t="s">
        <v>17</v>
      </c>
      <c r="I166">
        <v>5.824E-2</v>
      </c>
      <c r="J166">
        <v>50</v>
      </c>
      <c r="K166">
        <f t="shared" si="6"/>
        <v>2.912E-2</v>
      </c>
      <c r="L166" t="s">
        <v>17</v>
      </c>
      <c r="M166">
        <v>296</v>
      </c>
      <c r="N166" t="s">
        <v>201</v>
      </c>
      <c r="O166" t="s">
        <v>1740</v>
      </c>
    </row>
    <row r="167" spans="1:15" x14ac:dyDescent="0.2">
      <c r="A167" t="s">
        <v>32</v>
      </c>
      <c r="B167" t="s">
        <v>191</v>
      </c>
      <c r="C167">
        <v>167</v>
      </c>
      <c r="D167" t="s">
        <v>17</v>
      </c>
      <c r="E167" t="s">
        <v>17</v>
      </c>
      <c r="F167">
        <v>166</v>
      </c>
      <c r="G167" t="s">
        <v>17</v>
      </c>
      <c r="H167" t="s">
        <v>17</v>
      </c>
      <c r="I167">
        <v>5.824E-2</v>
      </c>
      <c r="J167">
        <v>50</v>
      </c>
      <c r="K167">
        <f t="shared" si="6"/>
        <v>2.912E-2</v>
      </c>
      <c r="L167" t="s">
        <v>17</v>
      </c>
      <c r="M167">
        <v>296</v>
      </c>
      <c r="N167" t="s">
        <v>201</v>
      </c>
      <c r="O167" t="s">
        <v>1741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52CF-70F9-2749-A9BA-AF65FEAE825E}">
  <dimension ref="A1:O24"/>
  <sheetViews>
    <sheetView workbookViewId="0">
      <selection activeCell="P1" sqref="P1"/>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57</v>
      </c>
      <c r="B2" t="s">
        <v>239</v>
      </c>
      <c r="C2">
        <v>0</v>
      </c>
      <c r="D2" t="s">
        <v>17</v>
      </c>
      <c r="E2" t="s">
        <v>17</v>
      </c>
      <c r="F2">
        <v>0</v>
      </c>
      <c r="G2" t="s">
        <v>17</v>
      </c>
      <c r="H2" t="s">
        <v>17</v>
      </c>
      <c r="I2">
        <v>0.127</v>
      </c>
      <c r="J2">
        <f>K2/I2*100</f>
        <v>7.8740157480314963</v>
      </c>
      <c r="K2">
        <v>0.01</v>
      </c>
      <c r="L2" t="s">
        <v>17</v>
      </c>
      <c r="M2">
        <v>140</v>
      </c>
      <c r="N2" t="s">
        <v>18</v>
      </c>
      <c r="O2" t="s">
        <v>1742</v>
      </c>
    </row>
    <row r="3" spans="1:15" x14ac:dyDescent="0.2">
      <c r="A3" t="s">
        <v>57</v>
      </c>
      <c r="B3" t="s">
        <v>239</v>
      </c>
      <c r="C3">
        <v>1</v>
      </c>
      <c r="D3" t="s">
        <v>17</v>
      </c>
      <c r="E3" t="s">
        <v>17</v>
      </c>
      <c r="F3">
        <v>1</v>
      </c>
      <c r="G3" t="s">
        <v>17</v>
      </c>
      <c r="H3" t="s">
        <v>17</v>
      </c>
      <c r="I3">
        <v>0.115</v>
      </c>
      <c r="J3">
        <f t="shared" ref="J3:J23" si="0">K3/I3*100</f>
        <v>8.695652173913043</v>
      </c>
      <c r="K3">
        <v>0.01</v>
      </c>
      <c r="L3" t="s">
        <v>17</v>
      </c>
      <c r="M3">
        <v>140</v>
      </c>
      <c r="N3" t="s">
        <v>18</v>
      </c>
      <c r="O3" t="s">
        <v>1743</v>
      </c>
    </row>
    <row r="4" spans="1:15" x14ac:dyDescent="0.2">
      <c r="A4" t="s">
        <v>57</v>
      </c>
      <c r="B4" t="s">
        <v>239</v>
      </c>
      <c r="C4">
        <v>2</v>
      </c>
      <c r="D4" t="s">
        <v>17</v>
      </c>
      <c r="E4" t="s">
        <v>17</v>
      </c>
      <c r="F4">
        <v>2</v>
      </c>
      <c r="G4" t="s">
        <v>17</v>
      </c>
      <c r="H4" t="s">
        <v>17</v>
      </c>
      <c r="I4">
        <v>7.9000000000000001E-2</v>
      </c>
      <c r="J4">
        <f t="shared" si="0"/>
        <v>11.39240506329114</v>
      </c>
      <c r="K4">
        <v>8.9999999999999993E-3</v>
      </c>
      <c r="L4" t="s">
        <v>17</v>
      </c>
      <c r="M4">
        <v>140</v>
      </c>
      <c r="N4" t="s">
        <v>18</v>
      </c>
      <c r="O4" t="s">
        <v>1744</v>
      </c>
    </row>
    <row r="5" spans="1:15" x14ac:dyDescent="0.2">
      <c r="A5" t="s">
        <v>57</v>
      </c>
      <c r="B5" t="s">
        <v>239</v>
      </c>
      <c r="C5">
        <v>3</v>
      </c>
      <c r="D5" t="s">
        <v>17</v>
      </c>
      <c r="E5" t="s">
        <v>17</v>
      </c>
      <c r="F5">
        <v>3</v>
      </c>
      <c r="G5" t="s">
        <v>17</v>
      </c>
      <c r="H5" t="s">
        <v>17</v>
      </c>
      <c r="I5">
        <v>7.5999999999999998E-2</v>
      </c>
      <c r="J5">
        <f t="shared" si="0"/>
        <v>7.8947368421052637</v>
      </c>
      <c r="K5">
        <v>6.0000000000000001E-3</v>
      </c>
      <c r="L5" t="s">
        <v>17</v>
      </c>
      <c r="M5">
        <v>140</v>
      </c>
      <c r="N5" t="s">
        <v>18</v>
      </c>
      <c r="O5" t="s">
        <v>1753</v>
      </c>
    </row>
    <row r="6" spans="1:15" x14ac:dyDescent="0.2">
      <c r="A6" t="s">
        <v>57</v>
      </c>
      <c r="B6" t="s">
        <v>239</v>
      </c>
      <c r="C6">
        <v>4</v>
      </c>
      <c r="D6" t="s">
        <v>17</v>
      </c>
      <c r="E6" t="s">
        <v>17</v>
      </c>
      <c r="F6">
        <v>4</v>
      </c>
      <c r="G6" t="s">
        <v>17</v>
      </c>
      <c r="H6" t="s">
        <v>17</v>
      </c>
      <c r="I6">
        <v>6.5000000000000002E-2</v>
      </c>
      <c r="J6">
        <f t="shared" si="0"/>
        <v>3.0769230769230766</v>
      </c>
      <c r="K6">
        <v>2E-3</v>
      </c>
      <c r="L6" t="s">
        <v>17</v>
      </c>
      <c r="M6">
        <v>140</v>
      </c>
      <c r="N6" t="s">
        <v>18</v>
      </c>
      <c r="O6" t="s">
        <v>1745</v>
      </c>
    </row>
    <row r="7" spans="1:15" x14ac:dyDescent="0.2">
      <c r="A7" t="s">
        <v>57</v>
      </c>
      <c r="B7" t="s">
        <v>239</v>
      </c>
      <c r="C7">
        <v>6</v>
      </c>
      <c r="D7" t="s">
        <v>17</v>
      </c>
      <c r="E7" t="s">
        <v>17</v>
      </c>
      <c r="F7">
        <v>6</v>
      </c>
      <c r="G7" t="s">
        <v>17</v>
      </c>
      <c r="H7" t="s">
        <v>17</v>
      </c>
      <c r="I7">
        <v>6.8000000000000005E-2</v>
      </c>
      <c r="J7">
        <f t="shared" si="0"/>
        <v>8.8235294117647047</v>
      </c>
      <c r="K7">
        <v>6.0000000000000001E-3</v>
      </c>
      <c r="L7" t="s">
        <v>17</v>
      </c>
      <c r="M7">
        <v>140</v>
      </c>
      <c r="N7" t="s">
        <v>18</v>
      </c>
      <c r="O7" t="s">
        <v>1746</v>
      </c>
    </row>
    <row r="8" spans="1:15" x14ac:dyDescent="0.2">
      <c r="A8" t="s">
        <v>57</v>
      </c>
      <c r="B8" t="s">
        <v>239</v>
      </c>
      <c r="C8">
        <v>8</v>
      </c>
      <c r="D8" t="s">
        <v>17</v>
      </c>
      <c r="E8" t="s">
        <v>17</v>
      </c>
      <c r="F8">
        <v>8</v>
      </c>
      <c r="G8" t="s">
        <v>17</v>
      </c>
      <c r="H8" t="s">
        <v>17</v>
      </c>
      <c r="I8">
        <v>6.5000000000000002E-2</v>
      </c>
      <c r="J8">
        <f t="shared" si="0"/>
        <v>4.6153846153846159</v>
      </c>
      <c r="K8">
        <v>3.0000000000000001E-3</v>
      </c>
      <c r="L8" t="s">
        <v>17</v>
      </c>
      <c r="M8">
        <v>140</v>
      </c>
      <c r="N8" t="s">
        <v>18</v>
      </c>
      <c r="O8" t="s">
        <v>1747</v>
      </c>
    </row>
    <row r="9" spans="1:15" x14ac:dyDescent="0.2">
      <c r="A9" t="s">
        <v>57</v>
      </c>
      <c r="B9" t="s">
        <v>239</v>
      </c>
      <c r="C9">
        <v>10</v>
      </c>
      <c r="D9" t="s">
        <v>17</v>
      </c>
      <c r="E9" t="s">
        <v>17</v>
      </c>
      <c r="F9">
        <v>10</v>
      </c>
      <c r="G9" t="s">
        <v>17</v>
      </c>
      <c r="H9" t="s">
        <v>17</v>
      </c>
      <c r="I9">
        <v>4.8000000000000001E-2</v>
      </c>
      <c r="J9">
        <f t="shared" si="0"/>
        <v>12.5</v>
      </c>
      <c r="K9">
        <v>6.0000000000000001E-3</v>
      </c>
      <c r="L9" t="s">
        <v>17</v>
      </c>
      <c r="M9">
        <v>140</v>
      </c>
      <c r="N9" t="s">
        <v>18</v>
      </c>
      <c r="O9" t="s">
        <v>1748</v>
      </c>
    </row>
    <row r="10" spans="1:15" x14ac:dyDescent="0.2">
      <c r="A10" t="s">
        <v>57</v>
      </c>
      <c r="B10" t="s">
        <v>239</v>
      </c>
      <c r="C10">
        <v>12</v>
      </c>
      <c r="D10" t="s">
        <v>17</v>
      </c>
      <c r="E10" t="s">
        <v>17</v>
      </c>
      <c r="F10">
        <v>12</v>
      </c>
      <c r="G10" t="s">
        <v>17</v>
      </c>
      <c r="H10" t="s">
        <v>17</v>
      </c>
      <c r="I10">
        <v>3.7999999999999999E-2</v>
      </c>
      <c r="J10">
        <f t="shared" si="0"/>
        <v>7.8947368421052637</v>
      </c>
      <c r="K10">
        <v>3.0000000000000001E-3</v>
      </c>
      <c r="L10" t="s">
        <v>17</v>
      </c>
      <c r="M10">
        <v>140</v>
      </c>
      <c r="N10" t="s">
        <v>18</v>
      </c>
      <c r="O10" t="s">
        <v>1749</v>
      </c>
    </row>
    <row r="11" spans="1:15" x14ac:dyDescent="0.2">
      <c r="A11" t="s">
        <v>57</v>
      </c>
      <c r="B11" t="s">
        <v>239</v>
      </c>
      <c r="C11">
        <v>14</v>
      </c>
      <c r="D11" t="s">
        <v>17</v>
      </c>
      <c r="E11" t="s">
        <v>17</v>
      </c>
      <c r="F11">
        <v>14</v>
      </c>
      <c r="G11" t="s">
        <v>17</v>
      </c>
      <c r="H11" t="s">
        <v>17</v>
      </c>
      <c r="I11">
        <v>3.7999999999999999E-2</v>
      </c>
      <c r="J11">
        <f t="shared" si="0"/>
        <v>21.05263157894737</v>
      </c>
      <c r="K11">
        <v>8.0000000000000002E-3</v>
      </c>
      <c r="L11" t="s">
        <v>17</v>
      </c>
      <c r="M11">
        <v>140</v>
      </c>
      <c r="N11" t="s">
        <v>18</v>
      </c>
      <c r="O11" t="s">
        <v>1750</v>
      </c>
    </row>
    <row r="12" spans="1:15" x14ac:dyDescent="0.2">
      <c r="A12" t="s">
        <v>57</v>
      </c>
      <c r="B12" t="s">
        <v>239</v>
      </c>
      <c r="C12">
        <v>16</v>
      </c>
      <c r="D12" t="s">
        <v>17</v>
      </c>
      <c r="E12" t="s">
        <v>17</v>
      </c>
      <c r="F12">
        <v>16</v>
      </c>
      <c r="G12" t="s">
        <v>17</v>
      </c>
      <c r="H12" t="s">
        <v>17</v>
      </c>
      <c r="I12">
        <v>3.2000000000000001E-2</v>
      </c>
      <c r="J12">
        <f t="shared" si="0"/>
        <v>9.375</v>
      </c>
      <c r="K12">
        <v>3.0000000000000001E-3</v>
      </c>
      <c r="L12" t="s">
        <v>17</v>
      </c>
      <c r="M12">
        <v>140</v>
      </c>
      <c r="N12" t="s">
        <v>18</v>
      </c>
      <c r="O12" t="s">
        <v>1751</v>
      </c>
    </row>
    <row r="13" spans="1:15" x14ac:dyDescent="0.2">
      <c r="A13" t="s">
        <v>57</v>
      </c>
      <c r="B13" t="s">
        <v>239</v>
      </c>
      <c r="C13">
        <v>18</v>
      </c>
      <c r="D13" t="s">
        <v>17</v>
      </c>
      <c r="E13" t="s">
        <v>17</v>
      </c>
      <c r="F13">
        <v>18</v>
      </c>
      <c r="G13" t="s">
        <v>17</v>
      </c>
      <c r="H13" t="s">
        <v>17</v>
      </c>
      <c r="I13">
        <v>2.9000000000000001E-2</v>
      </c>
      <c r="J13">
        <f t="shared" si="0"/>
        <v>6.8965517241379306</v>
      </c>
      <c r="K13">
        <v>2E-3</v>
      </c>
      <c r="L13" t="s">
        <v>17</v>
      </c>
      <c r="M13">
        <v>140</v>
      </c>
      <c r="N13" t="s">
        <v>18</v>
      </c>
      <c r="O13" t="s">
        <v>1752</v>
      </c>
    </row>
    <row r="15" spans="1:15" x14ac:dyDescent="0.2">
      <c r="A15" t="s">
        <v>57</v>
      </c>
      <c r="B15" t="s">
        <v>239</v>
      </c>
      <c r="C15">
        <v>0</v>
      </c>
      <c r="D15" t="s">
        <v>17</v>
      </c>
      <c r="E15" t="s">
        <v>17</v>
      </c>
      <c r="F15">
        <v>0</v>
      </c>
      <c r="G15" t="s">
        <v>17</v>
      </c>
      <c r="H15" t="s">
        <v>17</v>
      </c>
      <c r="I15">
        <v>0.04</v>
      </c>
      <c r="J15">
        <f t="shared" si="0"/>
        <v>10</v>
      </c>
      <c r="K15">
        <v>4.0000000000000001E-3</v>
      </c>
      <c r="L15" t="s">
        <v>17</v>
      </c>
      <c r="M15">
        <v>295</v>
      </c>
      <c r="N15" t="s">
        <v>18</v>
      </c>
      <c r="O15" t="s">
        <v>1756</v>
      </c>
    </row>
    <row r="16" spans="1:15" x14ac:dyDescent="0.2">
      <c r="A16" t="s">
        <v>57</v>
      </c>
      <c r="B16" t="s">
        <v>239</v>
      </c>
      <c r="C16">
        <v>1</v>
      </c>
      <c r="D16" t="s">
        <v>17</v>
      </c>
      <c r="E16" t="s">
        <v>17</v>
      </c>
      <c r="F16">
        <v>1</v>
      </c>
      <c r="G16" t="s">
        <v>17</v>
      </c>
      <c r="H16" t="s">
        <v>17</v>
      </c>
      <c r="I16">
        <v>3.4000000000000002E-2</v>
      </c>
      <c r="J16">
        <f t="shared" si="0"/>
        <v>23.52941176470588</v>
      </c>
      <c r="K16">
        <v>8.0000000000000002E-3</v>
      </c>
      <c r="L16" t="s">
        <v>17</v>
      </c>
      <c r="M16">
        <v>295</v>
      </c>
      <c r="N16" t="s">
        <v>18</v>
      </c>
      <c r="O16" t="s">
        <v>1757</v>
      </c>
    </row>
    <row r="17" spans="1:15" x14ac:dyDescent="0.2">
      <c r="A17" t="s">
        <v>57</v>
      </c>
      <c r="B17" t="s">
        <v>239</v>
      </c>
      <c r="C17">
        <v>2</v>
      </c>
      <c r="D17" t="s">
        <v>17</v>
      </c>
      <c r="E17" t="s">
        <v>17</v>
      </c>
      <c r="F17">
        <v>2</v>
      </c>
      <c r="G17" t="s">
        <v>17</v>
      </c>
      <c r="H17" t="s">
        <v>17</v>
      </c>
      <c r="I17">
        <v>3.9E-2</v>
      </c>
      <c r="J17">
        <f t="shared" si="0"/>
        <v>25.641025641025646</v>
      </c>
      <c r="K17">
        <v>0.01</v>
      </c>
      <c r="L17" t="s">
        <v>17</v>
      </c>
      <c r="M17">
        <v>295</v>
      </c>
      <c r="N17" t="s">
        <v>18</v>
      </c>
      <c r="O17" t="s">
        <v>1758</v>
      </c>
    </row>
    <row r="18" spans="1:15" x14ac:dyDescent="0.2">
      <c r="A18" t="s">
        <v>57</v>
      </c>
      <c r="B18" t="s">
        <v>239</v>
      </c>
      <c r="C18">
        <v>6</v>
      </c>
      <c r="D18" t="s">
        <v>17</v>
      </c>
      <c r="E18" t="s">
        <v>17</v>
      </c>
      <c r="F18">
        <v>6</v>
      </c>
      <c r="G18" t="s">
        <v>17</v>
      </c>
      <c r="H18" t="s">
        <v>17</v>
      </c>
      <c r="I18">
        <v>4.8000000000000001E-2</v>
      </c>
      <c r="J18">
        <f t="shared" si="0"/>
        <v>12.5</v>
      </c>
      <c r="K18">
        <v>6.0000000000000001E-3</v>
      </c>
      <c r="L18" t="s">
        <v>17</v>
      </c>
      <c r="M18">
        <v>295</v>
      </c>
      <c r="N18" t="s">
        <v>18</v>
      </c>
      <c r="O18" t="s">
        <v>1754</v>
      </c>
    </row>
    <row r="19" spans="1:15" x14ac:dyDescent="0.2">
      <c r="A19" t="s">
        <v>57</v>
      </c>
      <c r="B19" t="s">
        <v>239</v>
      </c>
      <c r="C19">
        <v>8</v>
      </c>
      <c r="D19" t="s">
        <v>17</v>
      </c>
      <c r="E19" t="s">
        <v>17</v>
      </c>
      <c r="F19">
        <v>8</v>
      </c>
      <c r="G19" t="s">
        <v>17</v>
      </c>
      <c r="H19" t="s">
        <v>17</v>
      </c>
      <c r="I19">
        <v>2.8000000000000001E-2</v>
      </c>
      <c r="J19">
        <f t="shared" si="0"/>
        <v>21.428571428571427</v>
      </c>
      <c r="K19">
        <v>6.0000000000000001E-3</v>
      </c>
      <c r="L19" t="s">
        <v>17</v>
      </c>
      <c r="M19">
        <v>295</v>
      </c>
      <c r="N19" t="s">
        <v>18</v>
      </c>
      <c r="O19" t="s">
        <v>1759</v>
      </c>
    </row>
    <row r="20" spans="1:15" x14ac:dyDescent="0.2">
      <c r="A20" t="s">
        <v>57</v>
      </c>
      <c r="B20" t="s">
        <v>239</v>
      </c>
      <c r="C20">
        <v>10</v>
      </c>
      <c r="D20" t="s">
        <v>17</v>
      </c>
      <c r="E20" t="s">
        <v>17</v>
      </c>
      <c r="F20">
        <v>10</v>
      </c>
      <c r="G20" t="s">
        <v>17</v>
      </c>
      <c r="H20" t="s">
        <v>17</v>
      </c>
      <c r="I20">
        <v>3.6999999999999998E-2</v>
      </c>
      <c r="J20">
        <f t="shared" si="0"/>
        <v>10.810810810810811</v>
      </c>
      <c r="K20">
        <v>4.0000000000000001E-3</v>
      </c>
      <c r="L20" t="s">
        <v>17</v>
      </c>
      <c r="M20">
        <v>295</v>
      </c>
      <c r="N20" t="s">
        <v>18</v>
      </c>
      <c r="O20" t="s">
        <v>1760</v>
      </c>
    </row>
    <row r="21" spans="1:15" x14ac:dyDescent="0.2">
      <c r="A21" t="s">
        <v>57</v>
      </c>
      <c r="B21" t="s">
        <v>239</v>
      </c>
      <c r="C21">
        <v>12</v>
      </c>
      <c r="D21" t="s">
        <v>17</v>
      </c>
      <c r="E21" t="s">
        <v>17</v>
      </c>
      <c r="F21">
        <v>12</v>
      </c>
      <c r="G21" t="s">
        <v>17</v>
      </c>
      <c r="H21" t="s">
        <v>17</v>
      </c>
      <c r="I21">
        <v>2.9000000000000001E-2</v>
      </c>
      <c r="J21">
        <f t="shared" si="0"/>
        <v>6.8965517241379306</v>
      </c>
      <c r="K21">
        <v>2E-3</v>
      </c>
      <c r="L21" t="s">
        <v>17</v>
      </c>
      <c r="M21">
        <v>295</v>
      </c>
      <c r="N21" t="s">
        <v>18</v>
      </c>
      <c r="O21" t="s">
        <v>1755</v>
      </c>
    </row>
    <row r="22" spans="1:15" x14ac:dyDescent="0.2">
      <c r="A22" t="s">
        <v>57</v>
      </c>
      <c r="B22" t="s">
        <v>239</v>
      </c>
      <c r="C22">
        <v>14</v>
      </c>
      <c r="D22" t="s">
        <v>17</v>
      </c>
      <c r="E22" t="s">
        <v>17</v>
      </c>
      <c r="F22">
        <v>14</v>
      </c>
      <c r="G22" t="s">
        <v>17</v>
      </c>
      <c r="H22" t="s">
        <v>17</v>
      </c>
      <c r="I22">
        <v>2.5999999999999999E-2</v>
      </c>
      <c r="J22">
        <f t="shared" si="0"/>
        <v>7.6923076923076925</v>
      </c>
      <c r="K22">
        <v>2E-3</v>
      </c>
      <c r="L22" t="s">
        <v>17</v>
      </c>
      <c r="M22">
        <v>295</v>
      </c>
      <c r="N22" t="s">
        <v>18</v>
      </c>
      <c r="O22" t="s">
        <v>1761</v>
      </c>
    </row>
    <row r="23" spans="1:15" x14ac:dyDescent="0.2">
      <c r="A23" t="s">
        <v>57</v>
      </c>
      <c r="B23" t="s">
        <v>239</v>
      </c>
      <c r="C23">
        <v>16</v>
      </c>
      <c r="D23" t="s">
        <v>17</v>
      </c>
      <c r="E23" t="s">
        <v>17</v>
      </c>
      <c r="F23">
        <v>16</v>
      </c>
      <c r="G23" t="s">
        <v>17</v>
      </c>
      <c r="H23" t="s">
        <v>17</v>
      </c>
      <c r="I23">
        <v>2.1999999999999999E-2</v>
      </c>
      <c r="J23">
        <f t="shared" si="0"/>
        <v>13.636363636363638</v>
      </c>
      <c r="K23">
        <v>3.0000000000000001E-3</v>
      </c>
      <c r="L23" t="s">
        <v>17</v>
      </c>
      <c r="M23">
        <v>295</v>
      </c>
      <c r="N23" t="s">
        <v>18</v>
      </c>
      <c r="O23" t="s">
        <v>1762</v>
      </c>
    </row>
    <row r="24" spans="1:15" x14ac:dyDescent="0.2">
      <c r="A24" t="s">
        <v>57</v>
      </c>
      <c r="B24" t="s">
        <v>239</v>
      </c>
      <c r="C24">
        <v>18</v>
      </c>
      <c r="D24" t="s">
        <v>17</v>
      </c>
      <c r="E24" t="s">
        <v>17</v>
      </c>
      <c r="F24">
        <v>18</v>
      </c>
      <c r="G24" t="s">
        <v>17</v>
      </c>
      <c r="H24" t="s">
        <v>17</v>
      </c>
      <c r="I24">
        <v>2.1000000000000001E-2</v>
      </c>
      <c r="J24">
        <f>K24/I24*100</f>
        <v>14.285714285714285</v>
      </c>
      <c r="K24">
        <v>3.0000000000000001E-3</v>
      </c>
      <c r="L24" t="s">
        <v>17</v>
      </c>
      <c r="M24">
        <v>295</v>
      </c>
      <c r="N24" t="s">
        <v>18</v>
      </c>
      <c r="O24" t="s">
        <v>1763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FAC7-D081-CE43-A82B-5C8026EAF716}">
  <dimension ref="A1:O20"/>
  <sheetViews>
    <sheetView workbookViewId="0">
      <selection activeCell="F34" sqref="F34"/>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57</v>
      </c>
      <c r="B2" t="s">
        <v>58</v>
      </c>
      <c r="C2">
        <v>0</v>
      </c>
      <c r="D2" t="s">
        <v>17</v>
      </c>
      <c r="E2" t="s">
        <v>17</v>
      </c>
      <c r="F2">
        <v>0</v>
      </c>
      <c r="G2" t="s">
        <v>17</v>
      </c>
      <c r="H2" t="s">
        <v>17</v>
      </c>
      <c r="I2">
        <v>0.1273</v>
      </c>
      <c r="J2">
        <v>17.91</v>
      </c>
      <c r="K2">
        <v>2.2800000000000001E-2</v>
      </c>
      <c r="L2" t="s">
        <v>17</v>
      </c>
      <c r="M2">
        <v>77</v>
      </c>
      <c r="N2" t="s">
        <v>201</v>
      </c>
      <c r="O2" t="s">
        <v>1764</v>
      </c>
    </row>
    <row r="3" spans="1:15" x14ac:dyDescent="0.2">
      <c r="A3" t="s">
        <v>57</v>
      </c>
      <c r="B3" t="s">
        <v>58</v>
      </c>
      <c r="C3">
        <v>0</v>
      </c>
      <c r="D3" t="s">
        <v>17</v>
      </c>
      <c r="E3" t="s">
        <v>17</v>
      </c>
      <c r="F3">
        <v>0</v>
      </c>
      <c r="G3" t="s">
        <v>17</v>
      </c>
      <c r="H3" t="s">
        <v>17</v>
      </c>
      <c r="I3">
        <v>5.8200000000000002E-2</v>
      </c>
      <c r="J3">
        <v>19.239999999999998</v>
      </c>
      <c r="K3">
        <v>1.12E-2</v>
      </c>
      <c r="L3" t="s">
        <v>17</v>
      </c>
      <c r="M3">
        <v>298</v>
      </c>
      <c r="N3" t="s">
        <v>201</v>
      </c>
      <c r="O3" t="s">
        <v>1765</v>
      </c>
    </row>
    <row r="4" spans="1:15" x14ac:dyDescent="0.2">
      <c r="A4" t="s">
        <v>57</v>
      </c>
      <c r="B4" t="s">
        <v>58</v>
      </c>
      <c r="C4">
        <v>1</v>
      </c>
      <c r="D4" t="s">
        <v>17</v>
      </c>
      <c r="E4" t="s">
        <v>17</v>
      </c>
      <c r="F4">
        <v>1</v>
      </c>
      <c r="G4" t="s">
        <v>17</v>
      </c>
      <c r="H4" t="s">
        <v>17</v>
      </c>
      <c r="I4">
        <v>8.2500000000000004E-2</v>
      </c>
      <c r="J4">
        <v>13.21</v>
      </c>
      <c r="K4">
        <v>1.09E-2</v>
      </c>
      <c r="L4" t="s">
        <v>17</v>
      </c>
      <c r="M4">
        <v>77</v>
      </c>
      <c r="N4" t="s">
        <v>201</v>
      </c>
      <c r="O4" t="s">
        <v>1766</v>
      </c>
    </row>
    <row r="5" spans="1:15" x14ac:dyDescent="0.2">
      <c r="A5" t="s">
        <v>57</v>
      </c>
      <c r="B5" t="s">
        <v>58</v>
      </c>
      <c r="C5">
        <v>1</v>
      </c>
      <c r="D5" t="s">
        <v>17</v>
      </c>
      <c r="E5" t="s">
        <v>17</v>
      </c>
      <c r="F5">
        <v>1</v>
      </c>
      <c r="G5" t="s">
        <v>17</v>
      </c>
      <c r="H5" t="s">
        <v>17</v>
      </c>
      <c r="I5">
        <v>4.9500000000000002E-2</v>
      </c>
      <c r="J5">
        <v>14.14</v>
      </c>
      <c r="K5">
        <v>7.0000000000000001E-3</v>
      </c>
      <c r="L5" t="s">
        <v>17</v>
      </c>
      <c r="M5">
        <v>298</v>
      </c>
      <c r="N5" t="s">
        <v>201</v>
      </c>
      <c r="O5" t="s">
        <v>1767</v>
      </c>
    </row>
    <row r="6" spans="1:15" x14ac:dyDescent="0.2">
      <c r="A6" t="s">
        <v>57</v>
      </c>
      <c r="B6" t="s">
        <v>58</v>
      </c>
      <c r="C6">
        <v>2</v>
      </c>
      <c r="D6" t="s">
        <v>17</v>
      </c>
      <c r="E6" t="s">
        <v>17</v>
      </c>
      <c r="F6">
        <v>2</v>
      </c>
      <c r="G6" t="s">
        <v>17</v>
      </c>
      <c r="H6" t="s">
        <v>17</v>
      </c>
      <c r="I6">
        <v>8.1799999999999998E-2</v>
      </c>
      <c r="J6">
        <v>12.47</v>
      </c>
      <c r="K6">
        <v>1.0200000000000001E-2</v>
      </c>
      <c r="L6" t="s">
        <v>17</v>
      </c>
      <c r="M6">
        <v>77</v>
      </c>
      <c r="N6" t="s">
        <v>201</v>
      </c>
      <c r="O6" t="s">
        <v>1768</v>
      </c>
    </row>
    <row r="7" spans="1:15" x14ac:dyDescent="0.2">
      <c r="A7" t="s">
        <v>57</v>
      </c>
      <c r="B7" t="s">
        <v>58</v>
      </c>
      <c r="C7">
        <v>2</v>
      </c>
      <c r="D7" t="s">
        <v>17</v>
      </c>
      <c r="E7" t="s">
        <v>17</v>
      </c>
      <c r="F7">
        <v>2</v>
      </c>
      <c r="G7" t="s">
        <v>17</v>
      </c>
      <c r="H7" t="s">
        <v>17</v>
      </c>
      <c r="I7">
        <v>4.5400000000000003E-2</v>
      </c>
      <c r="J7">
        <v>7.71</v>
      </c>
      <c r="K7">
        <v>3.5000000000000001E-3</v>
      </c>
      <c r="L7" t="s">
        <v>17</v>
      </c>
      <c r="M7">
        <v>298</v>
      </c>
      <c r="N7" t="s">
        <v>201</v>
      </c>
      <c r="O7" t="s">
        <v>1769</v>
      </c>
    </row>
    <row r="8" spans="1:15" x14ac:dyDescent="0.2">
      <c r="A8" t="s">
        <v>57</v>
      </c>
      <c r="B8" t="s">
        <v>58</v>
      </c>
      <c r="C8">
        <v>3</v>
      </c>
      <c r="D8" t="s">
        <v>17</v>
      </c>
      <c r="E8" t="s">
        <v>17</v>
      </c>
      <c r="F8">
        <v>3</v>
      </c>
      <c r="G8" t="s">
        <v>17</v>
      </c>
      <c r="H8" t="s">
        <v>17</v>
      </c>
      <c r="I8">
        <v>7.7200000000000005E-2</v>
      </c>
      <c r="J8">
        <v>18.260000000000002</v>
      </c>
      <c r="K8">
        <v>1.41E-2</v>
      </c>
      <c r="L8" t="s">
        <v>17</v>
      </c>
      <c r="M8">
        <v>77</v>
      </c>
      <c r="N8" t="s">
        <v>201</v>
      </c>
      <c r="O8" t="s">
        <v>1770</v>
      </c>
    </row>
    <row r="9" spans="1:15" x14ac:dyDescent="0.2">
      <c r="A9" t="s">
        <v>57</v>
      </c>
      <c r="B9" t="s">
        <v>58</v>
      </c>
      <c r="C9">
        <v>3</v>
      </c>
      <c r="D9" t="s">
        <v>17</v>
      </c>
      <c r="E9" t="s">
        <v>17</v>
      </c>
      <c r="F9">
        <v>3</v>
      </c>
      <c r="G9" t="s">
        <v>17</v>
      </c>
      <c r="H9" t="s">
        <v>17</v>
      </c>
      <c r="I9">
        <v>5.0599999999999999E-2</v>
      </c>
      <c r="J9">
        <v>12.06</v>
      </c>
      <c r="K9">
        <v>6.1000000000000004E-3</v>
      </c>
      <c r="L9" t="s">
        <v>17</v>
      </c>
      <c r="M9">
        <v>298</v>
      </c>
      <c r="N9" t="s">
        <v>201</v>
      </c>
      <c r="O9" t="s">
        <v>1771</v>
      </c>
    </row>
    <row r="10" spans="1:15" x14ac:dyDescent="0.2">
      <c r="A10" t="s">
        <v>57</v>
      </c>
      <c r="B10" t="s">
        <v>58</v>
      </c>
      <c r="C10">
        <v>4</v>
      </c>
      <c r="D10" t="s">
        <v>17</v>
      </c>
      <c r="E10" t="s">
        <v>17</v>
      </c>
      <c r="F10">
        <v>4</v>
      </c>
      <c r="G10" t="s">
        <v>17</v>
      </c>
      <c r="H10" t="s">
        <v>17</v>
      </c>
      <c r="I10">
        <v>8.3900000000000002E-2</v>
      </c>
      <c r="J10">
        <v>6.91</v>
      </c>
      <c r="K10">
        <v>5.7999999999999996E-3</v>
      </c>
      <c r="L10" t="s">
        <v>17</v>
      </c>
      <c r="M10">
        <v>77</v>
      </c>
      <c r="N10" t="s">
        <v>201</v>
      </c>
      <c r="O10" t="s">
        <v>1772</v>
      </c>
    </row>
    <row r="11" spans="1:15" x14ac:dyDescent="0.2">
      <c r="A11" t="s">
        <v>57</v>
      </c>
      <c r="B11" t="s">
        <v>58</v>
      </c>
      <c r="C11">
        <v>4</v>
      </c>
      <c r="D11" t="s">
        <v>17</v>
      </c>
      <c r="E11" t="s">
        <v>17</v>
      </c>
      <c r="F11">
        <v>4</v>
      </c>
      <c r="G11" t="s">
        <v>17</v>
      </c>
      <c r="H11" t="s">
        <v>17</v>
      </c>
      <c r="I11">
        <v>4.65E-2</v>
      </c>
      <c r="J11">
        <v>6.45</v>
      </c>
      <c r="K11">
        <v>3.0000000000000001E-3</v>
      </c>
      <c r="L11" t="s">
        <v>17</v>
      </c>
      <c r="M11">
        <v>298</v>
      </c>
      <c r="N11" t="s">
        <v>201</v>
      </c>
      <c r="O11" t="s">
        <v>1773</v>
      </c>
    </row>
    <row r="12" spans="1:15" x14ac:dyDescent="0.2">
      <c r="A12" t="s">
        <v>57</v>
      </c>
      <c r="B12" t="s">
        <v>58</v>
      </c>
      <c r="C12">
        <v>5</v>
      </c>
      <c r="D12" t="s">
        <v>17</v>
      </c>
      <c r="E12" t="s">
        <v>17</v>
      </c>
      <c r="F12">
        <v>5</v>
      </c>
      <c r="G12" t="s">
        <v>17</v>
      </c>
      <c r="H12" t="s">
        <v>17</v>
      </c>
      <c r="I12">
        <v>9.2100000000000001E-2</v>
      </c>
      <c r="J12">
        <v>7.71</v>
      </c>
      <c r="K12">
        <v>7.1000000000000004E-3</v>
      </c>
      <c r="L12" t="s">
        <v>17</v>
      </c>
      <c r="M12">
        <v>77</v>
      </c>
      <c r="N12" t="s">
        <v>201</v>
      </c>
      <c r="O12" t="s">
        <v>1774</v>
      </c>
    </row>
    <row r="13" spans="1:15" x14ac:dyDescent="0.2">
      <c r="A13" t="s">
        <v>57</v>
      </c>
      <c r="B13" t="s">
        <v>58</v>
      </c>
      <c r="C13">
        <v>5</v>
      </c>
      <c r="D13" t="s">
        <v>17</v>
      </c>
      <c r="E13" t="s">
        <v>17</v>
      </c>
      <c r="F13">
        <v>5</v>
      </c>
      <c r="G13" t="s">
        <v>17</v>
      </c>
      <c r="H13" t="s">
        <v>17</v>
      </c>
      <c r="I13">
        <v>4.4600000000000001E-2</v>
      </c>
      <c r="J13">
        <v>10.76</v>
      </c>
      <c r="K13">
        <v>4.7999999999999996E-3</v>
      </c>
      <c r="L13" t="s">
        <v>17</v>
      </c>
      <c r="M13">
        <v>298</v>
      </c>
      <c r="N13" t="s">
        <v>201</v>
      </c>
      <c r="O13" t="s">
        <v>1775</v>
      </c>
    </row>
    <row r="14" spans="1:15" x14ac:dyDescent="0.2">
      <c r="A14" t="s">
        <v>57</v>
      </c>
      <c r="B14" t="s">
        <v>58</v>
      </c>
      <c r="C14">
        <v>6</v>
      </c>
      <c r="D14" t="s">
        <v>17</v>
      </c>
      <c r="E14" t="s">
        <v>17</v>
      </c>
      <c r="F14">
        <v>6</v>
      </c>
      <c r="G14" t="s">
        <v>17</v>
      </c>
      <c r="H14" t="s">
        <v>17</v>
      </c>
      <c r="I14">
        <v>0.1018</v>
      </c>
      <c r="J14">
        <v>1.18</v>
      </c>
      <c r="K14">
        <v>1.1999999999999999E-3</v>
      </c>
      <c r="L14" t="s">
        <v>17</v>
      </c>
      <c r="M14">
        <v>77</v>
      </c>
      <c r="N14" t="s">
        <v>201</v>
      </c>
      <c r="O14" t="s">
        <v>1776</v>
      </c>
    </row>
    <row r="15" spans="1:15" x14ac:dyDescent="0.2">
      <c r="A15" t="s">
        <v>57</v>
      </c>
      <c r="B15" t="s">
        <v>58</v>
      </c>
      <c r="C15">
        <v>6</v>
      </c>
      <c r="D15" t="s">
        <v>17</v>
      </c>
      <c r="E15" t="s">
        <v>17</v>
      </c>
      <c r="F15">
        <v>6</v>
      </c>
      <c r="G15" t="s">
        <v>17</v>
      </c>
      <c r="H15" t="s">
        <v>17</v>
      </c>
      <c r="I15">
        <v>4.7800000000000002E-2</v>
      </c>
      <c r="J15">
        <v>7.95</v>
      </c>
      <c r="K15">
        <v>3.8E-3</v>
      </c>
      <c r="L15" t="s">
        <v>17</v>
      </c>
      <c r="M15">
        <v>298</v>
      </c>
      <c r="N15" t="s">
        <v>201</v>
      </c>
      <c r="O15" t="s">
        <v>1777</v>
      </c>
    </row>
    <row r="16" spans="1:15" x14ac:dyDescent="0.2">
      <c r="A16" t="s">
        <v>57</v>
      </c>
      <c r="B16" t="s">
        <v>58</v>
      </c>
      <c r="C16">
        <v>7</v>
      </c>
      <c r="D16" t="s">
        <v>17</v>
      </c>
      <c r="E16" t="s">
        <v>17</v>
      </c>
      <c r="F16">
        <v>7</v>
      </c>
      <c r="G16" t="s">
        <v>17</v>
      </c>
      <c r="H16" t="s">
        <v>17</v>
      </c>
      <c r="I16">
        <v>5.11E-2</v>
      </c>
      <c r="J16">
        <v>9</v>
      </c>
      <c r="K16">
        <v>4.5999999999999999E-3</v>
      </c>
      <c r="L16" t="s">
        <v>17</v>
      </c>
      <c r="M16">
        <v>298</v>
      </c>
      <c r="N16" t="s">
        <v>201</v>
      </c>
      <c r="O16" t="s">
        <v>1778</v>
      </c>
    </row>
    <row r="17" spans="1:15" x14ac:dyDescent="0.2">
      <c r="A17" t="s">
        <v>57</v>
      </c>
      <c r="B17" t="s">
        <v>58</v>
      </c>
      <c r="C17">
        <v>8</v>
      </c>
      <c r="D17" t="s">
        <v>17</v>
      </c>
      <c r="E17" t="s">
        <v>17</v>
      </c>
      <c r="F17">
        <v>8</v>
      </c>
      <c r="G17" t="s">
        <v>17</v>
      </c>
      <c r="H17" t="s">
        <v>17</v>
      </c>
      <c r="I17">
        <v>4.6399999999999997E-2</v>
      </c>
      <c r="J17">
        <v>5.6</v>
      </c>
      <c r="K17">
        <v>2.5999999999999999E-3</v>
      </c>
      <c r="L17" t="s">
        <v>17</v>
      </c>
      <c r="M17">
        <v>298</v>
      </c>
      <c r="N17" t="s">
        <v>201</v>
      </c>
      <c r="O17" t="s">
        <v>1779</v>
      </c>
    </row>
    <row r="18" spans="1:15" x14ac:dyDescent="0.2">
      <c r="A18" t="s">
        <v>57</v>
      </c>
      <c r="B18" t="s">
        <v>58</v>
      </c>
      <c r="C18">
        <v>9</v>
      </c>
      <c r="D18" t="s">
        <v>17</v>
      </c>
      <c r="E18" t="s">
        <v>17</v>
      </c>
      <c r="F18">
        <v>9</v>
      </c>
      <c r="G18" t="s">
        <v>17</v>
      </c>
      <c r="H18" t="s">
        <v>17</v>
      </c>
      <c r="I18">
        <v>5.0500000000000003E-2</v>
      </c>
      <c r="J18">
        <v>6.34</v>
      </c>
      <c r="K18">
        <v>3.2000000000000002E-3</v>
      </c>
      <c r="L18" t="s">
        <v>17</v>
      </c>
      <c r="M18">
        <v>298</v>
      </c>
      <c r="N18" t="s">
        <v>201</v>
      </c>
      <c r="O18" t="s">
        <v>1780</v>
      </c>
    </row>
    <row r="19" spans="1:15" x14ac:dyDescent="0.2">
      <c r="A19" t="s">
        <v>57</v>
      </c>
      <c r="B19" t="s">
        <v>58</v>
      </c>
      <c r="C19">
        <v>10</v>
      </c>
      <c r="D19" t="s">
        <v>17</v>
      </c>
      <c r="E19" t="s">
        <v>17</v>
      </c>
      <c r="F19">
        <v>10</v>
      </c>
      <c r="G19" t="s">
        <v>17</v>
      </c>
      <c r="H19" t="s">
        <v>17</v>
      </c>
      <c r="I19">
        <v>4.8599999999999997E-2</v>
      </c>
      <c r="J19">
        <v>6.58</v>
      </c>
      <c r="K19">
        <v>3.2000000000000002E-3</v>
      </c>
      <c r="L19" t="s">
        <v>17</v>
      </c>
      <c r="M19">
        <v>298</v>
      </c>
      <c r="N19" t="s">
        <v>201</v>
      </c>
      <c r="O19" t="s">
        <v>1781</v>
      </c>
    </row>
    <row r="20" spans="1:15" x14ac:dyDescent="0.2">
      <c r="A20" t="s">
        <v>57</v>
      </c>
      <c r="B20" t="s">
        <v>58</v>
      </c>
      <c r="C20">
        <v>11</v>
      </c>
      <c r="D20" t="s">
        <v>17</v>
      </c>
      <c r="E20" t="s">
        <v>17</v>
      </c>
      <c r="F20">
        <v>11</v>
      </c>
      <c r="G20" t="s">
        <v>17</v>
      </c>
      <c r="H20" t="s">
        <v>17</v>
      </c>
      <c r="I20">
        <v>4.1500000000000002E-2</v>
      </c>
      <c r="J20">
        <v>25.06</v>
      </c>
      <c r="K20">
        <v>1.04E-2</v>
      </c>
      <c r="L20" t="s">
        <v>17</v>
      </c>
      <c r="M20">
        <v>298</v>
      </c>
      <c r="N20" t="s">
        <v>201</v>
      </c>
      <c r="O20" t="s">
        <v>1782</v>
      </c>
    </row>
  </sheetData>
  <pageMargins left="0.7" right="0.7" top="0.75" bottom="0.75" header="0.3" footer="0.3"/>
  <pageSetup paperSize="9" orientation="portrait" horizontalDpi="0" verticalDpi="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6BBD7-D4FB-6D43-AA64-0D3AAC3BFBD2}">
  <dimension ref="A1:P6"/>
  <sheetViews>
    <sheetView workbookViewId="0">
      <selection activeCell="N21" sqref="N21"/>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row>
    <row r="2" spans="1:16" x14ac:dyDescent="0.2">
      <c r="A2" t="s">
        <v>173</v>
      </c>
      <c r="B2" t="s">
        <v>239</v>
      </c>
      <c r="C2">
        <v>1</v>
      </c>
      <c r="D2" t="s">
        <v>17</v>
      </c>
      <c r="E2" t="s">
        <v>17</v>
      </c>
      <c r="F2">
        <v>2</v>
      </c>
      <c r="G2" t="s">
        <v>17</v>
      </c>
      <c r="H2" t="s">
        <v>17</v>
      </c>
      <c r="I2">
        <v>6.5759999999999999E-2</v>
      </c>
      <c r="J2">
        <v>0.441</v>
      </c>
      <c r="K2">
        <v>2.9E-4</v>
      </c>
      <c r="L2" t="s">
        <v>17</v>
      </c>
      <c r="M2">
        <v>295.60000000000002</v>
      </c>
      <c r="N2" t="s">
        <v>1786</v>
      </c>
      <c r="O2" t="s">
        <v>1787</v>
      </c>
      <c r="P2" t="s">
        <v>1788</v>
      </c>
    </row>
    <row r="3" spans="1:16" x14ac:dyDescent="0.2">
      <c r="A3" t="s">
        <v>173</v>
      </c>
      <c r="B3" t="s">
        <v>239</v>
      </c>
      <c r="C3">
        <v>3</v>
      </c>
      <c r="D3" t="s">
        <v>17</v>
      </c>
      <c r="E3" t="s">
        <v>17</v>
      </c>
      <c r="F3">
        <v>4</v>
      </c>
      <c r="G3" t="s">
        <v>17</v>
      </c>
      <c r="H3" t="s">
        <v>17</v>
      </c>
      <c r="I3">
        <v>5.8069999999999997E-2</v>
      </c>
      <c r="J3">
        <v>0.43099999999999999</v>
      </c>
      <c r="K3">
        <v>2.5000000000000001E-4</v>
      </c>
      <c r="L3" t="s">
        <v>17</v>
      </c>
      <c r="M3">
        <v>295.7</v>
      </c>
      <c r="N3" t="s">
        <v>1786</v>
      </c>
      <c r="O3" t="s">
        <v>1789</v>
      </c>
      <c r="P3" t="s">
        <v>1788</v>
      </c>
    </row>
    <row r="4" spans="1:16" x14ac:dyDescent="0.2">
      <c r="A4" t="s">
        <v>173</v>
      </c>
      <c r="B4" t="s">
        <v>239</v>
      </c>
      <c r="C4">
        <v>5</v>
      </c>
      <c r="D4" t="s">
        <v>17</v>
      </c>
      <c r="E4" t="s">
        <v>17</v>
      </c>
      <c r="F4">
        <v>6</v>
      </c>
      <c r="G4" t="s">
        <v>17</v>
      </c>
      <c r="H4" t="s">
        <v>17</v>
      </c>
      <c r="I4">
        <v>5.1950000000000003E-2</v>
      </c>
      <c r="J4">
        <v>0.40400000000000003</v>
      </c>
      <c r="K4">
        <v>2.1000000000000001E-4</v>
      </c>
      <c r="L4" t="s">
        <v>17</v>
      </c>
      <c r="M4">
        <v>296.10000000000002</v>
      </c>
      <c r="N4" t="s">
        <v>1786</v>
      </c>
      <c r="O4" t="s">
        <v>1790</v>
      </c>
      <c r="P4" t="s">
        <v>1788</v>
      </c>
    </row>
    <row r="5" spans="1:16" x14ac:dyDescent="0.2">
      <c r="A5" t="s">
        <v>173</v>
      </c>
      <c r="B5" t="s">
        <v>239</v>
      </c>
      <c r="C5">
        <v>8</v>
      </c>
      <c r="D5" t="s">
        <v>17</v>
      </c>
      <c r="E5" t="s">
        <v>17</v>
      </c>
      <c r="F5">
        <v>9</v>
      </c>
      <c r="G5" t="s">
        <v>17</v>
      </c>
      <c r="H5" t="s">
        <v>17</v>
      </c>
      <c r="I5">
        <v>4.752E-2</v>
      </c>
      <c r="J5">
        <v>0.442</v>
      </c>
      <c r="K5">
        <v>2.1000000000000001E-4</v>
      </c>
      <c r="L5" t="s">
        <v>17</v>
      </c>
      <c r="M5">
        <v>295.7</v>
      </c>
      <c r="N5" t="s">
        <v>1786</v>
      </c>
      <c r="O5" t="s">
        <v>1791</v>
      </c>
      <c r="P5" t="s">
        <v>1792</v>
      </c>
    </row>
    <row r="6" spans="1:16" x14ac:dyDescent="0.2">
      <c r="A6" t="s">
        <v>173</v>
      </c>
      <c r="B6" t="s">
        <v>239</v>
      </c>
      <c r="C6">
        <v>13</v>
      </c>
      <c r="D6" t="s">
        <v>17</v>
      </c>
      <c r="E6" t="s">
        <v>17</v>
      </c>
      <c r="F6">
        <v>14</v>
      </c>
      <c r="G6" t="s">
        <v>17</v>
      </c>
      <c r="H6" t="s">
        <v>17</v>
      </c>
      <c r="I6">
        <v>4.5659999999999999E-2</v>
      </c>
      <c r="J6">
        <v>0.46</v>
      </c>
      <c r="K6">
        <v>2.1000000000000001E-4</v>
      </c>
      <c r="L6" t="s">
        <v>17</v>
      </c>
      <c r="M6">
        <v>295.7</v>
      </c>
      <c r="N6" t="s">
        <v>1786</v>
      </c>
      <c r="O6" t="s">
        <v>1793</v>
      </c>
      <c r="P6" t="s">
        <v>1788</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966D-F74E-9244-89E9-C1567A2BF69C}">
  <dimension ref="A1:O26"/>
  <sheetViews>
    <sheetView tabSelected="1" workbookViewId="0">
      <selection activeCell="D28" sqref="D28"/>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173</v>
      </c>
      <c r="B2" t="s">
        <v>239</v>
      </c>
      <c r="C2">
        <v>2</v>
      </c>
      <c r="D2" t="s">
        <v>17</v>
      </c>
      <c r="E2" t="s">
        <v>17</v>
      </c>
      <c r="F2">
        <v>1</v>
      </c>
      <c r="G2" t="s">
        <v>17</v>
      </c>
      <c r="H2" t="s">
        <v>17</v>
      </c>
      <c r="I2">
        <v>6.6000000000000003E-2</v>
      </c>
      <c r="J2">
        <v>10</v>
      </c>
      <c r="K2">
        <v>6.6E-3</v>
      </c>
      <c r="L2" t="s">
        <v>17</v>
      </c>
      <c r="M2">
        <v>298</v>
      </c>
      <c r="N2" t="s">
        <v>201</v>
      </c>
      <c r="O2" t="s">
        <v>1794</v>
      </c>
    </row>
    <row r="3" spans="1:15" x14ac:dyDescent="0.2">
      <c r="A3" t="s">
        <v>173</v>
      </c>
      <c r="B3" t="s">
        <v>239</v>
      </c>
      <c r="C3">
        <v>3</v>
      </c>
      <c r="D3" t="s">
        <v>17</v>
      </c>
      <c r="E3" t="s">
        <v>17</v>
      </c>
      <c r="F3">
        <v>2</v>
      </c>
      <c r="G3" t="s">
        <v>17</v>
      </c>
      <c r="H3" t="s">
        <v>17</v>
      </c>
      <c r="I3">
        <v>6.08E-2</v>
      </c>
      <c r="J3">
        <v>10</v>
      </c>
      <c r="K3">
        <v>6.0800000000000003E-3</v>
      </c>
      <c r="L3" t="s">
        <v>17</v>
      </c>
      <c r="M3">
        <v>298</v>
      </c>
      <c r="N3" t="s">
        <v>201</v>
      </c>
      <c r="O3" t="s">
        <v>1795</v>
      </c>
    </row>
    <row r="4" spans="1:15" x14ac:dyDescent="0.2">
      <c r="A4" t="s">
        <v>173</v>
      </c>
      <c r="B4" t="s">
        <v>239</v>
      </c>
      <c r="C4">
        <v>4</v>
      </c>
      <c r="D4" t="s">
        <v>17</v>
      </c>
      <c r="E4" t="s">
        <v>17</v>
      </c>
      <c r="F4">
        <v>3</v>
      </c>
      <c r="G4" t="s">
        <v>17</v>
      </c>
      <c r="H4" t="s">
        <v>17</v>
      </c>
      <c r="I4">
        <v>5.1299999999999998E-2</v>
      </c>
      <c r="J4">
        <v>10</v>
      </c>
      <c r="K4">
        <v>5.13E-3</v>
      </c>
      <c r="L4" t="s">
        <v>17</v>
      </c>
      <c r="M4">
        <v>298</v>
      </c>
      <c r="N4" t="s">
        <v>201</v>
      </c>
      <c r="O4" t="s">
        <v>1796</v>
      </c>
    </row>
    <row r="5" spans="1:15" x14ac:dyDescent="0.2">
      <c r="A5" t="s">
        <v>173</v>
      </c>
      <c r="B5" t="s">
        <v>239</v>
      </c>
      <c r="C5">
        <v>5</v>
      </c>
      <c r="D5" t="s">
        <v>17</v>
      </c>
      <c r="E5" t="s">
        <v>17</v>
      </c>
      <c r="F5">
        <v>4</v>
      </c>
      <c r="G5" t="s">
        <v>17</v>
      </c>
      <c r="H5" t="s">
        <v>17</v>
      </c>
      <c r="I5">
        <v>5.4100000000000002E-2</v>
      </c>
      <c r="J5">
        <v>10</v>
      </c>
      <c r="K5">
        <v>5.4099999999999999E-3</v>
      </c>
      <c r="L5" t="s">
        <v>17</v>
      </c>
      <c r="M5">
        <v>298</v>
      </c>
      <c r="N5" t="s">
        <v>201</v>
      </c>
      <c r="O5" t="s">
        <v>1797</v>
      </c>
    </row>
    <row r="6" spans="1:15" x14ac:dyDescent="0.2">
      <c r="A6" t="s">
        <v>173</v>
      </c>
      <c r="B6" t="s">
        <v>239</v>
      </c>
      <c r="C6">
        <v>6</v>
      </c>
      <c r="D6" t="s">
        <v>17</v>
      </c>
      <c r="E6" t="s">
        <v>17</v>
      </c>
      <c r="F6">
        <v>5</v>
      </c>
      <c r="G6" t="s">
        <v>17</v>
      </c>
      <c r="H6" t="s">
        <v>17</v>
      </c>
      <c r="I6">
        <v>5.1900000000000002E-2</v>
      </c>
      <c r="J6">
        <v>10</v>
      </c>
      <c r="K6">
        <v>5.1900000000000002E-3</v>
      </c>
      <c r="L6" t="s">
        <v>17</v>
      </c>
      <c r="M6">
        <v>298</v>
      </c>
      <c r="N6" t="s">
        <v>201</v>
      </c>
      <c r="O6" t="s">
        <v>1798</v>
      </c>
    </row>
    <row r="7" spans="1:15" x14ac:dyDescent="0.2">
      <c r="A7" t="s">
        <v>173</v>
      </c>
      <c r="B7" t="s">
        <v>239</v>
      </c>
      <c r="C7">
        <v>7</v>
      </c>
      <c r="D7" t="s">
        <v>17</v>
      </c>
      <c r="E7" t="s">
        <v>17</v>
      </c>
      <c r="F7">
        <v>6</v>
      </c>
      <c r="G7" t="s">
        <v>17</v>
      </c>
      <c r="H7" t="s">
        <v>17</v>
      </c>
      <c r="I7">
        <v>4.9700000000000001E-2</v>
      </c>
      <c r="J7">
        <v>10</v>
      </c>
      <c r="K7">
        <v>4.9699999999999996E-3</v>
      </c>
      <c r="L7" t="s">
        <v>17</v>
      </c>
      <c r="M7">
        <v>298</v>
      </c>
      <c r="N7" t="s">
        <v>201</v>
      </c>
      <c r="O7" t="s">
        <v>1799</v>
      </c>
    </row>
    <row r="8" spans="1:15" x14ac:dyDescent="0.2">
      <c r="A8" t="s">
        <v>173</v>
      </c>
      <c r="B8" t="s">
        <v>239</v>
      </c>
      <c r="C8">
        <v>8</v>
      </c>
      <c r="D8" t="s">
        <v>17</v>
      </c>
      <c r="E8" t="s">
        <v>17</v>
      </c>
      <c r="F8">
        <v>7</v>
      </c>
      <c r="G8" t="s">
        <v>17</v>
      </c>
      <c r="H8" t="s">
        <v>17</v>
      </c>
      <c r="I8">
        <v>4.8300000000000003E-2</v>
      </c>
      <c r="J8">
        <v>10</v>
      </c>
      <c r="K8">
        <v>4.8300000000000001E-3</v>
      </c>
      <c r="L8" t="s">
        <v>17</v>
      </c>
      <c r="M8">
        <v>298</v>
      </c>
      <c r="N8" t="s">
        <v>201</v>
      </c>
      <c r="O8" t="s">
        <v>1800</v>
      </c>
    </row>
    <row r="9" spans="1:15" x14ac:dyDescent="0.2">
      <c r="A9" t="s">
        <v>173</v>
      </c>
      <c r="B9" t="s">
        <v>239</v>
      </c>
      <c r="C9">
        <v>9</v>
      </c>
      <c r="D9" t="s">
        <v>17</v>
      </c>
      <c r="E9" t="s">
        <v>17</v>
      </c>
      <c r="F9">
        <v>8</v>
      </c>
      <c r="G9" t="s">
        <v>17</v>
      </c>
      <c r="H9" t="s">
        <v>17</v>
      </c>
      <c r="I9">
        <v>4.7199999999999999E-2</v>
      </c>
      <c r="J9">
        <v>10</v>
      </c>
      <c r="K9">
        <v>4.7200000000000002E-3</v>
      </c>
      <c r="L9" t="s">
        <v>17</v>
      </c>
      <c r="M9">
        <v>298</v>
      </c>
      <c r="N9" t="s">
        <v>201</v>
      </c>
      <c r="O9" t="s">
        <v>1801</v>
      </c>
    </row>
    <row r="10" spans="1:15" x14ac:dyDescent="0.2">
      <c r="A10" t="s">
        <v>173</v>
      </c>
      <c r="B10" t="s">
        <v>239</v>
      </c>
      <c r="C10">
        <v>10</v>
      </c>
      <c r="D10" t="s">
        <v>17</v>
      </c>
      <c r="E10" t="s">
        <v>17</v>
      </c>
      <c r="F10">
        <v>9</v>
      </c>
      <c r="G10" t="s">
        <v>17</v>
      </c>
      <c r="H10" t="s">
        <v>17</v>
      </c>
      <c r="I10">
        <v>4.6399999999999997E-2</v>
      </c>
      <c r="J10">
        <v>10</v>
      </c>
      <c r="K10">
        <v>4.64E-3</v>
      </c>
      <c r="L10" t="s">
        <v>17</v>
      </c>
      <c r="M10">
        <v>298</v>
      </c>
      <c r="N10" t="s">
        <v>201</v>
      </c>
      <c r="O10" t="s">
        <v>1802</v>
      </c>
    </row>
    <row r="11" spans="1:15" x14ac:dyDescent="0.2">
      <c r="A11" t="s">
        <v>173</v>
      </c>
      <c r="B11" t="s">
        <v>239</v>
      </c>
      <c r="C11">
        <v>11</v>
      </c>
      <c r="D11" t="s">
        <v>17</v>
      </c>
      <c r="E11" t="s">
        <v>17</v>
      </c>
      <c r="F11">
        <v>10</v>
      </c>
      <c r="G11" t="s">
        <v>17</v>
      </c>
      <c r="H11" t="s">
        <v>17</v>
      </c>
      <c r="I11">
        <v>4.5600000000000002E-2</v>
      </c>
      <c r="J11">
        <v>10</v>
      </c>
      <c r="K11">
        <v>4.5599999999999998E-3</v>
      </c>
      <c r="L11" t="s">
        <v>17</v>
      </c>
      <c r="M11">
        <v>298</v>
      </c>
      <c r="N11" t="s">
        <v>201</v>
      </c>
      <c r="O11" t="s">
        <v>1803</v>
      </c>
    </row>
    <row r="12" spans="1:15" x14ac:dyDescent="0.2">
      <c r="A12" t="s">
        <v>173</v>
      </c>
      <c r="B12" t="s">
        <v>239</v>
      </c>
      <c r="C12">
        <v>12</v>
      </c>
      <c r="D12" t="s">
        <v>17</v>
      </c>
      <c r="E12" t="s">
        <v>17</v>
      </c>
      <c r="F12">
        <v>11</v>
      </c>
      <c r="G12" t="s">
        <v>17</v>
      </c>
      <c r="H12" t="s">
        <v>17</v>
      </c>
      <c r="I12">
        <v>4.4999999999999998E-2</v>
      </c>
      <c r="J12">
        <v>10</v>
      </c>
      <c r="K12">
        <v>4.4999999999999997E-3</v>
      </c>
      <c r="L12" t="s">
        <v>17</v>
      </c>
      <c r="M12">
        <v>298</v>
      </c>
      <c r="N12" t="s">
        <v>201</v>
      </c>
      <c r="O12" t="s">
        <v>1804</v>
      </c>
    </row>
    <row r="13" spans="1:15" x14ac:dyDescent="0.2">
      <c r="A13" t="s">
        <v>173</v>
      </c>
      <c r="B13" t="s">
        <v>239</v>
      </c>
      <c r="C13">
        <v>13</v>
      </c>
      <c r="D13" t="s">
        <v>17</v>
      </c>
      <c r="E13" t="s">
        <v>17</v>
      </c>
      <c r="F13">
        <v>12</v>
      </c>
      <c r="G13" t="s">
        <v>17</v>
      </c>
      <c r="H13" t="s">
        <v>17</v>
      </c>
      <c r="I13">
        <v>4.4600000000000001E-2</v>
      </c>
      <c r="J13">
        <v>10</v>
      </c>
      <c r="K13">
        <v>4.4600000000000004E-3</v>
      </c>
      <c r="L13" t="s">
        <v>17</v>
      </c>
      <c r="M13">
        <v>298</v>
      </c>
      <c r="N13" t="s">
        <v>201</v>
      </c>
      <c r="O13" t="s">
        <v>1805</v>
      </c>
    </row>
    <row r="14" spans="1:15" x14ac:dyDescent="0.2">
      <c r="A14" t="s">
        <v>173</v>
      </c>
      <c r="B14" t="s">
        <v>239</v>
      </c>
      <c r="C14">
        <v>14</v>
      </c>
      <c r="D14" t="s">
        <v>17</v>
      </c>
      <c r="E14" t="s">
        <v>17</v>
      </c>
      <c r="F14">
        <v>13</v>
      </c>
      <c r="G14" t="s">
        <v>17</v>
      </c>
      <c r="H14" t="s">
        <v>17</v>
      </c>
      <c r="I14">
        <v>4.4200000000000003E-2</v>
      </c>
      <c r="J14">
        <v>10</v>
      </c>
      <c r="K14">
        <v>4.4200000000000003E-3</v>
      </c>
      <c r="L14" t="s">
        <v>17</v>
      </c>
      <c r="M14">
        <v>298</v>
      </c>
      <c r="N14" t="s">
        <v>201</v>
      </c>
      <c r="O14" t="s">
        <v>1806</v>
      </c>
    </row>
    <row r="15" spans="1:15" x14ac:dyDescent="0.2">
      <c r="A15" t="s">
        <v>173</v>
      </c>
      <c r="B15" t="s">
        <v>239</v>
      </c>
      <c r="C15">
        <v>15</v>
      </c>
      <c r="D15" t="s">
        <v>17</v>
      </c>
      <c r="E15" t="s">
        <v>17</v>
      </c>
      <c r="F15">
        <v>14</v>
      </c>
      <c r="G15" t="s">
        <v>17</v>
      </c>
      <c r="H15" t="s">
        <v>17</v>
      </c>
      <c r="I15">
        <v>4.36E-2</v>
      </c>
      <c r="J15">
        <v>10</v>
      </c>
      <c r="K15">
        <v>4.3600000000000002E-3</v>
      </c>
      <c r="L15" t="s">
        <v>17</v>
      </c>
      <c r="M15">
        <v>298</v>
      </c>
      <c r="N15" t="s">
        <v>201</v>
      </c>
      <c r="O15" t="s">
        <v>1807</v>
      </c>
    </row>
    <row r="16" spans="1:15" x14ac:dyDescent="0.2">
      <c r="A16" t="s">
        <v>173</v>
      </c>
      <c r="B16" t="s">
        <v>239</v>
      </c>
      <c r="C16">
        <v>16</v>
      </c>
      <c r="D16" t="s">
        <v>17</v>
      </c>
      <c r="E16" t="s">
        <v>17</v>
      </c>
      <c r="F16">
        <v>15</v>
      </c>
      <c r="G16" t="s">
        <v>17</v>
      </c>
      <c r="H16" t="s">
        <v>17</v>
      </c>
      <c r="I16">
        <v>4.2999999999999997E-2</v>
      </c>
      <c r="J16">
        <v>10</v>
      </c>
      <c r="K16">
        <v>4.3E-3</v>
      </c>
      <c r="L16" t="s">
        <v>17</v>
      </c>
      <c r="M16">
        <v>298</v>
      </c>
      <c r="N16" t="s">
        <v>201</v>
      </c>
      <c r="O16" t="s">
        <v>1808</v>
      </c>
    </row>
    <row r="17" spans="1:15" x14ac:dyDescent="0.2">
      <c r="A17" t="s">
        <v>173</v>
      </c>
      <c r="B17" t="s">
        <v>239</v>
      </c>
      <c r="C17">
        <v>17</v>
      </c>
      <c r="D17" t="s">
        <v>17</v>
      </c>
      <c r="E17" t="s">
        <v>17</v>
      </c>
      <c r="F17">
        <v>16</v>
      </c>
      <c r="G17" t="s">
        <v>17</v>
      </c>
      <c r="H17" t="s">
        <v>17</v>
      </c>
      <c r="I17">
        <v>4.24E-2</v>
      </c>
      <c r="J17">
        <v>10</v>
      </c>
      <c r="K17">
        <v>4.2399999999999998E-3</v>
      </c>
      <c r="L17" t="s">
        <v>17</v>
      </c>
      <c r="M17">
        <v>298</v>
      </c>
      <c r="N17" t="s">
        <v>201</v>
      </c>
      <c r="O17" t="s">
        <v>1809</v>
      </c>
    </row>
    <row r="18" spans="1:15" x14ac:dyDescent="0.2">
      <c r="A18" t="s">
        <v>173</v>
      </c>
      <c r="B18" t="s">
        <v>239</v>
      </c>
      <c r="C18">
        <v>18</v>
      </c>
      <c r="D18" t="s">
        <v>17</v>
      </c>
      <c r="E18" t="s">
        <v>17</v>
      </c>
      <c r="F18">
        <v>17</v>
      </c>
      <c r="G18" t="s">
        <v>17</v>
      </c>
      <c r="H18" t="s">
        <v>17</v>
      </c>
      <c r="I18">
        <v>4.1700000000000001E-2</v>
      </c>
      <c r="J18">
        <v>10</v>
      </c>
      <c r="K18">
        <v>4.1700000000000001E-3</v>
      </c>
      <c r="L18" t="s">
        <v>17</v>
      </c>
      <c r="M18">
        <v>298</v>
      </c>
      <c r="N18" t="s">
        <v>201</v>
      </c>
      <c r="O18" t="s">
        <v>1810</v>
      </c>
    </row>
    <row r="19" spans="1:15" x14ac:dyDescent="0.2">
      <c r="A19" t="s">
        <v>173</v>
      </c>
      <c r="B19" t="s">
        <v>239</v>
      </c>
      <c r="C19">
        <v>19</v>
      </c>
      <c r="D19" t="s">
        <v>17</v>
      </c>
      <c r="E19" t="s">
        <v>17</v>
      </c>
      <c r="F19">
        <v>18</v>
      </c>
      <c r="G19" t="s">
        <v>17</v>
      </c>
      <c r="H19" t="s">
        <v>17</v>
      </c>
      <c r="I19">
        <v>4.0899999999999999E-2</v>
      </c>
      <c r="J19">
        <v>10</v>
      </c>
      <c r="K19">
        <v>4.0899999999999999E-3</v>
      </c>
      <c r="L19" t="s">
        <v>17</v>
      </c>
      <c r="M19">
        <v>298</v>
      </c>
      <c r="N19" t="s">
        <v>201</v>
      </c>
      <c r="O19" t="s">
        <v>1811</v>
      </c>
    </row>
    <row r="20" spans="1:15" x14ac:dyDescent="0.2">
      <c r="A20" t="s">
        <v>173</v>
      </c>
      <c r="B20" t="s">
        <v>239</v>
      </c>
      <c r="C20">
        <v>20</v>
      </c>
      <c r="D20" t="s">
        <v>17</v>
      </c>
      <c r="E20" t="s">
        <v>17</v>
      </c>
      <c r="F20">
        <v>19</v>
      </c>
      <c r="G20" t="s">
        <v>17</v>
      </c>
      <c r="H20" t="s">
        <v>17</v>
      </c>
      <c r="I20">
        <v>4.02E-2</v>
      </c>
      <c r="J20">
        <v>10</v>
      </c>
      <c r="K20">
        <v>4.0200000000000001E-3</v>
      </c>
      <c r="L20" t="s">
        <v>17</v>
      </c>
      <c r="M20">
        <v>298</v>
      </c>
      <c r="N20" t="s">
        <v>201</v>
      </c>
      <c r="O20" t="s">
        <v>1812</v>
      </c>
    </row>
    <row r="21" spans="1:15" x14ac:dyDescent="0.2">
      <c r="A21" t="s">
        <v>173</v>
      </c>
      <c r="B21" t="s">
        <v>239</v>
      </c>
      <c r="C21">
        <v>21</v>
      </c>
      <c r="D21" t="s">
        <v>17</v>
      </c>
      <c r="E21" t="s">
        <v>17</v>
      </c>
      <c r="F21">
        <v>20</v>
      </c>
      <c r="G21" t="s">
        <v>17</v>
      </c>
      <c r="H21" t="s">
        <v>17</v>
      </c>
      <c r="I21">
        <v>3.95E-2</v>
      </c>
      <c r="J21">
        <v>10</v>
      </c>
      <c r="K21">
        <v>3.9500000000000004E-3</v>
      </c>
      <c r="L21" t="s">
        <v>17</v>
      </c>
      <c r="M21">
        <v>298</v>
      </c>
      <c r="N21" t="s">
        <v>201</v>
      </c>
      <c r="O21" t="s">
        <v>1813</v>
      </c>
    </row>
    <row r="22" spans="1:15" x14ac:dyDescent="0.2">
      <c r="A22" t="s">
        <v>173</v>
      </c>
      <c r="B22" t="s">
        <v>239</v>
      </c>
      <c r="C22">
        <v>22</v>
      </c>
      <c r="D22" t="s">
        <v>17</v>
      </c>
      <c r="E22" t="s">
        <v>17</v>
      </c>
      <c r="F22">
        <v>21</v>
      </c>
      <c r="G22" t="s">
        <v>17</v>
      </c>
      <c r="H22" t="s">
        <v>17</v>
      </c>
      <c r="I22">
        <v>3.8800000000000001E-2</v>
      </c>
      <c r="J22">
        <v>10</v>
      </c>
      <c r="K22">
        <v>3.8800000000000002E-3</v>
      </c>
      <c r="L22" t="s">
        <v>17</v>
      </c>
      <c r="M22">
        <v>298</v>
      </c>
      <c r="N22" t="s">
        <v>201</v>
      </c>
      <c r="O22" t="s">
        <v>1814</v>
      </c>
    </row>
    <row r="23" spans="1:15" x14ac:dyDescent="0.2">
      <c r="A23" t="s">
        <v>173</v>
      </c>
      <c r="B23" t="s">
        <v>239</v>
      </c>
      <c r="C23">
        <v>23</v>
      </c>
      <c r="D23" t="s">
        <v>17</v>
      </c>
      <c r="E23" t="s">
        <v>17</v>
      </c>
      <c r="F23">
        <v>22</v>
      </c>
      <c r="G23" t="s">
        <v>17</v>
      </c>
      <c r="H23" t="s">
        <v>17</v>
      </c>
      <c r="I23">
        <v>3.8199999999999998E-2</v>
      </c>
      <c r="J23">
        <v>10</v>
      </c>
      <c r="K23">
        <v>3.82E-3</v>
      </c>
      <c r="L23" t="s">
        <v>17</v>
      </c>
      <c r="M23">
        <v>298</v>
      </c>
      <c r="N23" t="s">
        <v>201</v>
      </c>
      <c r="O23" t="s">
        <v>1815</v>
      </c>
    </row>
    <row r="24" spans="1:15" x14ac:dyDescent="0.2">
      <c r="A24" t="s">
        <v>173</v>
      </c>
      <c r="B24" t="s">
        <v>239</v>
      </c>
      <c r="C24">
        <v>24</v>
      </c>
      <c r="D24" t="s">
        <v>17</v>
      </c>
      <c r="E24" t="s">
        <v>17</v>
      </c>
      <c r="F24">
        <v>23</v>
      </c>
      <c r="G24" t="s">
        <v>17</v>
      </c>
      <c r="H24" t="s">
        <v>17</v>
      </c>
      <c r="I24">
        <v>3.7699999999999997E-2</v>
      </c>
      <c r="J24">
        <v>10</v>
      </c>
      <c r="K24">
        <v>3.7699999999999999E-3</v>
      </c>
      <c r="L24" t="s">
        <v>17</v>
      </c>
      <c r="M24">
        <v>298</v>
      </c>
      <c r="N24" t="s">
        <v>201</v>
      </c>
      <c r="O24" t="s">
        <v>1816</v>
      </c>
    </row>
    <row r="25" spans="1:15" x14ac:dyDescent="0.2">
      <c r="A25" t="s">
        <v>173</v>
      </c>
      <c r="B25" t="s">
        <v>239</v>
      </c>
      <c r="C25">
        <v>25</v>
      </c>
      <c r="D25" t="s">
        <v>17</v>
      </c>
      <c r="E25" t="s">
        <v>17</v>
      </c>
      <c r="F25">
        <v>24</v>
      </c>
      <c r="G25" t="s">
        <v>17</v>
      </c>
      <c r="H25" t="s">
        <v>17</v>
      </c>
      <c r="I25">
        <v>3.7199999999999997E-2</v>
      </c>
      <c r="J25">
        <v>10</v>
      </c>
      <c r="K25">
        <v>3.7200000000000002E-3</v>
      </c>
      <c r="L25" t="s">
        <v>17</v>
      </c>
      <c r="M25">
        <v>298</v>
      </c>
      <c r="N25" t="s">
        <v>201</v>
      </c>
      <c r="O25" t="s">
        <v>1817</v>
      </c>
    </row>
    <row r="26" spans="1:15" x14ac:dyDescent="0.2">
      <c r="A26" t="s">
        <v>173</v>
      </c>
      <c r="B26" t="s">
        <v>239</v>
      </c>
      <c r="C26">
        <v>26</v>
      </c>
      <c r="D26" t="s">
        <v>17</v>
      </c>
      <c r="E26" t="s">
        <v>17</v>
      </c>
      <c r="F26">
        <v>25</v>
      </c>
      <c r="G26" t="s">
        <v>17</v>
      </c>
      <c r="H26" t="s">
        <v>17</v>
      </c>
      <c r="I26">
        <v>3.6600000000000001E-2</v>
      </c>
      <c r="J26">
        <v>10</v>
      </c>
      <c r="K26">
        <v>3.6600000000000001E-3</v>
      </c>
      <c r="L26" t="s">
        <v>17</v>
      </c>
      <c r="M26">
        <v>298</v>
      </c>
      <c r="N26" t="s">
        <v>201</v>
      </c>
      <c r="O26" t="s">
        <v>1818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65</vt:i4>
      </vt:variant>
    </vt:vector>
  </HeadingPairs>
  <TitlesOfParts>
    <vt:vector size="65" baseType="lpstr">
      <vt:lpstr>303 HBr by CO2</vt:lpstr>
      <vt:lpstr>304 HF by CO2</vt:lpstr>
      <vt:lpstr>307 N2 by H2</vt:lpstr>
      <vt:lpstr>308 N2 by H2</vt:lpstr>
      <vt:lpstr>310 N2 by CO2</vt:lpstr>
      <vt:lpstr>311 N2 by CO</vt:lpstr>
      <vt:lpstr>312 HCN by N2</vt:lpstr>
      <vt:lpstr>313 H2O by He</vt:lpstr>
      <vt:lpstr>316 CO by H2</vt:lpstr>
      <vt:lpstr>317 CO by air and H2</vt:lpstr>
      <vt:lpstr>318 CO by O2, N2, H2, He, CO2, </vt:lpstr>
      <vt:lpstr>319 H2O by H2 and He</vt:lpstr>
      <vt:lpstr>321 H2O by H2</vt:lpstr>
      <vt:lpstr>322 H2O by H2 and He</vt:lpstr>
      <vt:lpstr>324 13C12CH4 by self</vt:lpstr>
      <vt:lpstr>325 13CO and C18O by air</vt:lpstr>
      <vt:lpstr>327 CH4 by C3H8 and C4H10</vt:lpstr>
      <vt:lpstr>328 H2O by He, Ar, Kr</vt:lpstr>
      <vt:lpstr>329 CO by CO2</vt:lpstr>
      <vt:lpstr>330 C2H2 by CO2</vt:lpstr>
      <vt:lpstr>335 H2O by O2</vt:lpstr>
      <vt:lpstr>336 H2O by He</vt:lpstr>
      <vt:lpstr>337 H2O by CO2</vt:lpstr>
      <vt:lpstr>339 H2O by Ar</vt:lpstr>
      <vt:lpstr>340 H2O by Ar, He, Ne, Kr</vt:lpstr>
      <vt:lpstr>341 H2S by self, H2O, N2, O2, H</vt:lpstr>
      <vt:lpstr>343 H2O by He</vt:lpstr>
      <vt:lpstr>344 H2O–H2O, NH3–NH3, DCl–HCl a</vt:lpstr>
      <vt:lpstr>345 H2S by He, Ne, Ar, Kr, Xe</vt:lpstr>
      <vt:lpstr>346 H2S by He</vt:lpstr>
      <vt:lpstr>347 NH3 by Ar and He</vt:lpstr>
      <vt:lpstr>348 H2S by He, Ne, Ar, Kr, Xe</vt:lpstr>
      <vt:lpstr>349 H2O by He, Ar, Kr</vt:lpstr>
      <vt:lpstr>350 NH3 by Ar and He</vt:lpstr>
      <vt:lpstr>351 H2O by N2, Ar and He</vt:lpstr>
      <vt:lpstr>352 H2O by Ne, Kr and Xe</vt:lpstr>
      <vt:lpstr>354 H2O by Ne, Kr and Xe</vt:lpstr>
      <vt:lpstr>355 H2O by Ar, Kr, H2 and He</vt:lpstr>
      <vt:lpstr>357 H2O by CO2</vt:lpstr>
      <vt:lpstr>358 H2O by He, Ar, Kr and Xe</vt:lpstr>
      <vt:lpstr>360 H2O by H2</vt:lpstr>
      <vt:lpstr>361 H2O by He</vt:lpstr>
      <vt:lpstr>363 H2O by Ar</vt:lpstr>
      <vt:lpstr>365 H2O by H2</vt:lpstr>
      <vt:lpstr>366 SO2 by CO2</vt:lpstr>
      <vt:lpstr>367 H2O by Kr</vt:lpstr>
      <vt:lpstr>368 H2O by Kr</vt:lpstr>
      <vt:lpstr>370 H2O by Xe</vt:lpstr>
      <vt:lpstr>371 H2O by CO2</vt:lpstr>
      <vt:lpstr>372 H2O by Xe</vt:lpstr>
      <vt:lpstr>373 H2O by CO2</vt:lpstr>
      <vt:lpstr>374 H2O by CO2</vt:lpstr>
      <vt:lpstr>375 HDO by CO2</vt:lpstr>
      <vt:lpstr>47 NO by H2O, O2 and NO</vt:lpstr>
      <vt:lpstr>162 Br2 by Ar and self, HD ELEC</vt:lpstr>
      <vt:lpstr>378 NH3 by N2, O2, H2, Ar, He</vt:lpstr>
      <vt:lpstr>379 HDO by CO2</vt:lpstr>
      <vt:lpstr>380 HCl, HF by Ar, N2 </vt:lpstr>
      <vt:lpstr>382 CO by H2</vt:lpstr>
      <vt:lpstr>383 C2H2 by H2</vt:lpstr>
      <vt:lpstr>384 CO2 by He</vt:lpstr>
      <vt:lpstr>385 N2 by Ar</vt:lpstr>
      <vt:lpstr>386 N2 by H2</vt:lpstr>
      <vt:lpstr>387 CO by Ar</vt:lpstr>
      <vt:lpstr>389 CO by CO, N2, 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Guest, Elizabeth</dc:creator>
  <cp:lastModifiedBy>Guest, Elizabeth</cp:lastModifiedBy>
  <dcterms:created xsi:type="dcterms:W3CDTF">2025-11-18T12:13:55Z</dcterms:created>
  <dcterms:modified xsi:type="dcterms:W3CDTF">2025-12-02T12:56:12Z</dcterms:modified>
</cp:coreProperties>
</file>