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elizabeth/Desktop/line_broadening.nosync/line_broadening/Other_broadeners/References/"/>
    </mc:Choice>
  </mc:AlternateContent>
  <xr:revisionPtr revIDLastSave="0" documentId="13_ncr:1_{E84C79CA-1398-1E45-9EED-7B077D4F965D}"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4" i="1" l="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190" i="1"/>
  <c r="L14" i="1"/>
  <c r="L3" i="1"/>
  <c r="L4" i="1"/>
  <c r="L5" i="1"/>
  <c r="L6" i="1"/>
  <c r="L7" i="1"/>
  <c r="L8" i="1"/>
  <c r="L9" i="1"/>
  <c r="L10" i="1"/>
  <c r="L11" i="1"/>
  <c r="L12" i="1"/>
  <c r="L13"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372"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373" i="1"/>
  <c r="L169" i="1"/>
  <c r="L170" i="1"/>
  <c r="L171" i="1"/>
  <c r="L172" i="1"/>
  <c r="L173" i="1"/>
  <c r="L174" i="1"/>
  <c r="L175" i="1"/>
  <c r="L176" i="1"/>
  <c r="L177" i="1"/>
  <c r="L178" i="1"/>
  <c r="L179" i="1"/>
  <c r="L180" i="1"/>
  <c r="L181" i="1"/>
  <c r="L182" i="1"/>
  <c r="L183" i="1"/>
  <c r="L184" i="1"/>
  <c r="L185" i="1"/>
  <c r="L186" i="1"/>
  <c r="L187" i="1"/>
  <c r="L188" i="1"/>
  <c r="L189"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2" i="1"/>
</calcChain>
</file>

<file path=xl/sharedStrings.xml><?xml version="1.0" encoding="utf-8"?>
<sst xmlns="http://schemas.openxmlformats.org/spreadsheetml/2006/main" count="2154" uniqueCount="1520">
  <si>
    <t>Paper brief</t>
  </si>
  <si>
    <t>Link</t>
  </si>
  <si>
    <t>Notes</t>
  </si>
  <si>
    <t>H2O by CO2</t>
  </si>
  <si>
    <t>https://www.sciencedirect.com/science/article/pii/S0022407319301396#sec0007</t>
  </si>
  <si>
    <t>by H2, H2 and CO2</t>
  </si>
  <si>
    <t>HITRAN new broadener data, looks like it isn't online CO2, N2O, CO, SO2, OH, OCS, H2CO, HCN, PH3, H2S, and GeH4 by H2, H2 and CO2</t>
  </si>
  <si>
    <t>O2 by CO2</t>
  </si>
  <si>
    <t>https://www.sciencedirect.com/science/article/pii/S0022407316302801</t>
  </si>
  <si>
    <t>temperature</t>
  </si>
  <si>
    <t>room</t>
  </si>
  <si>
    <t>0.13 - 0.66</t>
  </si>
  <si>
    <t>pressure/ bar</t>
  </si>
  <si>
    <t>isotopologues</t>
  </si>
  <si>
    <t>16/17/18O</t>
  </si>
  <si>
    <t>https://www.sciencedirect.com/science/article/pii/S0022285215001770?via%3Dihub#s0035</t>
  </si>
  <si>
    <t>Gamache data in HITRAN format</t>
  </si>
  <si>
    <t>Paper name</t>
  </si>
  <si>
    <t>https://www.mdpi.com/2076-3417/13/3/1370/review_report</t>
  </si>
  <si>
    <t>NO by N2 CO2 Ar H2 O2 He</t>
  </si>
  <si>
    <t>https://www.sciencedirect.com/science/article/pii/S0022407319303589</t>
  </si>
  <si>
    <t>NO by N2 and Ar</t>
  </si>
  <si>
    <t>http://przyrbwn.icm.edu.pl/APP/PDF/101/A101Z604.pdf</t>
  </si>
  <si>
    <t>CHF3 by weird molecules</t>
  </si>
  <si>
    <t>1 line</t>
  </si>
  <si>
    <t>1 line.    
@article{ WOS:000176629000001,
Author = {Gierszal, S and Galica, J and Mis-Kuzminska, E and Liber, A},
Title = {Pressure broadening of &lt;i&gt;J&lt;/i&gt;=1 ← 0 rotational line of fluoroform
   caused by spherical perturbers},
Journal = {ACTA PHYSICA POLONICA A},
Year = {2002},
Volume = {101},
Number = {6},
Pages = {805-813},
Month = {JUN},
Abstract = {The foreign-gas broadening parameter was measured for CHF3 molecule
   interacting with spherical (SF6, CF4, CH4, CCl4) perturbers and the
   pressure shift parameter of rotational transition J = 1 &lt;-- 0 in the
   CHF3 molecule was obtained. For the systems of trifluoromethane molecule
   and four spherical molecules as perturbers the collision cross-sections
   were determined. Experimental line width parameters are interpreted
   using Anderson-Tsao-Curnutte as well as Murphy-Boggs theories.
   Accounting for the dispersive and inductive interactions the
   cross-section was determined. The theoretical values are in qualitative
   agreement with the experimental results, but the absolute values of the
   measured cross-section were larger than these calculated.},
DOI = {10.12693/APhysPolA.101.805},
ISSN = {0587-4246},
Unique-ID = {WOS:000176629000001},
}</t>
  </si>
  <si>
    <t>….     @article{ WOS:000083992900004,
Author = {Pope, RS and Wolf, PJ and Perram, GP},
Title = {Collision broadening of rotational transitions in the O&lt;sub&gt;2&lt;/sub&gt;
   &lt;i&gt;A&lt;/i&gt; band by molecular perturbers},
Journal = {JOURNAL OF QUANTITATIVE SPECTROSCOPY \&amp; RADIATIVE TRANSFER},
Year = {2000},
Volume = {64},
Number = {4},
Pages = {363-377},
Month = {FEB 15},
Abstract = {Fourier transform spectroscopy was utilized to record absorption line
   shapes for rotational transitions in the magnetic dipole allowed
   b(1)Sigma(g)(+) &lt;-- X(3)Sigma(g)(-) system of O-2. Broadening
   coefficients were determined for 42 rotational transitions in the (0,0)
   vibrational band spanning the spectral range from 13020 cm(-1) to 13 170
   cm(-1). Voigt profiles were fit to the experimental line shapes using a
   nonlinear least-squares technique, and the Lorentzian half-width at
   half-maximum values were determined as a function of bath gas pressure.
   The pressure broadening coefficients for O-2 by O-2 CO, N-2, CO2, and
   SF6 were obtained with uncertainties of less than 5\% and the values
   showed a significant dependence on rotational quantum number. These
   rotational level dependencies were modeled using both angular momentum
   and energy-based rotational energy transfer fitting laws. We found both
   the ECS-P and the EPGL-0 fitting laws adequately represented the line
   broadening cross sections. Published by Elsevier Science Ltd. All rights
   reserved.},
DOI = {10.1016/S0022-4073(99)00109-0},
ISSN = {0022-4073},
ResearcherID-Numbers = {Perram, Glen/S-8575-2018},
ORCID-Numbers = {Perram, Glen/0000-0002-4417-3929},
Unique-ID = {WOS:000083992900004},
}</t>
  </si>
  <si>
    <t>https://www.sciencedirect.com/science/article/pii/S0022407399001090</t>
  </si>
  <si>
    <t>O2 by O2, CO, N2, CO2, and SF6 </t>
  </si>
  <si>
    <t>…..     @article{ WOS:A1993KG89800015,
Author = {HALPERN, AM and RAMACHANDRAN, BR},
Title = {ITERATIVE FOURIER RECONVOLUTION SPECTROSCOPY - VANDERWAALS BROADENING OF
   THE (X)TILDE-](A)TILDE TRANSITION OF AMMONIA BY HE, AR, CH4, AND SF6},
Journal = {JOURNAL OF PHYSICAL CHEMISTRY},
Year = {1993},
Volume = {97},
Number = {1},
Pages = {77-85},
Month = {JAN 7},
Abstract = {The pressure-induced perturbation of the X --&gt; A transition of NH3
   Caused by He, Ar, CH4, and SF6 is studied using an iterative Fourier
   reconvolution method that is capable of inverting the absorber-perturber
   radial pair potentials from the perturbed spectra. The spectrum was
   globally analyzed between 44 000 and 54 000 cm-1. In all cases except
   for He, each vibronic feature is red shifted and broadened
   asymmetrically to the blue. For Ar, which was studied up to 130 atm,
   Lennard-Jones (L-J) and Morse potentials were used to model the X and A
   states of the NH3-Ar van der Waals complexes. The Morse potential gave
   consistently better results for the excited-state interaction than did
   the L-J potential. Various models, based on different experimental and
   theoretical sources, were used to provide the ground-state potential.
   All models indicate that the well minimum is displaced to larger R in
   the A state vis-a-vis the X state; this increase is 0.87-1.6 angstrom,
   depending on the model used. All models show that the A-state complex is
   less strongly bound than the X-state complex; this decrease ranges from
   25 to 50 cm-1, depending on the model. There is a systematic decrease in
   the well depth found for the A-state potential as a function of Ar
   density; this effect may reflect higher order NH3-Ar complexes. Helium
   causes a blue shift and asymmetric broadening. Three models based on L-J
   potentials were used to describe the X-state complex; the analysis
   required the use of a repulsive potential to describe the A-state
   complex. An exponential potential, exp(-AR), was found to be superior to
   the form, (A/R)12. The results for CH4 and SF6 reveal that the A-state
   complex is larger and less strongly bound than the X-state complex. For
   all perturbers, isosbestic points are observed in the vibronic features
   of the spectra at different perturber pressures. For Ar, CH4, and SF6,
   such points lie on the blue sides of each of the NH3 Vibronic features;
   for He, isosbestic points are formed on the red sides. The role of pure
   collisional dephasing as an independent process relative to van der
   Waals broadening was examined. Although improvements in the fits were
   produced with this model, other results indicate that it is not
   compelling to include collisional broadening. The effect of perturber
   pressure on the oscillator strength of the X --&gt; A transition was
   studied; comparisons are made between the vapor phase and n-hexane
   solution. It appears that the oscillator strength in n-hexane is smaller
   than that in the low-pressure vapor by ca. 4.6 after correcting for the
   refractive index. The involvement of nonabsorbing NH3 dimers in causing
   this discrepancy is explored.},
DOI = {10.1021/j100103a015},
ISSN = {0022-3654},
Unique-ID = {WOS:A1993KG89800015},
}</t>
  </si>
  <si>
    <t>NH3 by He, Ar, CH4, SF6</t>
  </si>
  <si>
    <t>CH3I by He, Ar, H2, CH4, SF6</t>
  </si>
  <si>
    <t>….    @article{ WOS:000638601700001,
Author = {Agroskin, V. Ya and Bravy, B. G. and Vasilyev, G. K. and Guryev, I, V.
   and Kashtanov, S. A. and Makarov, E. F. and Sotnichenko, S. A. and
   Chernyshev, Yu A.},
Title = {SF&lt;sub&gt;6&lt;/sub&gt; and H&lt;sub&gt;2&lt;/sub&gt; Broadening and Shifting in the
   Fundamental Vibrational-Rotational Band of Hydrogen Fluoride},
Journal = {OPTICS AND SPECTROSCOPY},
Year = {2021},
Volume = {129},
Number = {1},
Pages = {1-5},
Month = {JAN},
Abstract = {SF6 and H-2 broadening and shift of the vibration-rotation lines in the
   fundamental band of hydrogen fluoride have been investigated. Using
   mathematical modeling of measuring the absorption of radiation of an
   electric discharge HF laser, the possibility of correct calculations of
   both broadening and shift of HF lines by foreign gases were determined.
   Measurements for two foreign gases (Ar and N-2 for which there are
   literature data) were made in order to test this approach. The obtained
   results have been well matched with existing literature data. This
   allowed us to apply the proposed method for measuring the broadening and
   shift of the HF lines P(7) and P(8) by SF6 molecules, for which neither
   the broadening nor the shift of the absorption lines were previously
   measured, and by H-2 molecules, for which only data on the broadening on
   the overtone band lines are available from the literature. The obtained
   results were compared with scarce literature data.},
DOI = {10.1134/S0030400X21010021},
ISSN = {0030-400X},
EISSN = {1562-6911},
Unique-ID = {WOS:000638601700001},
}</t>
  </si>
  <si>
    <t>HF by H2 and SF6</t>
  </si>
  <si>
    <t>https://pubs.acs.org/doi/10.1021/jp973470x</t>
  </si>
  <si>
    <t>1-Azabicyclo[2.2.2]octane by Ar, He, Xe, SF6</t>
  </si>
  <si>
    <t>https://www.sciencedirect.com/science/article/pii/S0022407322000103?via%3Dihub</t>
  </si>
  <si>
    <t>NO by Ar maybe</t>
  </si>
  <si>
    <t>https://www.sciencedirect.com/science/article/pii/S0022407320310050</t>
  </si>
  <si>
    <t>beyond Voigt - HITRAN/Polish</t>
  </si>
  <si>
    <t>H2 by He</t>
  </si>
  <si>
    <t>HCl by He, Ar, SF6</t>
  </si>
  <si>
    <t>https://www.sciencedirect.com/science/article/pii/S0022407323003680?via%3Dihub</t>
  </si>
  <si>
    <t>O2 by H2O</t>
  </si>
  <si>
    <t>CO2 by H2O</t>
  </si>
  <si>
    <t>https://www.sciencedirect.com/science/article/pii/S0022407316308433?via%3Dihub#bib6</t>
  </si>
  <si>
    <r>
      <t>H</t>
    </r>
    <r>
      <rPr>
        <sz val="10"/>
        <color rgb="FF1F1F1F"/>
        <rFont val="Georgia"/>
        <family val="1"/>
      </rPr>
      <t>2O, NH3, SO2, CH4, PH3, HCN and H2CO by H2 and He</t>
    </r>
  </si>
  <si>
    <t>ExoMol</t>
  </si>
  <si>
    <t>HITRAN</t>
  </si>
  <si>
    <t>https://www.sciencedirect.com/science/article/pii/S0022407315002988</t>
  </si>
  <si>
    <t>https://www.sciencedirect.com/science/article/pii/S0022407309003859</t>
  </si>
  <si>
    <t>C2H2 by N2</t>
  </si>
  <si>
    <t>https://www.tandfonline.com/doi/full/10.1080/00268976.2011.609139</t>
  </si>
  <si>
    <t>HF and HCl by H2, He and CO2 (+ SO2, NH3, HF, HCl, OCS and C2H2)</t>
  </si>
  <si>
    <t>CO2, N2O, CO, SO2, OH, OCS, H2CO, HCN, PH3, H2S, and GeH4 by H2, He and CO2</t>
  </si>
  <si>
    <t>HITRAN II</t>
  </si>
  <si>
    <t>https://iopscience.iop.org/article/10.3847/1538-4365/ac83a6</t>
  </si>
  <si>
    <t>NH by Ar</t>
  </si>
  <si>
    <t>13CO by Ar, He</t>
  </si>
  <si>
    <t>https://www.sciencedirect.com/science/article/pii/S0010218019302433</t>
  </si>
  <si>
    <t>https://www.sciencedirect.com/science/article/pii/S0022407317300298</t>
  </si>
  <si>
    <t>NH3 by He, Ar, H2, self</t>
  </si>
  <si>
    <t>https://www.sciencedirect.com/science/article/pii/S0022285201984528</t>
  </si>
  <si>
    <t>H2O by N2</t>
  </si>
  <si>
    <t>https://www.sciencedirect.com/science/article/pii/S0022407319301396</t>
  </si>
  <si>
    <t>OH by Ar</t>
  </si>
  <si>
    <t>https://www.sciencedirect.com/science/article/pii/S0022407316306835</t>
  </si>
  <si>
    <t>https://www.sciencedirect.com/science/article/pii/S0022407316307415</t>
  </si>
  <si>
    <t>CH3F by CH3F, CH3Br, NH3</t>
  </si>
  <si>
    <t>HF by Ar</t>
  </si>
  <si>
    <t>https://www.sciencedirect.com/science/article/pii/S0022407310002487</t>
  </si>
  <si>
    <t>CO2 by O2</t>
  </si>
  <si>
    <t>https://www.sciencedirect.com/science/article/pii/S0019103522002020</t>
  </si>
  <si>
    <t>CH4 by CO2</t>
  </si>
  <si>
    <t>CO2 by N2</t>
  </si>
  <si>
    <t>https://opg.optica.org/ao/fulltext.cfm?uri=ao-30-3-281&amp;id=38706</t>
  </si>
  <si>
    <t>HCO+ by He</t>
  </si>
  <si>
    <t>https://academic.oup.com/mnras/article/397/4/1909/998180</t>
  </si>
  <si>
    <t>OH by Ar, N2, H2O</t>
  </si>
  <si>
    <t>https://www.sciencedirect.com/science/article/pii/S0022407308001271</t>
  </si>
  <si>
    <t>NO by N2</t>
  </si>
  <si>
    <t>https://opg.optica.org/josab/fulltext.cfm?uri=josab-24-9-2294&amp;id=140934</t>
  </si>
  <si>
    <t>https://www.sciencedirect.com/science/article/pii/S0022407304000706</t>
  </si>
  <si>
    <t>No by N2 Ar CO2 CO O2 H2O NO</t>
  </si>
  <si>
    <t>NO by O2</t>
  </si>
  <si>
    <t>calc</t>
  </si>
  <si>
    <t>https://www.sciencedirect.com/science/article/pii/S0022407300000297</t>
  </si>
  <si>
    <t>CO by N2</t>
  </si>
  <si>
    <t>https://www.sciencedirect.com/science/article/pii/S0022407398000624</t>
  </si>
  <si>
    <t>https://pubs.aip.org/aip/jcp/article/111/5/1870/531741/Calculations-of-Argon-broadening-and-shift-for-HCO</t>
  </si>
  <si>
    <t>HCO+ by Ar</t>
  </si>
  <si>
    <t>cold</t>
  </si>
  <si>
    <t>https://www.sciencedirect.com/science/article/pii/S0022407398000570</t>
  </si>
  <si>
    <t>OH by N2 and O2</t>
  </si>
  <si>
    <t>https://pubs.aip.org/aip/jcp/article/104/11/3956/181298/Calculations-of-the-low-temperature-pressure</t>
  </si>
  <si>
    <t>HCO+ by H2</t>
  </si>
  <si>
    <t>https://www.sciencedirect.com/science/article/pii/0022407395001727</t>
  </si>
  <si>
    <t>NO by H2O, O2 and NO</t>
  </si>
  <si>
    <t>https://www.sciencedirect.com/science/article/pii/S0022285284710599</t>
  </si>
  <si>
    <t>https://journals.aps.org/pra/abstract/10.1103/PhysRevA.49.3557</t>
  </si>
  <si>
    <t>https://www.sciencedirect.com/science/article/pii/0022407392900397</t>
  </si>
  <si>
    <t>https://www.sciencedirect.com/science/article/pii/002228529190012Y</t>
  </si>
  <si>
    <t>15NO by N2, He, NO</t>
  </si>
  <si>
    <t>https://www.sciencedirect.com/science/article/pii/000926149190389Q</t>
  </si>
  <si>
    <t>HD by HD, H2, He, Ne, Ar, Ne</t>
  </si>
  <si>
    <t>OH by H2O and CO2</t>
  </si>
  <si>
    <t>https://www.sciencedirect.com/science/article/pii/0022407389900186</t>
  </si>
  <si>
    <t>Ne by Ne</t>
  </si>
  <si>
    <t>multiple</t>
  </si>
  <si>
    <t>https://www.researchgate.net/publication/282256887_Temperature_Dependence_of_the_Self-Broadened_54006_nm_Neon_Line</t>
  </si>
  <si>
    <t>https://link.springer.com/content/pdf/10.1140/epjd/e2010-00252-y.pdf</t>
  </si>
  <si>
    <t>https://pascal-francis.inist.fr/vibad/index.php?action=getRecordDetail&amp;idt=7813146</t>
  </si>
  <si>
    <t>OH by Ar and N2</t>
  </si>
  <si>
    <t>https://www.sciencedirect.com/science/article/pii/002240738790015X</t>
  </si>
  <si>
    <t>https://www.scopus.com/record/display.uri?eid=2-s2.0-0343115451&amp;origin=inward&amp;txGid=a45d4ecbcf1ea7fd3f85f0421bbaaf18</t>
  </si>
  <si>
    <t>Ne by Ne and He</t>
  </si>
  <si>
    <t>OH by Ar, N2, H2</t>
  </si>
  <si>
    <t>https://www.sciencedirect.com/science/article/pii/0022407382900231</t>
  </si>
  <si>
    <t>https://pubs.aip.org/aip/jcp/article/72/2/1332/218478/Pressure-broadening-of-the-HCO-J-0-1-transition-by</t>
  </si>
  <si>
    <t>HCO+ by H2 and 18OCS by self</t>
  </si>
  <si>
    <t>https://www.sciencedirect.com/science/article/pii/0022407380900667</t>
  </si>
  <si>
    <t>No by N2 Ar CO2 CO CH4</t>
  </si>
  <si>
    <t>OH by Ar, He and NO2</t>
  </si>
  <si>
    <t>https://www.sciencedirect.com/science/article/pii/0009261479870499</t>
  </si>
  <si>
    <t>Cross Sections</t>
  </si>
  <si>
    <t>https://www.sciencedirect.com/science/article/pii/0022407379900669</t>
  </si>
  <si>
    <t>Determination of mean collision cross sections of free radical OH with foreign gases</t>
  </si>
  <si>
    <t>HCl by Ar</t>
  </si>
  <si>
    <t>https://pubs.aip.org/aip/jcp/article/58/10/4149/784900/On-a-semiclassical-study-of-molecular-collisions</t>
  </si>
  <si>
    <t>OH by He, Ne, Ar, Kr, Xe, H2, D2, O2, N2, CH4, CO2, N2O, SF6, CF4, H2O</t>
  </si>
  <si>
    <t>https://www.sciencedirect.com/science/article/pii/002240736990034X</t>
  </si>
  <si>
    <t>H2O by SF6, N2</t>
  </si>
  <si>
    <t>H2O by Ar</t>
  </si>
  <si>
    <t>H2O by CO2, N2</t>
  </si>
  <si>
    <t>HDO by CO2</t>
  </si>
  <si>
    <t>HDO by CO2, self</t>
  </si>
  <si>
    <t>https://www.sciencedirect.com/science/article/pii/S0022407316308305</t>
  </si>
  <si>
    <t>https://www.sciencedirect.com/science/article/pii/S0022407316304514</t>
  </si>
  <si>
    <t>HCl by N2, He, Ar, Xe</t>
  </si>
  <si>
    <t>https://pubs.aip.org/aip/jcp/article/141/6/064313/353466</t>
  </si>
  <si>
    <t>https://www.sciencedirect.com/science/article/pii/S0022407316302771</t>
  </si>
  <si>
    <t>CH4 by Ar, N2, O2, He</t>
  </si>
  <si>
    <t>CH4 by Ar, N2, O2, He, H2, CO2</t>
  </si>
  <si>
    <t>H2 by H2</t>
  </si>
  <si>
    <t>NH3 by N2, O2, CO2, H2O</t>
  </si>
  <si>
    <t>CHBr by N2, O2, self</t>
  </si>
  <si>
    <t>CH3Cl by CO2</t>
  </si>
  <si>
    <t>CH3Cl by O2</t>
  </si>
  <si>
    <t>CH3Cl by He, Ar, Kr</t>
  </si>
  <si>
    <t>https://www.tandfonline.com/doi/full/10.1080/00268970903468305</t>
  </si>
  <si>
    <t>CH2CHF by self</t>
  </si>
  <si>
    <t>CO by Xe</t>
  </si>
  <si>
    <t>https://cdnsciencepub.com/doi/full/10.1139/P08-123</t>
  </si>
  <si>
    <t>CO by He, Ar, Kr, SF6</t>
  </si>
  <si>
    <t>CO by Ar</t>
  </si>
  <si>
    <t>https://pubs.acs.org/doi/full/10.1021/jp4030359</t>
  </si>
  <si>
    <t>CN by Ar</t>
  </si>
  <si>
    <t>https://www.sciencedirect.com/science/article/pii/S0022285215001307</t>
  </si>
  <si>
    <t>C2H2 by O2</t>
  </si>
  <si>
    <t>https://cdnsciencepub.com/doi/full/10.1139/cjp-2013-0031</t>
  </si>
  <si>
    <t>https://www.tandfonline.com/doi/full/10.1080/00268976.2012.720040</t>
  </si>
  <si>
    <t>https://pubs.acs.org/doi/full/10.1021/jp408960e</t>
  </si>
  <si>
    <t>C2H2 by N2, self</t>
  </si>
  <si>
    <t>O2 by N2, self</t>
  </si>
  <si>
    <t>O2 by N2</t>
  </si>
  <si>
    <t>CO2 by Ar</t>
  </si>
  <si>
    <t xml:space="preserve">CO2, C2H2, CO, HCl and HF by Ar </t>
  </si>
  <si>
    <t>https://www.tandfonline.com/doi/full/10.1080/00268970802001355</t>
  </si>
  <si>
    <t>C2H4 by Ar</t>
  </si>
  <si>
    <t>H2O by He</t>
  </si>
  <si>
    <t>https://www.tandfonline.com/doi/full/10.1080/00268970802698655</t>
  </si>
  <si>
    <t>https://www.sciencedirect.com/science/article/pii/S0022407313002756</t>
  </si>
  <si>
    <t>https://www.tandfonline.com/doi/full/10.1080/00268976.2012.663939</t>
  </si>
  <si>
    <t>https://www.sciencedirect.com/science/article/pii/S0022407314002854</t>
  </si>
  <si>
    <t>N2 by H2</t>
  </si>
  <si>
    <t>https://analyticalsciencejournals.onlinelibrary.wiley.com/doi/full/10.1002/jrs.4126</t>
  </si>
  <si>
    <t>HCN by O2 and N2</t>
  </si>
  <si>
    <t>CO by H2O, N2, O2, CO2</t>
  </si>
  <si>
    <t>https://opg.optica.org/ao/fulltext.cfm?uri=ao-27-15-3063&amp;id=165854</t>
  </si>
  <si>
    <t>CO2 by CO2, H2O, N2, O2</t>
  </si>
  <si>
    <t>https://opg.optica.org/ao/fulltext.cfm?uri=ao-27-18-3902&amp;id=31783</t>
  </si>
  <si>
    <t>H2O by CH4</t>
  </si>
  <si>
    <t>N2 by H2O</t>
  </si>
  <si>
    <t>https://pubs.aip.org/aip/jcp/article/91/10/5916/221497/Line-broadening-line-shifting-and-line-coupling</t>
  </si>
  <si>
    <t>C2H4 by N2</t>
  </si>
  <si>
    <t>https://journals.aps.org/pra/abstract/10.1103/PhysRevA.77.042720</t>
  </si>
  <si>
    <t>https://www.tandfonline.com/doi/full/10.1080/00268976.2010.505209</t>
  </si>
  <si>
    <t>O3 by N2, O2</t>
  </si>
  <si>
    <t>https://www.tandfonline.com/doi/full/10.1080/00268970902953612</t>
  </si>
  <si>
    <t>https://link.springer.com/article/10.1134/S0030400X10040041</t>
  </si>
  <si>
    <t>H2CO by N2</t>
  </si>
  <si>
    <t>CH4 by N2, O2</t>
  </si>
  <si>
    <t>CH4 by N2</t>
  </si>
  <si>
    <t>CH4 by N2, O2, H2</t>
  </si>
  <si>
    <t>CH4 by H2</t>
  </si>
  <si>
    <t>SF6 by N2</t>
  </si>
  <si>
    <t>https://pubs.aip.org/aip/jcp/article/113/1/158/184492</t>
  </si>
  <si>
    <t>CH3D by O2</t>
  </si>
  <si>
    <t>https://www.sciencedirect.com/science/article/pii/S0022285205003097</t>
  </si>
  <si>
    <t>https://www.sciencedirect.com/science/article/pii/S0022285205002341</t>
  </si>
  <si>
    <t>https://www.sciencedirect.com/science/article/pii/S0022285208000568</t>
  </si>
  <si>
    <t>https://www.sciencedirect.com/science/article/pii/S0022286004000432</t>
  </si>
  <si>
    <t>https://www.sciencedirect.com/science/article/pii/S0022285299979407</t>
  </si>
  <si>
    <t xml:space="preserve">  @article{ WOS:000334256700004,
Author = {Tshikala, Pardaillan Kongolo and Populaire, Jean-Claude and Blanquet,
   Ghislain and Lepere, Muriel},
Title = {He-, Ne- and Kr-broadening coefficients of lines in the fundamental
   v&lt;sub&gt;3&lt;/sub&gt; band of &lt;SUP&gt;12&lt;/SUP&gt;C&lt;SUP&gt;32&lt;/SUP&gt;S&lt;sub&gt;2&lt;/sub&gt; at low
   temperature},
Journal = {JOURNAL OF MOLECULAR SPECTROSCOPY},
Year = {2014},
Volume = {298},
Pages = {24-30},
Month = {APR},
Abstract = {Using a tunable diode-laser spectrometer coupled with a low temperature
   cell, He-. Ne- and Kr-broadening coefficients of 8 lines in the
   fundamental v(3) band of CS2 have been measured at five low
   temperatures: 173 K, 198 K, 223 K. 248 K and 273 K. These lines with J
   values ranging from 2 to 78 are located in the spectral range 1514-1544
   cm(-1), four lines in the P branch and four in the R branch. The
   collisional half-widths have been obtained by adjusting each
   experimental profile with a Voigt, Rautian and Galatry lineshape model.
   For each line, the collisional broadening coefficients obtained at low
   temperature and those previously at room temperature have been used to
   deduce the n-parameter of the temperature dependence. We have also
   determined the average value of the temperature dependence of
   collisional broadening coefficients for lines in the v3 band of CS2
   diluted in helium, neon and krypton. (C) 2014 Elsevier Inc. All rights
   reserved.},
DOI = {10.1016/j.jms.2014.01.008},
ISSN = {0022-2852},
EISSN = {1096-083X},
Unique-ID = {WOS:000334256700004},
}</t>
  </si>
  <si>
    <t>CS2 by He, Ne and Kr</t>
  </si>
  <si>
    <t>https://www.sciencedirect.com/science/article/pii/S0022285214000228</t>
  </si>
  <si>
    <t>https://www.sciencedirect.com/science/article/pii/S0022407324001766</t>
  </si>
  <si>
    <t xml:space="preserve">CO2 collision-induced line parameters for the ν3 band of 12CH4 measured using a hard-collision speed-dependent line shape and the relaxation matrix formalism Research article
Available Online 03 June 2024
T. Bertin, J. Vander Auwera </t>
  </si>
  <si>
    <t>He+ by N2 and O2</t>
  </si>
  <si>
    <t>https://www.sciencedirect.com/science/article/pii/S0022285224000432?via%3Dihub</t>
  </si>
  <si>
    <t>https://www.sciencedirect.com/science/article/pii/S002240732400133X?via%3Dihub</t>
  </si>
  <si>
    <t>NON VOIGT</t>
  </si>
  <si>
    <t>https://www.sciencedirect.com/science/article/pii/S0022285202000346?via%3Dihub</t>
  </si>
  <si>
    <t>C2H4 by H2</t>
  </si>
  <si>
    <t>C2H4 by Ne and Kr</t>
  </si>
  <si>
    <t>https://www.sciencedirect.com/science/article/pii/S0022285209000095?via%3Dihub</t>
  </si>
  <si>
    <t>https://www.sciencedirect.com/science/article/pii/S0022285204001924?via%3Dihub</t>
  </si>
  <si>
    <t>Line shift</t>
  </si>
  <si>
    <t>https://link.springer.com/article/10.1134/S0036024424700018</t>
  </si>
  <si>
    <r>
      <rPr>
        <b/>
        <sz val="24"/>
        <color theme="1"/>
        <rFont val="Helvetica Neue"/>
        <family val="2"/>
      </rPr>
      <t>Coefficients of Carbon Dioxide Pressure-Induced Line Shift of Sulfur Dioxide at Room Temperature: The ν</t>
    </r>
    <r>
      <rPr>
        <b/>
        <sz val="27"/>
        <color theme="1"/>
        <rFont val="Helvetica Neue"/>
        <family val="2"/>
      </rPr>
      <t>1</t>
    </r>
    <r>
      <rPr>
        <b/>
        <sz val="24"/>
        <color theme="1"/>
        <rFont val="Helvetica Neue"/>
        <family val="2"/>
      </rPr>
      <t> + ν</t>
    </r>
    <r>
      <rPr>
        <b/>
        <sz val="27"/>
        <color theme="1"/>
        <rFont val="Helvetica Neue"/>
        <family val="2"/>
      </rPr>
      <t>3</t>
    </r>
    <r>
      <rPr>
        <b/>
        <sz val="24"/>
        <color theme="1"/>
        <rFont val="Helvetica Neue"/>
        <family val="2"/>
      </rPr>
      <t> Band</t>
    </r>
  </si>
  <si>
    <t>https://link.springer.com/article/10.1134/S1024856023040127?fromPaywallRec=false</t>
  </si>
  <si>
    <t>SO2 by CO2</t>
  </si>
  <si>
    <t>https://link.springer.com/article/10.1134/S0030400X17090223?fromPaywallRec=false</t>
  </si>
  <si>
    <t>CH3D by N2</t>
  </si>
  <si>
    <t>https://link.springer.com/article/10.1134/S1024856023050160?fromPaywallRec=false</t>
  </si>
  <si>
    <t>H2O by He, Ar, Kr, Xe</t>
  </si>
  <si>
    <t>H2S by He, Ne, Ar, Kr, Xe</t>
  </si>
  <si>
    <t>https://link.springer.com/article/10.1134/S1024856020060159?fromPaywallRec=false</t>
  </si>
  <si>
    <t>Contains formula</t>
  </si>
  <si>
    <t>https://link.springer.com/article/10.1134/S1024856019050063?fromPaywallRec=false</t>
  </si>
  <si>
    <t>H2O by H2, He, N2, Ar</t>
  </si>
  <si>
    <t>https://link.springer.com/article/10.1134/S1024856017020105?fromPaywallRec=false</t>
  </si>
  <si>
    <t>https://www.sciencedirect.com/science/article/pii/0022407387900574</t>
  </si>
  <si>
    <t>SF6 by He, Ar, O2, N2, Hf, SF6</t>
  </si>
  <si>
    <t>CH3F by many</t>
  </si>
  <si>
    <t>Strange units!</t>
  </si>
  <si>
    <t>https://www.sciencedirect.com/science/article/pii/0020089189900328</t>
  </si>
  <si>
    <t>https://www.sciencedirect.com/science/article/pii/S0022285201983754</t>
  </si>
  <si>
    <t>HF by He, Ar, N2</t>
  </si>
  <si>
    <t>https://www.sciencedirect.com/science/article/pii/S0022285299978475</t>
  </si>
  <si>
    <t>HF by N2</t>
  </si>
  <si>
    <t>https://www.sciencedirect.com/science/article/pii/0022285284901577</t>
  </si>
  <si>
    <t>HF by He and Kr</t>
  </si>
  <si>
    <t>https://www.sciencedirect.com/science/article/pii/S002228528571017X</t>
  </si>
  <si>
    <t>CH4 by N2, CO2, C2H6</t>
  </si>
  <si>
    <t>https://www.sciencedirect.com/science/article/pii/S1386142523000811</t>
  </si>
  <si>
    <t>C2H6 by O2</t>
  </si>
  <si>
    <t>https://www.sciencedirect.com/science/article/pii/S0022407310002396</t>
  </si>
  <si>
    <t>CH3I by O2</t>
  </si>
  <si>
    <t>https://www.sciencedirect.com/science/article/pii/S0022407322001017</t>
  </si>
  <si>
    <t>CH3I by N2</t>
  </si>
  <si>
    <t>https://www.sciencedirect.com/science/article/pii/S0022407321000595</t>
  </si>
  <si>
    <t>https://www.sciencedirect.com/science/article/pii/S0022407321003320</t>
  </si>
  <si>
    <t>CH3 I by O2 and N2</t>
  </si>
  <si>
    <t>https://www.sciencedirect.com/science/article/pii/S0022407322002084</t>
  </si>
  <si>
    <t>https://www.sciencedirect.com/science/article/pii/S0022407321004489</t>
  </si>
  <si>
    <t>CH3OH by self</t>
  </si>
  <si>
    <t>https://www.sciencedirect.com/science/article/pii/0020089187900285</t>
  </si>
  <si>
    <t>https://www.sciencedirect.com/science/article/pii/0022285285903224</t>
  </si>
  <si>
    <t>K by N2, H2, HD, D2, CH4, C2H6, C3H8, C4H10</t>
  </si>
  <si>
    <t>https://www.sciencedirect.com/science/article/pii/S0022407311004195</t>
  </si>
  <si>
    <t>Rb by He, CH4, C2H6, C3H8, C4H10</t>
  </si>
  <si>
    <t>https://www.sciencedirect.com/science/article/pii/S0022407310003341</t>
  </si>
  <si>
    <t>Rb by He, Ar, CH4, C2H6</t>
  </si>
  <si>
    <t>https://www.sciencedirect.com/science/article/pii/S002240731500299X</t>
  </si>
  <si>
    <t>Done?</t>
  </si>
  <si>
    <t>Yes</t>
  </si>
  <si>
    <t>https://www.sciencedirect.com/science/article/pii/0022407376900789</t>
  </si>
  <si>
    <t>Br2 by Ar and self, HD by He, AlH by H2, H2CO by Ar, I2 by self, Cl2 by self</t>
  </si>
  <si>
    <t>HBr by CO2</t>
  </si>
  <si>
    <t>HF by CO2</t>
  </si>
  <si>
    <t>https://www.sciencedirect.com/science/article/pii/S0022285284711544</t>
  </si>
  <si>
    <t>https://www.sciencedirect.com/science/article/pii/0022285288900094</t>
  </si>
  <si>
    <t>https://www.sciencedirect.com/science/article/pii/S0022285201984012</t>
  </si>
  <si>
    <t>https://www.sciencedirect.com/science/article/pii/S0022285298976792</t>
  </si>
  <si>
    <t>NO by He, Ne, Ar, Kr, and Xe</t>
  </si>
  <si>
    <t>Referenced in 5 - half done</t>
  </si>
  <si>
    <t>https://iopscience.iop.org/article/10.1088/0031-8949/53/6/004</t>
  </si>
  <si>
    <t>CHF3 by self</t>
  </si>
  <si>
    <t>https://iopscience.iop.org/article/10.1238/Physica.Regular.061a00581</t>
  </si>
  <si>
    <t>CHF3 by He, Ne, Ar, Kr, Xe, CH4, CCl4</t>
  </si>
  <si>
    <t>https://pubs.aip.org/aip/jcp/article/108/21/8976/477566/Collision-cross-section-of-rotational-transition</t>
  </si>
  <si>
    <t>CHF3 by CO2, C2H2, C6H6 and O2</t>
  </si>
  <si>
    <t>CF3CCH by He, Ne, Ar, Kr and Xe</t>
  </si>
  <si>
    <t>Referenced in 7- half done</t>
  </si>
  <si>
    <t>https://www.researchgate.net/publication/1908993_Collision_Cross_Section_of_the_J_2_-_1_Rotational_Transition_of_CF3CCH_due_to_Higher_Order_Interactions</t>
  </si>
  <si>
    <t>http://przyrbwn.icm.edu.pl/APP/PDF/81/a081z6p02.pdf</t>
  </si>
  <si>
    <t>(CΗ3)3CCΝ by He, CO2, OCS,and CΗ3CΝ</t>
  </si>
  <si>
    <t>https://www.sciencedirect.com/science/article/pii/S000926149700691X</t>
  </si>
  <si>
    <t>O2 by He</t>
  </si>
  <si>
    <t>Yes - galatry needs fitting</t>
  </si>
  <si>
    <t xml:space="preserve">Yes </t>
  </si>
  <si>
    <t>Yes - some hot measurements need adjusting</t>
  </si>
  <si>
    <t>https://link.springer.com/article/10.1007/s00340-017-6830-8</t>
  </si>
  <si>
    <t>https://iopscience.iop.org/article/10.1088/0022-3700/5/6/024</t>
  </si>
  <si>
    <t>NH3 by He, A, CH4, N2, Co2, COS, CH3CN and CH3F</t>
  </si>
  <si>
    <t>Only Van der Waals broadening - no useful broadening data - collision parameters present!</t>
  </si>
  <si>
    <t>No</t>
  </si>
  <si>
    <t>https://pubs.aip.org/aip/jcp/article/101/5/3444/164629/Line-shape-asymmetries-in-Ar-broadened-HF-v-1-0-in</t>
  </si>
  <si>
    <t>Discussion of different profiles</t>
  </si>
  <si>
    <t>https://www.sciencedirect.com/science/article/pii/0022407375900825?via%3Dihub</t>
  </si>
  <si>
    <t>HF by various gases</t>
  </si>
  <si>
    <t>https://www.sciencedirect.com/science/article/pii/0022285270901256?via%3Dihub</t>
  </si>
  <si>
    <t>HF by Ar, Kr, Xe</t>
  </si>
  <si>
    <t>https://www.sciencedirect.com/science/article/pii/S002228528571017X?via%3Dihub</t>
  </si>
  <si>
    <t>Comparison of lots of profiles</t>
  </si>
  <si>
    <t>HCl35, DCl35, HBr79 and CO by Xe, Kr, He, Ar, H2, N2, CF4, CS2</t>
  </si>
  <si>
    <t>HCl by Ar, Xe</t>
  </si>
  <si>
    <t>https://pubs.aip.org/aip/jcp/article/120/23/11053/981130/Infrared-line-collisional-parameters-of-HCl-in</t>
  </si>
  <si>
    <t>https://www.sciencedirect.com/science/article/pii/0022285287902153</t>
  </si>
  <si>
    <t>HCl and C2H2 by Kr and Xe</t>
  </si>
  <si>
    <t>https://pubs.aip.org/aip/jcp/article/33/2/327/77463/Shapes-and-Breadths-of-Some-Molecular-Rotation</t>
  </si>
  <si>
    <t>HCL by Ar, CO2, CO, D2, H2, HBr, He, Ne, N2, O2,</t>
  </si>
  <si>
    <t>https://pubs.aip.org/aip/jcp/article/33/1/145/207303/Molecular-Collision-Cross-Sections-from-Infrared</t>
  </si>
  <si>
    <t>CO2 by self</t>
  </si>
  <si>
    <t>Using HTP</t>
  </si>
  <si>
    <t>O2 by self</t>
  </si>
  <si>
    <t>CO by He, Ar, Kr and SF6</t>
  </si>
  <si>
    <t>https://pdf.sciencedirectassets.com/271566/1-s2.0-S0022407317X00150/1-s2.0-S0022407317300468/main.pdf?X-Amz-Security-Token=IQoJb3JpZ2luX2VjEEoaCXVzLWVhc3QtMSJHMEUCIDfUKtylMTVlFKM%2FaNBDgz6oEcKjNXqtTluXEddML7W%2FAiEAg%2Bnd68Y8o7wOwwI5Ka7O9Z9HnCiRGUc0BLeNpc1585QqswUIQxAFGgwwNTkwMDM1NDY4NjUiDFzvwmlVHJN4M%2BQ2mCqQBYsvxnY%2F6zWYT80PnjSqmVi01M1SbeW4pAWeTNcx0e8DNF2s8OCGyDzH4t7PjB%2FfczJnZtIURlxbILspVyxmMx8%2BM0QsoTvz4pOSWOu955q1ldhhBqgfQFdqa54Xscd%2BcXsm972amCf4CR0GbfRhHYCMesXIut%2B64s%2BuxEYzB6UPianQgiSoMQn16%2FTZ5%2Fwf47cvN9ruCLyxNfk5HrCSIvZyqiqBJorcnspcllqBlnOh4kVM1fulHMjQ400ZE0eD1%2Fu96Lnn%2BqBgDEofvHNSHkr%2FPRdygVGd93Ihe%2FkeOOQ%2FVu%2BLOClI%2BlzIaRUnPcaKX2%2F8FG3xuery61zLKBxbwuvmSBrvT60HR3faR29hiCa2LYD7kegeF24xag48U7KiEDHZ5d7pAJl3Oa4jt5VgoDHxyKznR4Z%2B2EKlBSgD%2B7%2F%2FaUkY%2B3szcc%2FMxWgvqakGIucrdLOS9FfO%2BRfpndEneK%2B0Z1YspVep8w8Y9JGG1AMOHn4jmSlVODFrU%2FqUm9O3Xof14w5PO2NBuBrDDwr6xYbaYX075JWSShfruYHISQikGJJhwjYUKjV3OFJoS7PsT4KG0J%2F6MgBZ3XI%2BER32PpO3RjkoW9v%2FLW5v8j%2Bw2mIFfFL4jYFTH%2BJigiCGfjO2cl9wqr2VoF%2FfERFHdOkiBHb7tuM5VOiesxtsWSN%2FyTMIGuvgOsTzlwY86f49yqnF%2FDNjN7v60f0R3mq5EHnjcvLW6%2FotzjYMbZDY3oiUo67Ckf0D1RT1NRTM5UBcI%2B9o3J8quCgMKejUOJ6Ud4iXZ%2Ffl53YXvUid6ZjWxTaCjD%2BDHZxKxBTxBEC9vitxHzbrT69fUcGm6Ce5trfYXomJ5Fs2vVp2mXZzSMnatH89E7g3MLPR17UGOrEB9brqh%2Bq3FbAkju%2BDOF4%2F8Yb1qeSEuMrt%2BlcnpPe4sVtwR%2FUnzN2sQ7xMNy1NhkIAXFfa5UsNhzFGzna5K7yyYk4HrfqxdQBVavj9%2BLryUnipg6VPlTJY2y6TPAIPUoQ2gAOG2%2Bv4Z8jIfFLbmpjxyYgpBGodm55tCSfysJ5DnutsanxREKcWRJXwRv7fEqyKE07vMk3zzNcyVtH1xrbjf50BVmISMrfpk%2F4ply%2FvfGtk&amp;X-Amz-Algorithm=AWS4-HMAC-SHA256&amp;X-Amz-Date=20240809T111932Z&amp;X-Amz-SignedHeaders=host&amp;X-Amz-Expires=300&amp;X-Amz-Credential=ASIAQ3PHCVTYX55JER2X%2F20240809%2Fus-east-1%2Fs3%2Faws4_request&amp;X-Amz-Signature=bd70b80da4d206d0b722fb54c9dbf9497ea39a305ad38ca58e0d2c975b30b664&amp;hash=fbb7aaca135db2c0395b15f3e82b93941d391b9427b39107ca47bfc7e8e59c63&amp;host=68042c943591013ac2b2430a89b270f6af2c76d8dfd086a07176afe7c76c2c61&amp;pii=S0022407317300468&amp;tid=spdf-8a1b7187-e0f7-4118-b023-a948c9b75cb4&amp;sid=106bca14568f904e9e6bbbe863cbc2e311c8gxrqb&amp;type=client&amp;tsoh=d3d3LnNjaWVuY2VkaXJlY3QuY29t&amp;ua=0100560c545752015257&amp;rr=8b075a0919363858&amp;cc=gb</t>
  </si>
  <si>
    <t>Using QSDVP</t>
  </si>
  <si>
    <t>CH4 by Ar, N2,
O2 and He</t>
  </si>
  <si>
    <t>https://www.sciencedirect.com/science/article/pii/S0022407316302771?ref=pdf_download&amp;fr=RR-2&amp;rr=8b08a6c9dd6b9433</t>
  </si>
  <si>
    <t>Multiple profiles fitted, Voigt to HTP</t>
  </si>
  <si>
    <t>Using QSDNG</t>
  </si>
  <si>
    <t>CO by self</t>
  </si>
  <si>
    <t>Multiple profiles, HTP</t>
  </si>
  <si>
    <t>https://pdf.sciencedirectassets.com/271566/1-s2.0-S0022407315X00136/1-s2.0-S0022407315002289/main.pdf?X-Amz-Security-Token=IQoJb3JpZ2luX2VjEEsaCXVzLWVhc3QtMSJHMEUCIBLI%2Fjsq4TqF0ao7NXIs%2BuoodH9OcvDPU466yU2hB4g2AiEA%2FRchoC8ZW9Y%2Fv6tqBTynOv1iSmdTFMKcre9lgpSgQ34qsgUIRBAFGgwwNTkwMDM1NDY4NjUiDBmWI4VZwQBk6%2BzneyqPBSWv6%2Fi5jALP5duTg5YgS%2FKQiR7jnZK%2FrPeECx6KbbVxznPWC77f4K9XdIEuvAu2tOBDUM564ETZuiaQ2ZYR0TPB3zfpXjXFff8dZ%2By8lQjhEzIgoy4UAcAeKGViBj%2FUytwv%2BrbZ%2BWRH%2Brld6cktVZaTZt68RNrajA%2FCowLiZKkURUv2rUNlPCtL63SltDo1m%2FxPQtjTj3%2F0nLKnhBB0K1eutHJj%2FEZhI%2FET3CqSwr01iFN%2F3shhZ979tmNjdsIyhv9pdckyw3dzebHX9zOgpw34eyrgJMvt2GyHfqJ%2Bp3pbYwZLfpjCtnlH1b25Xodp6mJbKng22y0PlVByhpQaWDskBnJrVK9pfF1J2a9HhdD3Z%2BU90iEJaqdnfZmHcnKir8LFulx9dlYfCioCyHoKTJZprKar8P2I6scngV51n6zKqFXPS8Z8PxvEsZvD6dzfCoRGaaXN9YPolBvwFwGDGZVpwV0xLboqXogjrZfJH7K9Upv5BAxMK210KFUT178tGNbfYeOqVk4RbzBXt93D4Vz5Kfud6hVUoPG2CGIvcpC%2FUSBr6Xnm7c0e0%2B%2Bo8bA08uUrA6J9qqVr5h9756LUpKOO20jf0pfuoGSfQ36JdWGA4NuYs9eTGYojjh6SfkOlFoKBT9l75WgmVcxBp%2FfcyHKaapFTOvejbQJGS%2BMkPSMDtMZnD01V07vSMY7sD7FIz1LPtsvk06oaUtWTYwBFUvHXWeowAe2%2FFDrRBmjWe47SZd6fJOx4%2BxNZjMO7KLQZRuwJ0JsQZEaIrlvwUYG1%2F%2FvMPm4avzYNuqjxQmHuOD6bM9BDfkNaEOG7PDP7oAbpTjjE6lj36NSoqOP7qqhgxGaOgsRNPdOyRw3JiOJog7swneLXtQY6sQEgIuIDQhEPttr3L%2Bo2%2FV3wb%2BnbfSkBlgP3j8hpn%2FNPoFcj4gmXFqKXUqFsuz1Z6AglqGxFug1%2FhPguFj6QBJUDJ49qS87H1aXfYOHAByONcoBUk8ZWAFYlup7o%2Bq0JnE6J7zbVaEwZTcEP8SpkMLhNW%2B2PhR1%2BKIJdx6GrK71C3iVoTPvzBDez19TJfNUB%2F01QXeskbpZu9CUbXB4ZBgL0rowkScmkaUJyPWIzUryWdoE%3D&amp;X-Amz-Algorithm=AWS4-HMAC-SHA256&amp;X-Amz-Date=20240809T111918Z&amp;X-Amz-SignedHeaders=host&amp;X-Amz-Expires=300&amp;X-Amz-Credential=ASIAQ3PHCVTYUZ4VBMMI%2F20240809%2Fus-east-1%2Fs3%2Faws4_request&amp;X-Amz-Signature=1f876b941bc8ee15a820e603b943006d8d5db51e77179ddf18fabd79e6f6fb3d&amp;hash=121da4501b5b15f5d096217b1caec678b35d0eb0f9eb6fa43a2ad4fb48b43975&amp;host=68042c943591013ac2b2430a89b270f6af2c76d8dfd086a07176afe7c76c2c61&amp;pii=S0022407315002289&amp;tid=spdf-1fa38206-1fac-4abb-a314-5ed523fd9977&amp;sid=106bca14568f904e9e6bbbe863cbc2e311c8gxrqb&amp;type=client&amp;tsoh=d3d3LnNjaWVuY2VkaXJlY3QuY29t&amp;ua=0100560c54575259005b&amp;rr=8b0759b5bff03858&amp;cc=gb</t>
  </si>
  <si>
    <t>Multiple profiles, speed dependent, Dicke narrowing</t>
  </si>
  <si>
    <t>H2O by self, N2, SF6</t>
  </si>
  <si>
    <t>https://pdf.sciencedirectassets.com/271566/1-s2.0-S0022407315X00124/1-s2.0-S0022407315002125/main.pdf?X-Amz-Security-Token=IQoJb3JpZ2luX2VjEEoaCXVzLWVhc3QtMSJGMEQCIDaIpmFo2HrN3ODx7VCQqYG38id76xVS6LNTtYvtT%2FdsAiA0j09UwVwIzzc65puDsy%2BJPor0ySSGEMfS5dLdDIm0YCqyBQhDEAUaDDA1OTAwMzU0Njg2NSIM2LaH8WXFhr5jCmHQKo8FIHZFyuQalrxeJkJ%2FxyueruajbXr8%2FyoSp0PbRDa0ZppukyP28HAUCsyJckt3WhClmAhOyegpbCmqhvxxTehHw3bUKWXFcaHX6uvSyRtLw5O1zaqZGBxVKTOykRcPBxO3apLbsoHHoUXh4QsSkb6DBy%2BfP6TriahIrvlgzZBnZc0QNbc9%2BwYOLpayBnwYR2rp00%2BekbzXyScdLY7ivEJ65ssiwrJT5d4LvH2%2FY1k2NbkZQTGc757ouo2k5zFTJLspDhWTBRuDmzjotBNDvIM0j7pwjfimjl7ft8S68t%2FgEjEFy7rh39V5BQSERImAkDVi3CtzYxk8BwNX%2BBQby9ph7NC9%2FNykpTsjMZn48D1HLs020cPpYVeVupQedugoJtXmu1VoI3by3TFC2AlK%2Fz2UXu6shbIbSdGbF3ZspAhcZE3Po%2FdsSkiqZWpTzeW9bwv%2FW8l6Id3jwSQpkKrR%2BLArw6AlWx9sZDt2hTzQ46J4%2FNe2UmfO8rOuHG1Tcn5JNGXZj4wowqefbcHm0U%2FKwoAGBNKzImmf8TKELVw8La0OZuwKCU8hxRL1%2BTnv43CqJr8xm7GtXN0BNUzK6Pin%2FDgeVizxFnRC7jofjpjLozCodKfp8mbM13xVsIyXcsBaKzjFk%2BbZJFWOn9ExV1yD05p32R5Lkv%2B7ikcv%2FBsXmWeJ1Coa59rmgwK9w8jHzF2mEVKz5GLg4IQp8qT6T1S7MMnZCtfG31QR2lyzT1dpDp9lEeIOI4dsWGDQumBC3FUQZQjPzhBGpbh%2BUO93jE0pguD%2B1%2FAG5SJp7RQpW6OsOnLDMdxeyDJuYLiotPNIo0advWtGWqDugv0CDGDEiZn1JU311pMTYU5aAO0R3MJEAjVvRzCoyte1BjqyAeLHyebJClqwxnjwNDKRonCBwkK6Dx3eUJCB2G7pWWZ91mq5eHkeHv93cNuwkVyC1s7KKNOMBLq%2FZT8f9q5YZ6p7MuM9wFG4qNQiN2ie7Sh6LzO5szjlK8JXyU%2Fo5zvyzsYtshypN22XB%2F9ZYhybGOYmLgnMEv3ytAMct2ZZMJr0YvJfdsb%2FAIs%2BN60MBlW%2FRWNSsP3lIiLwUBvSiPE6d3QqB6nafD%2BVvkCiDJIGNeUKxBM%3D&amp;X-Amz-Algorithm=AWS4-HMAC-SHA256&amp;X-Amz-Date=20240809T111903Z&amp;X-Amz-SignedHeaders=host&amp;X-Amz-Expires=300&amp;X-Amz-Credential=ASIAQ3PHCVTY5PB7TFFA%2F20240809%2Fus-east-1%2Fs3%2Faws4_request&amp;X-Amz-Signature=315b617486179ddafa32c53b15158daa3d3b4cd93218c83db3f4dc92c5362867&amp;hash=f9738854bc9d0a72c0eb939f1c44411491e937887cd8ce71a7928a4527ad6dbf&amp;host=68042c943591013ac2b2430a89b270f6af2c76d8dfd086a07176afe7c76c2c61&amp;pii=S0022407315002125&amp;tid=spdf-1010af0b-c713-432a-b6d1-bbd96ef052b3&amp;sid=106bca14568f904e9e6bbbe863cbc2e311c8gxrqb&amp;type=client&amp;tsoh=d3d3LnNjaWVuY2VkaXJlY3QuY29t&amp;ua=0100560c545752595756&amp;rr=8b075958f9d83858&amp;cc=gb</t>
  </si>
  <si>
    <t>H2O by self, N2</t>
  </si>
  <si>
    <t>https://www.sciencedirect.com/science/article/pii/002240739090060J?via%3Dihub</t>
  </si>
  <si>
    <r>
      <t xml:space="preserve">CH4 by </t>
    </r>
    <r>
      <rPr>
        <b/>
        <sz val="10"/>
        <color theme="1"/>
        <rFont val="Arial"/>
        <family val="2"/>
        <scheme val="minor"/>
      </rPr>
      <t>He, Ne, Ar, H2, N2, O2 and air</t>
    </r>
  </si>
  <si>
    <t>https://pubs.aip.org/aip/jcp/article/97/2/773/829100/Self-N2-O2-H2-Ar-and-He-broadening-in-the-3-band-Q</t>
  </si>
  <si>
    <t>CH4 by Self‐, N2, O2, H2, Ar, and He</t>
  </si>
  <si>
    <t>Used by ExoMol website, referenced in [18]</t>
  </si>
  <si>
    <t>https://www.sciencedirect.com/science/article/pii/0022407388900921?via%3Dihub</t>
  </si>
  <si>
    <t>CH4 by Ar, He, H2, N2</t>
  </si>
  <si>
    <t>CH4 by self, H2, He</t>
  </si>
  <si>
    <t>https://www.sciencedirect.com/science/article/pii/0022407372900738?via%3Dihub</t>
  </si>
  <si>
    <t>https://www.sciencedirect.com/science/article/pii/0022407389900629?via%3Dihub</t>
  </si>
  <si>
    <t>CH4 by He</t>
  </si>
  <si>
    <t>https://www.sciencedirect.com/science/article/pii/S0022407300000765?via%3Dihub</t>
  </si>
  <si>
    <t>CH4 by He and Ar</t>
  </si>
  <si>
    <t>https://www.sciencedirect.com/science/article/pii/S0022285204000748?via%3Dihub</t>
  </si>
  <si>
    <t>CH4 by air, CO2, He</t>
  </si>
  <si>
    <t>https://www.sciencedirect.com/science/article/pii/S0022407316304253?via%3Dihub</t>
  </si>
  <si>
    <t>https://www.sciencedirect.com/science/article/pii/S0022285218303540?via%3Dihub</t>
  </si>
  <si>
    <t>https://www.sciencedirect.com/science/article/pii/S0022407314002362?via%3Dihub</t>
  </si>
  <si>
    <t>https://www.sciencedirect.com/science/article/pii/S0022285214000083?via%3Dihub</t>
  </si>
  <si>
    <t>https://link.springer.com/article/10.1134/S0030400X08070035</t>
  </si>
  <si>
    <t>https://www.sciencedirect.com/science/article/pii/S0022407313002756?via%3Dihub</t>
  </si>
  <si>
    <t>https://www.sciencedirect.com/science/article/pii/S0022285216300108?via%3Dihub</t>
  </si>
  <si>
    <t>H2O by H2, He</t>
  </si>
  <si>
    <t>H2O by H2</t>
  </si>
  <si>
    <t>H2O by self, H2, He, CO2, N2, O2 and air</t>
  </si>
  <si>
    <t>H2O by H2O, O2, N2, CO2, H2, He, Ne, Ar, and Kr</t>
  </si>
  <si>
    <t>https://link.springer.com/article/10.1007/s10053-000-8807-z</t>
  </si>
  <si>
    <t>H2O by N2, O2, H2 and He</t>
  </si>
  <si>
    <t>https://www.tandfonline.com/doi/epdf/10.1080/00268970412331287133?src=getftr</t>
  </si>
  <si>
    <t>Yes-ish - data missing to be found in orignal papers</t>
  </si>
  <si>
    <t>https://www.sciencedirect.com/science/article/pii/0022407389901039</t>
  </si>
  <si>
    <t>NH2 by Ar</t>
  </si>
  <si>
    <t>yes</t>
  </si>
  <si>
    <t>https://www.sciencedirect.com/science/article/pii/0022407394900213</t>
  </si>
  <si>
    <t>NO by O2 and H2O</t>
  </si>
  <si>
    <t>OH by H2O, O2, CO2, N2 and Ar</t>
  </si>
  <si>
    <t>https://www.sciencedirect.com/science/article/pii/S0022407319306351</t>
  </si>
  <si>
    <t>https://www.sciencedirect.com/science/article/pii/S0022407318306654</t>
  </si>
  <si>
    <t>CO by He</t>
  </si>
  <si>
    <t>https://opg.optica.org/ao/fulltext.cfm?uri=ao-53-9-1938&amp;id=281976</t>
  </si>
  <si>
    <t>CO by N2, H2O, CO2</t>
  </si>
  <si>
    <t>https://www.sciencedirect.com/science/article/pii/S0022286005000682</t>
  </si>
  <si>
    <t>https://pubs.aip.org/aip/jcp/article/78/10/5900/90237</t>
  </si>
  <si>
    <t>CO by H2 and He</t>
  </si>
  <si>
    <t xml:space="preserve">CO by Xe, Ar, Ne,
He AND N2 </t>
  </si>
  <si>
    <t>CO by He and Ar</t>
  </si>
  <si>
    <t>https://www.scopus.com/record/display.uri?eid=2-s2.0-0035425287&amp;origin=inward&amp;txGid=f6fea91f4ccfe48e3c9b78a4a7339fb2</t>
  </si>
  <si>
    <t>13CO by He</t>
  </si>
  <si>
    <t>Might already be in HITRAN</t>
  </si>
  <si>
    <t>HD by Ar</t>
  </si>
  <si>
    <t>Trickier to read.- different parameter than gamma</t>
  </si>
  <si>
    <t>https://www.scopus.com/record/display.uri?eid=2-s2.0-36749111627&amp;origin=resultslist&amp;sort=plf-f&amp;cite=2-s2.0-0001546890&amp;src=s&amp;nlo=&amp;nlr=&amp;nls=&amp;imp=t&amp;sid=f4811c42241924e0e671c239089ec539&amp;sot=cite&amp;sdt=a&amp;sl=0&amp;relpos=30&amp;citeCnt=11&amp;searchTerm=</t>
  </si>
  <si>
    <t>HCl by Ar and Xe</t>
  </si>
  <si>
    <t>https://www.scopus.com/record/display.uri?eid=2-s2.0-0141609607&amp;origin=resultslist&amp;sort=plf-f&amp;cite=2-s2.0-0001546890&amp;src=s&amp;nlo=&amp;nlr=&amp;nls=&amp;imp=t&amp;sid=f4811c42241924e0e671c239089ec539&amp;sot=cite&amp;sdt=a&amp;sl=0&amp;relpos=32&amp;citeCnt=10&amp;searchTerm=</t>
  </si>
  <si>
    <t>H2 by Ar</t>
  </si>
  <si>
    <t>https://www.scopus.com/record/display.uri?eid=2-s2.0-84915881694&amp;origin=resultslist&amp;sort=plf-f&amp;cite=2-s2.0-0001546890&amp;src=s&amp;nlo=&amp;nlr=&amp;nls=&amp;imp=t&amp;sid=f4811c42241924e0e671c239089ec539&amp;sot=cite&amp;sdt=a&amp;sl=0&amp;relpos=37&amp;citeCnt=1&amp;searchTerm=</t>
  </si>
  <si>
    <t>HCl by Noble gases</t>
  </si>
  <si>
    <t>Theory paper compares with experiment</t>
  </si>
  <si>
    <t>https://www.sciencedirect.com/science/article/pii/0022407375900825?pes=vor</t>
  </si>
  <si>
    <t>https://pubs.aip.org/aip/jcp/article/63/1/290/783405/Theory-of-the-relaxation-matrix-and-its-relation</t>
  </si>
  <si>
    <t>OCS by CO2, N2, Ar, H2, He</t>
  </si>
  <si>
    <t>https://www.scopus.com/record/display.uri?origin=citedby&amp;eid=2-s2.0-85045123122&amp;noHighlight=false&amp;relpos=0</t>
  </si>
  <si>
    <t>HCl by He</t>
  </si>
  <si>
    <t>HCl by CO and CO2</t>
  </si>
  <si>
    <t>https://www.scopus.com/record/display.uri?eid=2-s2.0-84888620884&amp;origin=resultslist&amp;sort=plf-f&amp;cite=2-s2.0-0001546890&amp;src=s&amp;imp=t&amp;sid=f4811c42241924e0e671c239089ec539&amp;sot=cite&amp;sdt=a&amp;sl=0&amp;relpos=4&amp;citeCnt=9&amp;searchTerm=</t>
  </si>
  <si>
    <t>HI by Ne, Ar, Xe</t>
  </si>
  <si>
    <t>HBr, HI by He, Ne, Ar, Kr, and Xe</t>
  </si>
  <si>
    <t>https://www.scopus.com/record/display.uri?eid=2-s2.0-0035425287&amp;origin=resultslist&amp;sort=plf-f&amp;cite=2-s2.0-0001546890&amp;src=s&amp;imp=t&amp;sid=f4811c42241924e0e671c239089ec539&amp;sot=cite&amp;sdt=a&amp;sl=0&amp;relpos=16&amp;citeCnt=63&amp;searchTerm=</t>
  </si>
  <si>
    <t>https://journals.aps.org/pra/pdf/10.1103/PhysRevA.49.3557</t>
  </si>
  <si>
    <t>https://www.sciencedirect.com/science/article/pii/S0022285203002005</t>
  </si>
  <si>
    <t>13CO by Ar</t>
  </si>
  <si>
    <t>https://www.sciencedirect.com/science/article/pii/S0022407318304540</t>
  </si>
  <si>
    <t>Calculated - modern</t>
  </si>
  <si>
    <t>https://pubs.aip.org/aip/jcp/article/115/5/2198/438040/Shifting-and-broadening-in-the-fundamental-band-of</t>
  </si>
  <si>
    <t>https://www.sciencedirect.com/science/article/pii/S0022285205002353?via%3Dihub</t>
  </si>
  <si>
    <t>H2 by He, Ar, N2</t>
  </si>
  <si>
    <t>1958 research</t>
  </si>
  <si>
    <t>https://cdnsciencepub.com/doi/10.1139/p58-009</t>
  </si>
  <si>
    <t>https://pubs.aip.org/aip/jcp/article/66/2/707/773212/Infrared-absorption-spectra-of-gaseous-HD-III</t>
  </si>
  <si>
    <t>HD by Kr, Xe</t>
  </si>
  <si>
    <t>https://journals.aps.org/pr/abstract/10.1103/PhysRev.132.262</t>
  </si>
  <si>
    <t>1963 calculations</t>
  </si>
  <si>
    <t>Data collected and put in /Files_with_new_data</t>
  </si>
  <si>
    <t>https://www.sciencedirect.com/science/article/pii/S0022407313004561#f0005</t>
  </si>
  <si>
    <t>CO2 by N2, O2, air, CO2</t>
  </si>
  <si>
    <t>Gamache CO2 Measured</t>
  </si>
  <si>
    <t>https://www.sciencedirect.com/science/article/pii/S0022407313002239</t>
  </si>
  <si>
    <t>Gamache CO2 Calculated CRB</t>
  </si>
  <si>
    <t>https://www.sciencedirect.com/science/article/pii/S0022407312001823</t>
  </si>
  <si>
    <t>Gamache CO2-CO2 Calculated CRB</t>
  </si>
  <si>
    <t>https://www.sciencedirect.com/science/article/pii/S0022407312000751</t>
  </si>
  <si>
    <t>CO2 by O2 and air</t>
  </si>
  <si>
    <t>Gamache CO2-O2/air Calculated CRB</t>
  </si>
  <si>
    <t>https://www.sciencedirect.com/science/article/pii/S0022407312000738</t>
  </si>
  <si>
    <t>Gamache CO2-N2 Calculated CRB</t>
  </si>
  <si>
    <t>Looks good!!!</t>
  </si>
  <si>
    <t>https://pdf.sciencedirectassets.com/272445/1-s2.0-S0022285200X0152X/1-s2.0-002228529190012Y/main.pdf?X-Amz-Security-Token=IQoJb3JpZ2luX2VjEIP%2F%2F%2F%2F%2F%2F%2F%2F%2F%2FwEaCXVzLWVhc3QtMSJHMEUCIQCk0Ts1lsCsBnAehW4LH8%2B4%2BQAcHaP%2B%2BMvrroTfEH78JgIgYHu1R2rwQOfBMJNg2PvggjpFaisoUtssUaGDP5ahGUYqvAUIi%2F%2F%2F%2F%2F%2F%2F%2F%2F%2F%2FARAFGgwwNTkwMDM1NDY4NjUiDJUFDocM33AHeCsoiSqQBUrjRcTDhcJgfBL%2F7852Lbm54M1or%2FhaC5os%2BgzBEgfP3zkdX66kSdN0vrStFPutzb6ZQ%2BLiAXH%2FQvCQ0STHJ%2FZPc%2FAnTTP%2BJPL7a4qmjiIepr1m5nJcfmO5lZrPjbAxyoLARF9saWqtxHZU6ytqjgc77lwwY65KnlT1lKPsqwG8PDjqbt41lwoDNfijGDnFsxOk%2Fx6JVsvpE9qd3ftmD4ceU0Rt0kpMtP9LBwX5f%2FjLK5xXzFa8UpZWSoW0sIaKEJcu8w6qhadh0skBZQRQJCeTBGwSMprGGlEj6o%2B4pEbB%2BLawe9JliD8rP8zymrG5yEKgG%2BU%2BbtNpUWi1JjE7cdVCsD5j19oejtpZGyU1qfABqgG6tpSqL8An%2BNtCvKxcSnYk5jqRvbsfvNoiWwJ2olfpz0aXv9%2FRTEAPWYnSZukg1psu4GuI%2FS091ZjXHPLihsItdCtstienE7svXVOE1T0y7QG3ORjmD%2FL6TBpaHuEFJnLjCpEsnzXJ3T%2Bpq4ZB0cxvEj4%2FhwX6dWGgUP288Go9f%2BbOBv2c0u2Fsjzsmm%2B8kLje6bc%2BTP%2FyXo41OyI3sfz41OqG5vfh9pskKqbsoQ9FEQ%2BDIMzJ9xg0ZFO7xXQQbYgQdgXwjiP8rA3b6eX4%2BvqxxfmZqrv6Y4YUIk%2FpPGnslduK1Z%2BuTJJc9HsaqMet%2FOzeV1H5gwXVClaa3hJfsmFjKlTuXRWrqzqU4EZlxJKCzRa35xazP0dOZrfkHGxY1TWtjo6glv5NI3ZTY1ZRYWPKzRJ7YdOOqStciA5RC7m1Af2Eo5rKfu49g99oLA7e5a%2Fb95RC14FeVa26bJZo%2FVlwHZz0PmTQ%2BC5GqHzeHWOqRIqvOdEzYBbXfE8tS%2F1TMKKenLYGOrEBHIxIjq3Rao2fY4Bt55EsiO5uMJ1hpTPslS%2FLF6%2BNfYLyPcBSV9rTg0WZ%2BuTX5g45CW9eZvH31ac7hBeQkL37aBnwdJFcFmGdL8E9rMTgHia8tcV0blmDUZmT9UKZBiVewKy19coAlBIHmiZ%2BmC5imgLAESIeqHtHiOr6ZpxZL6jL9KoN%2B7VVgmVZDjYl1Nsk4OfDNmxS38O16500Vbq%2Bxw%2B0I1Wm0XlO2DLtvB2v1LMM&amp;X-Amz-Algorithm=AWS4-HMAC-SHA256&amp;X-Amz-Date=20240822T112509Z&amp;X-Amz-SignedHeaders=host&amp;X-Amz-Expires=300&amp;X-Amz-Credential=ASIAQ3PHCVTY3RX3SPCR%2F20240822%2Fus-east-1%2Fs3%2Faws4_request&amp;X-Amz-Signature=d8366f1f5da2b13a84802a48338e946d18bbdff53b69433f123eae0d3c448b69&amp;hash=1cac61edcecbfd44317d4b9f14390303ba766b51428863942c425aa64d038176&amp;host=68042c943591013ac2b2430a89b270f6af2c76d8dfd086a07176afe7c76c2c61&amp;pii=002228529190012Y&amp;tid=spdf-671f1398-d9bb-49e4-ab59-3290012a9f0e&amp;sid=41c57ba55993754d1089e3f279cb5a8efe5egxrqb&amp;type=client&amp;tsoh=d3d3LnNjaWVuY2VkaXJlY3QuY29t&amp;ua=0100560c53525f50505a&amp;rr=8b728024dcd671c3&amp;cc=gb</t>
  </si>
  <si>
    <t>OH by H2, He, N2, O2</t>
  </si>
  <si>
    <t>https://pdf.sciencedirectassets.com/271566/1-s2.0-S0022407300X00040/1-s2.0-0022407395001727/main.pdf?X-Amz-Security-Token=IQoJb3JpZ2luX2VjEIP%2F%2F%2F%2F%2F%2F%2F%2F%2F%2FwEaCXVzLWVhc3QtMSJIMEYCIQCBNNIKu8A2xks4D%2FjV0Cby5LKHaStKLAqE1u0ul02lygIhAJOxULWgcbj%2BZ5vm5gSFKeskb%2FchqkLw2i%2Fv0m4w12PUKrwFCIz%2F%2F%2F%2F%2F%2F%2F%2F%2F%2FwEQBRoMMDU5MDAzNTQ2ODY1IgwKcOBvybT%2FdGC5qAoqkAXJhK3LaJ%2BdDhVHdybBZ8qRo4u8KMnqtviQ%2BDxq2V4jgEhCym7MWkJGoYaMZZ6GKD8oU35ToZp0FoyjJQ2O5%2BnWuFYSP4d1BmRxgeNjvrz1%2FR3tsXOb6QdvNQlNYIflELz5QqXERQHBE7sOwL4AgBFH3X%2FULmQmhV9vh48NGnuN%2FxISl%2BNlD0qfMCLCFozObnc4yqrAp7LjWfbua3f8xFeEAmBZ7f8QVREA9wscFurOjW1dCfgY%2BxjE4%2BhGe5YMVCwUXm1g8hSIJY5v2Iogb7T4dBFVS338ctwbJBw1AJ1KrXZLAeJoVbBQVjTdhQn7%2BhMHt%2B2rrJWuQ0DnV7pjGVXkYZBCEO0tOxo32A8UJTC3ak%2BuG%2FU229VVBi71ZEEiOvZjP5yrjRtcSXZMb45mjHjYm48l7qIOPTCAkOdJ0e7O4CWJ9PeVzeINXO4R%2BCvGYlSztb2TKSuV8aC%2BWevdGbzFj4qajasPutZ5qIBEB3eiYkG%2Bc6sP0Ev0uW2WONqiweqmSziPWyaAkoFrPZN%2BD2ZzUFY0ZaHo%2FMQPNCUzNySEZpgA5wilSl7Ulvr8Bmlhu81B%2F%2B8fih7v3JuUsBBodkp3NDMjLfD2hQhauVet57ik8oUtNse9cLDH9EkaoGw5xF3cxGz2xLbVRSX9rpfTTWwilTGHJ3%2FkS3VynXcbBxBYap0h6K1hgu%2FOj7IRJvZPLJn%2FHxhXsT22pbbwQC8AN8g1j1SL6NAnRCKpHS8O9K9sQUevqgGF0RUFs8JT8bf15BztrlhfwUaPLKrQpKTuVRBHLIRcl3VemRghubClPdKuNKXG8vUA7GHofEa4gSmjSdudQXpL%2F4zf%2B0sBM0Q%2BEZZae7Uyp7g%2F0J2EWeVdJDtzGjCUpJy2BjqwAVKr3RGGjC%2B4KZuHgHgpw%2F6mD4NtASSnP8u9mHcTfFQHpxY9CK10imEu%2F9ilHJn1LFGtliNytjMAn7uu%2FSjS8g%2BhSB73oOlEAgwv%2BV52h5jZCbOzZRgPrPMIKFD3daZDM9niA9mcSmDnBmHZh7D2DU1tJmDcUTGgN53n%2FkECufA%2FGHJZfhCg%2FEQ531BjrlQsGCI0GCIwwXrxymO7ZojY09WxY%2B629N1xmaNU%2BZzUQDgM&amp;X-Amz-Algorithm=AWS4-HMAC-SHA256&amp;X-Amz-Date=20240822T112312Z&amp;X-Amz-SignedHeaders=host&amp;X-Amz-Expires=300&amp;X-Amz-Credential=ASIAQ3PHCVTYQFU2ZH5I%2F20240822%2Fus-east-1%2Fs3%2Faws4_request&amp;X-Amz-Signature=21e3172a7ba21bea19a01bbdd04f96d984cc55a8657d2dbd60ccb9ec4263a95c&amp;hash=3b828cd4e04811856eb6f80d374dd47f314bc68394de100a8660eb59f079a762&amp;host=68042c943591013ac2b2430a89b270f6af2c76d8dfd086a07176afe7c76c2c61&amp;pii=0022407395001727&amp;tid=spdf-191ba7b3-c98c-4d59-aef8-c1fc015cf7de&amp;sid=41c57ba55993754d1089e3f279cb5a8efe5egxrqb&amp;type=client&amp;tsoh=d3d3LnNjaWVuY2VkaXJlY3QuY29t&amp;ua=0100560c535250045657&amp;rr=8b727d492b044152&amp;cc=gb</t>
  </si>
  <si>
    <t>OH by Ar, He N2, O2</t>
  </si>
  <si>
    <t>https://pubs.aip.org/aip/jcp/article/100/4/2677/112433/Pressure-broadening-and-collisional-narrowing-in</t>
  </si>
  <si>
    <t>OH by H2, O2, H2O, N2</t>
  </si>
  <si>
    <t>https://pdf.sciencedirectassets.com/271566/1-s2.0-S0022407300X04578/1-s2.0-002240738790015X/main.pdf?X-Amz-Security-Token=IQoJb3JpZ2luX2VjEIP%2F%2F%2F%2F%2F%2F%2F%2F%2F%2FwEaCXVzLWVhc3QtMSJIMEYCIQDCqflV1fQAxbObHaFx7BTW4V%2FkuY6DpzDcus0kAYjkqgIhAP%2BfBdwQWUuyGQDfapJr%2BAu%2FYpBM2hnnpQUpTyR3J4VJKrwFCIv%2F%2F%2F%2F%2F%2F%2F%2F%2F%2FwEQBRoMMDU5MDAzNTQ2ODY1IgwIuCT3rW2nkCqRphAqkAUiV6rKjgMOgIhGXpiu9XXHIbuO%2FHquEE8zLe3s1WY8OiYjfC6Xb6%2FxwMgHZMEblSkdrkU%2Bxc88cJdbf9IgdcCsWN%2Fp%2Fq4f3tHVOIFGvk6Y3NjKWzCeQAMPTlSq3MjaTYvQAtuR4fGlI0qfcrfiz4Xgg7CdmzrrdXjDP6s6lvrFhWGHKYz6dtmDC2IcBExUx04e0EnI8WQud6dqWmrrab2bjeaKwyPSUcYGxSQfn540ogWwBty%2FUNOD2MJtoGh6HZrAKyfUdf9xL0bjPKbuVP05J11oJzeB6A20U4fZNEy7cMu0DUqn9o777Oe7nqThcmfyGKm4hEaergpzegqhy3gO%2Bbx1p5Cgs3g1%2B%2F5n47uIq5HEN3Hs2oskneNAmjjkXMj48pDAyWYTaSLh1yFkzcAvV8jex7djCZA%2Fna53k2kCNIMD6uYeHDRUVd%2FoHzHxErVRAa2JVbrZmjPV8SRw9Mb4zpqmvr3iqeHpyJKuhBVzOCHlAuPJRUTJTHzXoWt7LkioRs5h5sqMG5Q1wF9fhOM0W%2BtFL%2BmSYaCO%2By9PO7lnXjBSGGKpS6xhU3QSm3X0GO9yc3mEkDTf0NmaVib79oAu8w7oOFC44TlguB4MimHQF22ZaaV1OltuGzmKjgmPkVs6puKF0s46cNmlzjQWch38sK1%2FS1b6SrkGqcOmkt3y5qEnLxKxbfx0TkUG3VEuV4rxD5sXR%2BYJu3s%2FwaAD4FBekGsw5q7CtH20tq7TuxuFtcVusrCYWgT2Klo2ewiWStM3fMqUuz8kasl8nqwK5Zy0Lw74Bw5Hy4gU0KhHHQsOAYLFfqVU00KTn4Km2x4t0COaLgDNxZGwa9qgV9acWA8PAF%2Bvcw6eQzdKuHq7NzjnmDDroJy2BjqwAZ0vVTGKbiCgzsmRAscaltHiDAdnCw8WEEmctmgfWAM%2FwgBVGAcfAgzVBDdS1GOvWeV55Oxf9D%2B0iNcjDP8U6%2BRRbC0tpl9hkDjAg2xtnvKTMyZKa%2Fp6%2BAKnPsDkLM4z6vImXkmgu46PkqsNaVR7d1c8TEgBDkm5gUvyrWU1FGvOuSRZw6GROe0Gxzt057cgaEMHiemR9%2FwG9sQpGE9bIWKWfpup0o7AhEUGAx6sGC0M&amp;X-Amz-Algorithm=AWS4-HMAC-SHA256&amp;X-Amz-Date=20240822T112335Z&amp;X-Amz-SignedHeaders=host&amp;X-Amz-Expires=300&amp;X-Amz-Credential=ASIAQ3PHCVTYTUCKAGM4%2F20240822%2Fus-east-1%2Fs3%2Faws4_request&amp;X-Amz-Signature=8ef19cd01e90d6456056d69c735ad6c562c243b418a17102cbd62449840b4abc&amp;hash=bb1481bb62400f7cecbb098a12cd779cee84e3f68830014437a06d3159059cac&amp;host=68042c943591013ac2b2430a89b270f6af2c76d8dfd086a07176afe7c76c2c61&amp;pii=002240738790015X&amp;tid=spdf-59053473-6fd8-48ad-ae88-69785ee722d6&amp;sid=41c57ba55993754d1089e3f279cb5a8efe5egxrqb&amp;type=client&amp;tsoh=d3d3LnNjaWVuY2VkaXJlY3QuY29t&amp;ua=0100560c535250040658&amp;rr=8b727dd6feee6437&amp;cc=gb</t>
  </si>
  <si>
    <t>https://link.springer.com/article/10.1140/epjd/e2005-00022-0</t>
  </si>
  <si>
    <t>OH by N2, Ar, Ne, He</t>
  </si>
  <si>
    <t>https://pubs.aip.org/aip/jcp/article/82/7/2877/790760/Measurement-of-collision-induced-shift-and</t>
  </si>
  <si>
    <t>OH by He, Ne, Ar, Kr</t>
  </si>
  <si>
    <t>CO2 by Ar, N2</t>
  </si>
  <si>
    <t>H2O by N2, O2, air, H2O</t>
  </si>
  <si>
    <t>https://cdnsciencepub.com/doi/pdf/10.1139/v04-069</t>
  </si>
  <si>
    <t>Gamache H2O Measured - data is more modern than paper / unpublished</t>
  </si>
  <si>
    <t>https://www.sciencedirect.com/science/article/pii/S0022407319300342</t>
  </si>
  <si>
    <t>Gamache MCRB H2O-N2 - used for H2O-air (I think)</t>
  </si>
  <si>
    <t>https://www.sciencedirect.com/science/article/pii/S0022407320301679</t>
  </si>
  <si>
    <t>Gamache predicted H2O-N2 - used for H2O-air (I think)</t>
  </si>
  <si>
    <t>O3 by N2, O2, air, O3</t>
  </si>
  <si>
    <t>https://www.sciencedirect.com/science/article/pii/S0022407313002513</t>
  </si>
  <si>
    <t xml:space="preserve">Gamache H2O Measured - data is older than this paper </t>
  </si>
  <si>
    <t>Gamache H2O Measured - Bob is not on this paper</t>
  </si>
  <si>
    <t>yes - Might not be correct reference</t>
  </si>
  <si>
    <t>CH4 by N2 and O2</t>
  </si>
  <si>
    <t>https://www.sciencedirect.com/science/article/pii/S0022407324002577</t>
  </si>
  <si>
    <t>https://www.mdpi.com/1420-3049/27/3/646</t>
  </si>
  <si>
    <t>CH4 by H2 and He (astro)</t>
  </si>
  <si>
    <t>https://arxiv.org/abs/2503.22031</t>
  </si>
  <si>
    <t>CH3 by Ar, N2</t>
  </si>
  <si>
    <t>https://www.sciencedirect.com/science/article/pii/S0022285296900958?via%3Dihub</t>
  </si>
  <si>
    <t>HONO by Air</t>
  </si>
  <si>
    <t>https://www.sciencedirect.com/science/article/pii/S0022407312002865?via%3Dihub</t>
  </si>
  <si>
    <t>https://www.sciencedirect.com/science/article/pii/S0022407325001633?dgcid=raven_sd_aip_email</t>
  </si>
  <si>
    <t>https://www.sciencedirect.com/science/article/pii/S002240732500161X</t>
  </si>
  <si>
    <t>N2O by N2</t>
  </si>
  <si>
    <t>https://www.sciencedirect.com/science/article/pii/S0022407325001608</t>
  </si>
  <si>
    <t>N2 by H2, He, Ar, Kr</t>
  </si>
  <si>
    <t>https://pubs.aip.org/aip/jcp/article/133/4/044311/190446/Cross-sections-for-rotational-decoherence-of?getftrtoken=AQECAHi208BE49Ooan9kkhW_Ercy7Dm3ZL_9Cf3qfKAc485ysgAAALIwga8GCSqGSIb3DQEHBqCBoTCBngIBADCBmAYJKoZIhvcNAQcBMB4GCWCGSAFlAwQBLjARBAxepGZ3kwGW8moA7uMCARCAazp10RUPVtLTUMR0Oou8LZMDShue0kCeJNA4QpYdI94mbYNGUmcKlsXMDRzWU-EWpKgT2SYGAFA4h3RiqsFU4IAu4IYxKgHBL7X5UvOZYsAs-9baPqzzqRXYxrvtpGhqpUDsQTRFZCwT_jBn</t>
  </si>
  <si>
    <t>Raman</t>
  </si>
  <si>
    <t>https://pubs.aip.org/aip/jcp/article/137/7/074302/192063/Direct-measurement-of-S-branch-N2-H2-Raman?getftrtoken=AQECAHi208BE49Ooan9kkhW_Ercy7Dm3ZL_9Cf3qfKAc485ysgAAALIwga8GCSqGSIb3DQEHBqCBoTCBngIBADCBmAYJKoZIhvcNAQcBMB4GCWCGSAFlAwQBLjARBAzaIa-UdTIXUfbjJjkCARCAay0VdxaJ446VcdWB39iKeTZ6DtUlSEE8jrvqhNuIACQvMDlnD6Ws0c58ojV-YN4D9bvNgvIhoKM9vNulq_MtxqpuOoR82tSCPj9CSRWVxi1Zl_OZo-FjDvHIWnXUBDO6XDQERabXSsrPiBrS</t>
  </si>
  <si>
    <t>https://analyticalsciencejournals.onlinelibrary.wiley.com/doi/abs/10.1002/jrs.1975</t>
  </si>
  <si>
    <t>https://analyticalsciencejournals.onlinelibrary.wiley.com/doi/10.1002/jrs.2663</t>
  </si>
  <si>
    <t>https://www.sciencedirect.com/science/article/pii/030101049089035O</t>
  </si>
  <si>
    <t>N2 by CO2</t>
  </si>
  <si>
    <t>https://pubs.aip.org/aip/jcp/article/120/18/8616/443047/Semiclassical-calculations-of-collision-line</t>
  </si>
  <si>
    <t>N2 by CO</t>
  </si>
  <si>
    <t>https://www.sciencedirect.com/science/article/pii/S0022407312005675</t>
  </si>
  <si>
    <t>CO2, C2H2, CO, HCl and HF by Ar</t>
  </si>
  <si>
    <t>https://arxiv.org/abs/2505.13560</t>
  </si>
  <si>
    <t>HCN by N2</t>
  </si>
  <si>
    <t>CO2 by He</t>
  </si>
  <si>
    <t>https://www.sciencedirect.com/science/article/pii/S0022407325000238</t>
  </si>
  <si>
    <t>https://www.sciencedirect.com/science/article/abs/pii/S002240732500161X</t>
  </si>
  <si>
    <t>https://www.sciencedirect.com/science/article/abs/pii/S0022407325001451</t>
  </si>
  <si>
    <t>https://iopscience.iop.org/article/10.1088/0004-637X/808/2/175</t>
  </si>
  <si>
    <t>https://www.sciencedirect.com/science/article/pii/S0022407325002389</t>
  </si>
  <si>
    <t>https://www.sciencedirect.com/science/article/pii/S0022407312004268#bib15</t>
  </si>
  <si>
    <t>H2O and CO by H2</t>
  </si>
  <si>
    <t>Pressure broadening of water and carbon monoxide transitions by molecular hydrogen at high temperatures</t>
  </si>
  <si>
    <t>CO by H2</t>
  </si>
  <si>
    <t>https://pubs.aip.org/aip/jcp/article/112/9/4069/294479/Theoretical-and-experimental-investigation-of</t>
  </si>
  <si>
    <t>Theoretical and experimental investigation of pressure broadening and line shift of carbon monoxide in collision with hydrogen between 8 and 600 K</t>
  </si>
  <si>
    <t>CO by air and H2</t>
  </si>
  <si>
    <t>https://www.sciencedirect.com/science/article/pii/S0022407304001992</t>
  </si>
  <si>
    <t>https://www.sciencedirect.com/science/article/pii/S0022407308002331?via%3Dihub</t>
  </si>
  <si>
    <t>CO by O2, N2, H2, He, CO2, self</t>
  </si>
  <si>
    <t>The Hydrogen and Helium Pressure Broadening at Planetary Temperatures of the 183 and 380 GHz Transitions of Water Vapor</t>
  </si>
  <si>
    <t>https://www.sciencedirect.com/science/article/pii/S0019103583710468?via%3Dihub</t>
  </si>
  <si>
    <t>H2O by H2 and He</t>
  </si>
  <si>
    <t>https://www.sciencedirect.com/science/article/pii/S002240730200300X</t>
  </si>
  <si>
    <t>https://journals.aps.org/pra/abstract/10.1103/PhysRevA.86.022705</t>
  </si>
  <si>
    <t>Low-temperature water–hydrogen-molecule collisions probed by pressure broadening and line shift</t>
  </si>
  <si>
    <t>https://www.sciencedirect.com/science/article/pii/0022407396000982</t>
  </si>
  <si>
    <t>https://journals.aps.org/pra/abstract/10.1103/PhysRevA.82.040702</t>
  </si>
  <si>
    <t>C2H4 by self (C13 isotope)</t>
  </si>
  <si>
    <t>https://www.sciencedirect.com/science/article/pii/S0022285211000038</t>
  </si>
  <si>
    <t>https://www.sciencedirect.com/science/article/pii/S0022285212000872</t>
  </si>
  <si>
    <t>13CO and C18O by air</t>
  </si>
  <si>
    <t>https://www.sciencedirect.com/science/article/pii/S0022407322001534?via%3Dihub</t>
  </si>
  <si>
    <t>CH3F by self</t>
  </si>
  <si>
    <t>CH4 by C3H8 and C4H10</t>
  </si>
  <si>
    <t>https://www.sciencedirect.com/science/article/pii/S1386142520308623</t>
  </si>
  <si>
    <t>H2O by He, Ar, Kr</t>
  </si>
  <si>
    <t>Analysis of the He-, Ar- and Kr-broadening coefficients of water vapor transitions in a wide spectral region</t>
  </si>
  <si>
    <t>https://www.sciencedirect.com/science/article/pii/S0022407318304576?pes=vor&amp;utm_source=scopus&amp;getft_integrator=scopus</t>
  </si>
  <si>
    <t>CO by CO2</t>
  </si>
  <si>
    <t>Measurements of the broadening and shift parameters of the carbon monoxide spectral lines in the 1–0 band induced by pressure of carbon dioxide</t>
  </si>
  <si>
    <t>https://www.sciencedirect.com/science/article/pii/S0022407317308154?pes=vor&amp;utm_source=scopus&amp;getft_integrator=scopus</t>
  </si>
  <si>
    <t>C2H2 by CO2</t>
  </si>
  <si>
    <t>Laboratory measurements and calculations of line shape parameters of the H2O–CO2 collision system</t>
  </si>
  <si>
    <t>Measurements of H2O-broadening coefficients of O2 A-band lines</t>
  </si>
  <si>
    <t>A spectral line list for water isotopologues in the 1100–4100 cm−1 region for application to CO2-rich planetary atmospheres</t>
  </si>
  <si>
    <t>Investigations on Pressure Broadening Coefficients of NO Lines in the 1←0 Band for N2, CO2, Ar, H2, O2 and He</t>
  </si>
  <si>
    <t>R-branch line intensities and temperature-dependent line broadening and shift coefficients of the nitric oxide fundamental rovibrational band</t>
  </si>
  <si>
    <t>Collision broadening of rotational transitions in the O2A band by molecular perturbers</t>
  </si>
  <si>
    <t>SF6 and H2 Broadening and Shifting in the Fundamental Vibrational–Rotational Band of Hydrogen Fluoride</t>
  </si>
  <si>
    <t>van der Waals Broadening of the Electronic Spectra of 1-Azabicyclo[2.2.2]octane:  Inversion into Lennard-Jones Pair Potentials</t>
  </si>
  <si>
    <t>Spectrally-resolved ultraviolet absorption measurements of shock-heated NO from 2000 K to 6000 K for the development of a two-color rotational temperature diagnostic</t>
  </si>
  <si>
    <t>The first comprehensive dataset of beyond-Voigt line-shape parameters from ab initio quantum scattering calculations for the HITRAN database: He-perturbed H2
 case study</t>
  </si>
  <si>
    <t>Spectral profile of ro-vibrational transitions of HCl broadened by He, Ar and SF6: testing the -correction to the Hartmann-Tran profile and the speed dependent (complex) hard collision model</t>
  </si>
  <si>
    <t>CO2-broadened lineshapes in the oxygen A-band</t>
  </si>
  <si>
    <t>Broadening of CO2 lines in the 4.3 μm region by H2O</t>
  </si>
  <si>
    <t>The ExoMol pressure broadening diet: H2 and He line-broadening parameters</t>
  </si>
  <si>
    <t>H2, He, and CO2 line-broadening coefficients, pressure shifts and temperature-dependence exponents for the HITRAN database. Part 1: SO2, NH3, HF, HCl, OCS and C2H2</t>
  </si>
  <si>
    <t>Collisional broadening and shift coefficients of lines in the ν4+ν5 band of 12C2H2 diluted in N2 from low to room temperatures</t>
  </si>
  <si>
    <t>Temperature dependence of pressure broadening and shifts of acetylene at 1550 nm by N2</t>
  </si>
  <si>
    <t>H2, He, and CO2 Pressure-induced Parameters for the HITRAN Database. II. Line Lists of CO2, N2O, CO, SO2, OH, OCS, H2CO, HCN, PH3, H2S, and GeH4</t>
  </si>
  <si>
    <t>Measurements of absorption lineshapes in the A3Πi← X3Σ-(0, 0) band of NH in the presence of Ar broadening</t>
  </si>
  <si>
    <t>Multi-isotopologue laser absorption spectroscopy of carbon monoxide for high-temperature chemical kinetic studies of fuel mixtures</t>
  </si>
  <si>
    <t>Line shape parameters of helium-broadened 12C16O transitions in the 3 → 0 overtone band near 1.57 µm</t>
  </si>
  <si>
    <t>Line Broadening and Mixing in NH3 Inversion Doublets Perturbed by NH3, He, Ar, and H2</t>
  </si>
  <si>
    <t>Rotational dependence of the broadening of lines of the ν2 band of H2O induced by nitrogen pressure</t>
  </si>
  <si>
    <t>Theoretical studies of N2-broadened half-widths of H2O lines involving high j states</t>
  </si>
  <si>
    <t>Pressure broadening calculations for OH in collisions with argon: Rotational, vibrational, and electronic transitions</t>
  </si>
  <si>
    <t>Two-color laser absorption near 5 μm for temperature and nitric oxide sensing in high-temperature gases</t>
  </si>
  <si>
    <t>Self and Polar Foreign Gas Line Broadening and Frequency Shifting of CH3F: Effect of the Speed Dependence Observed by Millimeter-Wave Coherent Transients</t>
  </si>
  <si>
    <t>A PARTIALLY CORRELATED STRONG COLLISION MODEL FOR VELOCITY- AND STATE-CHANGING COLLISIONS APPLICATION TO Ar-BROADENED HF ROVIBRATIONAL LINE SHAPE</t>
  </si>
  <si>
    <t>Asymmetries and correlations in speed-dependent Dicke-narrowed line shapes of argon-broadened HF</t>
  </si>
  <si>
    <t>Lorentz half-width, pressure-induced shift and speed-dependent coefficients in oxygen-broadened CO2 bands at 6227 and 6348 cm−1 using a constrained multispectrum analysis</t>
  </si>
  <si>
    <t>Absorption of methane broadened by carbon dioxide in the 3.3 μm spectral region: From line centers to the far wings</t>
  </si>
  <si>
    <t>Line shape in the low frequency wing of self- and N2-broadened ν3 CO2 lines: temperature dependence of the asymmetry</t>
  </si>
  <si>
    <t>State-to-state rotational transition rates of the HCO+ ion by collisions with helium</t>
  </si>
  <si>
    <t>Measurement of collision broadening of the P1(5) line of (0,0) band of OH A2Σ+←X2Π transition at high temperatures</t>
  </si>
  <si>
    <t>Detection of nitric oxide at low ppb.m
 concentrations by differential absorption spectrometry using a fully diode-laser-based ultraviolet laser system</t>
  </si>
  <si>
    <t>Experimental study and calculations of nitric oxide absorption in the γ(0,0) and γ(1,0) bands for strong temperature conditions</t>
  </si>
  <si>
    <t>Temperature-dependent collisional broadening and shift of Q-branch transitions in the B←X(0,0) band of CO perturbed by N2, CO2 and CO</t>
  </si>
  <si>
    <t>OXYGEN-BROADENING COEFFICIENTS OF FIRST OVERTONE NITRIC OXIDE LINES</t>
  </si>
  <si>
    <t>PRESSURE BROADENING OF THE 118.455 cm-1 ROTATIONAL LINES OF OH BY N2, O2, H2, AND He</t>
  </si>
  <si>
    <t>Calculations of the low temperature pressure broadening of HCO+ rotational spectral lines by H2</t>
  </si>
  <si>
    <t>Pressure broadening of the 83.869 cm−1 rotational lines of OH by N2, O2, H2, and He</t>
  </si>
  <si>
    <t>Collision-Broadening and -Shift of NO γ(0,0) Absorption Lines by H2O, O2, and NO at 295K</t>
  </si>
  <si>
    <t>Broadening and shifts of the lines of molecular ions by collisions with neutral perturbers</t>
  </si>
  <si>
    <t>Temperature dependence of collision broadening and shift in the NO A ← X (0, 0) band in the presence of argon and nitrogen</t>
  </si>
  <si>
    <t>Pressure broadening of the 118.455 cm−1 rotational lines of OH by H2, He, N2, and O2</t>
  </si>
  <si>
    <t>Measurement of pressure broadening coefficients of 15N16O by intracavity laser magnetic resonance with a CO laser</t>
  </si>
  <si>
    <t>Temperature dependence of the collisional interference
 in the pure rotational far-infrared spectrum of HD</t>
  </si>
  <si>
    <t>Collisional broadening of the A2Σ+ ← X2Π(0,0) band of OH by H2O and CO2 in atmospheric-pressure flames</t>
  </si>
  <si>
    <t>Shock-tube study of pressure broadening of the A2∑+ - X2Π (0,0) band of OH by Ar and N2</t>
  </si>
  <si>
    <t>Effect of temperature on the collision broadening and shift of the 3p53p–2p54d spectral lines of neon perturbed by Ne and He</t>
  </si>
  <si>
    <t>Calculation of mean collision cross sections of free radical OH with foreign gases</t>
  </si>
  <si>
    <t>Pressure broadening of the HCO+ J=0–1 transition by hydrogen</t>
  </si>
  <si>
    <t>Line broadening and oscillator strength measurements for the nitric oxide γ(0,0) band</t>
  </si>
  <si>
    <t>Pressure broadening of the lowest rotational transition of OH studied by laser magnetic resonance</t>
  </si>
  <si>
    <t>On a semiclassical study of molecular collisions. II. Application to HCl‐argon</t>
  </si>
  <si>
    <t>Collision broadening of transient absorption spectra: I. Hydroxyl linewidths in the (0,0) (A→ X) transition at low temperatures</t>
  </si>
  <si>
    <t>Application of the Hartmann–Tran profile to analysis of H2O spectra</t>
  </si>
  <si>
    <t>Diode laser measurements of temperature-dependent collisional-narrowing and broadening parameters of Ar-perturbed H2O transitions at 1391.7 and 1397.8 nm</t>
  </si>
  <si>
    <t>Diode laser measurements of linestrength and temperature-dependent lineshape parameters of H2O-, CO2-, and N2-perturbed H2O transitions near 2474 and 2482 nm</t>
  </si>
  <si>
    <t>Line parameters for CO2- and self-broadening in the ν3 band of HD16O</t>
  </si>
  <si>
    <t>Line parameters for CO2- and self-broadening in the ν1 band of HD16O</t>
  </si>
  <si>
    <t>Line parameters for CO2 broadening in the ν2 band of HD16O</t>
  </si>
  <si>
    <t>Narrowing broadening and shifting parameters for R(2) and P(14) lines in the HCl fundamental band perturbed by N2 and rare gases from tunable diode laser spectroscopy</t>
  </si>
  <si>
    <t>Spectral shapes of Ar-broadened HCl lines in the fundamental band by classical molecular dynamics simulations and comparison with experiments</t>
  </si>
  <si>
    <t>Isolated line shape of methane with various collision partners</t>
  </si>
  <si>
    <t>CO2-broadening coefficients in the ν4 fundamental band of methane at room temperature and application to CO2-rich planetary atmospheres</t>
  </si>
  <si>
    <t>Intensities, broadening and narrowing parameters in the ν3 band of methane</t>
  </si>
  <si>
    <t>The implementation of non-Voigt line profiles in the HITRAN database: H2 case study</t>
  </si>
  <si>
    <t>Measurements of NH3 linestrengths and collisional broadening coefficients in N2, O2, CO2, and H2O near 1103.46 cm−1</t>
  </si>
  <si>
    <t>Pressure broadening coefficients of transitions in the ν5 band of methyl bromide from fitting to Voigt and Galatry line profiles</t>
  </si>
  <si>
    <t>Experimental studies, line-shape analysis and semi-empirical calculations of broadening coefficients for CH335Cl–CO2 submillimeter transitions</t>
  </si>
  <si>
    <t>Speed dependence of CH3 35Cl–O2 line-broadening parameters probed on rotational transitions: Measurements and semi-classical calculations</t>
  </si>
  <si>
    <t>Line-shapes and broadenings of rotational transitions of CH335Cl in collision with He, Ar and Kr</t>
  </si>
  <si>
    <t>Determination of the vinyl fluoride line intensities by TDL spectroscopy: the object oriented approach of Visual Line Shape Fitting Program to line profile analysis</t>
  </si>
  <si>
    <t>Xenon-broadened CO line shapes in the fundamental band at 349 K</t>
  </si>
  <si>
    <t>Spectral shapes of rovibrational lines of CO broadened by He, Ar, Kr and SF6: A test case of the Hartmann-Tran profile</t>
  </si>
  <si>
    <t>Line positions, pressure broadening and shift coefficients for the second overtone transitions of carbon monoxide in argon</t>
  </si>
  <si>
    <t>Argon-Induced Pressure Broadening, Shifting, and Narrowing in the CN A2Π–X2Σ+ (1–0) Band</t>
  </si>
  <si>
    <t>Diode-laser spectroscopy: Pressure dependence of N2-broadening coefficients of lines in the v4+v5
 band of C2H2</t>
  </si>
  <si>
    <t>Measurements of linestrengths, N2-, Ar-, He- and self-broadening coefficients of acetylene in the ν4+ν5 combination band using a cw quantum cascade laser</t>
  </si>
  <si>
    <t>O2-broadening coefficients of acetylene lines in the ν4 + ν5 band at room temperature</t>
  </si>
  <si>
    <t>Low pressure line shape study of nitrogen-perturbed acetylene transitions in the ν1 + ν3 band over a range of temperatures</t>
  </si>
  <si>
    <t>Experimental and theoretical study of N2-broadened acetylene line parameters in the ν1 + ν3 band over a range of temperatures</t>
  </si>
  <si>
    <t>Line-shape models testing on six acetylene transitions in the ν1+ν3 band broadened by N2</t>
  </si>
  <si>
    <t>Temperature-Dependent, Nitrogen-Perturbed Line Shape Measurements in the ν1 + ν3 Band of Acetylene Using a Diode Laser Referenced to a Frequency Comb</t>
  </si>
  <si>
    <t>Application of the Hartmann–Tran profile to precise experimental data sets of 12C2H2</t>
  </si>
  <si>
    <t>Speed-dependent effects and Dicke narrowing in nitrogen-broadened oxygen</t>
  </si>
  <si>
    <t>Nitrogen-broadened lineshapes in the oxygen A-band: Experimental results and theoretical calculations</t>
  </si>
  <si>
    <t>Pressure broadening of the electric dipole and Raman lines of CO2 by argon: Stringent test of the classical impact theory at different temperatures on a benchmark system</t>
  </si>
  <si>
    <t>Precision considerations of classical and semiclassical methods used in collision line broadening calculations: Different linear molecules perturbed by argon</t>
  </si>
  <si>
    <t>Measurements and calculations of ethylene line-broadening by argon in the ν7 band at room temperature</t>
  </si>
  <si>
    <t>Helium-induced halfwidths and line shifts of water vapor transitions of the ν1 + ν2 and ν2 + ν3 bands</t>
  </si>
  <si>
    <t>Broadening parameters of the H2O–He collisional system for astrophysical applications</t>
  </si>
  <si>
    <t>Vibrational dependence of an intermolecular potential for H2O–He system</t>
  </si>
  <si>
    <t>Measurements and calculations of He-broadening and -shifting parameters of the water vapor transitions of the ν1 + ν2 + ν3 band</t>
  </si>
  <si>
    <t>Measurements and calculations of Ar-broadening and -shifting parameters of water vapor transitions of ν1+ν2+ν3 band</t>
  </si>
  <si>
    <t>https://www.sciencedirect.com/science/article/pii/S0022285215002052</t>
  </si>
  <si>
    <t>Semiclassical line broadening calculations, using an ab initio potential energy surface, in Q-branch and S-branch of N2 perturbed by H2</t>
  </si>
  <si>
    <t>Oxygen, nitrogen and air broadening of HCN spectral lines at terahertz frequencies</t>
  </si>
  <si>
    <t>Comparison of quantum, semiclassical and classical methods in hydrogen broadening of nitrogen lines</t>
  </si>
  <si>
    <t>Accurate calculated tabulations of CO line broadening by H2O, N2, O2, and CO2 in the 200–3000-K temperature range</t>
  </si>
  <si>
    <t>Accurate calculated tabulations of IR and Raman CO2 line broadening by CO2, H2O, N2, O2 in the 300–2400-K temperature range</t>
  </si>
  <si>
    <t>The Continuum of Water Vapor Mixed with Methane: Absolute Absorption at 239 GHz and Linewidth Calculations</t>
  </si>
  <si>
    <t>Line broadening, line shifting, and line coupling effects on N2–H2O stimulated Raman spectra</t>
  </si>
  <si>
    <t>CO2-broadened water in the pure rotation and ν2 fundamental regions</t>
  </si>
  <si>
    <t>Extension of the exact trajectory model to the case of asymmetric tops and its application to infrared nitrogen-broadened linewidths of ethylene</t>
  </si>
  <si>
    <t>Water vapor line width and shift calculations with accurate vibration–rotation wave functions</t>
  </si>
  <si>
    <t>Uncertainties associated with theoretically calculated N2-broadened half-widths of H2O lines</t>
  </si>
  <si>
    <t>Nitrogen and oxygen broadening of ozone infrared lines in the 5µm region: theoretical predictions by semiclassical and semiempirical methods</t>
  </si>
  <si>
    <t>Calculation of coefficients of collisional broadening of ozone spectral lines induced by pressure of atmospheric gases</t>
  </si>
  <si>
    <t>Formaldehyde around 3.5 and 5.7-μm: Measurement and calculation of broadening coefficients</t>
  </si>
  <si>
    <t>Half-widths, their temperature dependence, and line shifts for the HDO–CO2 collision system for applications to CO2-rich planetary atmospheres</t>
  </si>
  <si>
    <t>Causal correlation functions and Fourier transforms: Application in calculating pressure induced shifts</t>
  </si>
  <si>
    <t>N2-, O2- and air-broadened half-widths and line shifts for transitions in the ν3 band of methane in the 2726- to 3200-cm−1 spectral region</t>
  </si>
  <si>
    <t>Line broadening coefficient calculations for methane perturbed by nitrogen</t>
  </si>
  <si>
    <t>Calculated line broadening parameters for methane perturbed by diatomic molecules</t>
  </si>
  <si>
    <t>H2-induced pressure broadening and pressure shift in the P-branch of the ν 3 band of CH4 from 300 to 655 K</t>
  </si>
  <si>
    <t>Nitrogen broadening of SF6 transitions in the ν3 band</t>
  </si>
  <si>
    <t>Broadening, shifting, and line asymmetries in the 2←0 band of CO and CO-N2
 Experimental results and theoretical calculations</t>
  </si>
  <si>
    <t>Room-temperature broadening and pressure-shift coefficients in the ν2 band of CH3D–O2: Measurements and semi-classical calculations</t>
  </si>
  <si>
    <t>Measurements and theoretical calculations of N2-broadening and N2-shift coefficients in the ν2 band of CH3D</t>
  </si>
  <si>
    <t>Temperature dependence of self- and N2-broadeningand pressure-induced shifts in the 3←0 band of CO</t>
  </si>
  <si>
    <t>Line Broadening and the Temperature Exponent of the Fundamental Band in CO–N2 Mixtures</t>
  </si>
  <si>
    <t>He-, Ne- and Kr-broadening coefficients of lines in the fundamental ν3 band of 12C32S2 at low temperature</t>
  </si>
  <si>
    <t>CO 2 collision-induced line parameters for the ν 3 band of 12CH 4 measured using a hard-collision speed-dependent line shape and the relaxation matrix formalism</t>
  </si>
  <si>
    <t>Radiative emissions from charge exchange processes in collisions of 0.7- 10.0 keV He + with N 2 and O2 molecules</t>
  </si>
  <si>
    <t>Measurements of H2O broadened by CO2 line-shape parameters: Beyond the Voigt profile</t>
  </si>
  <si>
    <t>Hydrogen-broadening coefficients in the ν7 band of ethylene at low temperature</t>
  </si>
  <si>
    <t>Diode–Laser Measurements of N2-Broadening Coefficients in the ν7 Band of C2H4</t>
  </si>
  <si>
    <t>Calculation of Broadening Coefficients of Sulfur Dioxide Lines by Carbon Dioxide in the ν1 + ν3 A-type Band at Room Temperature</t>
  </si>
  <si>
    <t>Calculation of line parameters of the ν3 band of monodeuterated methane: Nitrogen broadening</t>
  </si>
  <si>
    <t>Experimental and Theoretical Analysis of the Broadening and Shift of H2O Absorption Lines by Monatomic Gases in a Wide Spectral Range</t>
  </si>
  <si>
    <t>Universal Function for the Calculation of Broadening of Absorption Lines of the H2S Molecule by Monoatomic Gases</t>
  </si>
  <si>
    <t>Noble Gas Broadening in Fundamental Bands of H2S</t>
  </si>
  <si>
    <t>Broadening and Shift Coefficients of H2O Absorption Lines in the 8650–9020 cm–1 Spectral Region</t>
  </si>
  <si>
    <t>Parameters of broadening of water molecule absorption lines by argon derived using different line profile models</t>
  </si>
  <si>
    <t>Calculated self- and foreign-gas-broadened linewidths for SF6</t>
  </si>
  <si>
    <t>Pressure broadening of the ground vibrational state J = 31→J = 32 transition of CH3F by coincidence laser spectroscopy</t>
  </si>
  <si>
    <t>Multispectrum Fits of Ar-Broadened HF with a Generalized Asymmetric Lineshape: Effects of Correlation, Hardness, Speed Dependence, and Collision Duration</t>
  </si>
  <si>
    <t>Diode–Laser Measurements of He-, Ar-, and N2-Broadened HF Lineshapes in the First Overtone Band</t>
  </si>
  <si>
    <t>Lineshape Parameters of He- and Kr-Broadened HF Lines in the Fundamental Band</t>
  </si>
  <si>
    <t>Nitrogen-broadened halfwidths of HF lines in the 1-0 band</t>
  </si>
  <si>
    <t>Pressure broadening in Raman spectra of CH4–N2, CH4–CO2, and CH4–C2H6 gas mixtures</t>
  </si>
  <si>
    <t>Temperature-dependence parameters for CH3I-O2 and CH3I-air line-broadening coefficients</t>
  </si>
  <si>
    <t>Oxygen- and air-broadening coefficients for the CH3I ν6 fundamental at room temperature</t>
  </si>
  <si>
    <t>Line coupling and line mixing effects on calculated widths of symmetric-top molecules with the k-degeneracy: A theoretical study of N2-, O2-, and air-broadened lines of CH3I</t>
  </si>
  <si>
    <t>Room-temperature CH 3 I-N 2 broadening coefficients for the ν 6 fundamental</t>
  </si>
  <si>
    <t>Temperature-dependence exponents for CH3I-N2 line-broadening coefficients</t>
  </si>
  <si>
    <t>Pressure shift and broadening in CH3OH: effects relevant to lasing transitions</t>
  </si>
  <si>
    <t>CH3OH and CH381Br self-broadening measurements with a millimeter-wave Stark interferometer</t>
  </si>
  <si>
    <t>Pressure broadening and shift of the potassium D1 transition by the noble gases and N2, H2, HD, D2, CH4, C2H6, C3H8, and n-C4H10 with comparison to other alkali rates</t>
  </si>
  <si>
    <t>Pressure broadening and collisional shift of the Rb D2 absorption line by CH4, C2H6, C3H8, n-C4H10, and He</t>
  </si>
  <si>
    <t xml:space="preserve">Pressure induced hyperfine shift and broadening rates of the 52S1/2→62P1/2 and 52S1/2→62P3/2 transitions of rubidium with He, Ar, CH4, and C2H6
</t>
  </si>
  <si>
    <t>Pressure shift and/or broadening of lines in the electronic spectra of Cl2, Br2, I2, O2, HD, AlH and H2CO</t>
  </si>
  <si>
    <t>The Nitric Oxide Fundamental Band: Frequency and Shape Parameters for Rovibrational Lines</t>
  </si>
  <si>
    <t>Experimental spectral line parameters in the 1-0 band of nitric oxide</t>
  </si>
  <si>
    <t>Rare Gas Pressure Broadening of the NO Fundamental Vibrational Band</t>
  </si>
  <si>
    <t>The NO Vibrational Fundamental Band: O2-Broadening Coefficients</t>
  </si>
  <si>
    <t>Pressure broadening of J = 1–0 rotational line of the CHF3 molecule in an electric field</t>
  </si>
  <si>
    <t>Collision cross section of rotational transition caused by the dipole–quadrupole interaction between 
 CHF3 and nonpolar molecules</t>
  </si>
  <si>
    <t>Molecular Collision Cross Section of the CHF3 Molecule Due to Higher Order Interactions</t>
  </si>
  <si>
    <t>Collision Cross Section of the J = 2 &lt;- 1 Rotational Transition of CF3CCH due to Higher Order Interactions</t>
  </si>
  <si>
    <t>Collision broadening of the J=7.6 transition of t-butyl cyanide by CH3CN, OCS,CO2 and helium</t>
  </si>
  <si>
    <t>He-broadening of the O2 A-band transitions studied by diode laser spectroscopy</t>
  </si>
  <si>
    <t>High-temperature argon broadening of CO2 near 2190 cm−1 in a shock tube</t>
  </si>
  <si>
    <t>Pressure induced shifts of the (J,K)=(12,12) inversion line in the microwave spectrum of ammonia</t>
  </si>
  <si>
    <t>Line shape asymmetries in Ar‐broadened HF(v=1–0) in the Dicke‐narrowing regime</t>
  </si>
  <si>
    <t>Widths and shifts of HF vibration-rotation absorption lines induced by pressure of rare gases</t>
  </si>
  <si>
    <t>Broadening and shifting of HF lines due to noble gases</t>
  </si>
  <si>
    <t>Breadths and shifts of molecular band lines due to perturbation by foreign gases</t>
  </si>
  <si>
    <t>Noble-gas broadening of vibration-rotation lines belonging to diatomic molecules—I. Experimental results for HCl lineshifts and widths</t>
  </si>
  <si>
    <t>Infrared line collisional parameters of HCl in argon, beyond the impact approximation: Measurements and classical path calculations</t>
  </si>
  <si>
    <t>Dicke narrowing and pressure broadening in the infrared fundamental band of HCl perturbed by Ar</t>
  </si>
  <si>
    <t>Shapes and Breadths of Some Molecular Rotation‐Vibration Band Lines Perturbed by Rare Gases</t>
  </si>
  <si>
    <t>Molecular Collision Cross Sections from Infrared Absorption Measurements</t>
  </si>
  <si>
    <t>Spectral line-shape analysis of CO2 transition using Hartmann-Tran profile and its asymptotic limits</t>
  </si>
  <si>
    <t>High sensitivity spectroscopy of the O2 band at 1.27 µm: (I) pure O2 line parameters above 7920 cm−1</t>
  </si>
  <si>
    <t>A new approach to spectral line shapes of the weak oxygen transitions for atmospheric applications</t>
  </si>
  <si>
    <t>Shape of collision-broadened lines of carbon monoxide</t>
  </si>
  <si>
    <t>Diode-laser measurements of linestrength and temperature-dependent lineshape parameters for H2O transitions near 1.4 μm using Voigt, Rautian, Galatry, and speed-dependent Voigt profiles</t>
  </si>
  <si>
    <t>The temperature dependence of lineshifts, linewidths and line intensities of methane at low temperatures</t>
  </si>
  <si>
    <t>Self‐, N2, O2, H2, Ar, and He broadening in the ν3 band Q branch of CH4</t>
  </si>
  <si>
    <t>Measurements of argon-, helium-, hydrogen-, and nitrogen-broadened widths of methane lines near 9000 cm−1</t>
  </si>
  <si>
    <t>Experimental and theoretical studies on collision-broadened lines in the v4-fundamental of methane</t>
  </si>
  <si>
    <t>Measurements of collision-broadened line widths in the v4-fundamental band of 12CH4 at low temperatures</t>
  </si>
  <si>
    <t>Estimation of line parameters under line mixing effects: the ν3 band of CH4 in helium</t>
  </si>
  <si>
    <t>Helium and argon line broadening in the ν2 band of CH4</t>
  </si>
  <si>
    <t>Determination of foreign broadening coefficients for Methane Lines Targeted by the Tunable Laser Spectrometer (TLS) on the Mars Curiosity Rover</t>
  </si>
  <si>
    <t>CO2-broadening coefficients in the ν3 fundamental band of methane</t>
  </si>
  <si>
    <t>Measurements of the broadening and shift parameters of methane spectral lines in the 5550–6140 cm−1 region induced by pressure of carbon dioxide</t>
  </si>
  <si>
    <t>Broadening and shift of lines of the ν2 + ν3 band of water vapor induced by helium pressure</t>
  </si>
  <si>
    <t>H2-broadened H216O in four infrared bands between 55 and 4045 cm−1</t>
  </si>
  <si>
    <t>Line mixing in self- and foreign-broadened water vapor at 6 μm</t>
  </si>
  <si>
    <t>Shifting and broadening parameters of the water vapor 183-GHz line (3 1 3-22 0) by H2O, O2, N2, CO2, H2, He, Ne, Ar, and Kr at room temperature</t>
  </si>
  <si>
    <t>Water vapor overtones pressure line broadening and shifting measurements</t>
  </si>
  <si>
    <t>Pressure broadening and shift coefficients of H2O due to perturbation by N2, O2, H2 and He in the 1.39 μm region: experiment and calculations</t>
  </si>
  <si>
    <t>Quantitative NH2 concentration determination in shock tube laser-absorption experiments</t>
  </si>
  <si>
    <t>Collision broadening and shift of NO γ(0, 0) absorption lines by O2 and H2O at high temperatures</t>
  </si>
  <si>
    <t>Measurements of the OH A-X (0,0) 306 nm absorption bandhead at 60 atm and 1735 K</t>
  </si>
  <si>
    <t>Collisional broadening and shift of five OH A2Σ+←X2Π (0-0) transitions in the Q1-branch, by H2O, O2, CO2, N2 and Ar, at 1220 K</t>
  </si>
  <si>
    <t>Quantum cascade laser absorption sensor for carbon monoxide in high-pressure gases using wavelength modulation spectroscopy</t>
  </si>
  <si>
    <t>A multispectrum analysis of widths and shifts in the 2010–2260 cm−1 region of 12C16O broadened by Helium at temperatures between 80 and 297 K</t>
  </si>
  <si>
    <t>Pressure broadening of CO infrared lines perturbed by H2 and He</t>
  </si>
  <si>
    <t>Confinement narrowing and absorber speed dependent broadening effects on CO lines in the fundamental band perturbed by Xe, Ar, Ne, He and N2</t>
  </si>
  <si>
    <t>Line Broadening in the Fundamental Band of CO in CO–He and CO–Ar Mixtures</t>
  </si>
  <si>
    <t>Stabilized Tunable Diode Laser Measurements of the P(2) Line in the 13CO Fundamental Band Broadened by Helium at Temperatures between 11.5 and 298.6 K</t>
  </si>
  <si>
    <t>Confinement Narrowing of the R(0) Line in the 13CO Fundamental Band Broadened by Helium from Room Temperature down to 40 K</t>
  </si>
  <si>
    <t>Collisional effects on the rotational and rotation-vibration Raman spectra of HD compressed by argon</t>
  </si>
  <si>
    <t>An experimental investigation of rare gases pressure effects on the rovibrational line intensities of HCl</t>
  </si>
  <si>
    <t>Evidence for vibrational broadening of raman lines in H2-rare gas mixtures</t>
  </si>
  <si>
    <t>Pressure broadening and shifting of rotation and rotation-vibration spectral lines of HCL by noble gases</t>
  </si>
  <si>
    <t>Rare gas pressure shifts of vibration-rotation lines of diatomic molecules</t>
  </si>
  <si>
    <t>Temperature dependence of foreign gas broadening of HCl fundamental lines</t>
  </si>
  <si>
    <t>Theory of the relaxation matrix and its relation to microwave transient phenomena. II. Semiclassical calculations for systems of OCS and nonpolar collision partners</t>
  </si>
  <si>
    <t>He-broadening and shifting coefficients of HCl lines in the (1←0) and (2←0) infrared transitions</t>
  </si>
  <si>
    <t>Broadening and shift coefficients for the (2←0) overtone band of HCl (1.76 µm) induced by exhaust gases CO and CO2</t>
  </si>
  <si>
    <t>Spectral line parameters in the (4 ← 0) overtone band and the dipole moment function of HI</t>
  </si>
  <si>
    <t>Pressure broadening and shifting parameters for the spectral lines in the fundamental vibration-rotation bands of HBr and HI in mixtures with rare gases</t>
  </si>
  <si>
    <t>Argon broadening of the 13CO R(0) and R(7) transitions in the fundamental band at temperatures between 80 and 297 K: comparison between experiment and theory</t>
  </si>
  <si>
    <t>Theoretical estimation of SO2 line broadening coefficients induced by carbon dioxide in the 150–300 K temperature range</t>
  </si>
  <si>
    <t>Shifting and broadening in the fundamental band of CO highly diluted in He and Ar: A comparison with theory</t>
  </si>
  <si>
    <t>Collisional line shifting and broadening in the fundamental P-branch of CO in Ar between 214 and 324 K</t>
  </si>
  <si>
    <t>PRESSURE-INDUCED INFRARED ABSORPTION OF HYDROGEN AND HYDROGEN – FOREIGN GAS MIXTURES IN THE RANGE 1500–5000 ATMOSPHERES</t>
  </si>
  <si>
    <t>Infrared absorption spectra of gaseous HD. III. Collision‐induced fundamental band of HD in HD–Kr and HD–Xe mixtures at room temperature</t>
  </si>
  <si>
    <t>Impact Theory of the Noble-Gas-Broadened HCl Vibration-Rotation Lines</t>
  </si>
  <si>
    <t>An intercomparison of measured pressure-broadening, pressure shifting parameters of carbon dioxide and their temperature dependence</t>
  </si>
  <si>
    <t>Predicting accurate line shape parameters for CO2 transitions</t>
  </si>
  <si>
    <t>Semiclassical calculations of half-widths and line shifts for transitions in the 30012←00001 and 30013←00001 bands of CO2. III: Self collisions</t>
  </si>
  <si>
    <t>Semiclassical calculations of half-widths and line shifts for transitions in the 30012←00001 and 30013←00001 bands of CO2 II: Collisions with O2 and air</t>
  </si>
  <si>
    <t>Semiclassical calculations of half-widths and line shifts for transitions in the 30012←00001 and 30013←00001 bands of CO2, I: Collisions with N2</t>
  </si>
  <si>
    <t>Intensities, self-broadening, and broadening by Ar and N2 for the 301III ← 000 band of CO2 measured at different temperatures</t>
  </si>
  <si>
    <t>Measurement at different temperatures of absolute intensities, line half-widths, and broadening by Ar and N2 for the 3001II←0000 band of CO2</t>
  </si>
  <si>
    <t>An intercomparison of measured pressure-broadening and pressure-shifting parameters of water vapor</t>
  </si>
  <si>
    <t>Modified complex Robert-Bonamy calculations of line shape parameters and their temperature dependence for water vapor in collision with N2</t>
  </si>
  <si>
    <t>Vibrational dependence, temperature dependence, and prediction of line shape parameters for the H2O-N2 collision system</t>
  </si>
  <si>
    <t>Ozone spectroscopy in the electronic ground state: High-resolution spectra analyses and update of line parameters since 2003</t>
  </si>
  <si>
    <t>Spectroscopic parameters for ozone and its isotopes: recent measurements, outstanding issues, and prospects for improvements to HITRAN</t>
  </si>
  <si>
    <t>Pressure broadening and collisional narrowing in OH(v=1←0) rovibrational transitions with Ar, He, O2, and N2</t>
  </si>
  <si>
    <t>Rotational level-dependent collisional broadening and line shift of the A2σ+−X2∏ (1, 0) band of OH in hydrogen-air combustion gases</t>
  </si>
  <si>
    <t>Pressure broadening parameters of the hydroxyl radical A 2 Σ+ (υ’=0) ← X 2 Π3/2 (υ=0) transitions at ca. 308 nm</t>
  </si>
  <si>
    <t>Measurement of collision‐induced shift and broadening of the ultraviolet transitions of OH</t>
  </si>
  <si>
    <t>Temperature dependence of line shape parameters for N2- and O2-broadened methane lines by quantum cascade laser spectroscopy</t>
  </si>
  <si>
    <t>Nitrogen-Broadening Parameters for Atmospheric Spectra Modelling of the ν3 Band of SF6</t>
  </si>
  <si>
    <t>Measurement of Methane Line Broadening in Hot Hydrogen/Helium Atmospheres at λ = 1.60-1.63 μm for Substellar Object Spectroscopy</t>
  </si>
  <si>
    <t>Effective line strengths of trans-nitrous acid near 1275 cm−1 and cis-nitrous acid at 1660 cm−1</t>
  </si>
  <si>
    <t>Mid-infrared high-resolution dual-comb spectroscopy: Line shape parameters of CO2-broadened transitions in the ν4 band of methane</t>
  </si>
  <si>
    <t>Complete set of broadening coefficients and high-order line-shape parameters for N2-broadened CO2 lines, for temperatures ranging from 100 K to 1000 K</t>
  </si>
  <si>
    <t>Experimental and theoretical study of line shape parameters for nitrous oxide absorption lines diluted in nitrogen</t>
  </si>
  <si>
    <t>NH3 by argon</t>
  </si>
  <si>
    <t>Semiclassical line broadening calculations using an ab initio potential. Application to NH3 perturbed by argon</t>
  </si>
  <si>
    <t>Experimental and theoretical investigation on N2
pressure-induced coefficients of the lowest rotational
transitions of HCN</t>
  </si>
  <si>
    <t>Line shape parameters of self-broadened CO transitions in the (3-0) overtone band</t>
  </si>
  <si>
    <t>CO by CO,N2,CO2</t>
  </si>
  <si>
    <t>https://opg.optica.org/ao/fulltext.cfm?uri=ao-58-10-C1&amp;id=403703#articleTables</t>
  </si>
  <si>
    <t>Direct measurements of collisional Raman line broadening in the S-branch transitions of CO perturbed by CO, N2, and CO2</t>
  </si>
  <si>
    <t>H2O by H2O, N2, O2, and CO2</t>
  </si>
  <si>
    <t>https://opg.optica.org/ao/fulltext.cfm?uri=ao-28-23-5080&amp;id=33024#articleTables</t>
  </si>
  <si>
    <t>Calculated tabulations of H2O line broadening by H2O, N2, O2, and CO2 at high temperature</t>
  </si>
  <si>
    <t>HCl by HCl, HCl by DCI, DCI by HCl</t>
  </si>
  <si>
    <t>https://pubs.aip.org/aip/jcp/article/65/12/5302/775531/Shifts-of-the-vibration-rotation-absorption-lines</t>
  </si>
  <si>
    <t>Shifts of the vibration–rotation absorption lines of diatomic molecules perturbed by diatomic polar molecules. A theoretical analysis</t>
  </si>
  <si>
    <t>N2O by N2,O2,air</t>
    <phoneticPr fontId="11" type="noConversion"/>
  </si>
  <si>
    <t>The N2-, O2-, and air-broadened halfwidths and line mixing parameters of the N2O molecule and their temperature dependences</t>
    <phoneticPr fontId="11" type="noConversion"/>
  </si>
  <si>
    <t>CH3CH by N2,O2,air</t>
    <phoneticPr fontId="11" type="noConversion"/>
  </si>
  <si>
    <t>H2O by CO2</t>
    <phoneticPr fontId="11" type="noConversion"/>
  </si>
  <si>
    <t>Water vapor line broadening and shift coefficients induced by carbon dioxide in the 8600–9000 cm-1 spectral region</t>
  </si>
  <si>
    <t>H2O by N2</t>
    <phoneticPr fontId="11" type="noConversion"/>
  </si>
  <si>
    <t>Measurements of H2O-N2 line shape parameters and the determination of the intermolecular potential for complex Robert-Bonamy-Ma calculations</t>
  </si>
  <si>
    <t>CO2 by air</t>
    <phoneticPr fontId="11" type="noConversion"/>
  </si>
  <si>
    <t>Isotopologue dependence of the CO2-air broadening and shifting coefficients: Experimental evidence and comparison with theory for 13CO2 and 12CO2</t>
  </si>
  <si>
    <t>O2 by air</t>
    <phoneticPr fontId="11" type="noConversion"/>
  </si>
  <si>
    <t>Temperature dependence of the air-broadened line-shape parameters of the 1.27 µm O2-band</t>
  </si>
  <si>
    <t>K by CO2,O2</t>
    <phoneticPr fontId="11" type="noConversion"/>
  </si>
  <si>
    <t>Collisional broadening and pressure shift coefficients for the potassium D1 and D2 transitions in oxygen and carbon dioxide at high temperatures</t>
  </si>
  <si>
    <t>K by Ar, H2,He, N2</t>
    <phoneticPr fontId="11" type="noConversion"/>
  </si>
  <si>
    <t>Collisional broadening and pressure shift of the potassium resonance doublets by nitrogen, helium, and hydrogen at high temperatures</t>
  </si>
  <si>
    <t>C2H2 by N2, Ar, He, self</t>
  </si>
  <si>
    <t>Pengxia paper no.</t>
  </si>
  <si>
    <t>DUPLICATE</t>
  </si>
  <si>
    <t>https://www.sciencedirect.com/science/article/pii/0022285285901948</t>
  </si>
  <si>
    <t>https://opg.optica.org/josa/fulltext.cfm?uri=josa-59-12-1598&amp;id=53879</t>
  </si>
  <si>
    <t>Foreign-Gas Broadening of HF by CO2</t>
  </si>
  <si>
    <t>Cross sections for rotational decoherence of perturbed nitrogen measured via decay of laser-induced alignment </t>
  </si>
  <si>
    <t>Rotational CARS N2 thermometry: validation experiments for the influence of nitrogen spectral line broadening by hydrogen†</t>
  </si>
  <si>
    <t>Semiclassical calculations of collision line broadening in Raman spectra of N2 and CO mixtures</t>
  </si>
  <si>
    <t>Experimental and theoretical investigation on N2 pressure-induced coefficients of the lowest rotational transitions of HCN</t>
  </si>
  <si>
    <t>Pressure-broadened line widths and pressure-induced line shifts coefficients of the (1-0) and (2-0) bands of 12C16O</t>
  </si>
  <si>
    <t>Hydrogen and helium pressure broadening of water transitions in the 380–600cm-1 region</t>
  </si>
  <si>
    <t>Lots of great data - file created from supplementary info.  Several files. The biggest one contained data from the other two, + more.  Uncertainties inconsistent.  I have chosen the larger uncertainty (HITRAN code 6), 2-5% error - which is still fairly good Uploaded in https://www.sciencedirect.com/science/article/pii/S0022285215001770?via%3Dihub#s0035</t>
  </si>
  <si>
    <t>CO2-broadening and shift coefficients in the ν3 and ν2 + (ν4 + v5)0+ bands of acetylene</t>
  </si>
  <si>
    <t>H2O by O2</t>
  </si>
  <si>
    <t>Water Vapor Line Shifts in the Range 5000–5600 cm–1 Induced by the Pressure of Different Buffer Gases</t>
  </si>
  <si>
    <t>H2O by O2, N2, Ar</t>
  </si>
  <si>
    <t>https://link.springer.com/article/10.1134/1.1953974?utm_source=getftr&amp;utm_medium=getftr&amp;utm_campaign=getftr_pilot&amp;getft_integrator=scopus</t>
  </si>
  <si>
    <t>H2O by N2 and O2</t>
  </si>
  <si>
    <t>https://link.springer.com/article/10.1134/s1024856010060047?utm_source=getftr&amp;utm_medium=getftr&amp;utm_campaign=getftr_pilot&amp;getft_integrator=scopus</t>
  </si>
  <si>
    <t>Special issue: 22nd colloquium on high-resolution molecular spectroscopy HRMS Dijon 2011 (Part 2) Line mixing in the water vapour transitions of the v 1+v 2v 3 band perturbed by helium pressure</t>
  </si>
  <si>
    <t>https://www.scopus.com/pages/publications/84866860969</t>
  </si>
  <si>
    <t>https://www.sciencedirect.com/science/article/pii/S0022285217303296</t>
  </si>
  <si>
    <t>HF and HCl by CO2</t>
  </si>
  <si>
    <t>https://www.sciencedirect.com/science/article/pii/002240737290074X</t>
  </si>
  <si>
    <t>Effective polarizability operator for X2Y-type molecules. Application to line width and line shift calculations of H2O</t>
  </si>
  <si>
    <t>https://www.sciencedirect.com/science/article/pii/S0022286002006130?pes=vor&amp;utm_source=scopus&amp;getft_integrator=scopus</t>
  </si>
  <si>
    <t>Calculation and simulation of absorption line broadening in water vapor by noble gas atoms</t>
  </si>
  <si>
    <t>H2O by Ar, He, Ne, Kr</t>
  </si>
  <si>
    <t>https://link.springer.com/article/10.1134/1.1914888?utm_source=getftr&amp;utm_medium=getftr&amp;utm_campaign=getftr_pilot&amp;getft_integrator=scopus</t>
  </si>
  <si>
    <t>Broadening of absorption lines of the v2 band of the H2S molecule by the pressure of atmospheric gases</t>
  </si>
  <si>
    <t>H2S by self, H2O, N2, O2, H2, D2, CO2</t>
  </si>
  <si>
    <t>https://link.springer.com/article/10.1134/s0030400x06100043?utm_source=getftr&amp;utm_medium=getftr&amp;utm_campaign=getftr_pilot&amp;getft_integrator=scopus</t>
  </si>
  <si>
    <t>Broadening and shifting of vibrational-rotational lines corresponding to the highly excited rotational states of the water molecule</t>
  </si>
  <si>
    <t>H2O by self, Ar, N2</t>
  </si>
  <si>
    <t>https://link.springer.com/article/10.1134/s0030400x09110022?utm_source=getftr&amp;utm_medium=getftr&amp;utm_campaign=getftr_pilot&amp;getft_integrator=scopus</t>
  </si>
  <si>
    <t>Helium-induced halfwidths and line shifts of water vapor transitions of the ν 1 + ν 2 and ν 2 + ν 3 bands</t>
  </si>
  <si>
    <t>H2O–H2O, NH3–NH3, DCl–HCl and CO–H2O</t>
  </si>
  <si>
    <t>Analytical representation of half-width for molecular ro-vibrational lines in the case of dipole–dipole and dipole–quadrupole interactions</t>
  </si>
  <si>
    <t>https://www.tandfonline.com/doi/full/10.1080/00268970903250554#d1e248</t>
  </si>
  <si>
    <t>https://journals.sagepub.com/doi/abs/10.3233/JCM-2010-0346</t>
  </si>
  <si>
    <t>Noble gas broadening calculation for fundamental bands of H2S</t>
  </si>
  <si>
    <t>The calculation of the temperature dependence of He-broadening coefficients of H2S rotation lines</t>
  </si>
  <si>
    <t>https://link.springer.com/article/10.1134/s1024856012050107?utm_source=getftr&amp;utm_medium=getftr&amp;utm_campaign=getftr_pilot&amp;getft_integrator=scopus</t>
  </si>
  <si>
    <t>H2S by He</t>
  </si>
  <si>
    <t>Calculation of the relaxation parameters of overlapping lines of the ammonia molecule pressure broadened by argon and helium</t>
  </si>
  <si>
    <t>NH3 by Ar and He</t>
  </si>
  <si>
    <t>https://link.springer.com/article/10.1134/s0030400x13010244?utm_source=getftr&amp;utm_medium=getftr&amp;utm_campaign=getftr_pilot&amp;getft_integrator=scopus</t>
  </si>
  <si>
    <t>Broadening of vibrational-rotational lines of the H2S molecule by pressure of monatomic gases</t>
  </si>
  <si>
    <t>https://link.springer.com/article/10.1134/s0030400x13070187?utm_source=getftr&amp;utm_medium=getftr&amp;utm_campaign=getftr_pilot&amp;getft_integrator=scopus</t>
  </si>
  <si>
    <t>Calculation of the influence of the wind effect and collision-induced velocity changes on the H2O-molecule absorption-line profiles upon broadening by monatomic gases</t>
  </si>
  <si>
    <t>https://link.springer.com/article/10.1134/s0030400x14010214?utm_source=getftr&amp;utm_medium=getftr&amp;utm_campaign=getftr_pilot&amp;getft_integrator=scopus</t>
  </si>
  <si>
    <t>On the ambiguity of the intermolecular interaction potential determined from spectroscopic data</t>
  </si>
  <si>
    <t>https://link.springer.com/article/10.1134/s1024856014030099?utm_source=getftr&amp;utm_medium=getftr&amp;utm_campaign=getftr_pilot&amp;getft_integrator=scopus</t>
  </si>
  <si>
    <t>Line mixing in some water vapor transitions perturbed by N2, Ar and He pressure</t>
  </si>
  <si>
    <t>H2O by N2, Ar and He</t>
  </si>
  <si>
    <t>https://www.sciencedirect.com/science/article/pii/S0022286014009867?pes=vor&amp;utm_source=scopus&amp;getft_integrator=scopus</t>
  </si>
  <si>
    <t>Neon-, krypton-, and xenon-broadened spectral lines of water vapor</t>
  </si>
  <si>
    <t>H2O by Ne, Kr and Xe</t>
  </si>
  <si>
    <t>https://link.springer.com/article/10.1134/s0030400x17070244?utm_source=getftr&amp;utm_medium=getftr&amp;utm_campaign=getftr_pilot&amp;getft_integrator=scopus</t>
  </si>
  <si>
    <t>Resonance functions in the theory of collisional broadening of molecule spectral lines at low temperatures</t>
  </si>
  <si>
    <t>https://link.springer.com/article/10.1134/s102485601704011x?utm_source=getftr&amp;utm_medium=getftr&amp;utm_campaign=getftr_pilot&amp;getft_integrator=scopus</t>
  </si>
  <si>
    <t>Vibrational Dependences of Broadening and Shift Coefficients of H2O Absorption Lines Perturbed by Ne, Kr, and Xe</t>
  </si>
  <si>
    <t>https://link.springer.com/article/10.1134/s1024856018040152?utm_source=getftr&amp;utm_medium=getftr&amp;utm_campaign=getftr_pilot&amp;getft_integrator=scopus</t>
  </si>
  <si>
    <t>v2 -Dependences of the Rotational Contributions to the Effective Dipole Moment of the H2O Molecule and Their Effect on the Broadening and Shift of Lines Induced by the Pressure of Buffer Gases</t>
  </si>
  <si>
    <t>H2O by Ar, Kr, H2 and He</t>
  </si>
  <si>
    <t>https://link.springer.com/article/10.1134/s0030400x19080277?utm_source=getftr&amp;utm_medium=getftr&amp;utm_campaign=getftr_pilot&amp;getft_integrator=scopus</t>
  </si>
  <si>
    <t>Study of H2O Polarizability Based on Data on Rovibrational Line Shifts by Buffer Gas Pressure</t>
  </si>
  <si>
    <t>H2O by N2, O2, air and Ar</t>
  </si>
  <si>
    <t>https://link.springer.com/article/10.1134/s102485602004017x?utm_source=getftr&amp;utm_medium=getftr&amp;utm_campaign=getftr_pilot&amp;getft_integrator=scopus</t>
  </si>
  <si>
    <t>Measurements and calculations of CO2-broadening and shift coefficients of water vapor transitions in the 5150–5550 cm−1 spectral region</t>
  </si>
  <si>
    <t>https://www.sciencedirect.com/science/article/pii/S0022407323002753?pes=vor&amp;utm_source=scopus&amp;getft_integrator=scopus</t>
  </si>
  <si>
    <t>Wind Effect on H2O Absorption Lines Perturbed by He, Ar, Kr, and Xe Pressure</t>
  </si>
  <si>
    <t>H2O by He, Ar, Kr and Xe</t>
  </si>
  <si>
    <t>https://link.springer.com/article/10.1134/s1024856024700635?utm_source=getftr&amp;utm_medium=getftr&amp;utm_campaign=getftr_pilot&amp;getft_integrator=scopus</t>
  </si>
  <si>
    <t>He-broadening and shift coefficients of water vapor lines in infrared spectral region</t>
  </si>
  <si>
    <t>https://www.spiedigitallibrary.org/conference-proceedings-of-spie/9680/1/He-broadening-and-shift-coefficients-of-water-vapor-lines-in/10.1117/12.2205562.full</t>
  </si>
  <si>
    <t>Broadening and shift coefficients for H2O – H2 system in 8600 – 9000 cm–1 infrared spectral region</t>
  </si>
  <si>
    <t>https://www.spiedigitallibrary.org/conference-proceedings-of-spie/10035/1/Broadening--and--shift-coefficients--for--H2O/10.1117/12.2249463.full</t>
  </si>
  <si>
    <t>Helium broadening parameters of water vapor in the 10,200–11,200 cm−1 spectral region</t>
  </si>
  <si>
    <t>https://www.sciencedirect.com/science/article/pii/S0022285216302302?pes=vor&amp;utm_source=scopus&amp;getft_integrator=scopus</t>
  </si>
  <si>
    <t>Broadening and shift coefficients for H2O - H2 system in 4000 - 9000 cm-1 infrared spectral region</t>
  </si>
  <si>
    <t>Measurements and calculations of Ar-broadening parameters of water vapour transitions in a wide spectral region</t>
  </si>
  <si>
    <t>Measurements and calculations of H2-broadening and shift parameters of water vapour transitions of the ν1 + ν2 + ν3 band</t>
  </si>
  <si>
    <t>Measurements and calculations of H2-broadening and shifting parameters of water vapour transitions in a wide spectral region</t>
  </si>
  <si>
    <t>https://www.spiedigitallibrary.org/conference-proceedings-of-spie/10466/2291488/Broadening--and--shift-coefficients--for--H2O/10.1117/12.2291488.short</t>
  </si>
  <si>
    <t>https://www.tandfonline.com/doi/pdf/10.1080/00268976.2017.1311422?utm_source=scopus&amp;getft_integrator=scopus</t>
  </si>
  <si>
    <t>https://www.tandfonline.com/doi/pdf/10.1080/00268976.2018.1432905?utm_source=scopus&amp;getft_integrator=scopus</t>
  </si>
  <si>
    <t>http://tandfonline.com/doi/pdf/10.1080/00268976.2018.1503743?utm_source=scopus&amp;getft_integrator=scopus</t>
  </si>
  <si>
    <t>CO2-broadening and shift coefficients of sulfur dioxide near 4 µm</t>
  </si>
  <si>
    <t>https://www.sciencedirect.com/science/article/abs/pii/S0022407318308641?via%3Dihub</t>
  </si>
  <si>
    <t>Measurements and calculations of krypton broadening and shifting parameters of the ν1 + ν2 + ν3 band of H2O</t>
  </si>
  <si>
    <t>H2O by Kr</t>
  </si>
  <si>
    <t>https://www.sciencedirect.com/science/article/abs/pii/S002228521930075X?via%3Dihub</t>
  </si>
  <si>
    <t>Measurements and calculations of Kr-broadening and shift parameters of water vapour transitions in a wide spectral region</t>
  </si>
  <si>
    <t>Comparison of Profile Models for Water Vapor Absorption Lines</t>
  </si>
  <si>
    <t>Measurements and calculations of xenon broadening and shift parameters of water vapour transitions for ν1 + ν2 + ν3 band</t>
  </si>
  <si>
    <t>H2O by Xe</t>
  </si>
  <si>
    <t>https://link.springer.com/article/10.1134/S1024856021040096</t>
  </si>
  <si>
    <t>https://www.sciencedirect.com/science/article/abs/pii/S0022285221001259?via%3Dihub</t>
  </si>
  <si>
    <t>Parameters of water molecule absorption lines in the 6760-7430 cm-1 spectral region</t>
  </si>
  <si>
    <t>https://www.scopus.com/pages/publications/85159707679</t>
  </si>
  <si>
    <t>Measurements and calculations of Xe-broadening and shift parameters of water vapour transitions in a wide spectral region</t>
  </si>
  <si>
    <t>Water vapor absorption line parameters in the 6760–7430 cm–1 region for application to CO2-rich planetary atmosphere</t>
  </si>
  <si>
    <t>https://www.sciencedirect.com/science/article/abs/pii/S0022407322003211?via%3Dihub</t>
  </si>
  <si>
    <t>Broadening and Shift Coefficients of Water Absorption Lines Induced by Carbon Dioxide Pressure near 2.7 μm</t>
  </si>
  <si>
    <t>https://link.springer.com/article/10.1134/S1024856022060070</t>
  </si>
  <si>
    <t>Parameters of HD16O absorption lines in 5100–5400 cm-1 spectral region broadened by carbon dioxide pressure</t>
  </si>
  <si>
    <t>https://www.spiedigitallibrary.org/conference-proceedings-of-spie/12780/2690371/Parameters-of-HD16O-absorption-lines-in-51005400-cm-1-spectral/10.1117/12.2690371.short</t>
  </si>
  <si>
    <t>too big for chat-GPT! (that doesn't matter to me I have Bob's data)</t>
  </si>
  <si>
    <t>MISSING PENGXIA</t>
  </si>
  <si>
    <t>Journal</t>
  </si>
  <si>
    <t>Note</t>
  </si>
  <si>
    <t>Journal of Quantitative Spectroscopy and Radiative Transfer</t>
  </si>
  <si>
    <t>Journal of Molecular Spectroscopy</t>
  </si>
  <si>
    <t>LLM extract  supplementary data.too much data</t>
  </si>
  <si>
    <t xml:space="preserve">Applied Sciences </t>
  </si>
  <si>
    <t>J is not Integer</t>
  </si>
  <si>
    <t>Acta Physica Polonica A</t>
  </si>
  <si>
    <t>Journal of Physical Chemistry</t>
  </si>
  <si>
    <t xml:space="preserve"> Optics and Spectroscopy </t>
  </si>
  <si>
    <t>The Journal of Physical Chemistry A</t>
  </si>
  <si>
    <t>Chemical Physics</t>
  </si>
  <si>
    <t>LLM extract  supplementary data, only c2h2.h2</t>
  </si>
  <si>
    <t>Molecular Physics(An International Journal at the Interface Between Chemistry and Physics)</t>
  </si>
  <si>
    <t>The Astrophysical Journal Supplement Series</t>
  </si>
  <si>
    <t>Combustion and Flame</t>
  </si>
  <si>
    <t>Molecular Physics</t>
  </si>
  <si>
    <t>Icarus</t>
  </si>
  <si>
    <t>no data</t>
  </si>
  <si>
    <t>Applied Optics</t>
  </si>
  <si>
    <t>Monthly Notices of the Royal Astronomical Society</t>
  </si>
  <si>
    <t>Journal of the Optical Society of America B</t>
  </si>
  <si>
    <t>Physical Review A</t>
  </si>
  <si>
    <t>The Journal of Chemical Physics</t>
  </si>
  <si>
    <t>Chemical Physics Letters</t>
  </si>
  <si>
    <t>no access</t>
  </si>
  <si>
    <t>LLM extract  supplementary data</t>
  </si>
  <si>
    <t>no Voigt profile</t>
  </si>
  <si>
    <t xml:space="preserve">Canadian Journal of Physics
</t>
  </si>
  <si>
    <t xml:space="preserve"> The Journal of Physical Chemistry A</t>
  </si>
  <si>
    <t>Journal of Raman Spectroscopy</t>
  </si>
  <si>
    <t>Journal of Molecular Structure</t>
  </si>
  <si>
    <t xml:space="preserve">Atmospheric and Oceanic Optics </t>
  </si>
  <si>
    <t xml:space="preserve"> Atmospheric and Oceanic Optics </t>
  </si>
  <si>
    <t>Infrared Physics</t>
  </si>
  <si>
    <t>Spectrochimica Acta Part A: Molecular and Biomolecular Spectroscopy</t>
  </si>
  <si>
    <t>LLM extract  supplementary data, only mmc-1 and mmc-2</t>
  </si>
  <si>
    <t>no gamma data</t>
  </si>
  <si>
    <t>LLM extract  supplementary data, only mmc-1</t>
  </si>
  <si>
    <t>gamma (cm⁻¹/atm) = γ (MHz/Torr) × 0.025353</t>
  </si>
  <si>
    <t>Scaned PDF,cannot extract</t>
  </si>
  <si>
    <t>Physica Scripta</t>
  </si>
  <si>
    <t>gamma (cm⁻¹/atm) = Cₚ (kHz/Pa) × 0.003380</t>
  </si>
  <si>
    <t>Δv/p(kHz/mTorr)，need to change unit to cm⁻¹/atm</t>
  </si>
  <si>
    <t xml:space="preserve"> Applied Physics B </t>
  </si>
  <si>
    <t>Journal of Physics B: Atomic and Molecular Physics</t>
  </si>
  <si>
    <t>cm⁻¹/kbar，cm⁻¹/atm（1 kbar = 986.923 atm）</t>
  </si>
  <si>
    <t>LLM extrac figure</t>
  </si>
  <si>
    <t>past data in PDF</t>
  </si>
  <si>
    <t>Rosenkranz Profile（Relevant Voigt/Lorentz）</t>
  </si>
  <si>
    <t>J'、C'、n'、J''、C''、n''</t>
  </si>
  <si>
    <t>LLM batch parsing</t>
  </si>
  <si>
    <t xml:space="preserve"> The European Physical Journal D</t>
  </si>
  <si>
    <t>Institute of Electrical and Electronics Engineers</t>
  </si>
  <si>
    <t>Journal of Physical Chemistry A</t>
  </si>
  <si>
    <t>Canadian Journal of Chemistry</t>
  </si>
  <si>
    <t>Physical Review Journals Archive</t>
  </si>
  <si>
    <t>download the database file from the Gamache author's homepage</t>
  </si>
  <si>
    <t>supplementary no data</t>
  </si>
  <si>
    <t>Python code extract  supplementary data</t>
  </si>
  <si>
    <t>Data downloaded from HITRAN</t>
  </si>
  <si>
    <t>Data downloaded from HITRAN.. Niot 0.5</t>
  </si>
  <si>
    <t>data from figure</t>
  </si>
  <si>
    <t>The European Physical Journal D,Atomic, Molecular, Optical and Plasma Physics</t>
  </si>
  <si>
    <t>Molecules</t>
  </si>
  <si>
    <t>arXive</t>
  </si>
  <si>
    <t>no SDV profile</t>
  </si>
  <si>
    <t>(2 sheets)</t>
  </si>
  <si>
    <t xml:space="preserve">Originally (MHz/Torr) </t>
  </si>
  <si>
    <t>CHECK</t>
  </si>
  <si>
    <t>Raman - doesn't specify profile</t>
  </si>
  <si>
    <t>Doesn't specify profile - old paper</t>
  </si>
  <si>
    <t>Raman Rosenkrantz - new profile</t>
  </si>
  <si>
    <t>Uncertainty guessed</t>
  </si>
  <si>
    <t>NEEDS CORRECTING</t>
  </si>
  <si>
    <t>https://link.springer.com/article/10.1134/S0030400X21010021</t>
  </si>
  <si>
    <t>https://pubs.acs.org/doi/abs/10.1021/j100103a015</t>
  </si>
  <si>
    <t>https://pubs.acs.org/doi/abs/10.1021/j100185a012</t>
  </si>
  <si>
    <t>Old Paper no.</t>
  </si>
  <si>
    <t>Sheet name</t>
  </si>
  <si>
    <t>1 H2O by CO2</t>
  </si>
  <si>
    <t xml:space="preserve"> by H2, H2 and CO2</t>
  </si>
  <si>
    <t>2 O2 by H2O</t>
  </si>
  <si>
    <t>3 H2O by CO2</t>
  </si>
  <si>
    <t>4 NO by N2 CO2 Ar H2 O2 He</t>
  </si>
  <si>
    <t>5 NO by N2 and Ar</t>
  </si>
  <si>
    <t>6 CHF3 by weird molecules</t>
  </si>
  <si>
    <t>7 O2 by O2, CO, N2, CO2, and SF6 </t>
  </si>
  <si>
    <t>8 NH3 by He, Ar, CH4, SF6</t>
  </si>
  <si>
    <t>9 CH3I by He, Ar, H2, CH4, SF6</t>
  </si>
  <si>
    <t>10 HF by H2 and SF6</t>
  </si>
  <si>
    <t>11 1-Azabicyclo[2.2.2]octane by Ar, He, Xe, SF6</t>
  </si>
  <si>
    <t>12 NO by Ar maybe</t>
  </si>
  <si>
    <t>13 H2 by He</t>
  </si>
  <si>
    <t>14 HCl by He, Ar, SF6</t>
  </si>
  <si>
    <t>15 O2 by CO2</t>
  </si>
  <si>
    <t>16 CO2 by H2O</t>
  </si>
  <si>
    <t>17 H2O, NH3, SO2, CH4, PH3, HCN and H2CO by H2 and He</t>
  </si>
  <si>
    <t>18 HF and HCl by H2, He and CO2 (+ SO2, NH3, HF, HCl, OCS and C2H2)</t>
  </si>
  <si>
    <t>19 C2H2 by N2</t>
  </si>
  <si>
    <t>20 C2H2 by N2</t>
  </si>
  <si>
    <t>21 CO2, N2O, CO, SO2, OH, OCS, H2CO, HCN, PH3, H2S, and GeH4 by H2, He and CO2</t>
  </si>
  <si>
    <t>22 NH by Ar</t>
  </si>
  <si>
    <t>23 13CO by Ar, He</t>
  </si>
  <si>
    <t>24 CO by He</t>
  </si>
  <si>
    <t>25 NH3 by He, Ar, H2, self</t>
  </si>
  <si>
    <t>26 H2O by N2</t>
  </si>
  <si>
    <t>27 H2O by N2</t>
  </si>
  <si>
    <t xml:space="preserve"> H2O by CO2</t>
  </si>
  <si>
    <t>28 OH by Ar</t>
  </si>
  <si>
    <t>29 NO by N2 and Ar</t>
  </si>
  <si>
    <t>30 CH3F by CH3F, CH3Br, NH3</t>
  </si>
  <si>
    <t>31 HF by Ar</t>
  </si>
  <si>
    <t>32 HF by Ar</t>
  </si>
  <si>
    <t>33 CO2 by O2</t>
  </si>
  <si>
    <t>34 CH4 by CO2</t>
  </si>
  <si>
    <t>35 CO2 by N2</t>
  </si>
  <si>
    <t>36 HCO+ by He</t>
  </si>
  <si>
    <t>37 OH by Ar, N2, H2O</t>
  </si>
  <si>
    <t>38 NO by N2</t>
  </si>
  <si>
    <t>39 No by N2 Ar CO2 CO O2 H2O NO</t>
  </si>
  <si>
    <t>40 NO by O2</t>
  </si>
  <si>
    <t>41 CO by N2</t>
  </si>
  <si>
    <t>42 NO by O2</t>
  </si>
  <si>
    <t>43 HCO+ by Ar</t>
  </si>
  <si>
    <t>44 OH by N2 and O2</t>
  </si>
  <si>
    <t>45 HCO+ by H2</t>
  </si>
  <si>
    <t>46 OH by N2 and O2</t>
  </si>
  <si>
    <t>47 NO by H2O, O2 and NO</t>
  </si>
  <si>
    <t>48 HCO+ by Ar</t>
  </si>
  <si>
    <t>49 NO by N2 and Ar</t>
  </si>
  <si>
    <t>50 OH by N2 and O2</t>
  </si>
  <si>
    <t>51 15NO by N2, He, NO</t>
  </si>
  <si>
    <t>52 HD by HD, H2, He, Ne, Ar, Ne</t>
  </si>
  <si>
    <t>53 OH by H2O and CO2</t>
  </si>
  <si>
    <t xml:space="preserve"> Ne by Ne</t>
  </si>
  <si>
    <t>54 OH by Ar and N2</t>
  </si>
  <si>
    <t>55 Ne by Ne and He</t>
  </si>
  <si>
    <t>57 OH by Ar, N2, H2</t>
  </si>
  <si>
    <t>58 HCO+ by H2 and 18OCS by self</t>
  </si>
  <si>
    <t>59 No by N2 Ar CO2 CO CH4</t>
  </si>
  <si>
    <t>60 OH by Ar, He and NO2</t>
  </si>
  <si>
    <t>61 HCl by Ar</t>
  </si>
  <si>
    <t>62 OH by He, Ne, Ar, Kr, Xe, H2, D2, O2, N2, CH4, CO2, N2O, SF6, CF4, H2O</t>
  </si>
  <si>
    <t>63 H2O by SF6, N2</t>
  </si>
  <si>
    <t>64 H2O by Ar</t>
  </si>
  <si>
    <t>65 H2O by CO2, N2</t>
  </si>
  <si>
    <t>66 HDO by CO2, self</t>
  </si>
  <si>
    <t>67 HDO by CO2, self</t>
  </si>
  <si>
    <t>68 HDO by CO2</t>
  </si>
  <si>
    <t>69 HCl by N2, He, Ar, Xe</t>
  </si>
  <si>
    <t>70 HCl by Ar</t>
  </si>
  <si>
    <t>71 CH4 by Ar, N2, O2, He</t>
  </si>
  <si>
    <t>72 CH4 by CO2</t>
  </si>
  <si>
    <t>73 CH4 by Ar, N2, O2, He, H2, CO2</t>
  </si>
  <si>
    <t>74 H2 by H2</t>
  </si>
  <si>
    <t>75 NH3 by N2, O2, CO2, H2O</t>
  </si>
  <si>
    <t>76 CHBr by N2, O2, self</t>
  </si>
  <si>
    <t>77 CH3Cl by CO2</t>
  </si>
  <si>
    <t>78 CH3Cl by O2</t>
  </si>
  <si>
    <t>79 CH3Cl by He, Ar, Kr</t>
  </si>
  <si>
    <t>80 CH2CHF by self</t>
  </si>
  <si>
    <t>81 CO by Xe</t>
  </si>
  <si>
    <t>82 CO by He, Ar, Kr, SF6</t>
  </si>
  <si>
    <t>83 CO by Ar</t>
  </si>
  <si>
    <t>84 CN by Ar</t>
  </si>
  <si>
    <t>85 C2H2 by N2</t>
  </si>
  <si>
    <t>86 C2H2 by N2, Ar, He, self</t>
  </si>
  <si>
    <t>87 C2H2 by O2</t>
  </si>
  <si>
    <t>88 C2H2 by N2</t>
  </si>
  <si>
    <t>89 C2H2 by N2</t>
  </si>
  <si>
    <t>90 C2H2 by N2</t>
  </si>
  <si>
    <t>91 C2H2 by N2, self</t>
  </si>
  <si>
    <t>92 C2H2 by N2, self</t>
  </si>
  <si>
    <t>93 O2 by N2, self</t>
  </si>
  <si>
    <t>94 O2 by N2</t>
  </si>
  <si>
    <t>95 CO2 by Ar</t>
  </si>
  <si>
    <t xml:space="preserve">96 CO2, C2H2, CO, HCl and HF by Ar </t>
  </si>
  <si>
    <t>97 C2H4 by Ar</t>
  </si>
  <si>
    <t>98 H2O by He</t>
  </si>
  <si>
    <t>99 H2O by He</t>
  </si>
  <si>
    <t>100 H2O by He</t>
  </si>
  <si>
    <t>101 H2O by He</t>
  </si>
  <si>
    <t>102 H2O by Ar</t>
  </si>
  <si>
    <t xml:space="preserve"> C2H2 by N2</t>
  </si>
  <si>
    <t>103 N2 by H2</t>
  </si>
  <si>
    <t>104 HCN by O2 and N2</t>
  </si>
  <si>
    <t>105 N2 by H2</t>
  </si>
  <si>
    <t>106 CO by H2O, N2, O2, CO2</t>
  </si>
  <si>
    <t>107 CO2 by CO2, H2O, N2, O2</t>
  </si>
  <si>
    <t>108 H2O by CH4</t>
  </si>
  <si>
    <t>109 N2 by H2O</t>
  </si>
  <si>
    <t>110 H2O by CO2</t>
  </si>
  <si>
    <t>111 C2H4 by N2</t>
  </si>
  <si>
    <t>112 H2O by N2</t>
  </si>
  <si>
    <t>113 H2O by N2</t>
  </si>
  <si>
    <t>114 O3 by N2, O2</t>
  </si>
  <si>
    <t>115 O3 by N2, O2</t>
  </si>
  <si>
    <t>116 H2CO by N2</t>
  </si>
  <si>
    <t>117 HDO by CO2</t>
  </si>
  <si>
    <t>118 H2O by N2</t>
  </si>
  <si>
    <t>119 CH4 by N2, O2</t>
  </si>
  <si>
    <t>120 CH4 by N2</t>
  </si>
  <si>
    <t>121 CH4 by N2, O2, H2</t>
  </si>
  <si>
    <t>122 CH4 by H2</t>
  </si>
  <si>
    <t>123 SF6 by N2</t>
  </si>
  <si>
    <t>124 CO by N2</t>
  </si>
  <si>
    <t>125 CH3D by O2</t>
  </si>
  <si>
    <t>126 CH3D by O2</t>
  </si>
  <si>
    <t xml:space="preserve"> CO2 by O2</t>
  </si>
  <si>
    <t xml:space="preserve"> O2 by N2</t>
  </si>
  <si>
    <t>127 CO by N2</t>
  </si>
  <si>
    <t>128 CO by N2</t>
  </si>
  <si>
    <t>129 CS2 by He, Ne and Kr</t>
  </si>
  <si>
    <t>130 CH4 by CO2</t>
  </si>
  <si>
    <t>131 He+ by N2 and O2</t>
  </si>
  <si>
    <t>132 H2O by CO2</t>
  </si>
  <si>
    <t>133 C2H4 by H2</t>
  </si>
  <si>
    <t>134 C2H4 by Ne and Kr</t>
  </si>
  <si>
    <t>135 C2H4 by H2</t>
  </si>
  <si>
    <t>136 C2H4 by N2</t>
  </si>
  <si>
    <t>137 SO2 by CO2</t>
  </si>
  <si>
    <t>138 CH3D by N2</t>
  </si>
  <si>
    <t>139 H2O by He, Ar, Kr, Xe</t>
  </si>
  <si>
    <t>140 H2S by He, Ne, Ar, Kr, Xe</t>
  </si>
  <si>
    <t>141 H2S by He, Ne, Ar, Kr, Xe</t>
  </si>
  <si>
    <t>142 H2O by H2, He, N2, Ar</t>
  </si>
  <si>
    <t>143 H2O by Ar</t>
  </si>
  <si>
    <t>144 SF6 by He, Ar, O2, N2, Hf, SF6</t>
  </si>
  <si>
    <t>145 CH3F by many</t>
  </si>
  <si>
    <t>146 HF by Ar</t>
  </si>
  <si>
    <t>147 HF by He, Ar, N2</t>
  </si>
  <si>
    <t>148 HF by He and Kr</t>
  </si>
  <si>
    <t>149 HF by N2</t>
  </si>
  <si>
    <t>150 CH4 by N2, CO2, C2H6</t>
  </si>
  <si>
    <t>151 C2H6 by O2</t>
  </si>
  <si>
    <t>152 CH3I by O2</t>
  </si>
  <si>
    <t>153 CH3I by O2</t>
  </si>
  <si>
    <t>154 CH3 I by O2 and N2</t>
  </si>
  <si>
    <t>155 CH3I by N2</t>
  </si>
  <si>
    <t>156 CH3I by N2</t>
  </si>
  <si>
    <t>157 CH3OH by self</t>
  </si>
  <si>
    <t>158 CH3OH by self</t>
  </si>
  <si>
    <t>159 K by N2, H2, HD, D2, CH4, C2H6, C3H8, C4H10</t>
  </si>
  <si>
    <t>160 Rb by He, CH4, C2H6, C3H8, C4H10</t>
  </si>
  <si>
    <t>161 Rb by He, Ar, CH4, C2H6</t>
  </si>
  <si>
    <t>162 Br2 by Ar and self, HD by He, AlH by H2, H2CO by Ar, I2 by self, Cl2 by self</t>
  </si>
  <si>
    <t>165 NO by N2</t>
  </si>
  <si>
    <t>166 NO by N2</t>
  </si>
  <si>
    <t>167 NO by He, Ne, Ar, Kr, and Xe</t>
  </si>
  <si>
    <t>168 NO by O2</t>
  </si>
  <si>
    <t>169 CHF3 by self</t>
  </si>
  <si>
    <t>170 CHF3 by CO2, C2H2, C6H6 and O2</t>
  </si>
  <si>
    <t>171 CHF3 by He, Ne, Ar, Kr, Xe, CH4, CCl4</t>
  </si>
  <si>
    <t>172 CF3CCH by He, Ne, Ar, Kr and Xe</t>
  </si>
  <si>
    <t>173 (CΗ3)3CCΝ by He, CO2, OCS,and CΗ3CΝ</t>
  </si>
  <si>
    <t>174 O2 by He</t>
  </si>
  <si>
    <t>175 CO2 by Ar</t>
  </si>
  <si>
    <t>176 NH3 by He, A, CH4, N2, Co2, COS, CH3CN and CH3F</t>
  </si>
  <si>
    <t>177 HF by Ar</t>
  </si>
  <si>
    <t>178 HF by various gases</t>
  </si>
  <si>
    <t>179 HF by Ar, Kr, Xe</t>
  </si>
  <si>
    <t xml:space="preserve"> HF by He and Kr</t>
  </si>
  <si>
    <t>180 HCl35, DCl35, HBr79 and CO by Xe, Kr, He, Ar, H2, N2, CF4, CS2</t>
  </si>
  <si>
    <t>181 HCl by Ar, Xe</t>
  </si>
  <si>
    <t>182 HCl by Ar</t>
  </si>
  <si>
    <t>183 HCl by Ar</t>
  </si>
  <si>
    <t>184 HCl and C2H2 by Kr and Xe</t>
  </si>
  <si>
    <t>186 CO2 by self</t>
  </si>
  <si>
    <t>187 O2 by self</t>
  </si>
  <si>
    <t xml:space="preserve"> CO by He, Ar, Kr and SF6</t>
  </si>
  <si>
    <t>188 O2 by self</t>
  </si>
  <si>
    <t xml:space="preserve"> CH4 by Ar, N2,
O2 and He</t>
  </si>
  <si>
    <t>189 CO by self</t>
  </si>
  <si>
    <t xml:space="preserve"> H2O by self, N2, SF6</t>
  </si>
  <si>
    <t>190 H2O by self, N2</t>
  </si>
  <si>
    <t>191 CH4 by He, Ne, Ar, H2, N2, O2 and air</t>
  </si>
  <si>
    <t>192 CH4 by Self‐, N2, O2, H2, Ar, and He</t>
  </si>
  <si>
    <t>193 CH4 by Ar, He, H2, N2</t>
  </si>
  <si>
    <t>194 CH4 by self, H2, He</t>
  </si>
  <si>
    <t>195 CH4 by Ar, He, H2, N2</t>
  </si>
  <si>
    <t>196 CH4 by He</t>
  </si>
  <si>
    <t>197 CH4 by He and Ar</t>
  </si>
  <si>
    <t>198 CH4 by air, CO2, He</t>
  </si>
  <si>
    <t>199 CH4 by CO2</t>
  </si>
  <si>
    <t>200 CH4 by CO2</t>
  </si>
  <si>
    <t xml:space="preserve"> CH4 by CO2</t>
  </si>
  <si>
    <t>201 H2O by He</t>
  </si>
  <si>
    <t xml:space="preserve"> H2O by He</t>
  </si>
  <si>
    <t>202 H2O by H2</t>
  </si>
  <si>
    <t>203 H2O by H2, He</t>
  </si>
  <si>
    <t>204 H2O by self, H2, He, CO2, N2, O2 and air</t>
  </si>
  <si>
    <t>205 H2O by H2O, O2, N2, CO2, H2, He, Ne, Ar, and Kr</t>
  </si>
  <si>
    <t>206 H2O by H2, He</t>
  </si>
  <si>
    <t>207 H2O by N2, O2, H2 and He</t>
  </si>
  <si>
    <t>208 NH2 by Ar</t>
  </si>
  <si>
    <t>209 NO by O2 and H2O</t>
  </si>
  <si>
    <t>210 OH by Ar</t>
  </si>
  <si>
    <t>211 OH by H2O, O2, CO2, N2 and Ar</t>
  </si>
  <si>
    <t xml:space="preserve"> OH by Ar and N2</t>
  </si>
  <si>
    <t>213 CO by N2, H2O, CO2</t>
  </si>
  <si>
    <t>214 CO by He</t>
  </si>
  <si>
    <t>215 CO by H2 and He</t>
  </si>
  <si>
    <t>217 CO by He and Ar</t>
  </si>
  <si>
    <t xml:space="preserve"> CO by He and Ar</t>
  </si>
  <si>
    <t>218 13CO by He</t>
  </si>
  <si>
    <t>219 13CO by He</t>
  </si>
  <si>
    <t>220 HD by Ar</t>
  </si>
  <si>
    <t>221 HCl by Ar and Xe</t>
  </si>
  <si>
    <t>222 H2 by Ar</t>
  </si>
  <si>
    <t>223 HCl by Noble gases</t>
  </si>
  <si>
    <t>224 HCl by Ar and Xe</t>
  </si>
  <si>
    <t>225 HCl by He, Ar, N2, O2, and CO</t>
  </si>
  <si>
    <t xml:space="preserve"> HF by Ar, Kr, Xe</t>
  </si>
  <si>
    <t>226 OCS by CO2, N2, Ar, H2, He</t>
  </si>
  <si>
    <t>227 HCl by He</t>
  </si>
  <si>
    <t>228 HCl by CO and CO2</t>
  </si>
  <si>
    <t>229 CN by Ar</t>
  </si>
  <si>
    <t>230 HI by Ne, Ar, Xe</t>
  </si>
  <si>
    <t>231 HBr, HI by He, Ne, Ar, Kr, and Xe</t>
  </si>
  <si>
    <t>252 13CO by Ar</t>
  </si>
  <si>
    <t>253 SO2 by CO2</t>
  </si>
  <si>
    <t>254 CO by He and Ar</t>
  </si>
  <si>
    <t>255 CO by Ar</t>
  </si>
  <si>
    <t>256 H2 by He, Ar, N2</t>
  </si>
  <si>
    <t>257 HD by Kr, Xe</t>
  </si>
  <si>
    <t>258 HCl by Noble gases</t>
  </si>
  <si>
    <t>259 CO2 by N2, O2, air, CO2</t>
  </si>
  <si>
    <t>260 CO2 by N2, O2, air, CO2</t>
  </si>
  <si>
    <t>261 CO2 by self</t>
  </si>
  <si>
    <t>262 CO2 by O2 and air</t>
  </si>
  <si>
    <t>263 CO2 by N2</t>
  </si>
  <si>
    <t>264 CO2 by Ar, N2</t>
  </si>
  <si>
    <t>265 CO2 by Ar, N2</t>
  </si>
  <si>
    <t>266 H2O by N2, O2, air, H2O</t>
  </si>
  <si>
    <t>267 H2O by N2</t>
  </si>
  <si>
    <t>268 H2O by N2</t>
  </si>
  <si>
    <t>269 O3 by N2, O2, air, O3</t>
  </si>
  <si>
    <t>270 O3 by N2, O2, air, O3</t>
  </si>
  <si>
    <t>271 OH by Ar and N2</t>
  </si>
  <si>
    <t>272 OH by H2, He, N2, O2</t>
  </si>
  <si>
    <t>273 OH by H2, He, N2, O2</t>
  </si>
  <si>
    <t>274 OH by Ar, He N2, O2</t>
  </si>
  <si>
    <t>275 OH by H2, O2, H2O, N2</t>
  </si>
  <si>
    <t>276 OH by Ar and N2</t>
  </si>
  <si>
    <t>277 OH by N2, Ar, Ne, He</t>
  </si>
  <si>
    <t>278 OH by He, Ne, Ar, Kr</t>
  </si>
  <si>
    <t>279 CH4 by N2 and O2</t>
  </si>
  <si>
    <t>280 SF6 by N2</t>
  </si>
  <si>
    <t>281 CH4 by H2 and He (astro)</t>
  </si>
  <si>
    <t>282 CH3 by Ar, N2</t>
  </si>
  <si>
    <t>283 HONO by Air</t>
  </si>
  <si>
    <t>284 CH4 by CO2</t>
  </si>
  <si>
    <t>285 CO2 by N2</t>
  </si>
  <si>
    <t>286 N2O by N2</t>
  </si>
  <si>
    <t xml:space="preserve"> CO2, C2H2, CO, HCl and HF by Ar</t>
  </si>
  <si>
    <t>289 CO2 by He</t>
  </si>
  <si>
    <t xml:space="preserve"> CO2 by N2</t>
  </si>
  <si>
    <t>290 CO by self</t>
  </si>
  <si>
    <t>287 NH3 by argon</t>
  </si>
  <si>
    <t>288 HCN by N2</t>
  </si>
  <si>
    <t>291 CO by CO,N2,CO2</t>
  </si>
  <si>
    <t>293 H2O by H2O, N2, O2, and CO2</t>
  </si>
  <si>
    <t>294 HCl by HCl, HCl by DCI, DCI by HCl</t>
  </si>
  <si>
    <t>295 N2O by N2,O2,air</t>
  </si>
  <si>
    <t>296 CH3CH by N2,O2,air</t>
  </si>
  <si>
    <t>297 H2O by CO2</t>
  </si>
  <si>
    <t>298 H2O by N2</t>
  </si>
  <si>
    <t>299 CO2 by air</t>
  </si>
  <si>
    <t>300 O2 by air</t>
  </si>
  <si>
    <t>301 K by CO2,O2</t>
  </si>
  <si>
    <t>302 K by Ar, H2,He, N2</t>
  </si>
  <si>
    <t>Sheet name (formula)</t>
  </si>
  <si>
    <t>https://www.sciencedirect.com/science/article/pii/S0022407324000840?via%3Dihub</t>
  </si>
  <si>
    <t>https://www.sciencedirect.com/science/article/pii/S0022285216300212?ref=pdf_download&amp;fr=RR-2&amp;rr=980a9659693e789f</t>
  </si>
  <si>
    <t>https://www.sciencedirect.com/science/article/pii/0022407389900848?ref=pdf_download&amp;fr=RR-2&amp;rr=980aad376db863bf</t>
  </si>
  <si>
    <t>https://link.springer.com/article/10.1134/1.1651244</t>
  </si>
  <si>
    <t>https://www.tandfonline.com/doi/full/10.1080/00268976.2011.646333</t>
  </si>
  <si>
    <t>https://www.sciencedirect.com/science/article/pii/S0022285297973951?ref=pdf_download&amp;fr=RR-2&amp;rr=980ab44eadff0050</t>
  </si>
  <si>
    <t>https://www.sciencedirect.com/science/article/pii/S0022407398000387?ref=pdf_download&amp;fr=RR-2&amp;rr=980ab64f69900050</t>
  </si>
  <si>
    <t>https://www.sciencedirect.com/science/article/pii/S0022407398001125?ref=pdf_download&amp;fr=RR-2&amp;rr=980ab70e8d310050</t>
  </si>
  <si>
    <t>https://www.sciencedirect.com/science/article/pii/S0022407315002125?ref=pdf_download&amp;fr=RR-2&amp;rr=980b5c05dd5b940b</t>
  </si>
  <si>
    <t>https://www.sciencedirect.com/science/article/pii/S0022407307001653?ref=pdf_download&amp;fr=RR-2&amp;rr=980b5c9fdd29940b</t>
  </si>
  <si>
    <t>https://www.sciencedirect.com/science/article/pii/S0022407313002525?ref=pdf_download&amp;fr=RR-2&amp;rr=980b5d488b30940b</t>
  </si>
  <si>
    <t>https://www.sciencedirect.com/science/article/pii/S0022407316308998?ref=pdf_download&amp;fr=RR-2&amp;rr=980b5dff0f75940b</t>
  </si>
  <si>
    <t>https://www.sciencedirect.com/science/article/pii/S0022285209000174?ref=pdf_download&amp;fr=RR-2&amp;rr=980b5fd91994940b</t>
  </si>
  <si>
    <t>https://www.sciencedirect.com/science/article/pii/S0022285214000083?ref=pdf_download&amp;fr=RR-2&amp;rr=980b61959a7d940b</t>
  </si>
  <si>
    <t>https://www.sciencedirect.com/science/article/pii/S0022407314003525?ref=pdf_download&amp;fr=RR-2&amp;rr=980b624668ab940b</t>
  </si>
  <si>
    <t>https://www.sciencedirect.com/science/article/pii/S0022407315302028?ref=pdf_download&amp;fr=RR-2&amp;rr=980b62e50d52940b</t>
  </si>
  <si>
    <t>https://www.sciencedirect.com/science/article/pii/S0022407313000460?ref=pdf_download&amp;fr=RR-2&amp;rr=980b638578c7940b</t>
  </si>
  <si>
    <t>https://www.sciencedirect.com/science/article/pii/S0022285209000022?ref=pdf_download&amp;fr=RR-2&amp;rr=980b64203b0f940b</t>
  </si>
  <si>
    <t>https://www.sciencedirect.com/science/article/pii/S0022407314001861?ref=pdf_download&amp;fr=RR-2&amp;rr=980b64c64c29940b</t>
  </si>
  <si>
    <t>https://www.sciencedirect.com/science/article/pii/S0022407313002252?ref=pdf_download&amp;fr=RR-2&amp;rr=980b65abfddd940b</t>
  </si>
  <si>
    <t>https://www.sciencedirect.com/science/article/pii/S002240731500134X?ref=pdf_download&amp;fr=RR-2&amp;rr=980b6648a9eb940b</t>
  </si>
  <si>
    <t>https://www.sciencedirect.com/science/article/pii/S0022407317300468?ref=pdf_download&amp;fr=RR-2&amp;rr=980b7243bb8193f4</t>
  </si>
  <si>
    <t>https://www.sciencedirect.com/science/article/pii/S002240731630440X?ref=pdf_download&amp;fr=RR-2&amp;rr=980b72e0af4793f4</t>
  </si>
  <si>
    <t>https://www.sciencedirect.com/science/article/pii/S0022285208003391?ref=pdf_download&amp;fr=RR-2&amp;rr=980b7445a92f93f4</t>
  </si>
  <si>
    <t>https://www.sciencedirect.com/science/article/pii/S002240731400274X?ref=pdf_download&amp;fr=RR-2&amp;rr=980b75278d0193f4</t>
  </si>
  <si>
    <t>https://www.sciencedirect.com/science/article/pii/S0022407314000703?ref=pdf_download&amp;fr=RR-2&amp;rr=980b7bbde82893f4</t>
  </si>
  <si>
    <t>https://www.sciencedirect.com/science/article/pii/S0022407315002137?ref=pdf_download&amp;fr=RR-2&amp;rr=980b7ce659eb93f4</t>
  </si>
  <si>
    <t>https://www.sciencedirect.com/science/article/pii/S0022407315002289?ref=pdf_download&amp;fr=RR-2&amp;rr=980b7d79ef7893f4</t>
  </si>
  <si>
    <t>https://www.sciencedirect.com/science/article/pii/S0022285208000568?ref=pdf_download&amp;fr=RR-2&amp;rr=980b7e2ead8293f4</t>
  </si>
  <si>
    <t>https://www.sciencedirect.com/science/article/pii/S0022407316303417?ref=pdf_download&amp;fr=RR-2&amp;rr=980b7ef9a91e93f4</t>
  </si>
  <si>
    <t>https://www.sciencedirect.com/science/article/pii/S0022407312005675?ref=pdf_download&amp;fr=RR-2&amp;rr=980b7fcc5e0293f4</t>
  </si>
  <si>
    <t>https://www.sciencedirect.com/science/article/pii/S0022285216300108?ref=pdf_download&amp;fr=RR-2&amp;rr=980b81c44a5693f4</t>
  </si>
  <si>
    <t>https://www.sciencedirect.com/science/article/pii/S0022407308001787?ref=pdf_download&amp;fr=RR-2&amp;rr=980b86b30a9393f4</t>
  </si>
  <si>
    <t>https://www.sciencedirect.com/science/article/pii/S0022407311001543?ref=pdf_download&amp;fr=RR-2&amp;rr=980b8732d98893f4</t>
  </si>
  <si>
    <t>https://www.sciencedirect.com/science/article/pii/S0022285200981438?ref=pdf_download&amp;fr=RR-2&amp;rr=980b8934580d93f4</t>
  </si>
  <si>
    <t>https://www.sciencedirect.com/science/article/pii/S0022285207002032?ref=pdf_download&amp;fr=RR-2&amp;rr=980b8a52fbef93f4</t>
  </si>
  <si>
    <t>https://www.sciencedirect.com/science/article/pii/S0022407308000101?ref=pdf_download&amp;fr=RR-2&amp;rr=980b8b6aded993f4</t>
  </si>
  <si>
    <t>https://www.sciencedirect.com/science/article/pii/S0022407310000658?ref=pdf_download&amp;fr=RR-2&amp;rr=980b8efbbc7693f4</t>
  </si>
  <si>
    <t>https://www.sciencedirect.com/science/article/pii/S0019103511001126?ref=pdf_download&amp;fr=RR-2&amp;rr=980b90212b0e93f4</t>
  </si>
  <si>
    <t>https://www.sciencedirect.com/science/article/pii/S0022407312000714?ref=pdf_download&amp;fr=RR-2&amp;rr=980b90d75d7293f4</t>
  </si>
  <si>
    <t>https://www.sciencedirect.com/science/article/pii/S0022285208001161?fr=RR-2&amp;ref=pdf_download&amp;rr=980fe4eefec5776b</t>
  </si>
  <si>
    <t>https://www.sciencedirect.com/science/article/pii/S0022407310000555?ref=pdf_download&amp;fr=RR-2&amp;rr=980fe5fdef73776b</t>
  </si>
  <si>
    <t>https://www.sciencedirect.com/science/article/pii/S002228521300074X?ref=pdf_download&amp;fr=RR-2&amp;rr=980fe6ef1d9a776b</t>
  </si>
  <si>
    <t>https://www.sciencedirect.com/science/article/pii/S0022286001008316?ref=pdf_download&amp;fr=RR-2&amp;rr=980fe8b67b22776b</t>
  </si>
  <si>
    <t>https://www.sciencedirect.com/science/article/pii/S0022285200980561</t>
  </si>
  <si>
    <t>https://www.sciencedirect.com/science/article/pii/S0022285297972908</t>
  </si>
  <si>
    <t>303 HBr by CO2</t>
  </si>
  <si>
    <t>304 HF by CO2</t>
  </si>
  <si>
    <t>306 N2 by H2, He, Ar, Kr</t>
  </si>
  <si>
    <t>307 N2 by H2</t>
  </si>
  <si>
    <t>308 N2 by H2</t>
  </si>
  <si>
    <t>309 N2 by H2</t>
  </si>
  <si>
    <t>310 N2 by CO2</t>
  </si>
  <si>
    <t>311 N2 by CO</t>
  </si>
  <si>
    <t>312 HCN by N2</t>
  </si>
  <si>
    <t>313 H2O by He</t>
  </si>
  <si>
    <t>314 H2O by CO2</t>
  </si>
  <si>
    <t>315 H2O and CO by H2</t>
  </si>
  <si>
    <t>316 CO by H2</t>
  </si>
  <si>
    <t>317 CO by air and H2</t>
  </si>
  <si>
    <t>318 CO by O2, N2, H2, He, CO2, self</t>
  </si>
  <si>
    <t>319 H2O by H2 and He</t>
  </si>
  <si>
    <t>321 H2O by H2</t>
  </si>
  <si>
    <t>322 H2O by H2 and He</t>
  </si>
  <si>
    <t>323 H2O by H2</t>
  </si>
  <si>
    <t>324 C2H4 by self (C13 isotope)</t>
  </si>
  <si>
    <t>325 13CO and C18O by air</t>
  </si>
  <si>
    <t>326 CH3F by self</t>
  </si>
  <si>
    <t>327 CH4 by C3H8 and C4H10</t>
  </si>
  <si>
    <t>328 H2O by He, Ar, Kr</t>
  </si>
  <si>
    <t>329 CO by CO2</t>
  </si>
  <si>
    <t>330 C2H2 by CO2</t>
  </si>
  <si>
    <t>333 H2O by O2, N2, Ar</t>
  </si>
  <si>
    <t>334 H2O by N2 and O2</t>
  </si>
  <si>
    <t>335 H2O by O2</t>
  </si>
  <si>
    <t>336 H2O by He</t>
  </si>
  <si>
    <t>337 H2O by CO2</t>
  </si>
  <si>
    <t>338 HF and HCl by CO2</t>
  </si>
  <si>
    <t>339 H2O by Ar</t>
  </si>
  <si>
    <t>340 H2O by Ar, He, Ne, Kr</t>
  </si>
  <si>
    <t>341 H2S by self, H2O, N2, O2, H2, D2, CO2</t>
  </si>
  <si>
    <t>342 H2O by self, Ar, N2</t>
  </si>
  <si>
    <t>343 H2O by He</t>
  </si>
  <si>
    <t>344 H2O–H2O, NH3–NH3, DCl–HCl and CO–H2O</t>
  </si>
  <si>
    <t>345 H2S by He, Ne, Ar, Kr, Xe</t>
  </si>
  <si>
    <t>346 H2S by He</t>
  </si>
  <si>
    <t>347 NH3 by Ar and He</t>
  </si>
  <si>
    <t>348 H2S by He, Ne, Ar, Kr, Xe</t>
  </si>
  <si>
    <t>349 H2O by He, Ar, Kr</t>
  </si>
  <si>
    <t>350 NH3 by Ar and He</t>
  </si>
  <si>
    <t>351 H2O by N2, Ar and He</t>
  </si>
  <si>
    <t>352 H2O by Ne, Kr and Xe</t>
  </si>
  <si>
    <t>353 CO by He and Ar</t>
  </si>
  <si>
    <t>354 H2O by Ne, Kr and Xe</t>
  </si>
  <si>
    <t>355 H2O by Ar, Kr, H2 and He</t>
  </si>
  <si>
    <t>356 H2O by N2, O2, air and Ar</t>
  </si>
  <si>
    <t>357 H2O by CO2</t>
  </si>
  <si>
    <t>358 H2O by He, Ar, Kr and Xe</t>
  </si>
  <si>
    <t>359 H2O by He</t>
  </si>
  <si>
    <t>360 H2O by H2</t>
  </si>
  <si>
    <t>361 H2O by He</t>
  </si>
  <si>
    <t>362 H2O by H2</t>
  </si>
  <si>
    <t>363 H2O by Ar</t>
  </si>
  <si>
    <t>364 H2O by H2</t>
  </si>
  <si>
    <t>365 H2O by H2</t>
  </si>
  <si>
    <t>366 SO2 by CO2</t>
  </si>
  <si>
    <t>367 H2O by Kr</t>
  </si>
  <si>
    <t>368 H2O by Kr</t>
  </si>
  <si>
    <t>369 H2O by Ar</t>
  </si>
  <si>
    <t>370 H2O by Xe</t>
  </si>
  <si>
    <t>371 H2O by CO2</t>
  </si>
  <si>
    <t>372 H2O by Xe</t>
  </si>
  <si>
    <t>373 H2O by CO2</t>
  </si>
  <si>
    <t>374 H2O by CO2</t>
  </si>
  <si>
    <t>375 HDO by CO2</t>
  </si>
  <si>
    <t>https://www.sciencedirect.com/science/article/pii/0022285263901528?ref=pdf_download&amp;fr=RR-2&amp;rr=98105e54baa663d5</t>
  </si>
  <si>
    <t>https://www.sciencedirect.com/science/article/pii/0022407373900253?ref=pdf_download&amp;fr=RR-2&amp;rr=98105fab98db7f0d</t>
  </si>
  <si>
    <t>185 HCL by Ar, CO2, CO, D2, H2, HBr, He, Ne, N2, O2</t>
  </si>
  <si>
    <t>https://www.sciencedirect.com/science/article/pii/S0022285221000643?ref=pdf_download&amp;fr=RR-2&amp;rr=981063d918eb7f0d</t>
  </si>
  <si>
    <t>https://www.sciencedirect.com/science/article/pii/S0022407319303577?ref=pdf_download&amp;fr=RR-2&amp;rr=98106474a8467f0d</t>
  </si>
  <si>
    <t>https://www.sciencedirect.com/science/article/pii/S0022407315300820?ref=pdf_download&amp;fr=RR-2&amp;rr=9810652d3ce17f0d</t>
  </si>
  <si>
    <t>https://www.sciencedirect.com/science/article/pii/S0022407315001624?ref=pdf_download&amp;fr=RR-2&amp;rr=9810665a6fbe7f0d</t>
  </si>
  <si>
    <t>https://www.sciencedirect.com/science/article/pii/S002240731400449X?ref=pdf_download&amp;fr=RR-2&amp;rr=981066fdac0d7f0d</t>
  </si>
  <si>
    <t>https://www.sciencedirect.com/science/article/pii/0022407395001913</t>
  </si>
  <si>
    <t>https://www.sciencedirect.com/science/article/pii/S0022285204003005?pes=vor&amp;utm_source=scopus&amp;getft_integrator=scopus</t>
  </si>
  <si>
    <t>https://www.sciencedirect.com/science/article/pii/S0022286005000669</t>
  </si>
  <si>
    <t>https://www.sciencedirect.com/science/article/pii/0022407396000246</t>
  </si>
  <si>
    <t>https://www.sciencedirect.com/science/article/pii/S0022407396001185</t>
  </si>
  <si>
    <t>216 CO by Xe, Ar, Ne,He and N2</t>
  </si>
  <si>
    <t>https://www.sciencedirect.com/science/article/pii/S0022285298976287</t>
  </si>
  <si>
    <t>https://www.sciencedirect.com/science/article/pii/S0022285201983286?ref=pdf_download&amp;fr=RR-2&amp;rr=98107cb0c9877f0d</t>
  </si>
  <si>
    <t>https://www.sciencedirect.com/science/article/pii/S0022285202985760?ref=pdf_download&amp;fr=RR-2&amp;rr=98107d37ab367f0d</t>
  </si>
  <si>
    <t>https://www.sciencedirect.com/science/article/pii/0009261480852547?pes=vor&amp;utm_source=scopus&amp;getft_integrator=scopus</t>
  </si>
  <si>
    <t>https://www.sciencedirect.com/science/article/pii/0009261478857339?pes=vor&amp;utm_source=scopus&amp;getft_integrator=scopus</t>
  </si>
  <si>
    <r>
      <rPr>
        <sz val="10"/>
        <color theme="1"/>
        <rFont val="Arial (Body)"/>
      </rPr>
      <t>HCl by He, Ar, N</t>
    </r>
    <r>
      <rPr>
        <sz val="10"/>
        <color rgb="FF2E2E2E"/>
        <rFont val="Arial (Body)"/>
      </rPr>
      <t>2, O2, and CO</t>
    </r>
  </si>
  <si>
    <t>https://www.sciencedirect.com/science/article/pii/0022285277903654?pes=vor&amp;utm_source=scopus&amp;getft_integrator=scopus</t>
  </si>
  <si>
    <t>https://www.sciencedirect.com/science/article/pii/S0022407316308858?pes=vor&amp;utm_source=scopus&amp;getft_integrator=scopus</t>
  </si>
  <si>
    <t>https://www.sciencedirect.com/science/article/pii/S0022285209000241?pes=vor&amp;utm_source=scopus&amp;getft_integrator=scopus</t>
  </si>
  <si>
    <t>https://www.sciencedirect.com/science/article/pii/S0022285207000458?pes=vor&amp;utm_source=scopus&amp;getft_integrator=scopus</t>
  </si>
  <si>
    <t>https://www.sciencedirect.com/science/article/pii/0022285278900747?ref=pdf_download&amp;fr=RR-2&amp;rr=981098542df2ccd7</t>
  </si>
  <si>
    <t>https://www.sciencedirect.com/science/article/pii/0022407378900924?ref=pdf_download&amp;fr=RR-2&amp;rr=981098f40b9cccd7</t>
  </si>
  <si>
    <t>https://www.sciencedirect.com/science/article/pii/S0022407303001547</t>
  </si>
  <si>
    <t>https://www.sciencedirect.com/science/article/pii/002240739390051I?ref=pdf_download&amp;fr=RR-2&amp;rr=9810e8000d49775c</t>
  </si>
  <si>
    <r>
      <t>Intensities, self-broadening and CO</t>
    </r>
    <r>
      <rPr>
        <sz val="10"/>
        <color rgb="FF1F1F1F"/>
        <rFont val="Arial"/>
        <family val="2"/>
        <scheme val="minor"/>
      </rPr>
      <t>2-broadening parameters in the fundamental band of HBr</t>
    </r>
  </si>
  <si>
    <r>
      <t>Collisional line broadening and line shifting in N</t>
    </r>
    <r>
      <rPr>
        <sz val="10"/>
        <color rgb="FF1F1F1F"/>
        <rFont val="Arial"/>
        <family val="2"/>
        <scheme val="minor"/>
      </rPr>
      <t>2-CO2 mixture studied by inverse Raman spectroscopy</t>
    </r>
  </si>
  <si>
    <r>
      <t>Measurements of He-collision-induced line-shape parameters of CO</t>
    </r>
    <r>
      <rPr>
        <sz val="10"/>
        <color rgb="FF1F1F1F"/>
        <rFont val="Arial"/>
        <family val="2"/>
        <scheme val="minor"/>
      </rPr>
      <t>2 lines in the ν3 band</t>
    </r>
  </si>
  <si>
    <r>
      <t>BROADENING OF H</t>
    </r>
    <r>
      <rPr>
        <sz val="10"/>
        <color rgb="FF333333"/>
        <rFont val="Arial"/>
        <family val="2"/>
        <scheme val="minor"/>
      </rPr>
      <t>2O ROTATIONAL LINES BY COLLISIONS WITH He ATOMS AT LOW TEMPERATURE</t>
    </r>
  </si>
  <si>
    <r>
      <t>Measurements and calculations of H</t>
    </r>
    <r>
      <rPr>
        <sz val="10"/>
        <color rgb="FF1F1F1F"/>
        <rFont val="Arial"/>
        <family val="2"/>
        <scheme val="minor"/>
      </rPr>
      <t>2O broadened by CO2 collisional parameters for planetary atmospheres</t>
    </r>
  </si>
  <si>
    <r>
      <t>Pressure broadening of the </t>
    </r>
    <r>
      <rPr>
        <i/>
        <sz val="10"/>
        <color rgb="FF1F1F1F"/>
        <rFont val="Arial"/>
        <family val="2"/>
        <scheme val="minor"/>
      </rPr>
      <t>J</t>
    </r>
    <r>
      <rPr>
        <sz val="10"/>
        <color rgb="FF1F1F1F"/>
        <rFont val="Arial"/>
        <family val="2"/>
        <scheme val="minor"/>
      </rPr>
      <t>=5←4 transition of carbon monoxide from 17 to 200 K: A new collisional cooling experiment</t>
    </r>
  </si>
  <si>
    <r>
      <t>Theoretical calculations of pressure broadening coefficients for H</t>
    </r>
    <r>
      <rPr>
        <sz val="10"/>
        <color rgb="FF1F1F1F"/>
        <rFont val="Arial"/>
        <family val="2"/>
        <scheme val="minor"/>
      </rPr>
      <t>2O perturbed by Hydrogen or helium gas</t>
    </r>
  </si>
  <si>
    <r>
      <t>Absolute line intensities and self-broadened half-width coefficients in the ethylene-1-</t>
    </r>
    <r>
      <rPr>
        <sz val="10"/>
        <color rgb="FF1F1F1F"/>
        <rFont val="Arial"/>
        <family val="2"/>
        <scheme val="minor"/>
      </rPr>
      <t>13C bands in the 700–1190 cm−1 region</t>
    </r>
  </si>
  <si>
    <r>
      <t>Spectral line parameters including temperature dependences of air-broadening for the 2 ← 0 bands of </t>
    </r>
    <r>
      <rPr>
        <sz val="10"/>
        <color rgb="FF000000"/>
        <rFont val="Arial"/>
        <family val="2"/>
        <scheme val="minor"/>
      </rPr>
      <t>13C16O and 12C18O at 2.3 μm</t>
    </r>
  </si>
  <si>
    <r>
      <t>Line-by-line intensity measurements of methyl fluoride in the ν</t>
    </r>
    <r>
      <rPr>
        <sz val="10"/>
        <color rgb="FF1F1F1F"/>
        <rFont val="Arial"/>
        <family val="2"/>
        <scheme val="minor"/>
      </rPr>
      <t>2 and ν5 bands</t>
    </r>
  </si>
  <si>
    <r>
      <t>Broadening of the ν</t>
    </r>
    <r>
      <rPr>
        <sz val="10"/>
        <color rgb="FF212121"/>
        <rFont val="Arial"/>
        <family val="2"/>
        <scheme val="minor"/>
      </rPr>
      <t>2 Raman Band of CH4 by C3H8 and C4H10</t>
    </r>
  </si>
  <si>
    <r>
      <t>Measurements of O</t>
    </r>
    <r>
      <rPr>
        <sz val="10"/>
        <color rgb="FF2E2E2E"/>
        <rFont val="Arial"/>
        <family val="2"/>
        <scheme val="minor"/>
      </rPr>
      <t>2-broadening and -shifting parameters of water vapor spectral lines in the second hexad region</t>
    </r>
  </si>
  <si>
    <r>
      <t>Line shape parameters for HCl and HF in a CO</t>
    </r>
    <r>
      <rPr>
        <sz val="10"/>
        <color rgb="FF1F1F1F"/>
        <rFont val="Arial"/>
        <family val="2"/>
        <scheme val="minor"/>
      </rPr>
      <t>2 atmosphere</t>
    </r>
  </si>
  <si>
    <r>
      <t>Measurements of the broadening and shift parameters of the water vapor spectral lines in the 10,100–10,800 cm</t>
    </r>
    <r>
      <rPr>
        <sz val="10"/>
        <color rgb="FF1F1F1F"/>
        <rFont val="Arial"/>
        <family val="2"/>
        <scheme val="minor"/>
      </rPr>
      <t>−1 region induced by pressure of carbon dioxide</t>
    </r>
  </si>
  <si>
    <r>
      <t>N</t>
    </r>
    <r>
      <rPr>
        <sz val="10"/>
        <color rgb="FF1C1D1E"/>
        <rFont val="Arial"/>
        <family val="2"/>
        <scheme val="minor"/>
      </rPr>
      <t>2-H2 isotropic Raman Q-branch linewidths: an Energy-Corrected Sudden scaling law</t>
    </r>
  </si>
  <si>
    <r>
      <t>Ab initio</t>
    </r>
    <r>
      <rPr>
        <sz val="10"/>
        <color rgb="FF000000"/>
        <rFont val="Arial"/>
        <family val="2"/>
        <scheme val="minor"/>
      </rPr>
      <t> computation of the broadening of water rotational lines by molecular hydrogen</t>
    </r>
  </si>
  <si>
    <r>
      <t>Measurements of water vapor line shifts in the 8650–9020 cm</t>
    </r>
    <r>
      <rPr>
        <vertAlign val="superscript"/>
        <sz val="10"/>
        <color theme="1"/>
        <rFont val="Arial"/>
        <family val="2"/>
        <scheme val="minor"/>
      </rPr>
      <t>−1</t>
    </r>
    <r>
      <rPr>
        <sz val="10"/>
        <color theme="1"/>
        <rFont val="Arial"/>
        <family val="2"/>
        <scheme val="minor"/>
      </rPr>
      <t> region caused by pressure of atmospheric gases</t>
    </r>
  </si>
  <si>
    <t>https://www.mdpi.com/1420-3049/28/8/3365</t>
  </si>
  <si>
    <t>https://www.sciencedirect.com/science/article/pii/S0022407311002986?pes=vor&amp;utm_source=scopus&amp;getft_integrator=scopus</t>
  </si>
  <si>
    <t>https://www.sciencedirect.com/science/article/pii/S0022285220300692?via%3Dihub</t>
  </si>
  <si>
    <t>https://www.sciencedirect.com/science/article/pii/S0022285222000595?pes=vor&amp;utm_source=scopus&amp;getft_integrator=scopus</t>
  </si>
  <si>
    <t>https://www.sciencedirect.com/science/article/pii/S0022407325002900?via%3Dihub</t>
  </si>
  <si>
    <t>https://www.sciencedirect.com/science/article/pii/S0022407324003728?via%3Dihub</t>
  </si>
  <si>
    <t>https://www.sciencedirect.com/science/article/pii/S0022407325002390?via%3Dihub</t>
  </si>
  <si>
    <t>https://www.sciencedirect.com/science/article/pii/S0022407325002328?via%3Dihub#tbl0003</t>
  </si>
  <si>
    <t>https://www.sciencedirect.com/science/article/pii/S0022407324003789?via%3Dihub#tbl0001</t>
  </si>
  <si>
    <t>https://www.sciencedirect.com/science/article/pii/S0022407325001104</t>
  </si>
  <si>
    <t>https://www.sciencedirect.com/science/article/pii/S0022407324002590</t>
  </si>
  <si>
    <t>https://www.sciencedirect.com/science/article/pii/S0022407322000863</t>
  </si>
  <si>
    <t>Pressure Broadening of J = 1 - 0 Rotational Line of Fluoroform Caused by Spherical Perturbers</t>
  </si>
  <si>
    <t>Iterative Fourier Reconvolution Spectroscopy: van der Waals Broadening of the X -* A Transition of Ammonia by He, Ar, CH4, and SF6</t>
  </si>
  <si>
    <t>Iterative Fourier Reconvolution Spectroscopy: van der Waais Broadening of Rydberg Transitions. The B X (5p, 6s) Transition of Methyl Iodide</t>
  </si>
  <si>
    <t>Oxygen-broadened and air-broadened linewidths for the NO infrared absorption bands by means of the exact-trajectory approach</t>
  </si>
  <si>
    <t>Calculations of Argon broadening and shift for HCO+ rotational lines at 77 K</t>
  </si>
  <si>
    <t>H2-broadening in the v7 band of ethylene by diode-laser spectroscopy</t>
  </si>
  <si>
    <t>Ne- and Kr-broadening coefficients in the  v7 band of C2H4 studied by diode-laser spectroscopy</t>
  </si>
  <si>
    <t>O2- and air-broadening coefficients in the  v9 band of C2H6</t>
  </si>
  <si>
    <t>Argon-Induced Pressure Broadening, Shifting, and Narrowing in the CN A2Π−X2Σ+ (1−0) Band</t>
  </si>
  <si>
    <t>Pressure-Broadened Linewidth Measurements in the ν2Band of the CH3 Radical</t>
  </si>
  <si>
    <t>The j and k dependencies of N2-, O2-, and air-broadened halfwidths of the CH3CN molecule</t>
  </si>
  <si>
    <t>Pengxia couldn't scrape!</t>
  </si>
  <si>
    <t>https://www.sciencedirect.com/science/article/pii/002240739390069T</t>
  </si>
  <si>
    <t>N2, O2, H2, Ar and He broadening in the ν1 band of NH3</t>
  </si>
  <si>
    <t>NH3 by N2, O2, H2, Ar, He</t>
  </si>
  <si>
    <t>https://www.sciencedirect.com/science/article/pii/S0019103514001638</t>
  </si>
  <si>
    <t>Linelist of HD16O for study of atmosphere of terrestrial planets (Earth, Venus and Mars)</t>
  </si>
  <si>
    <t>Analytical representation of broadening coefficients of vibrational-rotational absorption lines of linear molecules</t>
  </si>
  <si>
    <t>https://link.springer.com/article/10.1134/S0030400X11020160</t>
  </si>
  <si>
    <t>HCl, HF by Ar, N2, air. CO and CO2 by CO, CO2, N2, O2, and H2O.</t>
  </si>
  <si>
    <t>Rotational CARS thermometry in diffusion flames: On the influence of nitrogen spectral line-broadening by CH4 and H2</t>
  </si>
  <si>
    <t>https://www.sciencedirect.com/science/article/pii/S1540748910000714?getft_integrator=wiley&amp;pes=vor&amp;utm_source=wiley</t>
  </si>
  <si>
    <t>N2 by N2, H2, CH4</t>
  </si>
  <si>
    <t>https://pubs.aip.org/aip/jcp/article/163/13/134303/3365636/Line-shape-parameters-of-the-first-pure-rotational</t>
  </si>
  <si>
    <t>Line shape parameters of the first pure rotational R lines of CO in H2 baths down to a few kelvins Available</t>
  </si>
  <si>
    <t>https://pubs.rsc.org/en/content/articlelanding/2008/cp/b804306j</t>
  </si>
  <si>
    <t>C2H2 by H2</t>
  </si>
  <si>
    <t>Linewidths of C2H2 perturbed by H2: experiments and calculations from an ab initio potential</t>
  </si>
  <si>
    <t>https://journals.aps.org/pra/abstract/10.1103/PhysRevA.63.032705</t>
  </si>
  <si>
    <t>https://journals.aps.org/pra/abstract/10.1103/PhysRevA.40.642</t>
  </si>
  <si>
    <t>https://www.sciencedirect.com/science/article/pii/S0022407318306617?via%3Dihub</t>
  </si>
  <si>
    <t>https://www.sciencedirect.com/science/article/pii/S0019103525004099?via%3Dihub</t>
  </si>
  <si>
    <t>A complete list of He-pressure-broadening coefficient of CO2 lines from 100 K to 3000 K for planet and exoplanet opacity calculations</t>
  </si>
  <si>
    <t>No gamma data</t>
  </si>
  <si>
    <t>Rotational relaxation of nitrogen in argon: Collisional broadening of Q‐branch components in coherent Raman spectra of cooled gas</t>
  </si>
  <si>
    <t>Theoretical and experimental analysis of N2–H2 stimulated Raman spectra</t>
  </si>
  <si>
    <t>https://www.tandfonline.com/doi/abs/10.1080/00268970600632724</t>
  </si>
  <si>
    <t>https://analyticalsciencejournals.onlinelibrary.wiley.com/doi/abs/10.1002/jrs.1250220708</t>
  </si>
  <si>
    <t>N2 by Ar</t>
  </si>
  <si>
    <r>
      <t>Direct measurement of S-branch N</t>
    </r>
    <r>
      <rPr>
        <vertAlign val="subscript"/>
        <sz val="10"/>
        <color rgb="FF1D1B1B"/>
        <rFont val="Arial"/>
        <family val="2"/>
        <scheme val="minor"/>
      </rPr>
      <t>2</t>
    </r>
    <r>
      <rPr>
        <sz val="10"/>
        <color rgb="FF1D1B1B"/>
        <rFont val="Arial"/>
        <family val="2"/>
        <scheme val="minor"/>
      </rPr>
      <t>-H</t>
    </r>
    <r>
      <rPr>
        <vertAlign val="subscript"/>
        <sz val="10"/>
        <color rgb="FF1D1B1B"/>
        <rFont val="Arial"/>
        <family val="2"/>
        <scheme val="minor"/>
      </rPr>
      <t>2</t>
    </r>
    <r>
      <rPr>
        <sz val="10"/>
        <color rgb="FF1D1B1B"/>
        <rFont val="Arial"/>
        <family val="2"/>
        <scheme val="minor"/>
      </rPr>
      <t> Raman linewidths using time-resolved pure rotational coherent anti-Stokes Raman spectroscopy</t>
    </r>
  </si>
  <si>
    <t>gamma only in image, done manually</t>
  </si>
  <si>
    <t>Yes - supplementary</t>
  </si>
  <si>
    <t>No - supplementary</t>
  </si>
  <si>
    <t>Could find more data in supplementary</t>
  </si>
  <si>
    <t>Yes - only self</t>
  </si>
  <si>
    <t>378 NH3 by N2, O2, H2, Ar, He</t>
  </si>
  <si>
    <t>379 HDO by CO2</t>
  </si>
  <si>
    <t>380 HCl, HF by Ar, N2, air. CO and CO2 by CO, CO2, N2, O2, and H2O.</t>
  </si>
  <si>
    <t>381 N2 by N2, H2, CH4</t>
  </si>
  <si>
    <t>382 CO by H2</t>
  </si>
  <si>
    <t>383 C2H2 by H2</t>
  </si>
  <si>
    <t>384 CO2 by He</t>
  </si>
  <si>
    <t>385 N2 by Ar</t>
  </si>
  <si>
    <t>386 N2 by H2</t>
  </si>
  <si>
    <t>Done manually</t>
  </si>
  <si>
    <t>Yes, unassigned lines</t>
  </si>
  <si>
    <t>No - not machine readable</t>
  </si>
  <si>
    <t>Yes, no QN</t>
  </si>
  <si>
    <t>Yes - more in supplementary</t>
  </si>
  <si>
    <t>J averaged</t>
  </si>
  <si>
    <t>https://journals.aps.org/pra/abstract/10.1103/PhysRevA.102.012821</t>
  </si>
  <si>
    <t>https://pubs.aip.org/aip/app/article/10/2/026111/3336154/Direct-frequency-comb-cavity-ringdown-spectroscopy?utm_source=chatgpt.com</t>
  </si>
  <si>
    <t>387 CO by Ar</t>
  </si>
  <si>
    <t>388 CO by Ar</t>
  </si>
  <si>
    <t>Direct frequency comb cavity ringdown spectroscopy: Enhancing sensitivity and precision</t>
  </si>
  <si>
    <t>Subpercent agreement between ab initio and experimental collision-induced line shapes of carbon monoxide perturbed by argon</t>
  </si>
  <si>
    <t>No new gamma data</t>
  </si>
  <si>
    <t>Linewidths of carbon monoxide self-broadening and broadened by argon and nitrogen</t>
  </si>
  <si>
    <t>https://www.sciencedirect.com/science/article/pii/002240737290177X?via=ihub</t>
  </si>
  <si>
    <t>CO by CO, N2, Ar</t>
  </si>
  <si>
    <t>389 CO by CO, N2,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</si>
</sst>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numFmt numFmtId="165" formatCode="d/m/yyyy"/>
  </numFmts>
  <fonts count="23" x14ac:knownFonts="1">
    <font>
      <sz val="10"/>
      <color rgb="FF000000"/>
      <name val="Arial"/>
      <scheme val="minor"/>
    </font>
    <font>
      <sz val="10"/>
      <color theme="1"/>
      <name val="Arial"/>
      <family val="2"/>
      <scheme val="minor"/>
    </font>
    <font>
      <b/>
      <sz val="10"/>
      <color theme="1"/>
      <name val="Arial"/>
      <family val="2"/>
      <scheme val="minor"/>
    </font>
    <font>
      <u/>
      <sz val="10"/>
      <color rgb="FF0000FF"/>
      <name val="Arial"/>
      <family val="2"/>
    </font>
    <font>
      <u/>
      <sz val="10"/>
      <color theme="10"/>
      <name val="Arial"/>
      <family val="2"/>
      <scheme val="minor"/>
    </font>
    <font>
      <sz val="10"/>
      <color rgb="FF000000"/>
      <name val="Arial"/>
      <family val="2"/>
      <scheme val="minor"/>
    </font>
    <font>
      <sz val="10"/>
      <color rgb="FF1F1F1F"/>
      <name val="Georgia"/>
      <family val="1"/>
    </font>
    <font>
      <sz val="24"/>
      <color rgb="FF1F1F1F"/>
      <name val="Georgia"/>
      <family val="1"/>
    </font>
    <font>
      <sz val="10"/>
      <color rgb="FF000000"/>
      <name val="Times New Roman"/>
      <family val="1"/>
    </font>
    <font>
      <b/>
      <sz val="24"/>
      <color theme="1"/>
      <name val="Helvetica Neue"/>
      <family val="2"/>
    </font>
    <font>
      <b/>
      <sz val="27"/>
      <color theme="1"/>
      <name val="Helvetica Neue"/>
      <family val="2"/>
    </font>
    <font>
      <sz val="16"/>
      <color rgb="FF2E2E2E"/>
      <name val="Georgia"/>
      <family val="1"/>
    </font>
    <font>
      <sz val="10"/>
      <color theme="1"/>
      <name val="Arial (Body)"/>
    </font>
    <font>
      <sz val="10"/>
      <color rgb="FF2E2E2E"/>
      <name val="Arial (Body)"/>
    </font>
    <font>
      <sz val="10"/>
      <color rgb="FF1F1F1F"/>
      <name val="Arial"/>
      <family val="2"/>
      <scheme val="minor"/>
    </font>
    <font>
      <sz val="10"/>
      <color rgb="FF333333"/>
      <name val="Arial"/>
      <family val="2"/>
      <scheme val="minor"/>
    </font>
    <font>
      <i/>
      <sz val="10"/>
      <color rgb="FF1F1F1F"/>
      <name val="Arial"/>
      <family val="2"/>
      <scheme val="minor"/>
    </font>
    <font>
      <sz val="10"/>
      <color rgb="FF212121"/>
      <name val="Arial"/>
      <family val="2"/>
      <scheme val="minor"/>
    </font>
    <font>
      <sz val="10"/>
      <color rgb="FF2E2E2E"/>
      <name val="Arial"/>
      <family val="2"/>
      <scheme val="minor"/>
    </font>
    <font>
      <vertAlign val="subscript"/>
      <sz val="10"/>
      <color rgb="FF1D1B1B"/>
      <name val="Arial"/>
      <family val="2"/>
      <scheme val="minor"/>
    </font>
    <font>
      <sz val="10"/>
      <color rgb="FF1D1B1B"/>
      <name val="Arial"/>
      <family val="2"/>
      <scheme val="minor"/>
    </font>
    <font>
      <sz val="10"/>
      <color rgb="FF1C1D1E"/>
      <name val="Arial"/>
      <family val="2"/>
      <scheme val="minor"/>
    </font>
    <font>
      <vertAlign val="superscript"/>
      <sz val="10"/>
      <color theme="1"/>
      <name val="Arial"/>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F226B"/>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D1F1DA"/>
        <bgColor rgb="FF000000"/>
      </patternFill>
    </fill>
    <fill>
      <patternFill patternType="solid">
        <fgColor theme="6" tint="0.79998168889431442"/>
        <bgColor indexed="64"/>
      </patternFill>
    </fill>
  </fills>
  <borders count="9">
    <border>
      <left/>
      <right/>
      <top/>
      <bottom/>
      <diagonal/>
    </border>
    <border>
      <left/>
      <right style="thin">
        <color rgb="FF000000"/>
      </right>
      <top/>
      <bottom style="thin">
        <color rgb="FF000000"/>
      </bottom>
      <diagonal/>
    </border>
    <border>
      <left/>
      <right style="thin">
        <color rgb="FF000000"/>
      </right>
      <top/>
      <bottom/>
      <diagonal/>
    </border>
    <border>
      <left/>
      <right style="thin">
        <color indexed="64"/>
      </right>
      <top style="thin">
        <color rgb="FF000000"/>
      </top>
      <bottom/>
      <diagonal/>
    </border>
    <border>
      <left/>
      <right style="thin">
        <color indexed="64"/>
      </right>
      <top/>
      <bottom/>
      <diagonal/>
    </border>
    <border>
      <left style="thin">
        <color indexed="64"/>
      </left>
      <right style="thin">
        <color indexed="64"/>
      </right>
      <top style="thin">
        <color rgb="FF000000"/>
      </top>
      <bottom/>
      <diagonal/>
    </border>
    <border>
      <left style="thin">
        <color indexed="64"/>
      </left>
      <right/>
      <top/>
      <bottom/>
      <diagonal/>
    </border>
    <border>
      <left style="thin">
        <color indexed="64"/>
      </left>
      <right style="thin">
        <color indexed="64"/>
      </right>
      <top/>
      <bottom/>
      <diagonal/>
    </border>
    <border>
      <left/>
      <right/>
      <top style="thin">
        <color rgb="FF000000"/>
      </top>
      <bottom/>
      <diagonal/>
    </border>
  </borders>
  <cellStyleXfs count="2">
    <xf numFmtId="0" fontId="0" fillId="0" borderId="0"/>
    <xf numFmtId="0" fontId="4" fillId="0" borderId="0" applyNumberFormat="0" applyFill="0" applyBorder="0" applyAlignment="0" applyProtection="0"/>
  </cellStyleXfs>
  <cellXfs count="48">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164" fontId="1" fillId="0" borderId="0" xfId="0" applyNumberFormat="1" applyFont="1" applyAlignment="1">
      <alignment horizontal="center" vertical="center" wrapText="1"/>
    </xf>
    <xf numFmtId="0" fontId="1" fillId="0" borderId="2" xfId="0" applyFont="1" applyBorder="1" applyAlignment="1">
      <alignment horizontal="center" vertical="center" wrapText="1"/>
    </xf>
    <xf numFmtId="165"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5" fillId="0" borderId="0" xfId="0" applyFont="1"/>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7" fillId="0" borderId="0" xfId="0" applyFont="1"/>
    <xf numFmtId="0" fontId="8" fillId="0" borderId="0" xfId="0" applyFont="1"/>
    <xf numFmtId="0" fontId="8" fillId="0" borderId="0" xfId="0" applyFont="1" applyAlignment="1">
      <alignment wrapText="1"/>
    </xf>
    <xf numFmtId="0" fontId="9" fillId="0" borderId="0" xfId="0" applyFont="1"/>
    <xf numFmtId="0" fontId="1" fillId="0" borderId="3" xfId="0" applyFont="1" applyBorder="1" applyAlignment="1">
      <alignment horizontal="center" vertical="center" wrapText="1"/>
    </xf>
    <xf numFmtId="0" fontId="3"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0" borderId="0" xfId="0" applyFont="1" applyAlignment="1">
      <alignment horizontal="center" vertical="center"/>
    </xf>
    <xf numFmtId="0" fontId="0" fillId="0" borderId="7" xfId="0" applyBorder="1"/>
    <xf numFmtId="0" fontId="3" fillId="0" borderId="8" xfId="0" applyFont="1" applyBorder="1" applyAlignment="1">
      <alignment horizontal="center" vertical="center" wrapText="1"/>
    </xf>
    <xf numFmtId="0" fontId="4" fillId="0" borderId="6" xfId="1" applyBorder="1" applyAlignment="1">
      <alignment horizontal="center" vertical="center" wrapText="1"/>
    </xf>
    <xf numFmtId="0" fontId="4" fillId="2" borderId="6" xfId="1" applyFill="1" applyBorder="1" applyAlignment="1">
      <alignment horizontal="center" vertical="center" wrapText="1"/>
    </xf>
    <xf numFmtId="0" fontId="4" fillId="0" borderId="6" xfId="1" applyFill="1" applyBorder="1" applyAlignment="1">
      <alignment horizontal="center" vertical="center" wrapText="1"/>
    </xf>
    <xf numFmtId="0" fontId="0" fillId="2" borderId="7" xfId="0" applyFill="1" applyBorder="1"/>
    <xf numFmtId="0" fontId="1" fillId="4" borderId="7"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0" xfId="0" applyFont="1" applyFill="1" applyAlignment="1">
      <alignment horizontal="center" vertical="center" wrapText="1"/>
    </xf>
    <xf numFmtId="0" fontId="4" fillId="4" borderId="6" xfId="1" applyFill="1" applyBorder="1" applyAlignment="1">
      <alignment horizontal="center" vertical="center" wrapText="1"/>
    </xf>
    <xf numFmtId="0" fontId="0" fillId="5" borderId="7" xfId="0" applyFill="1" applyBorder="1" applyAlignment="1">
      <alignment horizontal="center" vertical="center"/>
    </xf>
    <xf numFmtId="0" fontId="5" fillId="6" borderId="7" xfId="0" applyFont="1" applyFill="1" applyBorder="1" applyAlignment="1">
      <alignment horizontal="center" vertical="center"/>
    </xf>
    <xf numFmtId="0" fontId="12" fillId="0" borderId="3" xfId="0" applyFont="1" applyBorder="1" applyAlignment="1">
      <alignment horizontal="center" vertical="center" wrapText="1"/>
    </xf>
    <xf numFmtId="0" fontId="1" fillId="3" borderId="0" xfId="0" applyFont="1" applyFill="1" applyAlignment="1">
      <alignment horizontal="center" vertical="center" wrapText="1"/>
    </xf>
    <xf numFmtId="0" fontId="1" fillId="7" borderId="7"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0" xfId="0" applyFont="1" applyFill="1" applyAlignment="1">
      <alignment horizontal="center" vertical="center" wrapText="1"/>
    </xf>
    <xf numFmtId="0" fontId="0" fillId="7" borderId="0" xfId="0" applyFill="1"/>
    <xf numFmtId="0" fontId="4" fillId="0" borderId="0" xfId="1" applyFill="1" applyAlignment="1">
      <alignment horizontal="center" vertical="center" wrapText="1"/>
    </xf>
    <xf numFmtId="0" fontId="5" fillId="0" borderId="0" xfId="0" applyFont="1" applyAlignment="1">
      <alignment wrapText="1"/>
    </xf>
    <xf numFmtId="0" fontId="0" fillId="2" borderId="7" xfId="0" applyFill="1" applyBorder="1" applyAlignment="1">
      <alignment horizontal="center" vertical="center"/>
    </xf>
    <xf numFmtId="0" fontId="1" fillId="2" borderId="3" xfId="0" applyFont="1" applyFill="1" applyBorder="1" applyAlignment="1">
      <alignment horizontal="center" vertical="center" wrapText="1"/>
    </xf>
    <xf numFmtId="0" fontId="0" fillId="2" borderId="0" xfId="0" applyFill="1"/>
    <xf numFmtId="0" fontId="4" fillId="0" borderId="1" xfId="1" applyBorder="1" applyAlignment="1">
      <alignment horizontal="center" vertical="center" wrapText="1"/>
    </xf>
    <xf numFmtId="0" fontId="4" fillId="0" borderId="0" xfId="1" applyAlignment="1">
      <alignment horizontal="center" vertical="center" wrapText="1"/>
    </xf>
    <xf numFmtId="0" fontId="4" fillId="7" borderId="6" xfId="1" applyFill="1" applyBorder="1" applyAlignment="1">
      <alignment horizontal="center" vertical="center" wrapText="1"/>
    </xf>
  </cellXfs>
  <cellStyles count="2">
    <cellStyle name="Hyperlink" xfId="1" builtinId="8"/>
    <cellStyle name="Normal" xfId="0" builtinId="0"/>
  </cellStyles>
  <dxfs count="6">
    <dxf>
      <font>
        <color rgb="FF5A0C26"/>
      </font>
      <fill>
        <patternFill>
          <bgColor rgb="FFFF226B"/>
        </patternFill>
      </fill>
    </dxf>
    <dxf>
      <font>
        <u val="none"/>
        <color rgb="FF26075B"/>
      </font>
      <fill>
        <patternFill>
          <bgColor rgb="FFAA98FF"/>
        </patternFill>
      </fill>
    </dxf>
    <dxf>
      <font>
        <color rgb="FF5A0C26"/>
      </font>
      <fill>
        <patternFill>
          <bgColor rgb="FFFF226B"/>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colors>
    <mruColors>
      <color rgb="FFFF226B"/>
      <color rgb="FFAA98FF"/>
      <color rgb="FF6911FF"/>
      <color rgb="FF26075B"/>
      <color rgb="FF5A0C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pii/S0022407300000765?via%3Dihub" TargetMode="External"/><Relationship Id="rId299" Type="http://schemas.openxmlformats.org/officeDocument/2006/relationships/hyperlink" Target="https://link.springer.com/article/10.1134/s0030400x14010214?utm_source=getftr&amp;utm_medium=getftr&amp;utm_campaign=getftr_pilot&amp;getft_integrator=scopus" TargetMode="External"/><Relationship Id="rId21" Type="http://schemas.openxmlformats.org/officeDocument/2006/relationships/hyperlink" Target="https://www.sciencedirect.com/science/article/pii/002240736990034X" TargetMode="External"/><Relationship Id="rId63" Type="http://schemas.openxmlformats.org/officeDocument/2006/relationships/hyperlink" Target="https://www.tandfonline.com/doi/full/10.1080/00268976.2012.663939" TargetMode="External"/><Relationship Id="rId159" Type="http://schemas.openxmlformats.org/officeDocument/2006/relationships/hyperlink" Target="https://www.sciencedirect.com/science/article/pii/S0022285214000083?ref=pdf_download&amp;fr=RR-2&amp;rr=980b61959a7d940b" TargetMode="External"/><Relationship Id="rId324" Type="http://schemas.openxmlformats.org/officeDocument/2006/relationships/hyperlink" Target="https://www.sciencedirect.com/science/article/pii/S0022407325001104" TargetMode="External"/><Relationship Id="rId366" Type="http://schemas.openxmlformats.org/officeDocument/2006/relationships/hyperlink" Target="https://www.sciencedirect.com/science/article/pii/S1540748910000714?getft_integrator=wiley&amp;pes=vor&amp;utm_source=wiley" TargetMode="External"/><Relationship Id="rId170" Type="http://schemas.openxmlformats.org/officeDocument/2006/relationships/hyperlink" Target="https://pubs.acs.org/doi/full/10.1021/jp4030359" TargetMode="External"/><Relationship Id="rId226" Type="http://schemas.openxmlformats.org/officeDocument/2006/relationships/hyperlink" Target="https://www.sciencedirect.com/science/article/pii/S000926149700691X" TargetMode="External"/><Relationship Id="rId268" Type="http://schemas.openxmlformats.org/officeDocument/2006/relationships/hyperlink" Target="https://pubs.aip.org/aip/jcp/article/66/2/707/773212/Infrared-absorption-spectra-of-gaseous-HD-III" TargetMode="External"/><Relationship Id="rId32" Type="http://schemas.openxmlformats.org/officeDocument/2006/relationships/hyperlink" Target="https://www.sciencedirect.com/science/article/pii/S0022286004000432" TargetMode="External"/><Relationship Id="rId74" Type="http://schemas.openxmlformats.org/officeDocument/2006/relationships/hyperlink" Target="https://link.springer.com/article/10.1134/S1024856019050063?fromPaywallRec=false" TargetMode="External"/><Relationship Id="rId128" Type="http://schemas.openxmlformats.org/officeDocument/2006/relationships/hyperlink" Target="https://www.sciencedirect.com/science/article/pii/S0022285216300212?ref=pdf_download&amp;fr=RR-2&amp;rr=980a9659693e789f" TargetMode="External"/><Relationship Id="rId335" Type="http://schemas.openxmlformats.org/officeDocument/2006/relationships/hyperlink" Target="https://www.sciencedirect.com/science/article/abs/pii/S0022407318308641?via%3Dihub" TargetMode="External"/><Relationship Id="rId5" Type="http://schemas.openxmlformats.org/officeDocument/2006/relationships/hyperlink" Target="https://www.sciencedirect.com/science/article/pii/S0022407319303589" TargetMode="External"/><Relationship Id="rId181" Type="http://schemas.openxmlformats.org/officeDocument/2006/relationships/hyperlink" Target="https://www.sciencedirect.com/science/article/pii/S0022407316303417?ref=pdf_download&amp;fr=RR-2&amp;rr=980b7ef9a91e93f4" TargetMode="External"/><Relationship Id="rId237" Type="http://schemas.openxmlformats.org/officeDocument/2006/relationships/hyperlink" Target="https://www.sciencedirect.com/science/article/pii/S0022407315001624?ref=pdf_download&amp;fr=RR-2&amp;rr=9810665a6fbe7f0d" TargetMode="External"/><Relationship Id="rId279" Type="http://schemas.openxmlformats.org/officeDocument/2006/relationships/hyperlink" Target="https://www.sciencedirect.com/science/article/pii/002240739390051I?ref=pdf_download&amp;fr=RR-2&amp;rr=9810e8000d49775c" TargetMode="External"/><Relationship Id="rId43" Type="http://schemas.openxmlformats.org/officeDocument/2006/relationships/hyperlink" Target="https://iopscience.iop.org/article/10.1088/0022-3700/5/6/024" TargetMode="External"/><Relationship Id="rId139" Type="http://schemas.openxmlformats.org/officeDocument/2006/relationships/hyperlink" Target="https://opg.optica.org/josab/fulltext.cfm?uri=josab-24-9-2294&amp;id=140934" TargetMode="External"/><Relationship Id="rId290" Type="http://schemas.openxmlformats.org/officeDocument/2006/relationships/hyperlink" Target="https://www.scopus.com/pages/publications/84866860969" TargetMode="External"/><Relationship Id="rId304" Type="http://schemas.openxmlformats.org/officeDocument/2006/relationships/hyperlink" Target="https://link.springer.com/article/10.1134/s1024856018040152?utm_source=getftr&amp;utm_medium=getftr&amp;utm_campaign=getftr_pilot&amp;getft_integrator=scopus" TargetMode="External"/><Relationship Id="rId346" Type="http://schemas.openxmlformats.org/officeDocument/2006/relationships/hyperlink" Target="https://www.sciencedirect.com/science/article/pii/S0022407311004195" TargetMode="External"/><Relationship Id="rId85" Type="http://schemas.openxmlformats.org/officeDocument/2006/relationships/hyperlink" Target="https://pubs.aip.org/aip/jcp/article/137/7/074302/192063/Direct-measurement-of-S-branch-N2-H2-Raman?getftrtoken=AQECAHi208BE49Ooan9kkhW_Ercy7Dm3ZL_9Cf3qfKAc485ysgAAALIwga8GCSqGSIb3DQEHBqCBoTCBngIBADCBmAYJKoZIhvcNAQcBMB4GCWCGSAFlAwQBLjARBAzaIa-UdTIXUfbjJjkCARCAay0VdxaJ446VcdWB39iKeTZ6DtUlSEE8jrvqhNuIACQvMDlnD6Ws0c58ojV-YN4D9bvNgvIhoKM9vNulq_MtxqpuOoR82tSCPj9CSRWVxi1Zl_OZo-FjDvHIWnXUBDO6XDQERabXSsrPiBrS" TargetMode="External"/><Relationship Id="rId150" Type="http://schemas.openxmlformats.org/officeDocument/2006/relationships/hyperlink" Target="https://www.sciencedirect.com/science/article/pii/0022407380900667" TargetMode="External"/><Relationship Id="rId192" Type="http://schemas.openxmlformats.org/officeDocument/2006/relationships/hyperlink" Target="https://www.sciencedirect.com/science/article/pii/S0022407312000714?ref=pdf_download&amp;fr=RR-2&amp;rr=980b90d75d7293f4" TargetMode="External"/><Relationship Id="rId206" Type="http://schemas.openxmlformats.org/officeDocument/2006/relationships/hyperlink" Target="https://link.springer.com/article/10.1134/S1024856017020105?fromPaywallRec=false" TargetMode="External"/><Relationship Id="rId248" Type="http://schemas.openxmlformats.org/officeDocument/2006/relationships/hyperlink" Target="https://link.springer.com/article/10.1007/s10053-000-8807-z" TargetMode="External"/><Relationship Id="rId12" Type="http://schemas.openxmlformats.org/officeDocument/2006/relationships/hyperlink" Target="https://www.sciencedirect.com/science/article/pii/S0022407316308433?via%3Dihub" TargetMode="External"/><Relationship Id="rId108" Type="http://schemas.openxmlformats.org/officeDocument/2006/relationships/hyperlink" Target="https://www.sciencedirect.com/science/article/pii/002240738790015X" TargetMode="External"/><Relationship Id="rId315" Type="http://schemas.openxmlformats.org/officeDocument/2006/relationships/hyperlink" Target="https://www.scopus.com/pages/publications/85159707679" TargetMode="External"/><Relationship Id="rId357" Type="http://schemas.openxmlformats.org/officeDocument/2006/relationships/hyperlink" Target="https://www.sciencedirect.com/science/article/pii/S0022285207000458?pes=vor&amp;utm_source=scopus&amp;getft_integrator=scopus" TargetMode="External"/><Relationship Id="rId54" Type="http://schemas.openxmlformats.org/officeDocument/2006/relationships/hyperlink" Target="https://www.sciencedirect.com/science/article/pii/S0022407319300342" TargetMode="External"/><Relationship Id="rId96" Type="http://schemas.openxmlformats.org/officeDocument/2006/relationships/hyperlink" Target="https://www.sciencedirect.com/science/article/pii/S0022407304001992" TargetMode="External"/><Relationship Id="rId161" Type="http://schemas.openxmlformats.org/officeDocument/2006/relationships/hyperlink" Target="https://www.sciencedirect.com/science/article/pii/S0022407315302028?ref=pdf_download&amp;fr=RR-2&amp;rr=980b62e50d52940b" TargetMode="External"/><Relationship Id="rId217" Type="http://schemas.openxmlformats.org/officeDocument/2006/relationships/hyperlink" Target="https://www.sciencedirect.com/science/article/pii/0022285285901948" TargetMode="External"/><Relationship Id="rId259" Type="http://schemas.openxmlformats.org/officeDocument/2006/relationships/hyperlink" Target="https://pubs.aip.org/aip/jcp/article/63/1/290/783405/Theory-of-the-relaxation-matrix-and-its-relation" TargetMode="External"/><Relationship Id="rId23" Type="http://schemas.openxmlformats.org/officeDocument/2006/relationships/hyperlink" Target="https://www.tandfonline.com/doi/full/10.1080/00268970903468305" TargetMode="External"/><Relationship Id="rId119" Type="http://schemas.openxmlformats.org/officeDocument/2006/relationships/hyperlink" Target="https://www.scopus.com/record/display.uri?eid=2-s2.0-36749111627&amp;origin=resultslist&amp;sort=plf-f&amp;cite=2-s2.0-0001546890&amp;src=s&amp;nlo=&amp;nlr=&amp;nls=&amp;imp=t&amp;sid=f4811c42241924e0e671c239089ec539&amp;sot=cite&amp;sdt=a&amp;sl=0&amp;relpos=30&amp;citeCnt=11&amp;searchTerm=" TargetMode="External"/><Relationship Id="rId270" Type="http://schemas.openxmlformats.org/officeDocument/2006/relationships/hyperlink" Target="https://www.sciencedirect.com/science/article/pii/S0022407313004561" TargetMode="External"/><Relationship Id="rId326" Type="http://schemas.openxmlformats.org/officeDocument/2006/relationships/hyperlink" Target="https://www.sciencedirect.com/science/article/pii/S0022407322000863" TargetMode="External"/><Relationship Id="rId65" Type="http://schemas.openxmlformats.org/officeDocument/2006/relationships/hyperlink" Target="https://www.tandfonline.com/doi/full/10.1080/00268970802698655" TargetMode="External"/><Relationship Id="rId130" Type="http://schemas.openxmlformats.org/officeDocument/2006/relationships/hyperlink" Target="https://www.sciencedirect.com/science/article/pii/0022407389900848?ref=pdf_download&amp;fr=RR-2&amp;rr=980aad376db863bf" TargetMode="External"/><Relationship Id="rId368" Type="http://schemas.openxmlformats.org/officeDocument/2006/relationships/hyperlink" Target="https://pubs.rsc.org/en/content/articlelanding/2008/cp/b804306j" TargetMode="External"/><Relationship Id="rId172" Type="http://schemas.openxmlformats.org/officeDocument/2006/relationships/hyperlink" Target="https://www.sciencedirect.com/science/article/pii/S002240731400274X?ref=pdf_download&amp;fr=RR-2&amp;rr=980b75278d0193f4" TargetMode="External"/><Relationship Id="rId228" Type="http://schemas.openxmlformats.org/officeDocument/2006/relationships/hyperlink" Target="https://pubs.aip.org/aip/jcp/article/101/5/3444/164629/Line-shape-asymmetries-in-Ar-broadened-HF-v-1-0-in" TargetMode="External"/><Relationship Id="rId281" Type="http://schemas.openxmlformats.org/officeDocument/2006/relationships/hyperlink" Target="https://pubs.aip.org/aip/jcp/article/82/7/2877/790760/Measurement-of-collision-induced-shift-and" TargetMode="External"/><Relationship Id="rId337" Type="http://schemas.openxmlformats.org/officeDocument/2006/relationships/hyperlink" Target="https://www.sciencedirect.com/science/article/pii/S0022285220300692?via%3Dihub" TargetMode="External"/><Relationship Id="rId34" Type="http://schemas.openxmlformats.org/officeDocument/2006/relationships/hyperlink" Target="https://journals.aps.org/pra/abstract/10.1103/PhysRevA.77.042720" TargetMode="External"/><Relationship Id="rId76" Type="http://schemas.openxmlformats.org/officeDocument/2006/relationships/hyperlink" Target="https://pubs.aip.org/aip/jcp/article/120/23/11053/981130/Infrared-line-collisional-parameters-of-HCl-in" TargetMode="External"/><Relationship Id="rId141" Type="http://schemas.openxmlformats.org/officeDocument/2006/relationships/hyperlink" Target="https://www.sciencedirect.com/science/article/pii/S0022407300000297" TargetMode="External"/><Relationship Id="rId7" Type="http://schemas.openxmlformats.org/officeDocument/2006/relationships/hyperlink" Target="https://www.sciencedirect.com/science/article/pii/S0022407399001090" TargetMode="External"/><Relationship Id="rId183" Type="http://schemas.openxmlformats.org/officeDocument/2006/relationships/hyperlink" Target="https://www.sciencedirect.com/science/article/pii/S0022285216300108?ref=pdf_download&amp;fr=RR-2&amp;rr=980b81c44a5693f4" TargetMode="External"/><Relationship Id="rId239" Type="http://schemas.openxmlformats.org/officeDocument/2006/relationships/hyperlink" Target="https://www.sciencedirect.com/science/article/pii/002240739090060J?via%3Dihub" TargetMode="External"/><Relationship Id="rId250" Type="http://schemas.openxmlformats.org/officeDocument/2006/relationships/hyperlink" Target="https://www.sciencedirect.com/science/article/pii/0022407389901039" TargetMode="External"/><Relationship Id="rId292" Type="http://schemas.openxmlformats.org/officeDocument/2006/relationships/hyperlink" Target="https://link.springer.com/article/10.1134/s0030400x06100043?utm_source=getftr&amp;utm_medium=getftr&amp;utm_campaign=getftr_pilot&amp;getft_integrator=scopus" TargetMode="External"/><Relationship Id="rId306" Type="http://schemas.openxmlformats.org/officeDocument/2006/relationships/hyperlink" Target="https://link.springer.com/article/10.1134/s102485602004017x?utm_source=getftr&amp;utm_medium=getftr&amp;utm_campaign=getftr_pilot&amp;getft_integrator=scopus" TargetMode="External"/><Relationship Id="rId45" Type="http://schemas.openxmlformats.org/officeDocument/2006/relationships/hyperlink" Target="https://www.sciencedirect.com/science/article/pii/S0022285284710599" TargetMode="External"/><Relationship Id="rId87" Type="http://schemas.openxmlformats.org/officeDocument/2006/relationships/hyperlink" Target="https://analyticalsciencejournals.onlinelibrary.wiley.com/doi/10.1002/jrs.2663" TargetMode="External"/><Relationship Id="rId110" Type="http://schemas.openxmlformats.org/officeDocument/2006/relationships/hyperlink" Target="https://pubs.aip.org/aip/jcp/article/72/2/1332/218478/Pressure-broadening-of-the-HCO-J-0-1-transition-by" TargetMode="External"/><Relationship Id="rId348" Type="http://schemas.openxmlformats.org/officeDocument/2006/relationships/hyperlink" Target="https://www.sciencedirect.com/science/article/pii/S002240731500299X" TargetMode="External"/><Relationship Id="rId152" Type="http://schemas.openxmlformats.org/officeDocument/2006/relationships/hyperlink" Target="https://www.sciencedirect.com/science/article/pii/S0022407315002125?ref=pdf_download&amp;fr=RR-2&amp;rr=980b5c05dd5b940b" TargetMode="External"/><Relationship Id="rId194" Type="http://schemas.openxmlformats.org/officeDocument/2006/relationships/hyperlink" Target="https://www.sciencedirect.com/science/article/pii/S0022407310000555?ref=pdf_download&amp;fr=RR-2&amp;rr=980fe5fdef73776b" TargetMode="External"/><Relationship Id="rId208" Type="http://schemas.openxmlformats.org/officeDocument/2006/relationships/hyperlink" Target="https://www.sciencedirect.com/science/article/pii/S0022285201983754" TargetMode="External"/><Relationship Id="rId261" Type="http://schemas.openxmlformats.org/officeDocument/2006/relationships/hyperlink" Target="https://www.scopus.com/record/display.uri?eid=2-s2.0-84888620884&amp;origin=resultslist&amp;sort=plf-f&amp;cite=2-s2.0-0001546890&amp;src=s&amp;imp=t&amp;sid=f4811c42241924e0e671c239089ec539&amp;sot=cite&amp;sdt=a&amp;sl=0&amp;relpos=4&amp;citeCnt=9&amp;searchTerm=" TargetMode="External"/><Relationship Id="rId14" Type="http://schemas.openxmlformats.org/officeDocument/2006/relationships/hyperlink" Target="https://www.sciencedirect.com/science/article/pii/S0022407309003859" TargetMode="External"/><Relationship Id="rId56" Type="http://schemas.openxmlformats.org/officeDocument/2006/relationships/hyperlink" Target="https://www.sciencedirect.com/science/article/pii/S0022407324002577" TargetMode="External"/><Relationship Id="rId317" Type="http://schemas.openxmlformats.org/officeDocument/2006/relationships/hyperlink" Target="https://www.spiedigitallibrary.org/conference-proceedings-of-spie/12780/2690371/Parameters-of-HD16O-absorption-lines-in-51005400-cm-1-spectral/10.1117/12.2690371.short" TargetMode="External"/><Relationship Id="rId359" Type="http://schemas.openxmlformats.org/officeDocument/2006/relationships/hyperlink" Target="https://www.sciencedirect.com/science/article/pii/S0022407303001547" TargetMode="External"/><Relationship Id="rId98" Type="http://schemas.openxmlformats.org/officeDocument/2006/relationships/hyperlink" Target="https://www.sciencedirect.com/science/article/pii/S0019103583710468?via%3Dihub" TargetMode="External"/><Relationship Id="rId121" Type="http://schemas.openxmlformats.org/officeDocument/2006/relationships/hyperlink" Target="https://opg.optica.org/ao/fulltext.cfm?uri=ao-58-10-C1&amp;id=403703" TargetMode="External"/><Relationship Id="rId163" Type="http://schemas.openxmlformats.org/officeDocument/2006/relationships/hyperlink" Target="https://www.sciencedirect.com/science/article/pii/S0022285209000022?ref=pdf_download&amp;fr=RR-2&amp;rr=980b64203b0f940b" TargetMode="External"/><Relationship Id="rId219" Type="http://schemas.openxmlformats.org/officeDocument/2006/relationships/hyperlink" Target="https://www.sciencedirect.com/science/article/pii/S0022285284711544" TargetMode="External"/><Relationship Id="rId370" Type="http://schemas.openxmlformats.org/officeDocument/2006/relationships/hyperlink" Target="https://analyticalsciencejournals.onlinelibrary.wiley.com/doi/abs/10.1002/jrs.1250220708" TargetMode="External"/><Relationship Id="rId230" Type="http://schemas.openxmlformats.org/officeDocument/2006/relationships/hyperlink" Target="https://www.sciencedirect.com/science/article/pii/0022285270901256?via%3Dihub" TargetMode="External"/><Relationship Id="rId25" Type="http://schemas.openxmlformats.org/officeDocument/2006/relationships/hyperlink" Target="https://analyticalsciencejournals.onlinelibrary.wiley.com/doi/full/10.1002/jrs.4126" TargetMode="External"/><Relationship Id="rId67" Type="http://schemas.openxmlformats.org/officeDocument/2006/relationships/hyperlink" Target="https://www.tandfonline.com/doi/full/10.1080/00268976.2012.663939" TargetMode="External"/><Relationship Id="rId272" Type="http://schemas.openxmlformats.org/officeDocument/2006/relationships/hyperlink" Target="https://www.sciencedirect.com/science/article/pii/S0022407312001823" TargetMode="External"/><Relationship Id="rId328" Type="http://schemas.openxmlformats.org/officeDocument/2006/relationships/hyperlink" Target="https://www.sciencedirect.com/science/article/pii/S0022285217303296" TargetMode="External"/><Relationship Id="rId132" Type="http://schemas.openxmlformats.org/officeDocument/2006/relationships/hyperlink" Target="https://www.sciencedirect.com/science/article/pii/S0022407316307415" TargetMode="External"/><Relationship Id="rId174" Type="http://schemas.openxmlformats.org/officeDocument/2006/relationships/hyperlink" Target="https://cdnsciencepub.com/doi/full/10.1139/cjp-2013-0031" TargetMode="External"/><Relationship Id="rId241" Type="http://schemas.openxmlformats.org/officeDocument/2006/relationships/hyperlink" Target="https://www.sciencedirect.com/science/article/pii/0022407388900921?via%3Dihub" TargetMode="External"/><Relationship Id="rId36" Type="http://schemas.openxmlformats.org/officeDocument/2006/relationships/hyperlink" Target="https://www.sciencedirect.com/science/article/pii/S0022285204001924?via%3Dihub" TargetMode="External"/><Relationship Id="rId283" Type="http://schemas.openxmlformats.org/officeDocument/2006/relationships/hyperlink" Target="https://www.sciencedirect.com/science/article/pii/S0022407312002865?via%3Dihub" TargetMode="External"/><Relationship Id="rId339" Type="http://schemas.openxmlformats.org/officeDocument/2006/relationships/hyperlink" Target="https://www.sciencedirect.com/science/article/pii/S0022285222000595?pes=vor&amp;utm_source=scopus&amp;getft_integrator=scopus" TargetMode="External"/><Relationship Id="rId78" Type="http://schemas.openxmlformats.org/officeDocument/2006/relationships/hyperlink" Target="https://www.scopus.com/record/display.uri?eid=2-s2.0-0035425287&amp;origin=inward&amp;txGid=f6fea91f4ccfe48e3c9b78a4a7339fb2" TargetMode="External"/><Relationship Id="rId99" Type="http://schemas.openxmlformats.org/officeDocument/2006/relationships/hyperlink" Target="https://journals.aps.org/pra/abstract/10.1103/PhysRevA.86.022705" TargetMode="External"/><Relationship Id="rId101" Type="http://schemas.openxmlformats.org/officeDocument/2006/relationships/hyperlink" Target="https://journals.aps.org/pra/abstract/10.1103/PhysRevA.82.040702" TargetMode="External"/><Relationship Id="rId122" Type="http://schemas.openxmlformats.org/officeDocument/2006/relationships/hyperlink" Target="https://pubs.aip.org/aip/jcp/article/65/12/5302/775531/Shifts-of-the-vibration-rotation-absorption-lines" TargetMode="External"/><Relationship Id="rId143" Type="http://schemas.openxmlformats.org/officeDocument/2006/relationships/hyperlink" Target="https://pubs.aip.org/aip/jcp/article/111/5/1870/531741/Calculations-of-Argon-broadening-and-shift-for-HCO" TargetMode="External"/><Relationship Id="rId164" Type="http://schemas.openxmlformats.org/officeDocument/2006/relationships/hyperlink" Target="https://www.sciencedirect.com/science/article/pii/S0022407314001861?ref=pdf_download&amp;fr=RR-2&amp;rr=980b64c64c29940b" TargetMode="External"/><Relationship Id="rId185" Type="http://schemas.openxmlformats.org/officeDocument/2006/relationships/hyperlink" Target="https://www.sciencedirect.com/science/article/pii/S0022407308001787?ref=pdf_download&amp;fr=RR-2&amp;rr=980b86b30a9393f4" TargetMode="External"/><Relationship Id="rId350" Type="http://schemas.openxmlformats.org/officeDocument/2006/relationships/hyperlink" Target="https://www.sciencedirect.com/science/article/pii/0022407396000246" TargetMode="External"/><Relationship Id="rId371" Type="http://schemas.openxmlformats.org/officeDocument/2006/relationships/hyperlink" Target="https://www.tandfonline.com/doi/abs/10.1080/00268970600632724" TargetMode="External"/><Relationship Id="rId9" Type="http://schemas.openxmlformats.org/officeDocument/2006/relationships/hyperlink" Target="https://www.sciencedirect.com/science/article/pii/S0022407322000103?via%3Dihub" TargetMode="External"/><Relationship Id="rId210" Type="http://schemas.openxmlformats.org/officeDocument/2006/relationships/hyperlink" Target="https://www.sciencedirect.com/science/article/pii/S0022407310002396" TargetMode="External"/><Relationship Id="rId26" Type="http://schemas.openxmlformats.org/officeDocument/2006/relationships/hyperlink" Target="https://www.tandfonline.com/doi/full/10.1080/00268976.2010.505209" TargetMode="External"/><Relationship Id="rId231" Type="http://schemas.openxmlformats.org/officeDocument/2006/relationships/hyperlink" Target="https://www.sciencedirect.com/science/article/pii/0022285263901528?ref=pdf_download&amp;fr=RR-2&amp;rr=98105e54baa663d5" TargetMode="External"/><Relationship Id="rId252" Type="http://schemas.openxmlformats.org/officeDocument/2006/relationships/hyperlink" Target="https://www.sciencedirect.com/science/article/pii/S0022286005000669" TargetMode="External"/><Relationship Id="rId273" Type="http://schemas.openxmlformats.org/officeDocument/2006/relationships/hyperlink" Target="https://www.sciencedirect.com/science/article/pii/S0022407312000738" TargetMode="External"/><Relationship Id="rId294" Type="http://schemas.openxmlformats.org/officeDocument/2006/relationships/hyperlink" Target="https://www.tandfonline.com/doi/full/10.1080/00268970802698655" TargetMode="External"/><Relationship Id="rId308" Type="http://schemas.openxmlformats.org/officeDocument/2006/relationships/hyperlink" Target="https://www.spiedigitallibrary.org/conference-proceedings-of-spie/9680/1/He-broadening-and-shift-coefficients-of-water-vapor-lines-in/10.1117/12.2205562.full" TargetMode="External"/><Relationship Id="rId329" Type="http://schemas.openxmlformats.org/officeDocument/2006/relationships/hyperlink" Target="https://www.sciencedirect.com/science/article/pii/002240737290074X" TargetMode="External"/><Relationship Id="rId47" Type="http://schemas.openxmlformats.org/officeDocument/2006/relationships/hyperlink" Target="https://www.sciencedirect.com/science/article/pii/S0010218019302433" TargetMode="External"/><Relationship Id="rId68" Type="http://schemas.openxmlformats.org/officeDocument/2006/relationships/hyperlink" Target="https://www.sciencedirect.com/science/article/pii/S0022285216300108?via%3Dihub" TargetMode="External"/><Relationship Id="rId89" Type="http://schemas.openxmlformats.org/officeDocument/2006/relationships/hyperlink" Target="https://pubs.aip.org/aip/jcp/article/120/18/8616/443047/Semiclassical-calculations-of-collision-line" TargetMode="External"/><Relationship Id="rId112" Type="http://schemas.openxmlformats.org/officeDocument/2006/relationships/hyperlink" Target="https://opg.optica.org/ao/fulltext.cfm?uri=ao-27-18-3902&amp;id=31783" TargetMode="External"/><Relationship Id="rId133" Type="http://schemas.openxmlformats.org/officeDocument/2006/relationships/hyperlink" Target="https://www.sciencedirect.com/science/article/pii/S0022285297973951?ref=pdf_download&amp;fr=RR-2&amp;rr=980ab44eadff0050" TargetMode="External"/><Relationship Id="rId154" Type="http://schemas.openxmlformats.org/officeDocument/2006/relationships/hyperlink" Target="https://www.sciencedirect.com/science/article/pii/S0022407313002525?ref=pdf_download&amp;fr=RR-2&amp;rr=980b5d488b30940b" TargetMode="External"/><Relationship Id="rId175" Type="http://schemas.openxmlformats.org/officeDocument/2006/relationships/hyperlink" Target="https://www.tandfonline.com/doi/full/10.1080/00268976.2012.720040" TargetMode="External"/><Relationship Id="rId340" Type="http://schemas.openxmlformats.org/officeDocument/2006/relationships/hyperlink" Target="https://www.sciencedirect.com/science/article/abs/pii/S0022407322003211?via%3Dihub" TargetMode="External"/><Relationship Id="rId361" Type="http://schemas.openxmlformats.org/officeDocument/2006/relationships/hyperlink" Target="https://www.sciencedirect.com/science/article/pii/S0022407318304576?pes=vor&amp;utm_source=scopus&amp;getft_integrator=scopus" TargetMode="External"/><Relationship Id="rId196" Type="http://schemas.openxmlformats.org/officeDocument/2006/relationships/hyperlink" Target="https://www.sciencedirect.com/science/article/pii/S0022286001008316?ref=pdf_download&amp;fr=RR-2&amp;rr=980fe8b67b22776b" TargetMode="External"/><Relationship Id="rId200" Type="http://schemas.openxmlformats.org/officeDocument/2006/relationships/hyperlink" Target="https://www.sciencedirect.com/science/article/pii/S0022285214000228" TargetMode="External"/><Relationship Id="rId16" Type="http://schemas.openxmlformats.org/officeDocument/2006/relationships/hyperlink" Target="https://academic.oup.com/mnras/article/397/4/1909/998180" TargetMode="External"/><Relationship Id="rId221" Type="http://schemas.openxmlformats.org/officeDocument/2006/relationships/hyperlink" Target="https://www.sciencedirect.com/science/article/pii/S0022285201984012" TargetMode="External"/><Relationship Id="rId242" Type="http://schemas.openxmlformats.org/officeDocument/2006/relationships/hyperlink" Target="https://www.sciencedirect.com/science/article/pii/0022407372900738?via%3Dihub" TargetMode="External"/><Relationship Id="rId263" Type="http://schemas.openxmlformats.org/officeDocument/2006/relationships/hyperlink" Target="https://www.sciencedirect.com/science/article/pii/S0022285203002005" TargetMode="External"/><Relationship Id="rId284" Type="http://schemas.openxmlformats.org/officeDocument/2006/relationships/hyperlink" Target="https://www.sciencedirect.com/science/article/pii/S0022407325001633?dgcid=raven_sd_aip_email" TargetMode="External"/><Relationship Id="rId319" Type="http://schemas.openxmlformats.org/officeDocument/2006/relationships/hyperlink" Target="https://www.sciencedirect.com/science/article/pii/S0022407325002900?via%3Dihub" TargetMode="External"/><Relationship Id="rId37" Type="http://schemas.openxmlformats.org/officeDocument/2006/relationships/hyperlink" Target="https://www.sciencedirect.com/science/article/pii/S0022285202000346?via%3Dihub" TargetMode="External"/><Relationship Id="rId58" Type="http://schemas.openxmlformats.org/officeDocument/2006/relationships/hyperlink" Target="https://arxiv.org/abs/2503.22031" TargetMode="External"/><Relationship Id="rId79" Type="http://schemas.openxmlformats.org/officeDocument/2006/relationships/hyperlink" Target="https://www.sciencedirect.com/science/article/pii/S0022285208000568" TargetMode="External"/><Relationship Id="rId102" Type="http://schemas.openxmlformats.org/officeDocument/2006/relationships/hyperlink" Target="https://www.sciencedirect.com/science/article/pii/S0022285211000038" TargetMode="External"/><Relationship Id="rId123" Type="http://schemas.openxmlformats.org/officeDocument/2006/relationships/hyperlink" Target="https://www.scopus.com/record/display.uri?eid=2-s2.0-0141609607&amp;origin=resultslist&amp;sort=plf-f&amp;cite=2-s2.0-0001546890&amp;src=s&amp;nlo=&amp;nlr=&amp;nls=&amp;imp=t&amp;sid=f4811c42241924e0e671c239089ec539&amp;sot=cite&amp;sdt=a&amp;sl=0&amp;relpos=32&amp;citeCnt=10&amp;searchTerm=" TargetMode="External"/><Relationship Id="rId144" Type="http://schemas.openxmlformats.org/officeDocument/2006/relationships/hyperlink" Target="https://pubs.aip.org/aip/jcp/article/104/11/3956/181298/Calculations-of-the-low-temperature-pressure" TargetMode="External"/><Relationship Id="rId330" Type="http://schemas.openxmlformats.org/officeDocument/2006/relationships/hyperlink" Target="https://www.sciencedirect.com/science/article/pii/S0022286002006130?pes=vor&amp;utm_source=scopus&amp;getft_integrator=scopus" TargetMode="External"/><Relationship Id="rId90" Type="http://schemas.openxmlformats.org/officeDocument/2006/relationships/hyperlink" Target="https://www.sciencedirect.com/science/article/pii/S0022407312005675" TargetMode="External"/><Relationship Id="rId165" Type="http://schemas.openxmlformats.org/officeDocument/2006/relationships/hyperlink" Target="https://www.sciencedirect.com/science/article/pii/S0022407313002252?ref=pdf_download&amp;fr=RR-2&amp;rr=980b65abfddd940b" TargetMode="External"/><Relationship Id="rId186" Type="http://schemas.openxmlformats.org/officeDocument/2006/relationships/hyperlink" Target="https://www.sciencedirect.com/science/article/pii/S0022407311001543?ref=pdf_download&amp;fr=RR-2&amp;rr=980b8732d98893f4" TargetMode="External"/><Relationship Id="rId351" Type="http://schemas.openxmlformats.org/officeDocument/2006/relationships/hyperlink" Target="https://www.sciencedirect.com/science/article/pii/S0022407319306351" TargetMode="External"/><Relationship Id="rId372" Type="http://schemas.openxmlformats.org/officeDocument/2006/relationships/hyperlink" Target="https://journals.aps.org/pra/abstract/10.1103/PhysRevA.102.012821" TargetMode="External"/><Relationship Id="rId211" Type="http://schemas.openxmlformats.org/officeDocument/2006/relationships/hyperlink" Target="https://www.sciencedirect.com/science/article/pii/S0022407321003320" TargetMode="External"/><Relationship Id="rId232" Type="http://schemas.openxmlformats.org/officeDocument/2006/relationships/hyperlink" Target="https://www.sciencedirect.com/science/article/pii/0022407373900253?ref=pdf_download&amp;fr=RR-2&amp;rr=98105fab98db7f0d" TargetMode="External"/><Relationship Id="rId253" Type="http://schemas.openxmlformats.org/officeDocument/2006/relationships/hyperlink" Target="https://www.sciencedirect.com/science/article/pii/0022407394900213" TargetMode="External"/><Relationship Id="rId274" Type="http://schemas.openxmlformats.org/officeDocument/2006/relationships/hyperlink" Target="https://www.sciencedirect.com/science/article/pii/0022285278900747?ref=pdf_download&amp;fr=RR-2&amp;rr=981098542df2ccd7" TargetMode="External"/><Relationship Id="rId295" Type="http://schemas.openxmlformats.org/officeDocument/2006/relationships/hyperlink" Target="https://www.tandfonline.com/doi/full/10.1080/00268970903250554" TargetMode="External"/><Relationship Id="rId309" Type="http://schemas.openxmlformats.org/officeDocument/2006/relationships/hyperlink" Target="https://www.spiedigitallibrary.org/conference-proceedings-of-spie/10035/1/Broadening--and--shift-coefficients--for--H2O/10.1117/12.2249463.full" TargetMode="External"/><Relationship Id="rId27" Type="http://schemas.openxmlformats.org/officeDocument/2006/relationships/hyperlink" Target="https://link.springer.com/article/10.1134/S0030400X10040041" TargetMode="External"/><Relationship Id="rId48" Type="http://schemas.openxmlformats.org/officeDocument/2006/relationships/hyperlink" Target="https://www.sciencedirect.com/science/article/pii/S0022407317300298" TargetMode="External"/><Relationship Id="rId69" Type="http://schemas.openxmlformats.org/officeDocument/2006/relationships/hyperlink" Target="https://iopscience.iop.org/article/10.1088/0004-637X/808/2/175" TargetMode="External"/><Relationship Id="rId113" Type="http://schemas.openxmlformats.org/officeDocument/2006/relationships/hyperlink" Target="https://link.springer.com/article/10.1134/S0030400X17090223?fromPaywallRec=false" TargetMode="External"/><Relationship Id="rId134" Type="http://schemas.openxmlformats.org/officeDocument/2006/relationships/hyperlink" Target="https://www.sciencedirect.com/science/article/pii/S0022407398000387?ref=pdf_download&amp;fr=RR-2&amp;rr=980ab64f69900050" TargetMode="External"/><Relationship Id="rId320" Type="http://schemas.openxmlformats.org/officeDocument/2006/relationships/hyperlink" Target="https://www.sciencedirect.com/science/article/pii/S0022407324003728?via%3Dihub" TargetMode="External"/><Relationship Id="rId80" Type="http://schemas.openxmlformats.org/officeDocument/2006/relationships/hyperlink" Target="https://www.sciencedirect.com/science/article/pii/S002228528571017X?via%3Dihub" TargetMode="External"/><Relationship Id="rId155" Type="http://schemas.openxmlformats.org/officeDocument/2006/relationships/hyperlink" Target="https://www.sciencedirect.com/science/article/pii/S0022407316308998?ref=pdf_download&amp;fr=RR-2&amp;rr=980b5dff0f75940b" TargetMode="External"/><Relationship Id="rId176" Type="http://schemas.openxmlformats.org/officeDocument/2006/relationships/hyperlink" Target="https://www.sciencedirect.com/science/article/pii/S0022407314000703?ref=pdf_download&amp;fr=RR-2&amp;rr=980b7bbde82893f4" TargetMode="External"/><Relationship Id="rId197" Type="http://schemas.openxmlformats.org/officeDocument/2006/relationships/hyperlink" Target="https://www.sciencedirect.com/science/article/pii/S0022285205003097" TargetMode="External"/><Relationship Id="rId341" Type="http://schemas.openxmlformats.org/officeDocument/2006/relationships/hyperlink" Target="https://www.sciencedirect.com/science/article/pii/0022407376900789" TargetMode="External"/><Relationship Id="rId362" Type="http://schemas.openxmlformats.org/officeDocument/2006/relationships/hyperlink" Target="https://www.sciencedirect.com/science/article/pii/0022407376900789" TargetMode="External"/><Relationship Id="rId201" Type="http://schemas.openxmlformats.org/officeDocument/2006/relationships/hyperlink" Target="https://www.sciencedirect.com/science/article/pii/S0022407324001766" TargetMode="External"/><Relationship Id="rId222" Type="http://schemas.openxmlformats.org/officeDocument/2006/relationships/hyperlink" Target="https://www.sciencedirect.com/science/article/pii/S0022285298976792" TargetMode="External"/><Relationship Id="rId243" Type="http://schemas.openxmlformats.org/officeDocument/2006/relationships/hyperlink" Target="https://www.sciencedirect.com/science/article/pii/0022407389900629?via%3Dihub" TargetMode="External"/><Relationship Id="rId264" Type="http://schemas.openxmlformats.org/officeDocument/2006/relationships/hyperlink" Target="https://www.sciencedirect.com/science/article/pii/S0022407318304540" TargetMode="External"/><Relationship Id="rId285" Type="http://schemas.openxmlformats.org/officeDocument/2006/relationships/hyperlink" Target="https://www.sciencedirect.com/science/article/pii/S0022407325001608" TargetMode="External"/><Relationship Id="rId17" Type="http://schemas.openxmlformats.org/officeDocument/2006/relationships/hyperlink" Target="https://www.sciencedirect.com/science/article/pii/S0022407398000570" TargetMode="External"/><Relationship Id="rId38" Type="http://schemas.openxmlformats.org/officeDocument/2006/relationships/hyperlink" Target="https://www.sciencedirect.com/science/article/pii/S0022285299978475" TargetMode="External"/><Relationship Id="rId59" Type="http://schemas.openxmlformats.org/officeDocument/2006/relationships/hyperlink" Target="https://www.sciencedirect.com/science/article/pii/S002240732500161X" TargetMode="External"/><Relationship Id="rId103" Type="http://schemas.openxmlformats.org/officeDocument/2006/relationships/hyperlink" Target="https://www.sciencedirect.com/science/article/pii/S0022285212000872" TargetMode="External"/><Relationship Id="rId124" Type="http://schemas.openxmlformats.org/officeDocument/2006/relationships/hyperlink" Target="https://www.scopus.com/record/display.uri?eid=2-s2.0-84915881694&amp;origin=resultslist&amp;sort=plf-f&amp;cite=2-s2.0-0001546890&amp;src=s&amp;nlo=&amp;nlr=&amp;nls=&amp;imp=t&amp;sid=f4811c42241924e0e671c239089ec539&amp;sot=cite&amp;sdt=a&amp;sl=0&amp;relpos=37&amp;citeCnt=1&amp;searchTerm=" TargetMode="External"/><Relationship Id="rId310" Type="http://schemas.openxmlformats.org/officeDocument/2006/relationships/hyperlink" Target="https://www.spiedigitallibrary.org/conference-proceedings-of-spie/10466/2291488/Broadening--and--shift-coefficients--for--H2O/10.1117/12.2291488.short" TargetMode="External"/><Relationship Id="rId70" Type="http://schemas.openxmlformats.org/officeDocument/2006/relationships/hyperlink" Target="https://www.sciencedirect.com/science/article/pii/S0022407325000238" TargetMode="External"/><Relationship Id="rId91" Type="http://schemas.openxmlformats.org/officeDocument/2006/relationships/hyperlink" Target="https://arxiv.org/abs/2505.13560" TargetMode="External"/><Relationship Id="rId145" Type="http://schemas.openxmlformats.org/officeDocument/2006/relationships/hyperlink" Target="https://www.sciencedirect.com/science/article/pii/0022407395001727" TargetMode="External"/><Relationship Id="rId166" Type="http://schemas.openxmlformats.org/officeDocument/2006/relationships/hyperlink" Target="https://www.sciencedirect.com/science/article/pii/S002240731500134X?ref=pdf_download&amp;fr=RR-2&amp;rr=980b6648a9eb940b" TargetMode="External"/><Relationship Id="rId187" Type="http://schemas.openxmlformats.org/officeDocument/2006/relationships/hyperlink" Target="https://www.sciencedirect.com/science/article/pii/S0022285200981438?ref=pdf_download&amp;fr=RR-2&amp;rr=980b8934580d93f4" TargetMode="External"/><Relationship Id="rId331" Type="http://schemas.openxmlformats.org/officeDocument/2006/relationships/hyperlink" Target="https://pubs.acs.org/doi/abs/10.1021/j100103a015" TargetMode="External"/><Relationship Id="rId352" Type="http://schemas.openxmlformats.org/officeDocument/2006/relationships/hyperlink" Target="https://www.sciencedirect.com/science/article/pii/0009261480852547?pes=vor&amp;utm_source=scopus&amp;getft_integrator=scopus" TargetMode="External"/><Relationship Id="rId373" Type="http://schemas.openxmlformats.org/officeDocument/2006/relationships/hyperlink" Target="https://pubs.aip.org/aip/app/article/10/2/026111/3336154/Direct-frequency-comb-cavity-ringdown-spectroscopy?utm_source=chatgpt.com" TargetMode="External"/><Relationship Id="rId1" Type="http://schemas.openxmlformats.org/officeDocument/2006/relationships/hyperlink" Target="https://www.sciencedirect.com/science/article/pii/S0022407319301396" TargetMode="External"/><Relationship Id="rId212" Type="http://schemas.openxmlformats.org/officeDocument/2006/relationships/hyperlink" Target="https://www.sciencedirect.com/science/article/pii/S0022407322002084" TargetMode="External"/><Relationship Id="rId233" Type="http://schemas.openxmlformats.org/officeDocument/2006/relationships/hyperlink" Target="https://pubs.aip.org/aip/jcp/article/33/2/327/77463/Shapes-and-Breadths-of-Some-Molecular-Rotation" TargetMode="External"/><Relationship Id="rId254" Type="http://schemas.openxmlformats.org/officeDocument/2006/relationships/hyperlink" Target="https://opg.optica.org/ao/fulltext.cfm?uri=ao-53-9-1938&amp;id=281976" TargetMode="External"/><Relationship Id="rId28" Type="http://schemas.openxmlformats.org/officeDocument/2006/relationships/hyperlink" Target="https://www.tandfonline.com/doi/full/10.1080/00268970902953612" TargetMode="External"/><Relationship Id="rId49" Type="http://schemas.openxmlformats.org/officeDocument/2006/relationships/hyperlink" Target="https://www.sciencedirect.com/science/article/pii/S0022286005000682" TargetMode="External"/><Relationship Id="rId114" Type="http://schemas.openxmlformats.org/officeDocument/2006/relationships/hyperlink" Target="https://iopscience.iop.org/article/10.1088/0031-8949/53/6/004" TargetMode="External"/><Relationship Id="rId275" Type="http://schemas.openxmlformats.org/officeDocument/2006/relationships/hyperlink" Target="https://www.sciencedirect.com/science/article/pii/0022407378900924?ref=pdf_download&amp;fr=RR-2&amp;rr=981098f40b9cccd7" TargetMode="External"/><Relationship Id="rId296" Type="http://schemas.openxmlformats.org/officeDocument/2006/relationships/hyperlink" Target="https://link.springer.com/article/10.1134/s1024856012050107?utm_source=getftr&amp;utm_medium=getftr&amp;utm_campaign=getftr_pilot&amp;getft_integrator=scopus" TargetMode="External"/><Relationship Id="rId300" Type="http://schemas.openxmlformats.org/officeDocument/2006/relationships/hyperlink" Target="https://link.springer.com/article/10.1134/s1024856014030099?utm_source=getftr&amp;utm_medium=getftr&amp;utm_campaign=getftr_pilot&amp;getft_integrator=scopus" TargetMode="External"/><Relationship Id="rId60" Type="http://schemas.openxmlformats.org/officeDocument/2006/relationships/hyperlink" Target="https://pubs.aip.org/aip/jcp/article/91/10/5916/221497/Line-broadening-line-shifting-and-line-coupling" TargetMode="External"/><Relationship Id="rId81" Type="http://schemas.openxmlformats.org/officeDocument/2006/relationships/hyperlink" Target="https://www.sciencedirect.com/science/article/pii/S0022407316302771?ref=pdf_download&amp;fr=RR-2&amp;rr=8b08a6c9dd6b9433" TargetMode="External"/><Relationship Id="rId135" Type="http://schemas.openxmlformats.org/officeDocument/2006/relationships/hyperlink" Target="https://www.sciencedirect.com/science/article/pii/S0022407398001125?ref=pdf_download&amp;fr=RR-2&amp;rr=980ab70e8d310050" TargetMode="External"/><Relationship Id="rId156" Type="http://schemas.openxmlformats.org/officeDocument/2006/relationships/hyperlink" Target="https://www.sciencedirect.com/science/article/pii/S0022285209000174?ref=pdf_download&amp;fr=RR-2&amp;rr=980b5fd91994940b" TargetMode="External"/><Relationship Id="rId177" Type="http://schemas.openxmlformats.org/officeDocument/2006/relationships/hyperlink" Target="https://pubs.acs.org/doi/full/10.1021/jp408960e" TargetMode="External"/><Relationship Id="rId198" Type="http://schemas.openxmlformats.org/officeDocument/2006/relationships/hyperlink" Target="https://www.sciencedirect.com/science/article/pii/S0022285205002341" TargetMode="External"/><Relationship Id="rId321" Type="http://schemas.openxmlformats.org/officeDocument/2006/relationships/hyperlink" Target="https://www.sciencedirect.com/science/article/pii/S0022407325002390?via%3Dihub" TargetMode="External"/><Relationship Id="rId342" Type="http://schemas.openxmlformats.org/officeDocument/2006/relationships/hyperlink" Target="https://www.tandfonline.com/doi/full/10.1080/00268976.2011.646333" TargetMode="External"/><Relationship Id="rId363" Type="http://schemas.openxmlformats.org/officeDocument/2006/relationships/hyperlink" Target="https://www.sciencedirect.com/science/article/pii/002240739390069T" TargetMode="External"/><Relationship Id="rId202" Type="http://schemas.openxmlformats.org/officeDocument/2006/relationships/hyperlink" Target="https://www.sciencedirect.com/science/article/pii/S0022285224000432?via%3Dihub" TargetMode="External"/><Relationship Id="rId223" Type="http://schemas.openxmlformats.org/officeDocument/2006/relationships/hyperlink" Target="https://pubs.aip.org/aip/jcp/article/108/21/8976/477566/Collision-cross-section-of-rotational-transition" TargetMode="External"/><Relationship Id="rId244" Type="http://schemas.openxmlformats.org/officeDocument/2006/relationships/hyperlink" Target="https://www.sciencedirect.com/science/article/pii/S0022285204000748?via%3Dihub" TargetMode="External"/><Relationship Id="rId18" Type="http://schemas.openxmlformats.org/officeDocument/2006/relationships/hyperlink" Target="https://www.sciencedirect.com/science/article/pii/002228529190012Y" TargetMode="External"/><Relationship Id="rId39" Type="http://schemas.openxmlformats.org/officeDocument/2006/relationships/hyperlink" Target="https://www.sciencedirect.com/science/article/pii/S002228528571017X" TargetMode="External"/><Relationship Id="rId265" Type="http://schemas.openxmlformats.org/officeDocument/2006/relationships/hyperlink" Target="https://pubs.aip.org/aip/jcp/article/115/5/2198/438040/Shifting-and-broadening-in-the-fundamental-band-of" TargetMode="External"/><Relationship Id="rId286" Type="http://schemas.openxmlformats.org/officeDocument/2006/relationships/hyperlink" Target="https://arxiv.org/abs/2505.13560" TargetMode="External"/><Relationship Id="rId50" Type="http://schemas.openxmlformats.org/officeDocument/2006/relationships/hyperlink" Target="https://link.springer.com/article/10.1134/S1024856023040127?fromPaywallRec=false" TargetMode="External"/><Relationship Id="rId104" Type="http://schemas.openxmlformats.org/officeDocument/2006/relationships/hyperlink" Target="https://www.sciencedirect.com/science/article/pii/S1386142520308623" TargetMode="External"/><Relationship Id="rId125" Type="http://schemas.openxmlformats.org/officeDocument/2006/relationships/hyperlink" Target="https://link.springer.com/article/10.1134/S0030400X21010021" TargetMode="External"/><Relationship Id="rId146" Type="http://schemas.openxmlformats.org/officeDocument/2006/relationships/hyperlink" Target="https://journals.aps.org/pra/abstract/10.1103/PhysRevA.49.3557" TargetMode="External"/><Relationship Id="rId167" Type="http://schemas.openxmlformats.org/officeDocument/2006/relationships/hyperlink" Target="https://cdnsciencepub.com/doi/full/10.1139/P08-123" TargetMode="External"/><Relationship Id="rId188" Type="http://schemas.openxmlformats.org/officeDocument/2006/relationships/hyperlink" Target="https://www.sciencedirect.com/science/article/pii/S0022285207002032?ref=pdf_download&amp;fr=RR-2&amp;rr=980b8a52fbef93f4" TargetMode="External"/><Relationship Id="rId311" Type="http://schemas.openxmlformats.org/officeDocument/2006/relationships/hyperlink" Target="https://www.tandfonline.com/doi/pdf/10.1080/00268976.2017.1311422?utm_source=scopus&amp;getft_integrator=scopus" TargetMode="External"/><Relationship Id="rId332" Type="http://schemas.openxmlformats.org/officeDocument/2006/relationships/hyperlink" Target="https://pubs.acs.org/doi/abs/10.1021/j100185a012" TargetMode="External"/><Relationship Id="rId353" Type="http://schemas.openxmlformats.org/officeDocument/2006/relationships/hyperlink" Target="https://www.sciencedirect.com/science/article/pii/0009261478857339?pes=vor&amp;utm_source=scopus&amp;getft_integrator=scopus" TargetMode="External"/><Relationship Id="rId374" Type="http://schemas.openxmlformats.org/officeDocument/2006/relationships/hyperlink" Target="https://www.sciencedirect.com/science/article/pii/002240737290177X?via=ihub" TargetMode="External"/><Relationship Id="rId71" Type="http://schemas.openxmlformats.org/officeDocument/2006/relationships/hyperlink" Target="https://pubs.aip.org/aip/jcp/article/112/9/4069/294479/Theoretical-and-experimental-investigation-of" TargetMode="External"/><Relationship Id="rId92" Type="http://schemas.openxmlformats.org/officeDocument/2006/relationships/hyperlink" Target="https://www.sciencedirect.com/science/article/abs/pii/S002240732500161X" TargetMode="External"/><Relationship Id="rId213" Type="http://schemas.openxmlformats.org/officeDocument/2006/relationships/hyperlink" Target="https://www.sciencedirect.com/science/article/pii/S0022407321000595" TargetMode="External"/><Relationship Id="rId234" Type="http://schemas.openxmlformats.org/officeDocument/2006/relationships/hyperlink" Target="https://www.sciencedirect.com/science/article/pii/S0022285221000643?ref=pdf_download&amp;fr=RR-2&amp;rr=981063d918eb7f0d" TargetMode="External"/><Relationship Id="rId2" Type="http://schemas.openxmlformats.org/officeDocument/2006/relationships/hyperlink" Target="https://www.sciencedirect.com/science/article/pii/S0022407316302801" TargetMode="External"/><Relationship Id="rId29" Type="http://schemas.openxmlformats.org/officeDocument/2006/relationships/hyperlink" Target="https://www.sciencedirect.com/science/article/pii/S0022407316304514" TargetMode="External"/><Relationship Id="rId255" Type="http://schemas.openxmlformats.org/officeDocument/2006/relationships/hyperlink" Target="https://www.sciencedirect.com/science/article/pii/S0022407396001185" TargetMode="External"/><Relationship Id="rId276" Type="http://schemas.openxmlformats.org/officeDocument/2006/relationships/hyperlink" Target="https://cdnsciencepub.com/doi/pdf/10.1139/v04-069" TargetMode="External"/><Relationship Id="rId297" Type="http://schemas.openxmlformats.org/officeDocument/2006/relationships/hyperlink" Target="https://link.springer.com/article/10.1134/s0030400x13010244?utm_source=getftr&amp;utm_medium=getftr&amp;utm_campaign=getftr_pilot&amp;getft_integrator=scopus" TargetMode="External"/><Relationship Id="rId40" Type="http://schemas.openxmlformats.org/officeDocument/2006/relationships/hyperlink" Target="https://www.sciencedirect.com/science/article/pii/S0022407322001017" TargetMode="External"/><Relationship Id="rId115" Type="http://schemas.openxmlformats.org/officeDocument/2006/relationships/hyperlink" Target="https://www.sciencedirect.com/science/article/pii/0022285287902153" TargetMode="External"/><Relationship Id="rId136" Type="http://schemas.openxmlformats.org/officeDocument/2006/relationships/hyperlink" Target="https://www.sciencedirect.com/science/article/pii/S0022407310002487" TargetMode="External"/><Relationship Id="rId157" Type="http://schemas.openxmlformats.org/officeDocument/2006/relationships/hyperlink" Target="https://pubs.aip.org/aip/jcp/article/141/6/064313/353466" TargetMode="External"/><Relationship Id="rId178" Type="http://schemas.openxmlformats.org/officeDocument/2006/relationships/hyperlink" Target="https://www.sciencedirect.com/science/article/pii/S0022407315002137?ref=pdf_download&amp;fr=RR-2&amp;rr=980b7ce659eb93f4" TargetMode="External"/><Relationship Id="rId301" Type="http://schemas.openxmlformats.org/officeDocument/2006/relationships/hyperlink" Target="https://www.sciencedirect.com/science/article/pii/S0022286014009867?pes=vor&amp;utm_source=scopus&amp;getft_integrator=scopus" TargetMode="External"/><Relationship Id="rId322" Type="http://schemas.openxmlformats.org/officeDocument/2006/relationships/hyperlink" Target="https://www.sciencedirect.com/science/article/pii/S0022407325002328?via%3Dihub" TargetMode="External"/><Relationship Id="rId343" Type="http://schemas.openxmlformats.org/officeDocument/2006/relationships/hyperlink" Target="https://journals.aps.org/pra/abstract/10.1103/PhysRevA.63.032705" TargetMode="External"/><Relationship Id="rId364" Type="http://schemas.openxmlformats.org/officeDocument/2006/relationships/hyperlink" Target="https://www.sciencedirect.com/science/article/pii/S0019103514001638" TargetMode="External"/><Relationship Id="rId61" Type="http://schemas.openxmlformats.org/officeDocument/2006/relationships/hyperlink" Target="https://www.tandfonline.com/doi/full/10.1080/00268970802698655" TargetMode="External"/><Relationship Id="rId82" Type="http://schemas.openxmlformats.org/officeDocument/2006/relationships/hyperlink" Target="https://www.sciencedirect.com/science/article/pii/0022407375900825?pes=vor" TargetMode="External"/><Relationship Id="rId199" Type="http://schemas.openxmlformats.org/officeDocument/2006/relationships/hyperlink" Target="https://www.sciencedirect.com/science/article/pii/S0022285299979407" TargetMode="External"/><Relationship Id="rId203" Type="http://schemas.openxmlformats.org/officeDocument/2006/relationships/hyperlink" Target="https://www.sciencedirect.com/science/article/pii/S0022285209000095?via%3Dihub" TargetMode="External"/><Relationship Id="rId19" Type="http://schemas.openxmlformats.org/officeDocument/2006/relationships/hyperlink" Target="https://www.sciencedirect.com/science/article/pii/0022407382900231" TargetMode="External"/><Relationship Id="rId224" Type="http://schemas.openxmlformats.org/officeDocument/2006/relationships/hyperlink" Target="https://iopscience.iop.org/article/10.1238/Physica.Regular.061a00581" TargetMode="External"/><Relationship Id="rId245" Type="http://schemas.openxmlformats.org/officeDocument/2006/relationships/hyperlink" Target="https://www.sciencedirect.com/science/article/pii/S0022407316304253?via%3Dihub" TargetMode="External"/><Relationship Id="rId266" Type="http://schemas.openxmlformats.org/officeDocument/2006/relationships/hyperlink" Target="https://www.sciencedirect.com/science/article/pii/S0022285205002353?via%3Dihub" TargetMode="External"/><Relationship Id="rId287" Type="http://schemas.openxmlformats.org/officeDocument/2006/relationships/hyperlink" Target="https://opg.optica.org/ao/fulltext.cfm?uri=ao-28-23-5080&amp;id=33024" TargetMode="External"/><Relationship Id="rId30" Type="http://schemas.openxmlformats.org/officeDocument/2006/relationships/hyperlink" Target="https://www.sciencedirect.com/science/article/pii/S0022407316308305" TargetMode="External"/><Relationship Id="rId105" Type="http://schemas.openxmlformats.org/officeDocument/2006/relationships/hyperlink" Target="https://www.sciencedirect.com/science/article/pii/S0022407317308154?pes=vor&amp;utm_source=scopus&amp;getft_integrator=scopus" TargetMode="External"/><Relationship Id="rId126" Type="http://schemas.openxmlformats.org/officeDocument/2006/relationships/hyperlink" Target="https://analyticalsciencejournals.onlinelibrary.wiley.com/doi/10.1002/jrs.2663" TargetMode="External"/><Relationship Id="rId147" Type="http://schemas.openxmlformats.org/officeDocument/2006/relationships/hyperlink" Target="https://www.sciencedirect.com/science/article/pii/0022407392900397" TargetMode="External"/><Relationship Id="rId168" Type="http://schemas.openxmlformats.org/officeDocument/2006/relationships/hyperlink" Target="https://www.sciencedirect.com/science/article/pii/S0022407317300468?ref=pdf_download&amp;fr=RR-2&amp;rr=980b7243bb8193f4" TargetMode="External"/><Relationship Id="rId312" Type="http://schemas.openxmlformats.org/officeDocument/2006/relationships/hyperlink" Target="https://www.tandfonline.com/doi/pdf/10.1080/00268976.2018.1432905?utm_source=scopus&amp;getft_integrator=scopus" TargetMode="External"/><Relationship Id="rId333" Type="http://schemas.openxmlformats.org/officeDocument/2006/relationships/hyperlink" Target="https://www.sciencedirect.com/science/article/pii/S0022407323002753?pes=vor&amp;utm_source=scopus&amp;getft_integrator=scopus" TargetMode="External"/><Relationship Id="rId354" Type="http://schemas.openxmlformats.org/officeDocument/2006/relationships/hyperlink" Target="https://www.sciencedirect.com/science/article/pii/0022285277903654?pes=vor&amp;utm_source=scopus&amp;getft_integrator=scopus" TargetMode="External"/><Relationship Id="rId51" Type="http://schemas.openxmlformats.org/officeDocument/2006/relationships/hyperlink" Target="https://www.sciencedirect.com/science/article/pii/S0022285201984528" TargetMode="External"/><Relationship Id="rId72" Type="http://schemas.openxmlformats.org/officeDocument/2006/relationships/hyperlink" Target="https://www.sciencedirect.com/science/article/pii/S0022407322001534?via%3Dihub" TargetMode="External"/><Relationship Id="rId93" Type="http://schemas.openxmlformats.org/officeDocument/2006/relationships/hyperlink" Target="https://www.sciencedirect.com/science/article/abs/pii/S0022407325001451" TargetMode="External"/><Relationship Id="rId189" Type="http://schemas.openxmlformats.org/officeDocument/2006/relationships/hyperlink" Target="https://www.sciencedirect.com/science/article/pii/S0022407308000101?ref=pdf_download&amp;fr=RR-2&amp;rr=980b8b6aded993f4" TargetMode="External"/><Relationship Id="rId3" Type="http://schemas.openxmlformats.org/officeDocument/2006/relationships/hyperlink" Target="https://www.mdpi.com/2076-3417/13/3/1370/review_report" TargetMode="External"/><Relationship Id="rId214" Type="http://schemas.openxmlformats.org/officeDocument/2006/relationships/hyperlink" Target="https://www.sciencedirect.com/science/article/pii/S0022407321004489" TargetMode="External"/><Relationship Id="rId235" Type="http://schemas.openxmlformats.org/officeDocument/2006/relationships/hyperlink" Target="https://www.sciencedirect.com/science/article/pii/S0022407319303577?ref=pdf_download&amp;fr=RR-2&amp;rr=98106474a8467f0d" TargetMode="External"/><Relationship Id="rId256" Type="http://schemas.openxmlformats.org/officeDocument/2006/relationships/hyperlink" Target="https://www.sciencedirect.com/science/article/pii/S0022285298976287" TargetMode="External"/><Relationship Id="rId277" Type="http://schemas.openxmlformats.org/officeDocument/2006/relationships/hyperlink" Target="https://www.sciencedirect.com/science/article/pii/S0022407313002513" TargetMode="External"/><Relationship Id="rId298" Type="http://schemas.openxmlformats.org/officeDocument/2006/relationships/hyperlink" Target="https://link.springer.com/article/10.1134/s0030400x13070187?utm_source=getftr&amp;utm_medium=getftr&amp;utm_campaign=getftr_pilot&amp;getft_integrator=scopus" TargetMode="External"/><Relationship Id="rId116" Type="http://schemas.openxmlformats.org/officeDocument/2006/relationships/hyperlink" Target="https://pubs.aip.org/aip/jcp/article/33/1/145/207303/Molecular-Collision-Cross-Sections-from-Infrared" TargetMode="External"/><Relationship Id="rId137" Type="http://schemas.openxmlformats.org/officeDocument/2006/relationships/hyperlink" Target="https://opg.optica.org/ao/fulltext.cfm?uri=ao-30-3-281&amp;id=38706" TargetMode="External"/><Relationship Id="rId158" Type="http://schemas.openxmlformats.org/officeDocument/2006/relationships/hyperlink" Target="https://www.sciencedirect.com/science/article/pii/S0022407316302771" TargetMode="External"/><Relationship Id="rId302" Type="http://schemas.openxmlformats.org/officeDocument/2006/relationships/hyperlink" Target="https://link.springer.com/article/10.1134/s0030400x17070244?utm_source=getftr&amp;utm_medium=getftr&amp;utm_campaign=getftr_pilot&amp;getft_integrator=scopus" TargetMode="External"/><Relationship Id="rId323" Type="http://schemas.openxmlformats.org/officeDocument/2006/relationships/hyperlink" Target="https://www.sciencedirect.com/science/article/pii/S0022407324003789?via%3Dihub" TargetMode="External"/><Relationship Id="rId344" Type="http://schemas.openxmlformats.org/officeDocument/2006/relationships/hyperlink" Target="https://www.sciencedirect.com/science/article/pii/0022407389900186" TargetMode="External"/><Relationship Id="rId20" Type="http://schemas.openxmlformats.org/officeDocument/2006/relationships/hyperlink" Target="https://pubs.aip.org/aip/jcp/article/58/10/4149/784900/On-a-semiclassical-study-of-molecular-collisions" TargetMode="External"/><Relationship Id="rId41" Type="http://schemas.openxmlformats.org/officeDocument/2006/relationships/hyperlink" Target="https://www.sciencedirect.com/science/article/pii/0020089189900328" TargetMode="External"/><Relationship Id="rId62" Type="http://schemas.openxmlformats.org/officeDocument/2006/relationships/hyperlink" Target="https://www.sciencedirect.com/science/article/pii/S0022407313002756" TargetMode="External"/><Relationship Id="rId83" Type="http://schemas.openxmlformats.org/officeDocument/2006/relationships/hyperlink" Target="https://www.scopus.com/record/display.uri?eid=2-s2.0-0035425287&amp;origin=resultslist&amp;sort=plf-f&amp;cite=2-s2.0-0001546890&amp;src=s&amp;imp=t&amp;sid=f4811c42241924e0e671c239089ec539&amp;sot=cite&amp;sdt=a&amp;sl=0&amp;relpos=16&amp;citeCnt=63&amp;searchTerm=" TargetMode="External"/><Relationship Id="rId179" Type="http://schemas.openxmlformats.org/officeDocument/2006/relationships/hyperlink" Target="https://www.sciencedirect.com/science/article/pii/S0022407315002289?ref=pdf_download&amp;fr=RR-2&amp;rr=980b7d79ef7893f4" TargetMode="External"/><Relationship Id="rId365" Type="http://schemas.openxmlformats.org/officeDocument/2006/relationships/hyperlink" Target="https://link.springer.com/article/10.1134/S0030400X11020160" TargetMode="External"/><Relationship Id="rId190" Type="http://schemas.openxmlformats.org/officeDocument/2006/relationships/hyperlink" Target="https://www.sciencedirect.com/science/article/pii/S0022407310000658?ref=pdf_download&amp;fr=RR-2&amp;rr=980b8efbbc7693f4" TargetMode="External"/><Relationship Id="rId204" Type="http://schemas.openxmlformats.org/officeDocument/2006/relationships/hyperlink" Target="https://www.sciencedirect.com/science/article/pii/S0022285200980561" TargetMode="External"/><Relationship Id="rId225" Type="http://schemas.openxmlformats.org/officeDocument/2006/relationships/hyperlink" Target="http://przyrbwn.icm.edu.pl/APP/PDF/81/a081z6p02.pdf" TargetMode="External"/><Relationship Id="rId246" Type="http://schemas.openxmlformats.org/officeDocument/2006/relationships/hyperlink" Target="https://www.sciencedirect.com/science/article/pii/S0022285218303540?via%3Dihub" TargetMode="External"/><Relationship Id="rId267" Type="http://schemas.openxmlformats.org/officeDocument/2006/relationships/hyperlink" Target="https://cdnsciencepub.com/doi/10.1139/p58-009" TargetMode="External"/><Relationship Id="rId288" Type="http://schemas.openxmlformats.org/officeDocument/2006/relationships/hyperlink" Target="https://link.springer.com/article/10.1134/1.1953974?utm_source=getftr&amp;utm_medium=getftr&amp;utm_campaign=getftr_pilot&amp;getft_integrator=scopus" TargetMode="External"/><Relationship Id="rId106" Type="http://schemas.openxmlformats.org/officeDocument/2006/relationships/hyperlink" Target="https://www.sciencedirect.com/science/article/pii/S0022407319301396" TargetMode="External"/><Relationship Id="rId127" Type="http://schemas.openxmlformats.org/officeDocument/2006/relationships/hyperlink" Target="https://www.sciencedirect.com/science/article/pii/S0022407324000840?via%3Dihub" TargetMode="External"/><Relationship Id="rId313" Type="http://schemas.openxmlformats.org/officeDocument/2006/relationships/hyperlink" Target="http://tandfonline.com/doi/pdf/10.1080/00268976.2018.1503743?utm_source=scopus&amp;getft_integrator=scopus" TargetMode="External"/><Relationship Id="rId10" Type="http://schemas.openxmlformats.org/officeDocument/2006/relationships/hyperlink" Target="https://www.sciencedirect.com/science/article/pii/S0022407320310050" TargetMode="External"/><Relationship Id="rId31" Type="http://schemas.openxmlformats.org/officeDocument/2006/relationships/hyperlink" Target="https://pubs.aip.org/aip/jcp/article/113/1/158/184492" TargetMode="External"/><Relationship Id="rId52" Type="http://schemas.openxmlformats.org/officeDocument/2006/relationships/hyperlink" Target="https://www.sciencedirect.com/science/article/pii/S0022407316306835" TargetMode="External"/><Relationship Id="rId73" Type="http://schemas.openxmlformats.org/officeDocument/2006/relationships/hyperlink" Target="https://link.springer.com/article/10.1134/S1024856023050160?fromPaywallRec=false" TargetMode="External"/><Relationship Id="rId94" Type="http://schemas.openxmlformats.org/officeDocument/2006/relationships/hyperlink" Target="https://www.sciencedirect.com/science/article/pii/S0022407325002389" TargetMode="External"/><Relationship Id="rId148" Type="http://schemas.openxmlformats.org/officeDocument/2006/relationships/hyperlink" Target="https://www.sciencedirect.com/science/article/pii/000926149190389Q" TargetMode="External"/><Relationship Id="rId169" Type="http://schemas.openxmlformats.org/officeDocument/2006/relationships/hyperlink" Target="https://www.sciencedirect.com/science/article/pii/S002240731630440X?ref=pdf_download&amp;fr=RR-2&amp;rr=980b72e0af4793f4" TargetMode="External"/><Relationship Id="rId334" Type="http://schemas.openxmlformats.org/officeDocument/2006/relationships/hyperlink" Target="https://www.sciencedirect.com/science/article/pii/S0022285216302302?pes=vor&amp;utm_source=scopus&amp;getft_integrator=scopus" TargetMode="External"/><Relationship Id="rId355" Type="http://schemas.openxmlformats.org/officeDocument/2006/relationships/hyperlink" Target="https://www.sciencedirect.com/science/article/pii/S0022407316308858?pes=vor&amp;utm_source=scopus&amp;getft_integrator=scopus" TargetMode="External"/><Relationship Id="rId4" Type="http://schemas.openxmlformats.org/officeDocument/2006/relationships/hyperlink" Target="https://www.sciencedirect.com/science/article/pii/S0022285215001770?via%3Dihub" TargetMode="External"/><Relationship Id="rId180" Type="http://schemas.openxmlformats.org/officeDocument/2006/relationships/hyperlink" Target="https://www.sciencedirect.com/science/article/pii/S0022285208000568?ref=pdf_download&amp;fr=RR-2&amp;rr=980b7e2ead8293f4" TargetMode="External"/><Relationship Id="rId215" Type="http://schemas.openxmlformats.org/officeDocument/2006/relationships/hyperlink" Target="https://www.sciencedirect.com/science/article/pii/0020089187900285" TargetMode="External"/><Relationship Id="rId236" Type="http://schemas.openxmlformats.org/officeDocument/2006/relationships/hyperlink" Target="https://www.sciencedirect.com/science/article/pii/S0022407315300820?ref=pdf_download&amp;fr=RR-2&amp;rr=9810652d3ce17f0d" TargetMode="External"/><Relationship Id="rId257" Type="http://schemas.openxmlformats.org/officeDocument/2006/relationships/hyperlink" Target="https://www.sciencedirect.com/science/article/pii/S0022285201983286?ref=pdf_download&amp;fr=RR-2&amp;rr=98107cb0c9877f0d" TargetMode="External"/><Relationship Id="rId278" Type="http://schemas.openxmlformats.org/officeDocument/2006/relationships/hyperlink" Target="https://pubs.aip.org/aip/jcp/article/100/4/2677/112433/Pressure-broadening-and-collisional-narrowing-in" TargetMode="External"/><Relationship Id="rId303" Type="http://schemas.openxmlformats.org/officeDocument/2006/relationships/hyperlink" Target="https://link.springer.com/article/10.1134/s102485601704011x?utm_source=getftr&amp;utm_medium=getftr&amp;utm_campaign=getftr_pilot&amp;getft_integrator=scopus" TargetMode="External"/><Relationship Id="rId42" Type="http://schemas.openxmlformats.org/officeDocument/2006/relationships/hyperlink" Target="https://www.researchgate.net/publication/1908993_Collision_Cross_Section_of_the_J_2_-_1_Rotational_Transition_of_CF3CCH_due_to_Higher_Order_Interactions" TargetMode="External"/><Relationship Id="rId84" Type="http://schemas.openxmlformats.org/officeDocument/2006/relationships/hyperlink" Target="https://pubs.aip.org/aip/jcp/article/133/4/044311/190446/Cross-sections-for-rotational-decoherence-of?getftrtoken=AQECAHi208BE49Ooan9kkhW_Ercy7Dm3ZL_9Cf3qfKAc485ysgAAALIwga8GCSqGSIb3DQEHBqCBoTCBngIBADCBmAYJKoZIhvcNAQcBMB4GCWCGSAFlAwQBLjARBAxepGZ3kwGW8moA7uMCARCAazp10RUPVtLTUMR0Oou8LZMDShue0kCeJNA4QpYdI94mbYNGUmcKlsXMDRzWU-EWpKgT2SYGAFA4h3RiqsFU4IAu4IYxKgHBL7X5UvOZYsAs-9baPqzzqRXYxrvtpGhqpUDsQTRFZCwT_jBn" TargetMode="External"/><Relationship Id="rId138" Type="http://schemas.openxmlformats.org/officeDocument/2006/relationships/hyperlink" Target="https://www.sciencedirect.com/science/article/pii/S0022407308001271" TargetMode="External"/><Relationship Id="rId345" Type="http://schemas.openxmlformats.org/officeDocument/2006/relationships/hyperlink" Target="https://journals.aps.org/pra/abstract/10.1103/PhysRevA.40.642" TargetMode="External"/><Relationship Id="rId191" Type="http://schemas.openxmlformats.org/officeDocument/2006/relationships/hyperlink" Target="https://www.sciencedirect.com/science/article/pii/S0019103511001126?ref=pdf_download&amp;fr=RR-2&amp;rr=980b90212b0e93f4" TargetMode="External"/><Relationship Id="rId205" Type="http://schemas.openxmlformats.org/officeDocument/2006/relationships/hyperlink" Target="https://www.sciencedirect.com/science/article/pii/S0022285297972908" TargetMode="External"/><Relationship Id="rId247" Type="http://schemas.openxmlformats.org/officeDocument/2006/relationships/hyperlink" Target="https://www.sciencedirect.com/science/article/pii/0022407395001913" TargetMode="External"/><Relationship Id="rId107" Type="http://schemas.openxmlformats.org/officeDocument/2006/relationships/hyperlink" Target="https://www.tandfonline.com/doi/full/10.1080/00268976.2012.720040" TargetMode="External"/><Relationship Id="rId289" Type="http://schemas.openxmlformats.org/officeDocument/2006/relationships/hyperlink" Target="https://link.springer.com/article/10.1134/s1024856010060047?utm_source=getftr&amp;utm_medium=getftr&amp;utm_campaign=getftr_pilot&amp;getft_integrator=scopus" TargetMode="External"/><Relationship Id="rId11" Type="http://schemas.openxmlformats.org/officeDocument/2006/relationships/hyperlink" Target="https://www.sciencedirect.com/science/article/pii/S0022407323003680?via%3Dihub" TargetMode="External"/><Relationship Id="rId53" Type="http://schemas.openxmlformats.org/officeDocument/2006/relationships/hyperlink" Target="https://www.sciencedirect.com/science/article/pii/S0022407319300342" TargetMode="External"/><Relationship Id="rId149" Type="http://schemas.openxmlformats.org/officeDocument/2006/relationships/hyperlink" Target="https://www.scopus.com/record/display.uri?eid=2-s2.0-0343115451&amp;origin=inward&amp;txGid=a45d4ecbcf1ea7fd3f85f0421bbaaf18" TargetMode="External"/><Relationship Id="rId314" Type="http://schemas.openxmlformats.org/officeDocument/2006/relationships/hyperlink" Target="https://link.springer.com/article/10.1134/S1024856021040096" TargetMode="External"/><Relationship Id="rId356" Type="http://schemas.openxmlformats.org/officeDocument/2006/relationships/hyperlink" Target="https://www.sciencedirect.com/science/article/pii/S0022285209000241?pes=vor&amp;utm_source=scopus&amp;getft_integrator=scopus" TargetMode="External"/><Relationship Id="rId95" Type="http://schemas.openxmlformats.org/officeDocument/2006/relationships/hyperlink" Target="https://www.sciencedirect.com/science/article/pii/S0022407312004268" TargetMode="External"/><Relationship Id="rId160" Type="http://schemas.openxmlformats.org/officeDocument/2006/relationships/hyperlink" Target="https://www.sciencedirect.com/science/article/pii/S0022407314003525?ref=pdf_download&amp;fr=RR-2&amp;rr=980b624668ab940b" TargetMode="External"/><Relationship Id="rId216" Type="http://schemas.openxmlformats.org/officeDocument/2006/relationships/hyperlink" Target="https://www.sciencedirect.com/science/article/pii/0022285285903224" TargetMode="External"/><Relationship Id="rId258" Type="http://schemas.openxmlformats.org/officeDocument/2006/relationships/hyperlink" Target="https://www.sciencedirect.com/science/article/pii/S0022285202985760?ref=pdf_download&amp;fr=RR-2&amp;rr=98107d37ab367f0d" TargetMode="External"/><Relationship Id="rId22" Type="http://schemas.openxmlformats.org/officeDocument/2006/relationships/hyperlink" Target="https://www.sciencedirect.com/science/article/pii/S0019103522002020" TargetMode="External"/><Relationship Id="rId64" Type="http://schemas.openxmlformats.org/officeDocument/2006/relationships/hyperlink" Target="https://link.springer.com/article/10.1134/S0030400X08070035" TargetMode="External"/><Relationship Id="rId118" Type="http://schemas.openxmlformats.org/officeDocument/2006/relationships/hyperlink" Target="https://pubs.aip.org/aip/jcp/article/78/10/5900/90237" TargetMode="External"/><Relationship Id="rId325" Type="http://schemas.openxmlformats.org/officeDocument/2006/relationships/hyperlink" Target="https://www.sciencedirect.com/science/article/pii/S0022407324002590" TargetMode="External"/><Relationship Id="rId367" Type="http://schemas.openxmlformats.org/officeDocument/2006/relationships/hyperlink" Target="https://pubs.aip.org/aip/jcp/article/163/13/134303/3365636/Line-shape-parameters-of-the-first-pure-rotational" TargetMode="External"/><Relationship Id="rId171" Type="http://schemas.openxmlformats.org/officeDocument/2006/relationships/hyperlink" Target="https://www.sciencedirect.com/science/article/pii/S0022285208003391?ref=pdf_download&amp;fr=RR-2&amp;rr=980b7445a92f93f4" TargetMode="External"/><Relationship Id="rId227" Type="http://schemas.openxmlformats.org/officeDocument/2006/relationships/hyperlink" Target="https://link.springer.com/article/10.1007/s00340-017-6830-8" TargetMode="External"/><Relationship Id="rId269" Type="http://schemas.openxmlformats.org/officeDocument/2006/relationships/hyperlink" Target="https://journals.aps.org/pr/abstract/10.1103/PhysRev.132.262" TargetMode="External"/><Relationship Id="rId33" Type="http://schemas.openxmlformats.org/officeDocument/2006/relationships/hyperlink" Target="https://www.sciencedirect.com/science/article/pii/S002240732400133X?via%3Dihub" TargetMode="External"/><Relationship Id="rId129" Type="http://schemas.openxmlformats.org/officeDocument/2006/relationships/hyperlink" Target="https://iopscience.iop.org/article/10.3847/1538-4365/ac83a6" TargetMode="External"/><Relationship Id="rId280" Type="http://schemas.openxmlformats.org/officeDocument/2006/relationships/hyperlink" Target="https://link.springer.com/article/10.1140/epjd/e2005-00022-0" TargetMode="External"/><Relationship Id="rId336" Type="http://schemas.openxmlformats.org/officeDocument/2006/relationships/hyperlink" Target="https://www.sciencedirect.com/science/article/abs/pii/S002228521930075X?via%3Dihub" TargetMode="External"/><Relationship Id="rId75" Type="http://schemas.openxmlformats.org/officeDocument/2006/relationships/hyperlink" Target="https://www.sciencedirect.com/science/article/pii/S0022407310002487" TargetMode="External"/><Relationship Id="rId140" Type="http://schemas.openxmlformats.org/officeDocument/2006/relationships/hyperlink" Target="https://www.sciencedirect.com/science/article/pii/S0022407304000706" TargetMode="External"/><Relationship Id="rId182" Type="http://schemas.openxmlformats.org/officeDocument/2006/relationships/hyperlink" Target="https://www.sciencedirect.com/science/article/pii/S0022407312005675?ref=pdf_download&amp;fr=RR-2&amp;rr=980b7fcc5e0293f4" TargetMode="External"/><Relationship Id="rId6" Type="http://schemas.openxmlformats.org/officeDocument/2006/relationships/hyperlink" Target="http://przyrbwn.icm.edu.pl/APP/PDF/101/A101Z604.pdf" TargetMode="External"/><Relationship Id="rId238" Type="http://schemas.openxmlformats.org/officeDocument/2006/relationships/hyperlink" Target="https://www.sciencedirect.com/science/article/pii/S002240731400449X?ref=pdf_download&amp;fr=RR-2&amp;rr=981066fdac0d7f0d" TargetMode="External"/><Relationship Id="rId291" Type="http://schemas.openxmlformats.org/officeDocument/2006/relationships/hyperlink" Target="https://link.springer.com/article/10.1134/1.1914888?utm_source=getftr&amp;utm_medium=getftr&amp;utm_campaign=getftr_pilot&amp;getft_integrator=scopus" TargetMode="External"/><Relationship Id="rId305" Type="http://schemas.openxmlformats.org/officeDocument/2006/relationships/hyperlink" Target="https://link.springer.com/article/10.1134/s0030400x19080277?utm_source=getftr&amp;utm_medium=getftr&amp;utm_campaign=getftr_pilot&amp;getft_integrator=scopus" TargetMode="External"/><Relationship Id="rId347" Type="http://schemas.openxmlformats.org/officeDocument/2006/relationships/hyperlink" Target="https://www.sciencedirect.com/science/article/pii/S0022407310003341" TargetMode="External"/><Relationship Id="rId44" Type="http://schemas.openxmlformats.org/officeDocument/2006/relationships/hyperlink" Target="https://www.sciencedirect.com/science/article/pii/S0022407314002362?via%3Dihub" TargetMode="External"/><Relationship Id="rId86" Type="http://schemas.openxmlformats.org/officeDocument/2006/relationships/hyperlink" Target="https://analyticalsciencejournals.onlinelibrary.wiley.com/doi/abs/10.1002/jrs.1975" TargetMode="External"/><Relationship Id="rId151" Type="http://schemas.openxmlformats.org/officeDocument/2006/relationships/hyperlink" Target="https://www.sciencedirect.com/science/article/pii/0009261479870499" TargetMode="External"/><Relationship Id="rId193" Type="http://schemas.openxmlformats.org/officeDocument/2006/relationships/hyperlink" Target="https://www.sciencedirect.com/science/article/pii/S0022285208001161?fr=RR-2&amp;ref=pdf_download&amp;rr=980fe4eefec5776b" TargetMode="External"/><Relationship Id="rId207" Type="http://schemas.openxmlformats.org/officeDocument/2006/relationships/hyperlink" Target="https://www.sciencedirect.com/science/article/pii/0022407387900574" TargetMode="External"/><Relationship Id="rId249" Type="http://schemas.openxmlformats.org/officeDocument/2006/relationships/hyperlink" Target="https://www.tandfonline.com/doi/epdf/10.1080/00268970412331287133?src=getftr" TargetMode="External"/><Relationship Id="rId13" Type="http://schemas.openxmlformats.org/officeDocument/2006/relationships/hyperlink" Target="https://www.sciencedirect.com/science/article/pii/S0022407315002988" TargetMode="External"/><Relationship Id="rId109" Type="http://schemas.openxmlformats.org/officeDocument/2006/relationships/hyperlink" Target="https://journals.sagepub.com/doi/abs/10.3233/JCM-2010-0346" TargetMode="External"/><Relationship Id="rId260" Type="http://schemas.openxmlformats.org/officeDocument/2006/relationships/hyperlink" Target="https://www.scopus.com/record/display.uri?origin=citedby&amp;eid=2-s2.0-85045123122&amp;noHighlight=false&amp;relpos=0" TargetMode="External"/><Relationship Id="rId316" Type="http://schemas.openxmlformats.org/officeDocument/2006/relationships/hyperlink" Target="https://link.springer.com/article/10.1134/S1024856022060070" TargetMode="External"/><Relationship Id="rId55" Type="http://schemas.openxmlformats.org/officeDocument/2006/relationships/hyperlink" Target="https://www.sciencedirect.com/science/article/pii/S1386142523000811" TargetMode="External"/><Relationship Id="rId97" Type="http://schemas.openxmlformats.org/officeDocument/2006/relationships/hyperlink" Target="https://www.sciencedirect.com/science/article/pii/S0022407308002331?via%3Dihub" TargetMode="External"/><Relationship Id="rId120" Type="http://schemas.openxmlformats.org/officeDocument/2006/relationships/hyperlink" Target="https://www.sciencedirect.com/science/article/pii/S0022407312000751" TargetMode="External"/><Relationship Id="rId358" Type="http://schemas.openxmlformats.org/officeDocument/2006/relationships/hyperlink" Target="https://www.sciencedirect.com/science/article/pii/S0022407320301679" TargetMode="External"/><Relationship Id="rId162" Type="http://schemas.openxmlformats.org/officeDocument/2006/relationships/hyperlink" Target="https://www.sciencedirect.com/science/article/pii/S0022407313000460?ref=pdf_download&amp;fr=RR-2&amp;rr=980b638578c7940b" TargetMode="External"/><Relationship Id="rId218" Type="http://schemas.openxmlformats.org/officeDocument/2006/relationships/hyperlink" Target="https://opg.optica.org/josa/fulltext.cfm?uri=josa-59-12-1598&amp;id=53879" TargetMode="External"/><Relationship Id="rId271" Type="http://schemas.openxmlformats.org/officeDocument/2006/relationships/hyperlink" Target="https://www.sciencedirect.com/science/article/pii/S0022407313002239" TargetMode="External"/><Relationship Id="rId24" Type="http://schemas.openxmlformats.org/officeDocument/2006/relationships/hyperlink" Target="https://www.tandfonline.com/doi/full/10.1080/00268970802001355" TargetMode="External"/><Relationship Id="rId66" Type="http://schemas.openxmlformats.org/officeDocument/2006/relationships/hyperlink" Target="https://www.sciencedirect.com/science/article/pii/S0022407313002756?via%3Dihub" TargetMode="External"/><Relationship Id="rId131" Type="http://schemas.openxmlformats.org/officeDocument/2006/relationships/hyperlink" Target="https://link.springer.com/article/10.1134/1.1651244" TargetMode="External"/><Relationship Id="rId327" Type="http://schemas.openxmlformats.org/officeDocument/2006/relationships/hyperlink" Target="https://www.sciencedirect.com/science/article/pii/S0022407311002986?pes=vor&amp;utm_source=scopus&amp;getft_integrator=scopus" TargetMode="External"/><Relationship Id="rId369" Type="http://schemas.openxmlformats.org/officeDocument/2006/relationships/hyperlink" Target="https://www.sciencedirect.com/science/article/pii/S0019103525004099?via%3Dihub" TargetMode="External"/><Relationship Id="rId173" Type="http://schemas.openxmlformats.org/officeDocument/2006/relationships/hyperlink" Target="https://www.sciencedirect.com/science/article/pii/S0022285215001307" TargetMode="External"/><Relationship Id="rId229" Type="http://schemas.openxmlformats.org/officeDocument/2006/relationships/hyperlink" Target="https://www.sciencedirect.com/science/article/pii/0022407375900825?via%3Dihub" TargetMode="External"/><Relationship Id="rId240" Type="http://schemas.openxmlformats.org/officeDocument/2006/relationships/hyperlink" Target="https://pubs.aip.org/aip/jcp/article/97/2/773/829100/Self-N2-O2-H2-Ar-and-He-broadening-in-the-3-band-Q" TargetMode="External"/><Relationship Id="rId35" Type="http://schemas.openxmlformats.org/officeDocument/2006/relationships/hyperlink" Target="https://link.springer.com/article/10.1134/S1024856020060159?fromPaywallRec=false" TargetMode="External"/><Relationship Id="rId77" Type="http://schemas.openxmlformats.org/officeDocument/2006/relationships/hyperlink" Target="https://www.sciencedirect.com/science/article/pii/S0022285214000083?via%3Dihub" TargetMode="External"/><Relationship Id="rId100" Type="http://schemas.openxmlformats.org/officeDocument/2006/relationships/hyperlink" Target="https://www.sciencedirect.com/science/article/pii/0022407396000982" TargetMode="External"/><Relationship Id="rId282" Type="http://schemas.openxmlformats.org/officeDocument/2006/relationships/hyperlink" Target="https://www.sciencedirect.com/science/article/pii/S0022285296900958?via%3Dihub" TargetMode="External"/><Relationship Id="rId338" Type="http://schemas.openxmlformats.org/officeDocument/2006/relationships/hyperlink" Target="https://www.sciencedirect.com/science/article/abs/pii/S0022285221001259?via%3Dihub" TargetMode="External"/><Relationship Id="rId8" Type="http://schemas.openxmlformats.org/officeDocument/2006/relationships/hyperlink" Target="https://pubs.acs.org/doi/10.1021/jp973470x" TargetMode="External"/><Relationship Id="rId142" Type="http://schemas.openxmlformats.org/officeDocument/2006/relationships/hyperlink" Target="https://www.sciencedirect.com/science/article/pii/S0022407398000624" TargetMode="External"/><Relationship Id="rId184" Type="http://schemas.openxmlformats.org/officeDocument/2006/relationships/hyperlink" Target="https://www.sciencedirect.com/science/article/pii/S0022407314002854" TargetMode="External"/><Relationship Id="rId251" Type="http://schemas.openxmlformats.org/officeDocument/2006/relationships/hyperlink" Target="https://www.sciencedirect.com/science/article/pii/S002240730200300X" TargetMode="External"/><Relationship Id="rId46" Type="http://schemas.openxmlformats.org/officeDocument/2006/relationships/hyperlink" Target="https://www.sciencedirect.com/science/article/pii/S0022407318306654" TargetMode="External"/><Relationship Id="rId293" Type="http://schemas.openxmlformats.org/officeDocument/2006/relationships/hyperlink" Target="https://link.springer.com/article/10.1134/s0030400x09110022?utm_source=getftr&amp;utm_medium=getftr&amp;utm_campaign=getftr_pilot&amp;getft_integrator=scopus" TargetMode="External"/><Relationship Id="rId307" Type="http://schemas.openxmlformats.org/officeDocument/2006/relationships/hyperlink" Target="https://link.springer.com/article/10.1134/s1024856024700635?utm_source=getftr&amp;utm_medium=getftr&amp;utm_campaign=getftr_pilot&amp;getft_integrator=scopus" TargetMode="External"/><Relationship Id="rId349" Type="http://schemas.openxmlformats.org/officeDocument/2006/relationships/hyperlink" Target="https://www.sciencedirect.com/science/article/pii/S0022285204003005?pes=vor&amp;utm_source=scopus&amp;getft_integrator=scopus" TargetMode="External"/><Relationship Id="rId88" Type="http://schemas.openxmlformats.org/officeDocument/2006/relationships/hyperlink" Target="https://www.sciencedirect.com/science/article/pii/030101049089035O" TargetMode="External"/><Relationship Id="rId111" Type="http://schemas.openxmlformats.org/officeDocument/2006/relationships/hyperlink" Target="https://opg.optica.org/ao/fulltext.cfm?uri=ao-27-15-3063&amp;id=165854" TargetMode="External"/><Relationship Id="rId153" Type="http://schemas.openxmlformats.org/officeDocument/2006/relationships/hyperlink" Target="https://www.sciencedirect.com/science/article/pii/S0022407307001653?ref=pdf_download&amp;fr=RR-2&amp;rr=980b5c9fdd29940b" TargetMode="External"/><Relationship Id="rId195" Type="http://schemas.openxmlformats.org/officeDocument/2006/relationships/hyperlink" Target="https://www.sciencedirect.com/science/article/pii/S002228521300074X?ref=pdf_download&amp;fr=RR-2&amp;rr=980fe6ef1d9a776b" TargetMode="External"/><Relationship Id="rId209" Type="http://schemas.openxmlformats.org/officeDocument/2006/relationships/hyperlink" Target="https://www.sciencedirect.com/science/article/pii/0022285284901577" TargetMode="External"/><Relationship Id="rId360" Type="http://schemas.openxmlformats.org/officeDocument/2006/relationships/hyperlink" Target="https://www.mdpi.com/1420-3049/28/8/3365" TargetMode="External"/><Relationship Id="rId220" Type="http://schemas.openxmlformats.org/officeDocument/2006/relationships/hyperlink" Target="https://www.sciencedirect.com/science/article/pii/0022285288900094" TargetMode="External"/><Relationship Id="rId15" Type="http://schemas.openxmlformats.org/officeDocument/2006/relationships/hyperlink" Target="https://www.tandfonline.com/doi/full/10.1080/00268976.2011.609139" TargetMode="External"/><Relationship Id="rId57" Type="http://schemas.openxmlformats.org/officeDocument/2006/relationships/hyperlink" Target="https://www.mdpi.com/1420-3049/27/3/646" TargetMode="External"/><Relationship Id="rId262" Type="http://schemas.openxmlformats.org/officeDocument/2006/relationships/hyperlink" Target="https://journals.aps.org/pra/pdf/10.1103/PhysRevA.49.3557" TargetMode="External"/><Relationship Id="rId318" Type="http://schemas.openxmlformats.org/officeDocument/2006/relationships/hyperlink" Target="https://www.sciencedirect.com/science/article/pii/S00222852150020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998"/>
  <sheetViews>
    <sheetView tabSelected="1" topLeftCell="A377" workbookViewId="0">
      <selection activeCell="D387" sqref="D387"/>
    </sheetView>
  </sheetViews>
  <sheetFormatPr baseColWidth="10" defaultColWidth="12.6640625" defaultRowHeight="50" customHeight="1" x14ac:dyDescent="0.15"/>
  <cols>
    <col min="2" max="2" width="6.6640625" bestFit="1" customWidth="1"/>
    <col min="3" max="3" width="52.83203125" style="41" customWidth="1"/>
    <col min="4" max="4" width="29.5" style="16" bestFit="1" customWidth="1"/>
    <col min="5" max="5" width="22.5" customWidth="1"/>
    <col min="6" max="6" width="43.1640625" customWidth="1"/>
    <col min="7" max="7" width="37.5" bestFit="1" customWidth="1"/>
    <col min="9" max="9" width="49.6640625" customWidth="1"/>
    <col min="10" max="10" width="17.83203125" customWidth="1"/>
    <col min="12" max="12" width="29.5" bestFit="1" customWidth="1"/>
  </cols>
  <sheetData>
    <row r="1" spans="1:31" ht="50" customHeight="1" x14ac:dyDescent="0.15">
      <c r="A1" s="45" t="s">
        <v>267</v>
      </c>
      <c r="B1" s="2" t="s">
        <v>794</v>
      </c>
      <c r="C1" s="2" t="s">
        <v>17</v>
      </c>
      <c r="D1" s="2" t="s">
        <v>983</v>
      </c>
      <c r="E1" s="2" t="s">
        <v>0</v>
      </c>
      <c r="F1" s="2" t="s">
        <v>1</v>
      </c>
      <c r="G1" s="2" t="s">
        <v>2</v>
      </c>
      <c r="H1" s="2" t="s">
        <v>265</v>
      </c>
      <c r="I1" s="2" t="s">
        <v>904</v>
      </c>
      <c r="J1" s="2" t="s">
        <v>905</v>
      </c>
      <c r="K1" s="2" t="s">
        <v>982</v>
      </c>
      <c r="L1" s="2" t="s">
        <v>1276</v>
      </c>
      <c r="M1" s="2" t="s">
        <v>9</v>
      </c>
      <c r="N1" s="2" t="s">
        <v>12</v>
      </c>
      <c r="O1" s="2" t="s">
        <v>13</v>
      </c>
      <c r="P1" s="2"/>
      <c r="Q1" s="2"/>
      <c r="R1" s="2"/>
      <c r="S1" s="2"/>
      <c r="T1" s="2"/>
      <c r="U1" s="2"/>
      <c r="V1" s="2"/>
      <c r="W1" s="2"/>
      <c r="X1" s="2"/>
      <c r="Y1" s="2"/>
      <c r="Z1" s="2"/>
      <c r="AA1" s="2"/>
    </row>
    <row r="2" spans="1:31" ht="50" customHeight="1" x14ac:dyDescent="0.15">
      <c r="A2" s="3"/>
      <c r="B2" s="11">
        <v>1</v>
      </c>
      <c r="C2" s="10" t="s">
        <v>517</v>
      </c>
      <c r="D2" s="16" t="s">
        <v>984</v>
      </c>
      <c r="E2" s="16" t="s">
        <v>3</v>
      </c>
      <c r="F2" s="23" t="s">
        <v>4</v>
      </c>
      <c r="G2" s="7" t="s">
        <v>805</v>
      </c>
      <c r="H2" s="18" t="s">
        <v>413</v>
      </c>
      <c r="I2" s="1" t="s">
        <v>906</v>
      </c>
      <c r="J2" s="1"/>
      <c r="K2" s="1">
        <v>1</v>
      </c>
      <c r="L2" t="str">
        <f t="shared" ref="L2:L65" si="0">B2&amp;" "&amp;E2</f>
        <v>1 H2O by CO2</v>
      </c>
      <c r="M2" s="1" t="s">
        <v>10</v>
      </c>
      <c r="N2" s="1" t="s">
        <v>11</v>
      </c>
      <c r="O2" s="1" t="s">
        <v>14</v>
      </c>
      <c r="P2" s="1"/>
      <c r="R2" s="1" t="s">
        <v>124</v>
      </c>
      <c r="S2" s="1"/>
      <c r="T2" s="1"/>
      <c r="U2" s="1" t="s">
        <v>217</v>
      </c>
      <c r="V2" s="1"/>
      <c r="W2" s="1"/>
      <c r="X2" s="1"/>
      <c r="Y2" s="1"/>
      <c r="Z2" s="1"/>
    </row>
    <row r="3" spans="1:31" ht="50" customHeight="1" x14ac:dyDescent="0.15">
      <c r="A3" s="3"/>
      <c r="B3" s="11"/>
      <c r="C3" s="11"/>
      <c r="D3" s="16" t="s">
        <v>985</v>
      </c>
      <c r="E3" s="8" t="s">
        <v>5</v>
      </c>
      <c r="F3" s="1"/>
      <c r="G3" s="1" t="s">
        <v>6</v>
      </c>
      <c r="H3" s="1"/>
      <c r="K3" s="1">
        <v>2</v>
      </c>
      <c r="L3" t="str">
        <f t="shared" si="0"/>
        <v xml:space="preserve"> by H2, H2 and CO2</v>
      </c>
      <c r="M3" s="1"/>
      <c r="N3" s="1"/>
      <c r="O3" s="1"/>
      <c r="P3" s="1"/>
      <c r="S3" s="1"/>
      <c r="T3" s="1"/>
      <c r="U3" s="1"/>
      <c r="V3" s="1"/>
      <c r="W3" s="1"/>
      <c r="X3" s="1"/>
      <c r="Y3" s="1"/>
      <c r="Z3" s="1"/>
    </row>
    <row r="4" spans="1:31" ht="50" customHeight="1" x14ac:dyDescent="0.35">
      <c r="A4" s="3">
        <v>45497</v>
      </c>
      <c r="B4" s="11">
        <v>2</v>
      </c>
      <c r="C4" s="11" t="s">
        <v>518</v>
      </c>
      <c r="D4" s="16" t="s">
        <v>986</v>
      </c>
      <c r="E4" s="8" t="s">
        <v>43</v>
      </c>
      <c r="F4" s="17" t="s">
        <v>8</v>
      </c>
      <c r="H4" s="1" t="s">
        <v>290</v>
      </c>
      <c r="I4" s="1" t="s">
        <v>906</v>
      </c>
      <c r="J4" s="1"/>
      <c r="K4" s="1">
        <v>3</v>
      </c>
      <c r="L4" t="str">
        <f t="shared" si="0"/>
        <v>2 O2 by H2O</v>
      </c>
      <c r="M4" s="1"/>
      <c r="N4" s="1"/>
      <c r="O4" s="1"/>
      <c r="P4" s="1"/>
      <c r="R4" s="1"/>
      <c r="S4" s="1"/>
      <c r="T4" s="1"/>
      <c r="U4" s="12" t="s">
        <v>126</v>
      </c>
      <c r="V4" s="1" t="s">
        <v>125</v>
      </c>
      <c r="W4" s="1"/>
      <c r="X4" s="15" t="s">
        <v>219</v>
      </c>
      <c r="Y4" s="1" t="s">
        <v>218</v>
      </c>
      <c r="Z4" s="1"/>
      <c r="AD4" s="1"/>
      <c r="AE4" s="1"/>
    </row>
    <row r="5" spans="1:31" ht="50" customHeight="1" x14ac:dyDescent="0.15">
      <c r="A5" s="3"/>
      <c r="B5" s="11">
        <v>3</v>
      </c>
      <c r="C5" s="11" t="s">
        <v>519</v>
      </c>
      <c r="D5" s="16" t="s">
        <v>987</v>
      </c>
      <c r="E5" s="1" t="s">
        <v>3</v>
      </c>
      <c r="F5" s="24" t="s">
        <v>15</v>
      </c>
      <c r="G5" s="1" t="s">
        <v>16</v>
      </c>
      <c r="H5" s="1"/>
      <c r="I5" s="1" t="s">
        <v>907</v>
      </c>
      <c r="J5" s="1" t="s">
        <v>908</v>
      </c>
      <c r="K5" s="1">
        <v>4</v>
      </c>
      <c r="L5" t="str">
        <f t="shared" si="0"/>
        <v>3 H2O by CO2</v>
      </c>
      <c r="M5" s="1"/>
      <c r="N5" s="1"/>
      <c r="O5" s="1"/>
      <c r="P5" s="1"/>
      <c r="R5" s="1"/>
      <c r="S5" s="1"/>
      <c r="T5" s="1"/>
      <c r="U5" s="1"/>
      <c r="V5" s="1"/>
      <c r="W5" s="1"/>
      <c r="X5" s="1"/>
      <c r="Y5" s="1"/>
      <c r="Z5" s="1"/>
      <c r="AD5" s="1"/>
      <c r="AE5" s="1"/>
    </row>
    <row r="6" spans="1:31" ht="50" customHeight="1" x14ac:dyDescent="0.15">
      <c r="A6" s="3"/>
      <c r="B6" s="11">
        <v>4</v>
      </c>
      <c r="C6" s="11" t="s">
        <v>520</v>
      </c>
      <c r="D6" s="16" t="s">
        <v>988</v>
      </c>
      <c r="E6" s="1" t="s">
        <v>19</v>
      </c>
      <c r="F6" s="24" t="s">
        <v>18</v>
      </c>
      <c r="G6" s="1"/>
      <c r="H6" s="1" t="s">
        <v>291</v>
      </c>
      <c r="I6" s="1" t="s">
        <v>909</v>
      </c>
      <c r="J6" s="1"/>
      <c r="K6" s="1">
        <v>5</v>
      </c>
      <c r="L6" t="str">
        <f t="shared" si="0"/>
        <v>4 NO by N2 CO2 Ar H2 O2 He</v>
      </c>
      <c r="M6" s="1"/>
      <c r="N6" s="1"/>
      <c r="O6" s="1"/>
      <c r="P6" s="1"/>
      <c r="R6" s="1"/>
      <c r="S6" s="1"/>
      <c r="T6" s="1"/>
      <c r="U6" s="1"/>
      <c r="V6" s="1"/>
      <c r="W6" s="1"/>
      <c r="X6" s="1"/>
      <c r="Y6" s="1"/>
      <c r="Z6" s="1"/>
      <c r="AD6" s="1"/>
      <c r="AE6" s="1"/>
    </row>
    <row r="7" spans="1:31" ht="50" customHeight="1" x14ac:dyDescent="0.15">
      <c r="A7" s="1"/>
      <c r="B7" s="11">
        <v>5</v>
      </c>
      <c r="C7" s="11" t="s">
        <v>521</v>
      </c>
      <c r="D7" s="16" t="s">
        <v>989</v>
      </c>
      <c r="E7" s="1" t="s">
        <v>21</v>
      </c>
      <c r="F7" s="24" t="s">
        <v>20</v>
      </c>
      <c r="G7" s="1"/>
      <c r="H7" s="1" t="s">
        <v>292</v>
      </c>
      <c r="I7" s="1" t="s">
        <v>906</v>
      </c>
      <c r="J7" s="1" t="s">
        <v>910</v>
      </c>
      <c r="K7" s="1">
        <v>6</v>
      </c>
      <c r="L7" t="str">
        <f t="shared" si="0"/>
        <v>5 NO by N2 and Ar</v>
      </c>
      <c r="M7" s="1"/>
      <c r="N7" s="1"/>
      <c r="O7" s="1"/>
      <c r="P7" s="1"/>
      <c r="R7" s="1"/>
      <c r="S7" s="1"/>
      <c r="T7" s="1"/>
      <c r="U7" s="1"/>
      <c r="V7" s="1"/>
      <c r="W7" s="1"/>
      <c r="X7" s="1"/>
      <c r="Y7" s="1"/>
      <c r="Z7" s="1"/>
      <c r="AD7" s="1"/>
      <c r="AE7" s="1"/>
    </row>
    <row r="8" spans="1:31" ht="50" customHeight="1" x14ac:dyDescent="0.15">
      <c r="A8" s="5"/>
      <c r="B8" s="11">
        <v>6</v>
      </c>
      <c r="C8" s="11" t="s">
        <v>1449</v>
      </c>
      <c r="D8" s="16" t="s">
        <v>990</v>
      </c>
      <c r="E8" s="1" t="s">
        <v>23</v>
      </c>
      <c r="F8" s="24" t="s">
        <v>22</v>
      </c>
      <c r="G8" s="1" t="s">
        <v>25</v>
      </c>
      <c r="H8" s="1" t="s">
        <v>266</v>
      </c>
      <c r="I8" s="1" t="s">
        <v>911</v>
      </c>
      <c r="J8" s="1"/>
      <c r="K8" s="1">
        <v>7</v>
      </c>
      <c r="L8" t="str">
        <f t="shared" si="0"/>
        <v>6 CHF3 by weird molecules</v>
      </c>
      <c r="M8" s="1"/>
      <c r="N8" s="1"/>
      <c r="O8" s="1"/>
      <c r="P8" s="1"/>
      <c r="R8" s="1"/>
      <c r="S8" s="1"/>
      <c r="T8" s="1"/>
      <c r="U8" s="1"/>
      <c r="V8" s="1"/>
      <c r="W8" s="1"/>
      <c r="X8" s="1"/>
      <c r="Y8" s="1"/>
      <c r="Z8" s="1"/>
      <c r="AD8" s="1"/>
      <c r="AE8" s="1"/>
    </row>
    <row r="9" spans="1:31" ht="50" customHeight="1" x14ac:dyDescent="0.15">
      <c r="A9" s="5"/>
      <c r="B9" s="11">
        <v>7</v>
      </c>
      <c r="C9" s="11" t="s">
        <v>522</v>
      </c>
      <c r="D9" s="16" t="s">
        <v>991</v>
      </c>
      <c r="E9" s="1" t="s">
        <v>28</v>
      </c>
      <c r="F9" s="24" t="s">
        <v>27</v>
      </c>
      <c r="G9" s="1" t="s">
        <v>26</v>
      </c>
      <c r="H9" s="1" t="s">
        <v>266</v>
      </c>
      <c r="I9" s="1" t="s">
        <v>906</v>
      </c>
      <c r="J9" s="1"/>
      <c r="K9" s="1">
        <v>8</v>
      </c>
      <c r="L9" t="str">
        <f t="shared" si="0"/>
        <v>7 O2 by O2, CO, N2, CO2, and SF6 </v>
      </c>
      <c r="M9" s="1"/>
      <c r="N9" s="1"/>
      <c r="O9" s="1"/>
      <c r="P9" s="1"/>
      <c r="R9" s="1"/>
      <c r="S9" s="1"/>
      <c r="T9" s="1"/>
      <c r="U9" s="1"/>
      <c r="V9" s="1"/>
      <c r="W9" s="1"/>
      <c r="X9" s="1"/>
      <c r="Y9" s="1"/>
      <c r="Z9" s="1"/>
      <c r="AD9" s="1"/>
      <c r="AE9" s="1"/>
    </row>
    <row r="10" spans="1:31" ht="50" customHeight="1" x14ac:dyDescent="0.15">
      <c r="A10" s="5"/>
      <c r="B10" s="11">
        <v>8</v>
      </c>
      <c r="C10" s="11" t="s">
        <v>1450</v>
      </c>
      <c r="D10" s="16" t="s">
        <v>992</v>
      </c>
      <c r="E10" s="1" t="s">
        <v>30</v>
      </c>
      <c r="F10" s="24" t="s">
        <v>980</v>
      </c>
      <c r="G10" s="4" t="s">
        <v>296</v>
      </c>
      <c r="H10" s="1" t="s">
        <v>297</v>
      </c>
      <c r="I10" s="1" t="s">
        <v>912</v>
      </c>
      <c r="J10" s="1"/>
      <c r="K10" s="1">
        <v>9</v>
      </c>
      <c r="L10" t="str">
        <f t="shared" si="0"/>
        <v>8 NH3 by He, Ar, CH4, SF6</v>
      </c>
      <c r="M10" s="1"/>
      <c r="N10" s="1"/>
      <c r="O10" s="1"/>
      <c r="P10" s="1" t="s">
        <v>29</v>
      </c>
      <c r="R10" s="1"/>
      <c r="S10" s="1"/>
      <c r="T10" s="1"/>
      <c r="U10" s="1"/>
      <c r="V10" s="1"/>
      <c r="W10" s="1"/>
      <c r="X10" s="1"/>
      <c r="Y10" s="1"/>
      <c r="Z10" s="1"/>
      <c r="AD10" s="1"/>
      <c r="AE10" s="1"/>
    </row>
    <row r="11" spans="1:31" ht="50" customHeight="1" x14ac:dyDescent="0.15">
      <c r="A11" s="5"/>
      <c r="B11" s="11">
        <v>9</v>
      </c>
      <c r="C11" s="11" t="s">
        <v>1451</v>
      </c>
      <c r="D11" s="16" t="s">
        <v>993</v>
      </c>
      <c r="E11" s="1" t="s">
        <v>31</v>
      </c>
      <c r="F11" s="24" t="s">
        <v>981</v>
      </c>
      <c r="G11" s="4" t="s">
        <v>296</v>
      </c>
      <c r="H11" s="1" t="s">
        <v>297</v>
      </c>
      <c r="I11" s="1" t="s">
        <v>912</v>
      </c>
      <c r="J11" s="1"/>
      <c r="K11" s="1">
        <v>10</v>
      </c>
      <c r="L11" t="str">
        <f t="shared" si="0"/>
        <v>9 CH3I by He, Ar, H2, CH4, SF6</v>
      </c>
      <c r="M11" s="1"/>
      <c r="N11" s="1"/>
      <c r="O11" s="1"/>
      <c r="P11" s="1"/>
      <c r="R11" s="1"/>
      <c r="S11" s="1"/>
      <c r="T11" s="1"/>
      <c r="U11" s="1"/>
      <c r="V11" s="1"/>
      <c r="W11" s="1"/>
      <c r="X11" s="1"/>
      <c r="Y11" s="1"/>
      <c r="Z11" s="1"/>
      <c r="AD11" s="1"/>
      <c r="AE11" s="1"/>
    </row>
    <row r="12" spans="1:31" ht="50" customHeight="1" x14ac:dyDescent="0.15">
      <c r="A12" s="1"/>
      <c r="B12" s="11">
        <v>10</v>
      </c>
      <c r="C12" s="11" t="s">
        <v>523</v>
      </c>
      <c r="D12" s="16" t="s">
        <v>994</v>
      </c>
      <c r="E12" s="1" t="s">
        <v>33</v>
      </c>
      <c r="F12" s="24" t="s">
        <v>979</v>
      </c>
      <c r="G12" s="1" t="s">
        <v>32</v>
      </c>
      <c r="H12" s="1" t="s">
        <v>266</v>
      </c>
      <c r="I12" s="1" t="s">
        <v>913</v>
      </c>
      <c r="J12" s="1"/>
      <c r="K12" s="1">
        <v>11</v>
      </c>
      <c r="L12" t="str">
        <f t="shared" si="0"/>
        <v>10 HF by H2 and SF6</v>
      </c>
      <c r="M12" s="1"/>
      <c r="N12" s="1"/>
      <c r="O12" s="1"/>
      <c r="P12" s="1"/>
      <c r="R12" s="1"/>
      <c r="S12" s="1"/>
      <c r="T12" s="1"/>
      <c r="U12" s="1"/>
      <c r="V12" s="1"/>
      <c r="W12" s="1"/>
      <c r="X12" s="1"/>
      <c r="Y12" s="1"/>
      <c r="Z12" s="1"/>
      <c r="AD12" s="1"/>
      <c r="AE12" s="1"/>
    </row>
    <row r="13" spans="1:31" ht="50" customHeight="1" x14ac:dyDescent="0.15">
      <c r="A13" s="6"/>
      <c r="B13" s="11">
        <v>11</v>
      </c>
      <c r="C13" s="11" t="s">
        <v>524</v>
      </c>
      <c r="D13" s="16" t="s">
        <v>995</v>
      </c>
      <c r="E13" s="1" t="s">
        <v>35</v>
      </c>
      <c r="F13" s="24" t="s">
        <v>34</v>
      </c>
      <c r="G13" s="4" t="s">
        <v>296</v>
      </c>
      <c r="H13" s="1" t="s">
        <v>903</v>
      </c>
      <c r="I13" s="1" t="s">
        <v>914</v>
      </c>
      <c r="J13" s="1"/>
      <c r="K13" s="1">
        <v>12</v>
      </c>
      <c r="L13" t="str">
        <f t="shared" si="0"/>
        <v>11 1-Azabicyclo[2.2.2]octane by Ar, He, Xe, SF6</v>
      </c>
      <c r="M13" s="1" t="s">
        <v>297</v>
      </c>
      <c r="N13" s="1"/>
      <c r="O13" s="1"/>
      <c r="P13" s="1"/>
      <c r="R13" s="1"/>
      <c r="S13" s="1"/>
      <c r="T13" s="1"/>
      <c r="U13" s="1"/>
      <c r="V13" s="1"/>
      <c r="W13" s="1"/>
      <c r="X13" s="1"/>
      <c r="Y13" s="1"/>
      <c r="Z13" s="1"/>
      <c r="AD13" s="1"/>
      <c r="AE13" s="1"/>
    </row>
    <row r="14" spans="1:31" ht="50" customHeight="1" x14ac:dyDescent="0.15">
      <c r="A14" s="5"/>
      <c r="B14" s="11">
        <v>12</v>
      </c>
      <c r="C14" s="11" t="s">
        <v>525</v>
      </c>
      <c r="D14" s="16" t="s">
        <v>996</v>
      </c>
      <c r="E14" s="1" t="s">
        <v>37</v>
      </c>
      <c r="F14" s="24" t="s">
        <v>36</v>
      </c>
      <c r="G14" s="1"/>
      <c r="H14" s="1"/>
      <c r="I14" s="1" t="s">
        <v>906</v>
      </c>
      <c r="J14" s="1"/>
      <c r="K14" s="1">
        <v>13</v>
      </c>
      <c r="L14" t="str">
        <f t="shared" si="0"/>
        <v>12 NO by Ar maybe</v>
      </c>
      <c r="M14" s="1"/>
      <c r="N14" s="1"/>
      <c r="O14" s="1"/>
      <c r="P14" s="1"/>
      <c r="R14" s="1"/>
      <c r="S14" s="1"/>
      <c r="T14" s="1"/>
      <c r="U14" s="1"/>
      <c r="V14" s="1"/>
      <c r="W14" s="1"/>
      <c r="X14" s="1"/>
      <c r="Y14" s="1"/>
      <c r="Z14" s="1"/>
      <c r="AD14" s="1"/>
      <c r="AE14" s="1"/>
    </row>
    <row r="15" spans="1:31" ht="50" customHeight="1" x14ac:dyDescent="0.15">
      <c r="A15" s="5"/>
      <c r="B15" s="11">
        <v>13</v>
      </c>
      <c r="C15" s="11" t="s">
        <v>526</v>
      </c>
      <c r="D15" s="16" t="s">
        <v>997</v>
      </c>
      <c r="E15" s="1" t="s">
        <v>40</v>
      </c>
      <c r="F15" s="24" t="s">
        <v>38</v>
      </c>
      <c r="G15" s="1" t="s">
        <v>39</v>
      </c>
      <c r="H15" s="1" t="s">
        <v>903</v>
      </c>
      <c r="I15" s="1" t="s">
        <v>906</v>
      </c>
      <c r="J15" s="1" t="s">
        <v>908</v>
      </c>
      <c r="K15" s="1">
        <v>14</v>
      </c>
      <c r="L15" t="str">
        <f t="shared" si="0"/>
        <v>13 H2 by He</v>
      </c>
      <c r="M15" s="1"/>
      <c r="N15" s="1"/>
      <c r="O15" s="1"/>
      <c r="P15" s="1"/>
      <c r="R15" s="1"/>
      <c r="S15" s="1"/>
      <c r="T15" s="1"/>
      <c r="U15" s="1"/>
      <c r="V15" s="1"/>
      <c r="W15" s="1"/>
      <c r="X15" s="1"/>
      <c r="Y15" s="1"/>
      <c r="Z15" s="1"/>
      <c r="AD15" s="1"/>
      <c r="AE15" s="1"/>
    </row>
    <row r="16" spans="1:31" ht="50" customHeight="1" x14ac:dyDescent="0.15">
      <c r="A16" s="1"/>
      <c r="B16" s="11">
        <v>14</v>
      </c>
      <c r="C16" s="11" t="s">
        <v>527</v>
      </c>
      <c r="D16" s="16" t="s">
        <v>998</v>
      </c>
      <c r="E16" s="1" t="s">
        <v>41</v>
      </c>
      <c r="F16" s="24" t="s">
        <v>1277</v>
      </c>
      <c r="G16" s="1" t="s">
        <v>305</v>
      </c>
      <c r="H16" s="1" t="s">
        <v>266</v>
      </c>
      <c r="I16" s="1" t="s">
        <v>915</v>
      </c>
      <c r="J16" s="1"/>
      <c r="K16" s="1">
        <v>15</v>
      </c>
      <c r="L16" t="str">
        <f t="shared" si="0"/>
        <v>14 HCl by He, Ar, SF6</v>
      </c>
      <c r="M16" s="1"/>
      <c r="N16" s="1"/>
      <c r="O16" s="1"/>
      <c r="P16" s="1"/>
      <c r="R16" s="1"/>
      <c r="S16" s="1"/>
      <c r="T16" s="1"/>
      <c r="U16" s="1"/>
      <c r="V16" s="1"/>
      <c r="W16" s="1"/>
      <c r="X16" s="1"/>
      <c r="Y16" s="1"/>
      <c r="Z16" s="1"/>
      <c r="AD16" s="1"/>
      <c r="AE16" s="1"/>
    </row>
    <row r="17" spans="1:31" ht="50" customHeight="1" x14ac:dyDescent="0.15">
      <c r="A17" s="1"/>
      <c r="B17" s="11">
        <v>15</v>
      </c>
      <c r="C17" s="11" t="s">
        <v>528</v>
      </c>
      <c r="D17" s="16" t="s">
        <v>999</v>
      </c>
      <c r="E17" s="1" t="s">
        <v>7</v>
      </c>
      <c r="F17" s="24" t="s">
        <v>42</v>
      </c>
      <c r="G17" s="1"/>
      <c r="H17" s="1" t="s">
        <v>266</v>
      </c>
      <c r="I17" s="1" t="s">
        <v>906</v>
      </c>
      <c r="J17" s="1"/>
      <c r="K17" s="1">
        <v>16</v>
      </c>
      <c r="L17" t="str">
        <f t="shared" si="0"/>
        <v>15 O2 by CO2</v>
      </c>
      <c r="M17" s="1"/>
      <c r="N17" s="1"/>
      <c r="O17" s="1"/>
      <c r="P17" s="1"/>
      <c r="R17" s="1"/>
      <c r="S17" s="1"/>
      <c r="T17" s="1"/>
      <c r="U17" s="1"/>
      <c r="V17" s="1"/>
      <c r="W17" s="1"/>
      <c r="X17" s="1"/>
      <c r="Y17" s="1"/>
      <c r="Z17" s="1"/>
      <c r="AD17" s="1"/>
      <c r="AE17" s="1"/>
    </row>
    <row r="18" spans="1:31" ht="50" customHeight="1" x14ac:dyDescent="0.15">
      <c r="A18" s="1"/>
      <c r="B18" s="11">
        <v>16</v>
      </c>
      <c r="C18" s="11" t="s">
        <v>529</v>
      </c>
      <c r="D18" s="16" t="s">
        <v>1000</v>
      </c>
      <c r="E18" s="1" t="s">
        <v>44</v>
      </c>
      <c r="F18" s="24" t="s">
        <v>1278</v>
      </c>
      <c r="G18" s="1"/>
      <c r="H18" s="1"/>
      <c r="I18" s="1" t="s">
        <v>907</v>
      </c>
      <c r="J18" s="1"/>
      <c r="K18" s="1">
        <v>17</v>
      </c>
      <c r="L18" t="str">
        <f t="shared" si="0"/>
        <v>16 CO2 by H2O</v>
      </c>
      <c r="M18" s="1"/>
      <c r="N18" s="1"/>
      <c r="O18" s="1"/>
      <c r="P18" s="1"/>
      <c r="R18" s="1"/>
      <c r="S18" s="1"/>
      <c r="T18" s="1"/>
      <c r="U18" s="1"/>
      <c r="V18" s="1"/>
      <c r="W18" s="1"/>
      <c r="X18" s="1"/>
      <c r="Y18" s="1"/>
      <c r="Z18" s="1"/>
      <c r="AD18" s="1"/>
      <c r="AE18" s="1"/>
    </row>
    <row r="19" spans="1:31" ht="50" customHeight="1" x14ac:dyDescent="0.15">
      <c r="A19" s="1"/>
      <c r="B19" s="11">
        <v>17</v>
      </c>
      <c r="C19" s="11" t="s">
        <v>530</v>
      </c>
      <c r="D19" s="16" t="s">
        <v>1001</v>
      </c>
      <c r="E19" s="1" t="s">
        <v>46</v>
      </c>
      <c r="F19" s="24" t="s">
        <v>45</v>
      </c>
      <c r="G19" s="1" t="s">
        <v>47</v>
      </c>
      <c r="H19" s="1" t="s">
        <v>360</v>
      </c>
      <c r="I19" s="1" t="s">
        <v>906</v>
      </c>
      <c r="J19" s="1"/>
      <c r="K19" s="1">
        <v>18</v>
      </c>
      <c r="L19" t="str">
        <f t="shared" si="0"/>
        <v>17 H2O, NH3, SO2, CH4, PH3, HCN and H2CO by H2 and He</v>
      </c>
      <c r="M19" s="1"/>
      <c r="N19" s="1"/>
      <c r="O19" s="1"/>
      <c r="P19" s="1"/>
      <c r="R19" s="1"/>
      <c r="S19" s="1"/>
      <c r="T19" s="1"/>
      <c r="U19" s="1"/>
      <c r="V19" s="1"/>
      <c r="W19" s="1"/>
      <c r="X19" s="1"/>
      <c r="Y19" s="1"/>
      <c r="Z19" s="1"/>
      <c r="AD19" s="1"/>
      <c r="AE19" s="1"/>
    </row>
    <row r="20" spans="1:31" ht="50" customHeight="1" x14ac:dyDescent="0.15">
      <c r="A20" s="1"/>
      <c r="B20" s="11">
        <v>18</v>
      </c>
      <c r="C20" s="11" t="s">
        <v>531</v>
      </c>
      <c r="D20" s="16" t="s">
        <v>1002</v>
      </c>
      <c r="E20" s="1" t="s">
        <v>53</v>
      </c>
      <c r="F20" s="24" t="s">
        <v>49</v>
      </c>
      <c r="G20" s="1" t="s">
        <v>48</v>
      </c>
      <c r="H20" s="1"/>
      <c r="I20" s="1" t="s">
        <v>906</v>
      </c>
      <c r="J20" s="1" t="s">
        <v>916</v>
      </c>
      <c r="K20" s="1">
        <v>19</v>
      </c>
      <c r="L20" t="str">
        <f t="shared" si="0"/>
        <v>18 HF and HCl by H2, He and CO2 (+ SO2, NH3, HF, HCl, OCS and C2H2)</v>
      </c>
      <c r="M20" s="1"/>
      <c r="N20" s="1"/>
      <c r="O20" s="1"/>
      <c r="P20" s="1"/>
      <c r="R20" s="1"/>
      <c r="S20" s="1"/>
      <c r="T20" s="1"/>
      <c r="U20" s="1"/>
      <c r="V20" s="1"/>
      <c r="W20" s="1"/>
      <c r="X20" s="1"/>
      <c r="Y20" s="1"/>
      <c r="Z20" s="1"/>
      <c r="AD20" s="1"/>
      <c r="AE20" s="1"/>
    </row>
    <row r="21" spans="1:31" ht="50" customHeight="1" x14ac:dyDescent="0.15">
      <c r="A21" s="1"/>
      <c r="B21" s="11">
        <v>19</v>
      </c>
      <c r="C21" s="11" t="s">
        <v>532</v>
      </c>
      <c r="D21" s="16" t="s">
        <v>1003</v>
      </c>
      <c r="E21" s="1" t="s">
        <v>51</v>
      </c>
      <c r="F21" s="24" t="s">
        <v>50</v>
      </c>
      <c r="G21" s="1"/>
      <c r="H21" s="1"/>
      <c r="I21" s="1" t="s">
        <v>906</v>
      </c>
      <c r="J21" s="1"/>
      <c r="K21" s="1">
        <v>20</v>
      </c>
      <c r="L21" t="str">
        <f t="shared" si="0"/>
        <v>19 C2H2 by N2</v>
      </c>
      <c r="M21" s="1"/>
      <c r="N21" s="1"/>
      <c r="O21" s="1"/>
      <c r="P21" s="1"/>
      <c r="R21" s="1"/>
      <c r="S21" s="1"/>
      <c r="T21" s="1"/>
      <c r="U21" s="1"/>
      <c r="V21" s="1"/>
      <c r="W21" s="1"/>
      <c r="X21" s="1"/>
      <c r="Y21" s="1"/>
      <c r="Z21" s="1"/>
      <c r="AD21" s="1"/>
      <c r="AE21" s="1"/>
    </row>
    <row r="22" spans="1:31" ht="50" customHeight="1" x14ac:dyDescent="0.15">
      <c r="A22" s="1"/>
      <c r="B22" s="11">
        <v>20</v>
      </c>
      <c r="C22" s="11" t="s">
        <v>533</v>
      </c>
      <c r="D22" s="16" t="s">
        <v>1004</v>
      </c>
      <c r="E22" s="1" t="s">
        <v>51</v>
      </c>
      <c r="F22" s="24" t="s">
        <v>52</v>
      </c>
      <c r="G22" s="1"/>
      <c r="H22" s="1"/>
      <c r="I22" s="1" t="s">
        <v>917</v>
      </c>
      <c r="J22" s="1"/>
      <c r="K22" s="1">
        <v>21</v>
      </c>
      <c r="L22" t="str">
        <f t="shared" si="0"/>
        <v>20 C2H2 by N2</v>
      </c>
      <c r="M22" s="1"/>
      <c r="N22" s="1"/>
      <c r="O22" s="1"/>
      <c r="P22" s="1"/>
      <c r="R22" s="1"/>
      <c r="S22" s="1"/>
      <c r="T22" s="1"/>
      <c r="U22" s="1"/>
      <c r="V22" s="1"/>
      <c r="W22" s="1"/>
      <c r="X22" s="1"/>
      <c r="Y22" s="1"/>
      <c r="Z22" s="1"/>
      <c r="AD22" s="1"/>
      <c r="AE22" s="1"/>
    </row>
    <row r="23" spans="1:31" ht="50" customHeight="1" x14ac:dyDescent="0.15">
      <c r="A23" s="1"/>
      <c r="B23" s="11">
        <v>21</v>
      </c>
      <c r="C23" s="11" t="s">
        <v>534</v>
      </c>
      <c r="D23" s="16" t="s">
        <v>1005</v>
      </c>
      <c r="E23" s="1" t="s">
        <v>54</v>
      </c>
      <c r="F23" s="24" t="s">
        <v>56</v>
      </c>
      <c r="G23" s="1" t="s">
        <v>55</v>
      </c>
      <c r="H23" s="1"/>
      <c r="I23" s="1" t="s">
        <v>918</v>
      </c>
      <c r="J23" s="1"/>
      <c r="K23" s="1">
        <v>22</v>
      </c>
      <c r="L23" t="str">
        <f t="shared" si="0"/>
        <v>21 CO2, N2O, CO, SO2, OH, OCS, H2CO, HCN, PH3, H2S, and GeH4 by H2, He and CO2</v>
      </c>
      <c r="M23" s="1"/>
      <c r="N23" s="1"/>
      <c r="O23" s="1"/>
      <c r="P23" s="1"/>
      <c r="R23" s="1"/>
      <c r="S23" s="1"/>
      <c r="T23" s="1"/>
      <c r="U23" s="1"/>
      <c r="V23" s="1"/>
      <c r="W23" s="1"/>
      <c r="X23" s="1"/>
      <c r="Y23" s="1"/>
      <c r="Z23" s="1"/>
      <c r="AD23" s="1"/>
      <c r="AE23" s="1"/>
    </row>
    <row r="24" spans="1:31" ht="50" customHeight="1" x14ac:dyDescent="0.15">
      <c r="A24" s="1"/>
      <c r="B24" s="11">
        <v>22</v>
      </c>
      <c r="C24" s="11" t="s">
        <v>535</v>
      </c>
      <c r="D24" s="16" t="s">
        <v>1006</v>
      </c>
      <c r="E24" s="1" t="s">
        <v>57</v>
      </c>
      <c r="F24" s="24" t="s">
        <v>1279</v>
      </c>
      <c r="G24" s="1" t="s">
        <v>24</v>
      </c>
      <c r="H24" s="1" t="s">
        <v>363</v>
      </c>
      <c r="I24" s="1" t="s">
        <v>906</v>
      </c>
      <c r="J24" s="1"/>
      <c r="K24" s="1">
        <v>23</v>
      </c>
      <c r="L24" t="str">
        <f t="shared" si="0"/>
        <v>22 NH by Ar</v>
      </c>
      <c r="M24" s="1"/>
      <c r="N24" s="1"/>
      <c r="O24" s="1"/>
      <c r="P24" s="1"/>
      <c r="R24" s="1"/>
      <c r="S24" s="1"/>
      <c r="T24" s="1"/>
      <c r="U24" s="1"/>
      <c r="V24" s="1"/>
      <c r="W24" s="1"/>
      <c r="X24" s="1"/>
      <c r="Y24" s="1"/>
      <c r="Z24" s="1"/>
      <c r="AD24" s="1"/>
      <c r="AE24" s="1"/>
    </row>
    <row r="25" spans="1:31" ht="50" customHeight="1" x14ac:dyDescent="0.15">
      <c r="A25" s="1"/>
      <c r="B25" s="11">
        <v>23</v>
      </c>
      <c r="C25" s="11" t="s">
        <v>536</v>
      </c>
      <c r="D25" s="16" t="s">
        <v>1007</v>
      </c>
      <c r="E25" s="1" t="s">
        <v>58</v>
      </c>
      <c r="F25" s="24" t="s">
        <v>59</v>
      </c>
      <c r="G25" s="1"/>
      <c r="H25" s="1" t="s">
        <v>363</v>
      </c>
      <c r="I25" s="1" t="s">
        <v>919</v>
      </c>
      <c r="J25" s="1"/>
      <c r="K25" s="1">
        <v>24</v>
      </c>
      <c r="L25" t="str">
        <f t="shared" si="0"/>
        <v>23 13CO by Ar, He</v>
      </c>
      <c r="M25" s="1"/>
      <c r="N25" s="1"/>
      <c r="O25" s="1"/>
      <c r="P25" s="1"/>
      <c r="R25" s="1"/>
      <c r="S25" s="1"/>
      <c r="T25" s="1"/>
      <c r="U25" s="1"/>
      <c r="V25" s="1"/>
      <c r="W25" s="1"/>
      <c r="X25" s="1"/>
      <c r="Y25" s="1"/>
      <c r="Z25" s="1"/>
      <c r="AD25" s="1"/>
      <c r="AE25" s="1"/>
    </row>
    <row r="26" spans="1:31" ht="50" customHeight="1" x14ac:dyDescent="0.15">
      <c r="A26" s="1"/>
      <c r="B26" s="11">
        <v>24</v>
      </c>
      <c r="C26" s="11" t="s">
        <v>537</v>
      </c>
      <c r="D26" s="16" t="s">
        <v>1008</v>
      </c>
      <c r="E26" s="1" t="s">
        <v>369</v>
      </c>
      <c r="F26" s="24" t="s">
        <v>60</v>
      </c>
      <c r="G26" s="1"/>
      <c r="H26" s="1"/>
      <c r="I26" s="1" t="s">
        <v>906</v>
      </c>
      <c r="J26" s="1"/>
      <c r="K26" s="1">
        <v>25</v>
      </c>
      <c r="L26" t="str">
        <f t="shared" si="0"/>
        <v>24 CO by He</v>
      </c>
      <c r="M26" s="1"/>
      <c r="N26" s="1"/>
      <c r="O26" s="1"/>
      <c r="P26" s="1"/>
      <c r="R26" s="1"/>
      <c r="S26" s="1"/>
      <c r="T26" s="1"/>
      <c r="U26" s="1"/>
      <c r="V26" s="1"/>
      <c r="W26" s="1"/>
      <c r="X26" s="1"/>
      <c r="Y26" s="1"/>
      <c r="Z26" s="1"/>
      <c r="AD26" s="1"/>
      <c r="AE26" s="1"/>
    </row>
    <row r="27" spans="1:31" ht="50" customHeight="1" x14ac:dyDescent="0.15">
      <c r="A27" s="1"/>
      <c r="B27" s="11">
        <v>25</v>
      </c>
      <c r="C27" s="11" t="s">
        <v>538</v>
      </c>
      <c r="D27" s="16" t="s">
        <v>1009</v>
      </c>
      <c r="E27" s="1" t="s">
        <v>61</v>
      </c>
      <c r="F27" s="24" t="s">
        <v>62</v>
      </c>
      <c r="G27" s="1"/>
      <c r="H27" s="1"/>
      <c r="I27" s="1" t="s">
        <v>907</v>
      </c>
      <c r="J27" s="1"/>
      <c r="K27" s="1">
        <v>26</v>
      </c>
      <c r="L27" t="str">
        <f t="shared" si="0"/>
        <v>25 NH3 by He, Ar, H2, self</v>
      </c>
      <c r="M27" s="1"/>
      <c r="N27" s="1"/>
      <c r="O27" s="1"/>
      <c r="P27" s="1"/>
      <c r="R27" s="1"/>
      <c r="S27" s="1"/>
      <c r="T27" s="1"/>
      <c r="U27" s="1"/>
      <c r="V27" s="1"/>
      <c r="W27" s="1"/>
      <c r="X27" s="1"/>
      <c r="Y27" s="1"/>
      <c r="Z27" s="1"/>
      <c r="AD27" s="1"/>
      <c r="AE27" s="1"/>
    </row>
    <row r="28" spans="1:31" ht="50" customHeight="1" x14ac:dyDescent="0.15">
      <c r="A28" s="1"/>
      <c r="B28" s="11">
        <v>26</v>
      </c>
      <c r="C28" s="11" t="s">
        <v>539</v>
      </c>
      <c r="D28" s="16" t="s">
        <v>1010</v>
      </c>
      <c r="E28" s="1" t="s">
        <v>63</v>
      </c>
      <c r="F28" s="24" t="s">
        <v>1280</v>
      </c>
      <c r="G28" s="1"/>
      <c r="H28" s="1"/>
      <c r="I28" s="1" t="s">
        <v>913</v>
      </c>
      <c r="J28" s="1"/>
      <c r="K28" s="1">
        <v>27</v>
      </c>
      <c r="L28" t="str">
        <f t="shared" si="0"/>
        <v>26 H2O by N2</v>
      </c>
      <c r="M28" s="1"/>
      <c r="N28" s="1"/>
      <c r="O28" s="1"/>
      <c r="P28" s="1"/>
      <c r="R28" s="1"/>
      <c r="S28" s="1"/>
      <c r="T28" s="1"/>
      <c r="U28" s="1"/>
      <c r="V28" s="1"/>
      <c r="W28" s="1"/>
      <c r="X28" s="1"/>
      <c r="Y28" s="1"/>
      <c r="Z28" s="1"/>
      <c r="AD28" s="1"/>
      <c r="AE28" s="1"/>
    </row>
    <row r="29" spans="1:31" ht="50" customHeight="1" x14ac:dyDescent="0.15">
      <c r="A29" s="1"/>
      <c r="B29" s="11">
        <v>27</v>
      </c>
      <c r="C29" s="11" t="s">
        <v>540</v>
      </c>
      <c r="D29" s="16" t="s">
        <v>1011</v>
      </c>
      <c r="E29" s="1" t="s">
        <v>63</v>
      </c>
      <c r="F29" s="24" t="s">
        <v>1281</v>
      </c>
      <c r="G29" s="1"/>
      <c r="H29" s="1"/>
      <c r="I29" s="1" t="s">
        <v>920</v>
      </c>
      <c r="J29" s="1"/>
      <c r="K29" s="1">
        <v>28</v>
      </c>
      <c r="L29" t="str">
        <f t="shared" si="0"/>
        <v>27 H2O by N2</v>
      </c>
      <c r="M29" s="1"/>
      <c r="N29" s="1"/>
      <c r="O29" s="1"/>
      <c r="P29" s="1"/>
      <c r="R29" s="1"/>
      <c r="S29" s="1"/>
      <c r="T29" s="1"/>
      <c r="U29" s="1"/>
      <c r="V29" s="1"/>
      <c r="W29" s="1"/>
      <c r="X29" s="1"/>
      <c r="Y29" s="1"/>
      <c r="Z29" s="1"/>
      <c r="AD29" s="1"/>
      <c r="AE29" s="1"/>
    </row>
    <row r="30" spans="1:31" ht="50" customHeight="1" x14ac:dyDescent="0.15">
      <c r="A30" s="1"/>
      <c r="B30" s="27"/>
      <c r="C30" s="20"/>
      <c r="D30" s="16" t="s">
        <v>1012</v>
      </c>
      <c r="E30" s="18" t="s">
        <v>3</v>
      </c>
      <c r="F30" s="25" t="s">
        <v>64</v>
      </c>
      <c r="G30" s="18" t="s">
        <v>795</v>
      </c>
      <c r="K30" s="18">
        <v>29</v>
      </c>
      <c r="L30" t="str">
        <f t="shared" si="0"/>
        <v xml:space="preserve"> H2O by CO2</v>
      </c>
      <c r="M30" s="18"/>
      <c r="N30" s="18"/>
      <c r="O30" s="18"/>
      <c r="P30" s="1"/>
      <c r="R30" s="1"/>
      <c r="S30" s="1"/>
      <c r="T30" s="1"/>
      <c r="U30" s="1"/>
      <c r="V30" s="1"/>
      <c r="W30" s="1"/>
      <c r="X30" s="1"/>
      <c r="Y30" s="1"/>
      <c r="Z30" s="1"/>
      <c r="AD30" s="1"/>
      <c r="AE30" s="1"/>
    </row>
    <row r="31" spans="1:31" ht="50" customHeight="1" x14ac:dyDescent="0.15">
      <c r="A31" s="1"/>
      <c r="B31" s="11">
        <v>28</v>
      </c>
      <c r="C31" s="11" t="s">
        <v>541</v>
      </c>
      <c r="D31" s="16" t="s">
        <v>1013</v>
      </c>
      <c r="E31" s="1" t="s">
        <v>65</v>
      </c>
      <c r="F31" s="24" t="s">
        <v>66</v>
      </c>
      <c r="G31" s="1"/>
      <c r="H31" s="1" t="s">
        <v>363</v>
      </c>
      <c r="I31" s="1" t="s">
        <v>906</v>
      </c>
      <c r="J31" s="1" t="s">
        <v>910</v>
      </c>
      <c r="K31" s="1">
        <v>30</v>
      </c>
      <c r="L31" t="str">
        <f t="shared" si="0"/>
        <v>28 OH by Ar</v>
      </c>
      <c r="M31" s="1"/>
      <c r="N31" s="1"/>
      <c r="O31" s="1"/>
      <c r="P31" s="1"/>
      <c r="R31" s="1"/>
      <c r="S31" s="1"/>
      <c r="T31" s="1"/>
      <c r="U31" s="1"/>
      <c r="V31" s="1"/>
      <c r="W31" s="1"/>
      <c r="X31" s="1"/>
      <c r="Y31" s="1"/>
      <c r="Z31" s="1"/>
      <c r="AD31" s="1"/>
      <c r="AE31" s="1"/>
    </row>
    <row r="32" spans="1:31" ht="50" customHeight="1" x14ac:dyDescent="0.15">
      <c r="A32" s="1"/>
      <c r="B32" s="11">
        <v>29</v>
      </c>
      <c r="C32" s="11" t="s">
        <v>542</v>
      </c>
      <c r="D32" s="16" t="s">
        <v>1014</v>
      </c>
      <c r="E32" s="1" t="s">
        <v>21</v>
      </c>
      <c r="F32" s="24" t="s">
        <v>67</v>
      </c>
      <c r="G32" s="1"/>
      <c r="H32" s="1"/>
      <c r="I32" s="1" t="s">
        <v>906</v>
      </c>
      <c r="J32" s="1"/>
      <c r="K32" s="1">
        <v>31</v>
      </c>
      <c r="L32" t="str">
        <f t="shared" si="0"/>
        <v>29 NO by N2 and Ar</v>
      </c>
      <c r="M32" s="1"/>
      <c r="N32" s="1"/>
      <c r="O32" s="1"/>
      <c r="P32" s="1"/>
      <c r="R32" s="1"/>
      <c r="S32" s="1"/>
      <c r="T32" s="1"/>
      <c r="U32" s="1"/>
      <c r="V32" s="1"/>
      <c r="W32" s="1"/>
      <c r="X32" s="1"/>
      <c r="Y32" s="1"/>
      <c r="Z32" s="1"/>
      <c r="AD32" s="1"/>
      <c r="AE32" s="1"/>
    </row>
    <row r="33" spans="1:31" ht="50" customHeight="1" x14ac:dyDescent="0.15">
      <c r="A33" s="1"/>
      <c r="B33" s="11">
        <v>30</v>
      </c>
      <c r="C33" s="11" t="s">
        <v>543</v>
      </c>
      <c r="D33" s="16" t="s">
        <v>1015</v>
      </c>
      <c r="E33" s="1" t="s">
        <v>68</v>
      </c>
      <c r="F33" s="24" t="s">
        <v>1282</v>
      </c>
      <c r="G33" s="1"/>
      <c r="H33" s="1" t="s">
        <v>363</v>
      </c>
      <c r="I33" s="1" t="s">
        <v>907</v>
      </c>
      <c r="J33" s="1"/>
      <c r="K33" s="1">
        <v>32</v>
      </c>
      <c r="L33" t="str">
        <f t="shared" si="0"/>
        <v>30 CH3F by CH3F, CH3Br, NH3</v>
      </c>
      <c r="M33" s="1"/>
      <c r="N33" s="1"/>
      <c r="O33" s="1"/>
      <c r="P33" s="1"/>
      <c r="R33" s="1"/>
      <c r="S33" s="1"/>
      <c r="T33" s="1"/>
      <c r="U33" s="1"/>
      <c r="V33" s="1"/>
      <c r="W33" s="1"/>
      <c r="X33" s="1"/>
      <c r="Y33" s="1"/>
      <c r="Z33" s="1"/>
      <c r="AD33" s="1"/>
      <c r="AE33" s="1"/>
    </row>
    <row r="34" spans="1:31" ht="50" customHeight="1" x14ac:dyDescent="0.15">
      <c r="A34" s="1"/>
      <c r="B34" s="11">
        <v>31</v>
      </c>
      <c r="C34" s="11" t="s">
        <v>544</v>
      </c>
      <c r="D34" s="16" t="s">
        <v>1016</v>
      </c>
      <c r="E34" s="1" t="s">
        <v>69</v>
      </c>
      <c r="F34" s="24" t="s">
        <v>1283</v>
      </c>
      <c r="G34" s="1"/>
      <c r="H34" s="1"/>
      <c r="I34" s="1" t="s">
        <v>906</v>
      </c>
      <c r="J34" s="1"/>
      <c r="K34" s="1">
        <v>33</v>
      </c>
      <c r="L34" t="str">
        <f t="shared" si="0"/>
        <v>31 HF by Ar</v>
      </c>
      <c r="M34" s="1"/>
      <c r="N34" s="1"/>
      <c r="O34" s="1"/>
      <c r="P34" s="1"/>
      <c r="R34" s="1"/>
      <c r="S34" s="1"/>
      <c r="T34" s="1"/>
      <c r="U34" s="1"/>
      <c r="V34" s="1"/>
      <c r="W34" s="1"/>
      <c r="X34" s="1"/>
      <c r="Y34" s="1"/>
      <c r="Z34" s="1"/>
      <c r="AD34" s="1"/>
      <c r="AE34" s="1"/>
    </row>
    <row r="35" spans="1:31" ht="50" customHeight="1" x14ac:dyDescent="0.15">
      <c r="A35" s="1"/>
      <c r="B35" s="11">
        <v>32</v>
      </c>
      <c r="C35" s="11" t="s">
        <v>545</v>
      </c>
      <c r="D35" s="16" t="s">
        <v>1017</v>
      </c>
      <c r="E35" s="1" t="s">
        <v>69</v>
      </c>
      <c r="F35" s="24" t="s">
        <v>1284</v>
      </c>
      <c r="G35" s="1"/>
      <c r="H35" s="1"/>
      <c r="I35" s="1" t="s">
        <v>906</v>
      </c>
      <c r="J35" s="1"/>
      <c r="K35" s="1">
        <v>34</v>
      </c>
      <c r="L35" t="str">
        <f t="shared" si="0"/>
        <v>32 HF by Ar</v>
      </c>
      <c r="M35" s="1"/>
      <c r="N35" s="1"/>
      <c r="O35" s="1"/>
      <c r="P35" s="1"/>
      <c r="R35" s="1"/>
      <c r="S35" s="1"/>
      <c r="T35" s="1"/>
      <c r="U35" s="1"/>
      <c r="V35" s="1"/>
      <c r="W35" s="1"/>
      <c r="X35" s="1"/>
      <c r="Y35" s="1"/>
      <c r="Z35" s="1"/>
      <c r="AD35" s="1"/>
      <c r="AE35" s="1"/>
    </row>
    <row r="36" spans="1:31" ht="50" customHeight="1" x14ac:dyDescent="0.15">
      <c r="A36" s="1"/>
      <c r="B36" s="11">
        <v>33</v>
      </c>
      <c r="C36" s="11" t="s">
        <v>546</v>
      </c>
      <c r="D36" s="16" t="s">
        <v>1018</v>
      </c>
      <c r="E36" s="1" t="s">
        <v>71</v>
      </c>
      <c r="F36" s="24" t="s">
        <v>70</v>
      </c>
      <c r="G36" s="1"/>
      <c r="H36" s="1"/>
      <c r="I36" s="1" t="s">
        <v>906</v>
      </c>
      <c r="J36" s="1"/>
      <c r="K36" s="1">
        <v>35</v>
      </c>
      <c r="L36" t="str">
        <f t="shared" si="0"/>
        <v>33 CO2 by O2</v>
      </c>
      <c r="M36" s="1"/>
      <c r="N36" s="1"/>
      <c r="O36" s="1"/>
      <c r="P36" s="1"/>
      <c r="R36" s="1"/>
      <c r="S36" s="1"/>
      <c r="T36" s="1"/>
      <c r="U36" s="1"/>
      <c r="V36" s="1"/>
      <c r="W36" s="1"/>
      <c r="X36" s="1"/>
      <c r="Y36" s="1"/>
      <c r="Z36" s="1"/>
      <c r="AD36" s="1"/>
      <c r="AE36" s="1"/>
    </row>
    <row r="37" spans="1:31" ht="50" customHeight="1" x14ac:dyDescent="0.15">
      <c r="A37" s="1"/>
      <c r="B37" s="11">
        <v>34</v>
      </c>
      <c r="C37" s="11" t="s">
        <v>547</v>
      </c>
      <c r="D37" s="16" t="s">
        <v>1019</v>
      </c>
      <c r="E37" s="1" t="s">
        <v>73</v>
      </c>
      <c r="F37" s="24" t="s">
        <v>72</v>
      </c>
      <c r="G37" s="1"/>
      <c r="H37" s="1"/>
      <c r="I37" s="1" t="s">
        <v>921</v>
      </c>
      <c r="J37" s="1" t="s">
        <v>922</v>
      </c>
      <c r="K37" s="1">
        <v>36</v>
      </c>
      <c r="L37" t="str">
        <f t="shared" si="0"/>
        <v>34 CH4 by CO2</v>
      </c>
      <c r="M37" s="1"/>
      <c r="N37" s="1"/>
      <c r="O37" s="1"/>
      <c r="P37" s="1"/>
      <c r="R37" s="1"/>
      <c r="S37" s="1"/>
      <c r="T37" s="1"/>
      <c r="U37" s="1"/>
      <c r="V37" s="1"/>
      <c r="W37" s="1"/>
      <c r="X37" s="1"/>
      <c r="Y37" s="1"/>
      <c r="Z37" s="1"/>
      <c r="AD37" s="1"/>
      <c r="AE37" s="1"/>
    </row>
    <row r="38" spans="1:31" ht="50" customHeight="1" x14ac:dyDescent="0.15">
      <c r="A38" s="1"/>
      <c r="B38" s="11">
        <v>35</v>
      </c>
      <c r="C38" s="11" t="s">
        <v>548</v>
      </c>
      <c r="D38" s="16" t="s">
        <v>1020</v>
      </c>
      <c r="E38" s="1" t="s">
        <v>74</v>
      </c>
      <c r="F38" s="24" t="s">
        <v>75</v>
      </c>
      <c r="G38" s="1"/>
      <c r="H38" s="1" t="s">
        <v>903</v>
      </c>
      <c r="I38" s="1" t="s">
        <v>923</v>
      </c>
      <c r="J38" s="1" t="s">
        <v>922</v>
      </c>
      <c r="K38" s="1">
        <v>37</v>
      </c>
      <c r="L38" t="str">
        <f t="shared" si="0"/>
        <v>35 CO2 by N2</v>
      </c>
      <c r="M38" s="1"/>
      <c r="N38" s="1"/>
      <c r="O38" s="1"/>
      <c r="P38" s="1"/>
      <c r="R38" s="1"/>
      <c r="S38" s="1"/>
      <c r="T38" s="1"/>
      <c r="U38" s="1"/>
      <c r="V38" s="1"/>
      <c r="W38" s="1"/>
      <c r="X38" s="1"/>
      <c r="Y38" s="1"/>
      <c r="Z38" s="1"/>
      <c r="AD38" s="1"/>
      <c r="AE38" s="1"/>
    </row>
    <row r="39" spans="1:31" ht="50" customHeight="1" x14ac:dyDescent="0.15">
      <c r="A39" s="1"/>
      <c r="B39" s="11">
        <v>36</v>
      </c>
      <c r="C39" s="11" t="s">
        <v>549</v>
      </c>
      <c r="D39" s="16" t="s">
        <v>1021</v>
      </c>
      <c r="E39" s="1" t="s">
        <v>76</v>
      </c>
      <c r="F39" s="24" t="s">
        <v>77</v>
      </c>
      <c r="G39" s="1"/>
      <c r="H39" s="1" t="s">
        <v>903</v>
      </c>
      <c r="I39" s="1" t="s">
        <v>924</v>
      </c>
      <c r="J39" s="1" t="s">
        <v>922</v>
      </c>
      <c r="K39" s="1">
        <v>38</v>
      </c>
      <c r="L39" t="str">
        <f t="shared" si="0"/>
        <v>36 HCO+ by He</v>
      </c>
      <c r="M39" s="1"/>
      <c r="N39" s="1"/>
      <c r="O39" s="1"/>
      <c r="P39" s="1"/>
      <c r="R39" s="1"/>
      <c r="S39" s="1"/>
      <c r="T39" s="1"/>
      <c r="U39" s="1"/>
      <c r="V39" s="1"/>
      <c r="W39" s="1"/>
      <c r="X39" s="1"/>
      <c r="Y39" s="1"/>
      <c r="Z39" s="1"/>
      <c r="AD39" s="1"/>
      <c r="AE39" s="1"/>
    </row>
    <row r="40" spans="1:31" ht="50" customHeight="1" x14ac:dyDescent="0.15">
      <c r="A40" s="1"/>
      <c r="B40" s="11">
        <v>37</v>
      </c>
      <c r="C40" s="11" t="s">
        <v>550</v>
      </c>
      <c r="D40" s="16" t="s">
        <v>1022</v>
      </c>
      <c r="E40" s="1" t="s">
        <v>78</v>
      </c>
      <c r="F40" s="24" t="s">
        <v>79</v>
      </c>
      <c r="G40" s="1"/>
      <c r="H40" s="1"/>
      <c r="I40" s="1" t="s">
        <v>906</v>
      </c>
      <c r="J40" s="1"/>
      <c r="K40" s="1">
        <v>39</v>
      </c>
      <c r="L40" t="str">
        <f t="shared" si="0"/>
        <v>37 OH by Ar, N2, H2O</v>
      </c>
      <c r="M40" s="1"/>
      <c r="N40" s="1"/>
      <c r="O40" s="1"/>
      <c r="P40" s="1"/>
      <c r="R40" s="1"/>
      <c r="S40" s="1"/>
      <c r="T40" s="1"/>
      <c r="U40" s="1"/>
      <c r="V40" s="1"/>
      <c r="W40" s="1"/>
      <c r="X40" s="1"/>
      <c r="Y40" s="1"/>
      <c r="Z40" s="1"/>
      <c r="AD40" s="1"/>
      <c r="AE40" s="1"/>
    </row>
    <row r="41" spans="1:31" ht="50" customHeight="1" x14ac:dyDescent="0.15">
      <c r="A41" s="1"/>
      <c r="B41" s="11">
        <v>38</v>
      </c>
      <c r="C41" s="11" t="s">
        <v>551</v>
      </c>
      <c r="D41" s="16" t="s">
        <v>1023</v>
      </c>
      <c r="E41" s="1" t="s">
        <v>80</v>
      </c>
      <c r="F41" s="24" t="s">
        <v>81</v>
      </c>
      <c r="G41" s="1"/>
      <c r="H41" s="1"/>
      <c r="I41" s="1" t="s">
        <v>925</v>
      </c>
      <c r="J41" s="1"/>
      <c r="K41" s="1">
        <v>40</v>
      </c>
      <c r="L41" t="str">
        <f t="shared" si="0"/>
        <v>38 NO by N2</v>
      </c>
      <c r="M41" s="1"/>
      <c r="N41" s="1"/>
      <c r="O41" s="1"/>
      <c r="P41" s="1"/>
      <c r="R41" s="1"/>
      <c r="S41" s="1"/>
      <c r="T41" s="1"/>
      <c r="U41" s="1"/>
      <c r="V41" s="1"/>
      <c r="W41" s="1"/>
      <c r="X41" s="1"/>
      <c r="Y41" s="1"/>
      <c r="Z41" s="1"/>
      <c r="AD41" s="1"/>
      <c r="AE41" s="1"/>
    </row>
    <row r="42" spans="1:31" ht="50" customHeight="1" x14ac:dyDescent="0.15">
      <c r="A42" s="1"/>
      <c r="B42" s="11">
        <v>39</v>
      </c>
      <c r="C42" s="11" t="s">
        <v>552</v>
      </c>
      <c r="D42" s="16" t="s">
        <v>1024</v>
      </c>
      <c r="E42" s="1" t="s">
        <v>83</v>
      </c>
      <c r="F42" s="24" t="s">
        <v>82</v>
      </c>
      <c r="G42" s="1"/>
      <c r="H42" s="1"/>
      <c r="I42" s="1" t="s">
        <v>906</v>
      </c>
      <c r="J42" s="1"/>
      <c r="K42" s="1">
        <v>41</v>
      </c>
      <c r="L42" t="str">
        <f t="shared" si="0"/>
        <v>39 No by N2 Ar CO2 CO O2 H2O NO</v>
      </c>
      <c r="M42" s="1"/>
      <c r="N42" s="1"/>
      <c r="O42" s="1"/>
      <c r="P42" s="1"/>
      <c r="R42" s="1"/>
      <c r="S42" s="1"/>
      <c r="T42" s="1"/>
      <c r="U42" s="1"/>
      <c r="V42" s="1"/>
      <c r="W42" s="1"/>
      <c r="X42" s="1"/>
      <c r="Y42" s="1"/>
      <c r="Z42" s="1"/>
      <c r="AD42" s="1"/>
      <c r="AE42" s="1"/>
    </row>
    <row r="43" spans="1:31" ht="50" customHeight="1" x14ac:dyDescent="0.15">
      <c r="A43" s="1"/>
      <c r="B43" s="11">
        <v>40</v>
      </c>
      <c r="C43" s="11" t="s">
        <v>1452</v>
      </c>
      <c r="D43" s="16" t="s">
        <v>1025</v>
      </c>
      <c r="E43" s="1" t="s">
        <v>84</v>
      </c>
      <c r="F43" s="24" t="s">
        <v>1477</v>
      </c>
      <c r="G43" s="1" t="s">
        <v>85</v>
      </c>
      <c r="H43" s="1"/>
      <c r="I43" s="1" t="s">
        <v>926</v>
      </c>
      <c r="J43" s="1" t="s">
        <v>910</v>
      </c>
      <c r="K43" s="1">
        <v>42</v>
      </c>
      <c r="L43" t="str">
        <f t="shared" si="0"/>
        <v>40 NO by O2</v>
      </c>
      <c r="M43" s="1"/>
      <c r="N43" s="1"/>
      <c r="O43" s="1"/>
      <c r="P43" s="1"/>
      <c r="R43" s="1"/>
      <c r="S43" s="1"/>
      <c r="T43" s="1"/>
      <c r="U43" s="1"/>
      <c r="V43" s="1"/>
      <c r="W43" s="1"/>
      <c r="X43" s="1"/>
      <c r="Y43" s="1"/>
      <c r="Z43" s="1"/>
      <c r="AD43" s="1"/>
      <c r="AE43" s="1"/>
    </row>
    <row r="44" spans="1:31" ht="50" customHeight="1" x14ac:dyDescent="0.15">
      <c r="A44" s="1"/>
      <c r="B44" s="11">
        <v>41</v>
      </c>
      <c r="C44" s="11" t="s">
        <v>553</v>
      </c>
      <c r="D44" s="16" t="s">
        <v>1026</v>
      </c>
      <c r="E44" s="1" t="s">
        <v>87</v>
      </c>
      <c r="F44" s="24" t="s">
        <v>86</v>
      </c>
      <c r="G44" s="1"/>
      <c r="H44" s="1"/>
      <c r="I44" s="1" t="s">
        <v>906</v>
      </c>
      <c r="J44" s="1"/>
      <c r="K44" s="1">
        <v>43</v>
      </c>
      <c r="L44" t="str">
        <f t="shared" si="0"/>
        <v>41 CO by N2</v>
      </c>
      <c r="M44" s="1"/>
      <c r="N44" s="1"/>
      <c r="O44" s="1"/>
      <c r="P44" s="1"/>
      <c r="R44" s="1"/>
      <c r="S44" s="1"/>
      <c r="T44" s="1"/>
      <c r="U44" s="1"/>
      <c r="V44" s="1"/>
      <c r="W44" s="1"/>
      <c r="X44" s="1"/>
      <c r="Y44" s="1"/>
      <c r="Z44" s="1"/>
      <c r="AD44" s="1"/>
      <c r="AE44" s="1"/>
    </row>
    <row r="45" spans="1:31" ht="50" customHeight="1" x14ac:dyDescent="0.15">
      <c r="A45" s="1"/>
      <c r="B45" s="11">
        <v>42</v>
      </c>
      <c r="C45" s="11" t="s">
        <v>554</v>
      </c>
      <c r="D45" s="16" t="s">
        <v>1027</v>
      </c>
      <c r="E45" s="1" t="s">
        <v>84</v>
      </c>
      <c r="F45" s="24" t="s">
        <v>88</v>
      </c>
      <c r="G45" s="1"/>
      <c r="H45" s="1"/>
      <c r="I45" s="1" t="s">
        <v>906</v>
      </c>
      <c r="J45" s="1"/>
      <c r="K45" s="1">
        <v>44</v>
      </c>
      <c r="L45" t="str">
        <f t="shared" si="0"/>
        <v>42 NO by O2</v>
      </c>
      <c r="M45" s="1"/>
      <c r="N45" s="1"/>
      <c r="O45" s="1"/>
      <c r="P45" s="1"/>
      <c r="R45" s="1"/>
      <c r="S45" s="1"/>
      <c r="T45" s="1"/>
      <c r="U45" s="1"/>
      <c r="V45" s="1"/>
      <c r="W45" s="1"/>
      <c r="X45" s="1"/>
      <c r="Y45" s="1"/>
      <c r="Z45" s="1"/>
      <c r="AD45" s="1"/>
      <c r="AE45" s="1"/>
    </row>
    <row r="46" spans="1:31" ht="50" customHeight="1" x14ac:dyDescent="0.15">
      <c r="A46" s="1"/>
      <c r="B46" s="11">
        <v>43</v>
      </c>
      <c r="C46" s="11" t="s">
        <v>1453</v>
      </c>
      <c r="D46" s="16" t="s">
        <v>1028</v>
      </c>
      <c r="E46" s="1" t="s">
        <v>90</v>
      </c>
      <c r="F46" s="24" t="s">
        <v>89</v>
      </c>
      <c r="G46" s="1" t="s">
        <v>91</v>
      </c>
      <c r="H46" s="1"/>
      <c r="I46" s="1" t="s">
        <v>927</v>
      </c>
      <c r="J46" s="1"/>
      <c r="K46" s="1">
        <v>45</v>
      </c>
      <c r="L46" t="str">
        <f t="shared" si="0"/>
        <v>43 HCO+ by Ar</v>
      </c>
      <c r="M46" s="1"/>
      <c r="N46" s="1"/>
      <c r="O46" s="1"/>
      <c r="P46" s="1"/>
      <c r="R46" s="1"/>
      <c r="S46" s="1"/>
      <c r="T46" s="1"/>
      <c r="U46" s="1"/>
      <c r="V46" s="1"/>
      <c r="W46" s="1"/>
      <c r="X46" s="1"/>
      <c r="Y46" s="1"/>
      <c r="Z46" s="1"/>
      <c r="AD46" s="1"/>
      <c r="AE46" s="1"/>
    </row>
    <row r="47" spans="1:31" ht="50" customHeight="1" x14ac:dyDescent="0.15">
      <c r="A47" s="1"/>
      <c r="B47" s="11">
        <v>44</v>
      </c>
      <c r="C47" s="11" t="s">
        <v>555</v>
      </c>
      <c r="D47" s="16" t="s">
        <v>1029</v>
      </c>
      <c r="E47" s="1" t="s">
        <v>93</v>
      </c>
      <c r="F47" s="24" t="s">
        <v>92</v>
      </c>
      <c r="G47" s="1"/>
      <c r="H47" s="1"/>
      <c r="I47" s="1" t="s">
        <v>906</v>
      </c>
      <c r="J47" s="1"/>
      <c r="K47" s="1">
        <v>46</v>
      </c>
      <c r="L47" t="str">
        <f t="shared" si="0"/>
        <v>44 OH by N2 and O2</v>
      </c>
      <c r="M47" s="1"/>
      <c r="N47" s="1"/>
      <c r="O47" s="1"/>
      <c r="P47" s="1"/>
      <c r="R47" s="1"/>
      <c r="S47" s="1"/>
      <c r="T47" s="1"/>
      <c r="U47" s="1"/>
      <c r="V47" s="1"/>
      <c r="W47" s="1"/>
      <c r="X47" s="1"/>
      <c r="Y47" s="1"/>
      <c r="Z47" s="1"/>
      <c r="AD47" s="1"/>
      <c r="AE47" s="1"/>
    </row>
    <row r="48" spans="1:31" ht="50" customHeight="1" x14ac:dyDescent="0.15">
      <c r="A48" s="1"/>
      <c r="B48" s="11">
        <v>45</v>
      </c>
      <c r="C48" s="11" t="s">
        <v>556</v>
      </c>
      <c r="D48" s="16" t="s">
        <v>1030</v>
      </c>
      <c r="E48" s="1" t="s">
        <v>95</v>
      </c>
      <c r="F48" s="24" t="s">
        <v>94</v>
      </c>
      <c r="G48" s="1"/>
      <c r="H48" s="1"/>
      <c r="I48" s="1" t="s">
        <v>927</v>
      </c>
      <c r="J48" s="1"/>
      <c r="K48" s="1">
        <v>47</v>
      </c>
      <c r="L48" t="str">
        <f t="shared" si="0"/>
        <v>45 HCO+ by H2</v>
      </c>
      <c r="M48" s="1"/>
      <c r="N48" s="1"/>
      <c r="O48" s="1"/>
      <c r="P48" s="1"/>
      <c r="R48" s="1"/>
      <c r="S48" s="1"/>
      <c r="T48" s="1"/>
      <c r="U48" s="1"/>
      <c r="V48" s="1"/>
      <c r="W48" s="1"/>
      <c r="X48" s="1"/>
      <c r="Y48" s="1"/>
      <c r="Z48" s="1"/>
      <c r="AD48" s="1"/>
      <c r="AE48" s="1"/>
    </row>
    <row r="49" spans="1:31" ht="50" customHeight="1" x14ac:dyDescent="0.15">
      <c r="A49" s="1"/>
      <c r="B49" s="11">
        <v>46</v>
      </c>
      <c r="C49" s="11" t="s">
        <v>557</v>
      </c>
      <c r="D49" s="16" t="s">
        <v>1031</v>
      </c>
      <c r="E49" s="1" t="s">
        <v>93</v>
      </c>
      <c r="F49" s="24" t="s">
        <v>96</v>
      </c>
      <c r="G49" s="1"/>
      <c r="H49" s="1"/>
      <c r="I49" s="1" t="s">
        <v>906</v>
      </c>
      <c r="J49" s="1"/>
      <c r="K49" s="1">
        <v>48</v>
      </c>
      <c r="L49" t="str">
        <f t="shared" si="0"/>
        <v>46 OH by N2 and O2</v>
      </c>
      <c r="M49" s="1"/>
      <c r="N49" s="1"/>
      <c r="O49" s="1"/>
      <c r="P49" s="1"/>
      <c r="R49" s="1"/>
      <c r="S49" s="1"/>
      <c r="T49" s="1"/>
      <c r="U49" s="1"/>
      <c r="V49" s="1"/>
      <c r="W49" s="1"/>
      <c r="X49" s="1"/>
      <c r="Y49" s="1"/>
      <c r="Z49" s="1"/>
      <c r="AD49" s="1"/>
      <c r="AE49" s="1"/>
    </row>
    <row r="50" spans="1:31" ht="50" customHeight="1" x14ac:dyDescent="0.15">
      <c r="M50" s="1"/>
      <c r="N50" s="1"/>
      <c r="O50" s="1"/>
      <c r="P50" s="1"/>
      <c r="R50" s="1"/>
      <c r="S50" s="1"/>
      <c r="T50" s="1"/>
      <c r="U50" s="1"/>
      <c r="V50" s="1"/>
      <c r="W50" s="1"/>
      <c r="X50" s="1"/>
      <c r="Y50" s="1"/>
      <c r="Z50" s="1"/>
      <c r="AD50" s="1"/>
      <c r="AE50" s="1"/>
    </row>
    <row r="51" spans="1:31" ht="50" customHeight="1" x14ac:dyDescent="0.15">
      <c r="A51" s="1"/>
      <c r="B51" s="11">
        <v>48</v>
      </c>
      <c r="C51" s="11" t="s">
        <v>559</v>
      </c>
      <c r="D51" s="16" t="s">
        <v>1033</v>
      </c>
      <c r="E51" s="1" t="s">
        <v>90</v>
      </c>
      <c r="F51" s="24" t="s">
        <v>99</v>
      </c>
      <c r="G51" s="1"/>
      <c r="H51" s="1"/>
      <c r="I51" s="1" t="s">
        <v>926</v>
      </c>
      <c r="J51" s="1"/>
      <c r="K51" s="1">
        <v>50</v>
      </c>
      <c r="L51" t="str">
        <f t="shared" si="0"/>
        <v>48 HCO+ by Ar</v>
      </c>
      <c r="M51" s="1"/>
      <c r="N51" s="1"/>
      <c r="O51" s="1"/>
      <c r="P51" s="1"/>
      <c r="R51" s="1"/>
      <c r="S51" s="1"/>
      <c r="T51" s="1"/>
      <c r="U51" s="1"/>
      <c r="V51" s="1"/>
      <c r="W51" s="1"/>
      <c r="X51" s="1"/>
      <c r="Y51" s="1"/>
      <c r="Z51" s="1"/>
      <c r="AD51" s="1"/>
      <c r="AE51" s="1"/>
    </row>
    <row r="52" spans="1:31" ht="50" customHeight="1" x14ac:dyDescent="0.15">
      <c r="A52" s="1"/>
      <c r="B52" s="11">
        <v>49</v>
      </c>
      <c r="C52" s="11" t="s">
        <v>560</v>
      </c>
      <c r="D52" s="16" t="s">
        <v>1034</v>
      </c>
      <c r="E52" s="1" t="s">
        <v>21</v>
      </c>
      <c r="F52" s="24" t="s">
        <v>100</v>
      </c>
      <c r="G52" s="1"/>
      <c r="H52" s="1"/>
      <c r="I52" s="1" t="s">
        <v>906</v>
      </c>
      <c r="J52" s="1"/>
      <c r="K52" s="1">
        <v>51</v>
      </c>
      <c r="L52" t="str">
        <f t="shared" si="0"/>
        <v>49 NO by N2 and Ar</v>
      </c>
      <c r="M52" s="1"/>
      <c r="N52" s="1"/>
      <c r="O52" s="1"/>
      <c r="P52" s="1"/>
      <c r="R52" s="1"/>
      <c r="S52" s="1"/>
      <c r="T52" s="1"/>
      <c r="U52" s="1"/>
      <c r="V52" s="1"/>
      <c r="W52" s="1"/>
      <c r="X52" s="1"/>
      <c r="Y52" s="1"/>
      <c r="Z52" s="1"/>
      <c r="AD52" s="1"/>
      <c r="AE52" s="1"/>
    </row>
    <row r="53" spans="1:31" ht="50" customHeight="1" x14ac:dyDescent="0.15">
      <c r="A53" s="1"/>
      <c r="B53" s="11">
        <v>50</v>
      </c>
      <c r="C53" s="11" t="s">
        <v>561</v>
      </c>
      <c r="D53" s="16" t="s">
        <v>1035</v>
      </c>
      <c r="E53" s="1" t="s">
        <v>93</v>
      </c>
      <c r="F53" s="24" t="s">
        <v>101</v>
      </c>
      <c r="G53" s="1"/>
      <c r="H53" s="1"/>
      <c r="I53" s="1" t="s">
        <v>907</v>
      </c>
      <c r="J53" s="1"/>
      <c r="K53" s="1">
        <v>52</v>
      </c>
      <c r="L53" t="str">
        <f t="shared" si="0"/>
        <v>50 OH by N2 and O2</v>
      </c>
      <c r="M53" s="1"/>
      <c r="N53" s="1"/>
      <c r="O53" s="1"/>
      <c r="P53" s="1"/>
      <c r="R53" s="1"/>
      <c r="S53" s="1"/>
      <c r="T53" s="1"/>
      <c r="U53" s="1"/>
      <c r="V53" s="1"/>
      <c r="W53" s="1"/>
      <c r="X53" s="1"/>
      <c r="Y53" s="1"/>
      <c r="Z53" s="1"/>
      <c r="AD53" s="1"/>
      <c r="AE53" s="1"/>
    </row>
    <row r="54" spans="1:31" ht="50" customHeight="1" x14ac:dyDescent="0.15">
      <c r="A54" s="1"/>
      <c r="B54" s="11">
        <v>51</v>
      </c>
      <c r="C54" s="11" t="s">
        <v>562</v>
      </c>
      <c r="D54" s="16" t="s">
        <v>1036</v>
      </c>
      <c r="E54" s="1" t="s">
        <v>102</v>
      </c>
      <c r="F54" s="24" t="s">
        <v>103</v>
      </c>
      <c r="G54" s="1"/>
      <c r="H54" s="1"/>
      <c r="I54" s="1" t="s">
        <v>928</v>
      </c>
      <c r="J54" s="1"/>
      <c r="K54" s="1">
        <v>53</v>
      </c>
      <c r="L54" t="str">
        <f t="shared" si="0"/>
        <v>51 15NO by N2, He, NO</v>
      </c>
      <c r="M54" s="1"/>
      <c r="N54" s="1"/>
      <c r="O54" s="1"/>
      <c r="P54" s="1"/>
      <c r="R54" s="1"/>
      <c r="S54" s="1"/>
      <c r="T54" s="1"/>
      <c r="U54" s="1"/>
      <c r="V54" s="1"/>
      <c r="W54" s="1"/>
      <c r="X54" s="1"/>
      <c r="Y54" s="1"/>
      <c r="Z54" s="1"/>
      <c r="AD54" s="1"/>
      <c r="AE54" s="1"/>
    </row>
    <row r="55" spans="1:31" ht="50" customHeight="1" x14ac:dyDescent="0.15">
      <c r="A55" s="1"/>
      <c r="B55" s="11">
        <v>52</v>
      </c>
      <c r="C55" s="11" t="s">
        <v>563</v>
      </c>
      <c r="D55" s="16" t="s">
        <v>1037</v>
      </c>
      <c r="E55" s="1" t="s">
        <v>104</v>
      </c>
      <c r="F55" s="46" t="s">
        <v>1478</v>
      </c>
      <c r="G55" s="1"/>
      <c r="H55" s="1"/>
      <c r="I55" s="1" t="s">
        <v>926</v>
      </c>
      <c r="K55" s="1">
        <v>54</v>
      </c>
      <c r="L55" t="str">
        <f t="shared" si="0"/>
        <v>52 HD by HD, H2, He, Ne, Ar, Ne</v>
      </c>
      <c r="M55" s="1"/>
      <c r="N55" s="1"/>
      <c r="O55" s="1"/>
      <c r="P55" s="1"/>
      <c r="R55" s="1"/>
      <c r="S55" s="1"/>
      <c r="T55" s="1"/>
      <c r="U55" s="1"/>
      <c r="V55" s="1"/>
      <c r="W55" s="1"/>
      <c r="X55" s="1"/>
      <c r="Y55" s="1"/>
      <c r="Z55" s="1"/>
      <c r="AD55" s="1"/>
      <c r="AE55" s="1"/>
    </row>
    <row r="56" spans="1:31" ht="50" customHeight="1" x14ac:dyDescent="0.15">
      <c r="A56" s="1"/>
      <c r="B56" s="11">
        <v>53</v>
      </c>
      <c r="C56" s="11" t="s">
        <v>564</v>
      </c>
      <c r="D56" s="16" t="s">
        <v>1038</v>
      </c>
      <c r="E56" s="1" t="s">
        <v>105</v>
      </c>
      <c r="F56" s="24" t="s">
        <v>106</v>
      </c>
      <c r="G56" s="1"/>
      <c r="H56" s="1"/>
      <c r="I56" s="1" t="s">
        <v>906</v>
      </c>
      <c r="J56" s="1" t="s">
        <v>910</v>
      </c>
      <c r="K56" s="1">
        <v>55</v>
      </c>
      <c r="L56" t="str">
        <f t="shared" si="0"/>
        <v>53 OH by H2O and CO2</v>
      </c>
      <c r="M56" s="1"/>
      <c r="N56" s="1"/>
      <c r="O56" s="1"/>
      <c r="P56" s="1"/>
      <c r="R56" s="1"/>
      <c r="S56" s="1"/>
      <c r="T56" s="1"/>
      <c r="U56" s="1"/>
      <c r="V56" s="1"/>
      <c r="W56" s="1"/>
      <c r="X56" s="1"/>
      <c r="Y56" s="1"/>
      <c r="Z56" s="1"/>
      <c r="AD56" s="1"/>
      <c r="AE56" s="1"/>
    </row>
    <row r="57" spans="1:31" ht="50" customHeight="1" x14ac:dyDescent="0.15">
      <c r="A57" s="1"/>
      <c r="B57" s="22"/>
      <c r="C57" s="11"/>
      <c r="D57" s="16" t="s">
        <v>1039</v>
      </c>
      <c r="E57" s="1" t="s">
        <v>107</v>
      </c>
      <c r="F57" s="9"/>
      <c r="G57" s="1" t="s">
        <v>108</v>
      </c>
      <c r="H57" s="1"/>
      <c r="K57" s="1">
        <v>56</v>
      </c>
      <c r="L57" t="str">
        <f t="shared" si="0"/>
        <v xml:space="preserve"> Ne by Ne</v>
      </c>
      <c r="M57" s="1" t="s">
        <v>109</v>
      </c>
      <c r="N57" s="1" t="s">
        <v>110</v>
      </c>
      <c r="O57" s="1" t="s">
        <v>111</v>
      </c>
      <c r="P57" s="1"/>
      <c r="R57" s="1"/>
      <c r="S57" s="1"/>
      <c r="T57" s="1"/>
      <c r="U57" s="1"/>
      <c r="V57" s="1"/>
      <c r="W57" s="1"/>
      <c r="X57" s="1"/>
      <c r="Y57" s="1"/>
      <c r="Z57" s="1"/>
      <c r="AD57" s="1"/>
      <c r="AE57" s="1"/>
    </row>
    <row r="58" spans="1:31" ht="50" customHeight="1" x14ac:dyDescent="0.15">
      <c r="A58" s="1"/>
      <c r="B58" s="11">
        <v>54</v>
      </c>
      <c r="C58" s="11" t="s">
        <v>565</v>
      </c>
      <c r="D58" s="16" t="s">
        <v>1040</v>
      </c>
      <c r="E58" s="1" t="s">
        <v>112</v>
      </c>
      <c r="F58" s="24" t="s">
        <v>113</v>
      </c>
      <c r="G58" s="1"/>
      <c r="H58" s="1"/>
      <c r="I58" s="1" t="s">
        <v>906</v>
      </c>
      <c r="J58" s="1" t="s">
        <v>910</v>
      </c>
      <c r="K58" s="1">
        <v>57</v>
      </c>
      <c r="L58" t="str">
        <f t="shared" si="0"/>
        <v>54 OH by Ar and N2</v>
      </c>
      <c r="M58" s="1"/>
      <c r="N58" s="1"/>
      <c r="O58" s="1"/>
      <c r="P58" s="1"/>
      <c r="R58" s="1"/>
      <c r="S58" s="1"/>
      <c r="T58" s="1"/>
      <c r="U58" s="1"/>
      <c r="V58" s="1"/>
      <c r="W58" s="1"/>
      <c r="X58" s="1"/>
      <c r="Y58" s="1"/>
      <c r="Z58" s="1"/>
      <c r="AD58" s="1"/>
      <c r="AE58" s="1"/>
    </row>
    <row r="59" spans="1:31" ht="50" customHeight="1" x14ac:dyDescent="0.15">
      <c r="A59" s="1"/>
      <c r="B59" s="11">
        <v>55</v>
      </c>
      <c r="C59" s="28" t="s">
        <v>566</v>
      </c>
      <c r="D59" s="29" t="s">
        <v>1041</v>
      </c>
      <c r="E59" s="30" t="s">
        <v>115</v>
      </c>
      <c r="F59" s="31" t="s">
        <v>114</v>
      </c>
      <c r="G59" s="30"/>
      <c r="H59" s="1" t="s">
        <v>903</v>
      </c>
      <c r="I59" s="30" t="s">
        <v>911</v>
      </c>
      <c r="J59" s="1" t="s">
        <v>929</v>
      </c>
      <c r="K59" s="1">
        <v>58</v>
      </c>
      <c r="L59" t="str">
        <f t="shared" si="0"/>
        <v>55 Ne by Ne and He</v>
      </c>
      <c r="M59" s="1"/>
      <c r="N59" s="1"/>
      <c r="O59" s="1"/>
      <c r="P59" s="1"/>
      <c r="R59" s="1"/>
      <c r="S59" s="1"/>
      <c r="T59" s="1"/>
      <c r="U59" s="1"/>
      <c r="V59" s="1"/>
      <c r="W59" s="1"/>
      <c r="X59" s="1"/>
      <c r="Y59" s="1"/>
      <c r="Z59" s="1"/>
      <c r="AD59" s="1"/>
      <c r="AE59" s="1"/>
    </row>
    <row r="60" spans="1:31" ht="50" customHeight="1" x14ac:dyDescent="0.15">
      <c r="A60" s="1"/>
      <c r="B60" s="11">
        <v>57</v>
      </c>
      <c r="C60" s="11" t="s">
        <v>567</v>
      </c>
      <c r="D60" s="16" t="s">
        <v>1042</v>
      </c>
      <c r="E60" s="1" t="s">
        <v>116</v>
      </c>
      <c r="F60" s="24" t="s">
        <v>117</v>
      </c>
      <c r="G60" s="1"/>
      <c r="H60" s="1"/>
      <c r="I60" s="1" t="s">
        <v>906</v>
      </c>
      <c r="J60" s="1"/>
      <c r="K60" s="1">
        <v>59</v>
      </c>
      <c r="L60" t="str">
        <f t="shared" si="0"/>
        <v>57 OH by Ar, N2, H2</v>
      </c>
      <c r="M60" s="1"/>
      <c r="N60" s="1"/>
      <c r="O60" s="1"/>
      <c r="P60" s="1"/>
      <c r="R60" s="1"/>
      <c r="S60" s="1"/>
      <c r="T60" s="1"/>
      <c r="U60" s="1"/>
      <c r="V60" s="1"/>
      <c r="W60" s="1"/>
      <c r="X60" s="1"/>
      <c r="Y60" s="1"/>
      <c r="Z60" s="1"/>
      <c r="AD60" s="1"/>
      <c r="AE60" s="1"/>
    </row>
    <row r="61" spans="1:31" ht="50" customHeight="1" x14ac:dyDescent="0.15">
      <c r="A61" s="1"/>
      <c r="B61" s="11">
        <v>58</v>
      </c>
      <c r="C61" s="11" t="s">
        <v>568</v>
      </c>
      <c r="D61" s="16" t="s">
        <v>1043</v>
      </c>
      <c r="E61" s="1" t="s">
        <v>119</v>
      </c>
      <c r="F61" s="24" t="s">
        <v>118</v>
      </c>
      <c r="G61" s="1" t="s">
        <v>972</v>
      </c>
      <c r="H61" s="1" t="s">
        <v>973</v>
      </c>
      <c r="I61" s="1" t="s">
        <v>927</v>
      </c>
      <c r="J61" s="1"/>
      <c r="K61" s="1">
        <v>60</v>
      </c>
      <c r="L61" t="str">
        <f t="shared" si="0"/>
        <v>58 HCO+ by H2 and 18OCS by self</v>
      </c>
      <c r="M61" s="1"/>
      <c r="N61" s="1"/>
      <c r="O61" s="1"/>
      <c r="P61" s="1"/>
      <c r="R61" s="1"/>
      <c r="S61" s="1"/>
      <c r="T61" s="1"/>
      <c r="U61" s="1"/>
      <c r="V61" s="1"/>
      <c r="W61" s="1"/>
      <c r="X61" s="1"/>
      <c r="Y61" s="1"/>
      <c r="Z61" s="1"/>
      <c r="AD61" s="1"/>
      <c r="AE61" s="1"/>
    </row>
    <row r="62" spans="1:31" ht="50" customHeight="1" x14ac:dyDescent="0.15">
      <c r="A62" s="1"/>
      <c r="B62" s="11">
        <v>59</v>
      </c>
      <c r="C62" s="11" t="s">
        <v>569</v>
      </c>
      <c r="D62" s="16" t="s">
        <v>1044</v>
      </c>
      <c r="E62" s="1" t="s">
        <v>121</v>
      </c>
      <c r="F62" s="24" t="s">
        <v>120</v>
      </c>
      <c r="G62" s="1"/>
      <c r="H62" s="1"/>
      <c r="I62" s="1" t="s">
        <v>906</v>
      </c>
      <c r="J62" s="1"/>
      <c r="K62" s="1">
        <v>61</v>
      </c>
      <c r="L62" t="str">
        <f t="shared" si="0"/>
        <v>59 No by N2 Ar CO2 CO CH4</v>
      </c>
      <c r="M62" s="1"/>
      <c r="N62" s="1"/>
      <c r="O62" s="1"/>
      <c r="P62" s="1"/>
      <c r="R62" s="1"/>
      <c r="S62" s="1"/>
      <c r="T62" s="1"/>
      <c r="U62" s="1"/>
      <c r="V62" s="1"/>
      <c r="W62" s="1"/>
      <c r="X62" s="1"/>
      <c r="Y62" s="1"/>
      <c r="Z62" s="1"/>
      <c r="AD62" s="1"/>
      <c r="AE62" s="1"/>
    </row>
    <row r="63" spans="1:31" ht="50" customHeight="1" x14ac:dyDescent="0.15">
      <c r="A63" s="1"/>
      <c r="B63" s="11">
        <v>60</v>
      </c>
      <c r="C63" s="11" t="s">
        <v>570</v>
      </c>
      <c r="D63" s="16" t="s">
        <v>1045</v>
      </c>
      <c r="E63" s="1" t="s">
        <v>122</v>
      </c>
      <c r="F63" s="24" t="s">
        <v>123</v>
      </c>
      <c r="G63" s="1"/>
      <c r="H63" s="1"/>
      <c r="I63" s="1" t="s">
        <v>928</v>
      </c>
      <c r="J63" s="1"/>
      <c r="K63" s="1">
        <v>62</v>
      </c>
      <c r="L63" t="str">
        <f t="shared" si="0"/>
        <v>60 OH by Ar, He and NO2</v>
      </c>
      <c r="M63" s="1"/>
      <c r="N63" s="1"/>
      <c r="O63" s="1"/>
      <c r="P63" s="1"/>
      <c r="R63" s="1"/>
      <c r="S63" s="1"/>
      <c r="T63" s="1"/>
      <c r="U63" s="1"/>
      <c r="V63" s="1"/>
      <c r="W63" s="1"/>
      <c r="X63" s="1"/>
      <c r="Y63" s="1"/>
      <c r="Z63" s="1"/>
      <c r="AD63" s="1"/>
      <c r="AE63" s="1"/>
    </row>
    <row r="64" spans="1:31" ht="50" customHeight="1" x14ac:dyDescent="0.15">
      <c r="A64" s="1"/>
      <c r="B64" s="11">
        <v>61</v>
      </c>
      <c r="C64" s="11" t="s">
        <v>571</v>
      </c>
      <c r="D64" s="16" t="s">
        <v>1046</v>
      </c>
      <c r="E64" s="1" t="s">
        <v>127</v>
      </c>
      <c r="F64" s="24" t="s">
        <v>128</v>
      </c>
      <c r="G64" s="1"/>
      <c r="H64" s="1" t="s">
        <v>903</v>
      </c>
      <c r="I64" s="1" t="s">
        <v>927</v>
      </c>
      <c r="J64" s="1" t="s">
        <v>922</v>
      </c>
      <c r="K64" s="1">
        <v>63</v>
      </c>
      <c r="L64" t="str">
        <f t="shared" si="0"/>
        <v>61 HCl by Ar</v>
      </c>
      <c r="M64" s="1"/>
      <c r="N64" s="1"/>
      <c r="O64" s="1"/>
      <c r="P64" s="1"/>
      <c r="R64" s="1"/>
      <c r="S64" s="1"/>
      <c r="T64" s="1"/>
      <c r="U64" s="1"/>
      <c r="V64" s="1"/>
      <c r="W64" s="1"/>
      <c r="X64" s="1"/>
      <c r="Y64" s="1"/>
      <c r="Z64" s="1"/>
      <c r="AD64" s="1"/>
      <c r="AE64" s="1"/>
    </row>
    <row r="65" spans="1:31" ht="50" customHeight="1" x14ac:dyDescent="0.15">
      <c r="A65" s="1"/>
      <c r="B65" s="11">
        <v>62</v>
      </c>
      <c r="C65" s="11" t="s">
        <v>572</v>
      </c>
      <c r="D65" s="16" t="s">
        <v>1047</v>
      </c>
      <c r="E65" s="1" t="s">
        <v>129</v>
      </c>
      <c r="F65" s="24" t="s">
        <v>130</v>
      </c>
      <c r="G65" s="1"/>
      <c r="H65" s="1"/>
      <c r="I65" s="1" t="s">
        <v>906</v>
      </c>
      <c r="J65" s="1"/>
      <c r="K65" s="1">
        <v>64</v>
      </c>
      <c r="L65" t="str">
        <f t="shared" si="0"/>
        <v>62 OH by He, Ne, Ar, Kr, Xe, H2, D2, O2, N2, CH4, CO2, N2O, SF6, CF4, H2O</v>
      </c>
      <c r="M65" s="1"/>
      <c r="N65" s="1"/>
      <c r="O65" s="1"/>
      <c r="P65" s="1"/>
      <c r="R65" s="1"/>
      <c r="S65" s="1"/>
      <c r="T65" s="1"/>
      <c r="U65" s="1"/>
      <c r="V65" s="1"/>
      <c r="W65" s="1"/>
      <c r="X65" s="1"/>
      <c r="Y65" s="1"/>
      <c r="Z65" s="1"/>
      <c r="AD65" s="1"/>
      <c r="AE65" s="1"/>
    </row>
    <row r="66" spans="1:31" ht="50" customHeight="1" x14ac:dyDescent="0.15">
      <c r="A66" s="1"/>
      <c r="B66" s="11">
        <v>63</v>
      </c>
      <c r="C66" s="11" t="s">
        <v>573</v>
      </c>
      <c r="D66" s="16" t="s">
        <v>1048</v>
      </c>
      <c r="E66" s="1" t="s">
        <v>131</v>
      </c>
      <c r="F66" s="24" t="s">
        <v>1285</v>
      </c>
      <c r="G66" s="1"/>
      <c r="H66" s="1"/>
      <c r="I66" s="1" t="s">
        <v>906</v>
      </c>
      <c r="J66" s="1"/>
      <c r="K66" s="1">
        <v>65</v>
      </c>
      <c r="L66" t="str">
        <f t="shared" ref="L66:L129" si="1">B66&amp;" "&amp;E66</f>
        <v>63 H2O by SF6, N2</v>
      </c>
      <c r="M66" s="1"/>
      <c r="N66" s="1"/>
      <c r="O66" s="1"/>
      <c r="P66" s="1"/>
      <c r="R66" s="1"/>
      <c r="S66" s="1"/>
      <c r="T66" s="1"/>
      <c r="U66" s="1"/>
      <c r="V66" s="1"/>
      <c r="W66" s="1"/>
      <c r="X66" s="1"/>
      <c r="Y66" s="1"/>
      <c r="Z66" s="1"/>
      <c r="AD66" s="1"/>
      <c r="AE66" s="1"/>
    </row>
    <row r="67" spans="1:31" ht="50" customHeight="1" x14ac:dyDescent="0.15">
      <c r="A67" s="1"/>
      <c r="B67" s="11">
        <v>64</v>
      </c>
      <c r="C67" s="11" t="s">
        <v>574</v>
      </c>
      <c r="D67" s="16" t="s">
        <v>1049</v>
      </c>
      <c r="E67" s="1" t="s">
        <v>132</v>
      </c>
      <c r="F67" s="24" t="s">
        <v>1286</v>
      </c>
      <c r="G67" s="1"/>
      <c r="H67" s="1"/>
      <c r="I67" s="1" t="s">
        <v>906</v>
      </c>
      <c r="J67" s="1"/>
      <c r="K67" s="1">
        <v>66</v>
      </c>
      <c r="L67" t="str">
        <f t="shared" si="1"/>
        <v>64 H2O by Ar</v>
      </c>
      <c r="M67" s="1"/>
      <c r="N67" s="1"/>
      <c r="O67" s="1"/>
      <c r="P67" s="1"/>
      <c r="R67" s="1"/>
      <c r="S67" s="1"/>
      <c r="T67" s="1"/>
      <c r="U67" s="1"/>
      <c r="V67" s="1"/>
      <c r="W67" s="1"/>
      <c r="X67" s="1"/>
      <c r="Y67" s="1"/>
      <c r="Z67" s="1"/>
      <c r="AD67" s="1"/>
      <c r="AE67" s="1"/>
    </row>
    <row r="68" spans="1:31" ht="50" customHeight="1" x14ac:dyDescent="0.15">
      <c r="A68" s="1"/>
      <c r="B68" s="11">
        <v>65</v>
      </c>
      <c r="C68" s="11" t="s">
        <v>575</v>
      </c>
      <c r="D68" s="16" t="s">
        <v>1050</v>
      </c>
      <c r="E68" s="1" t="s">
        <v>133</v>
      </c>
      <c r="F68" s="24" t="s">
        <v>1287</v>
      </c>
      <c r="G68" s="1"/>
      <c r="H68" s="1"/>
      <c r="I68" s="1" t="s">
        <v>906</v>
      </c>
      <c r="J68" s="1"/>
      <c r="K68" s="1">
        <v>67</v>
      </c>
      <c r="L68" t="str">
        <f t="shared" si="1"/>
        <v>65 H2O by CO2, N2</v>
      </c>
      <c r="M68" s="1"/>
      <c r="N68" s="1"/>
      <c r="O68" s="1"/>
      <c r="P68" s="1"/>
      <c r="R68" s="1"/>
      <c r="S68" s="1"/>
      <c r="T68" s="1"/>
      <c r="U68" s="1"/>
      <c r="V68" s="1"/>
      <c r="W68" s="1"/>
      <c r="X68" s="1"/>
      <c r="Y68" s="1"/>
      <c r="Z68" s="1"/>
      <c r="AD68" s="1"/>
      <c r="AE68" s="1"/>
    </row>
    <row r="69" spans="1:31" ht="50" customHeight="1" x14ac:dyDescent="0.15">
      <c r="A69" s="1"/>
      <c r="B69" s="11">
        <v>66</v>
      </c>
      <c r="C69" s="11" t="s">
        <v>576</v>
      </c>
      <c r="D69" s="16" t="s">
        <v>1051</v>
      </c>
      <c r="E69" s="1" t="s">
        <v>135</v>
      </c>
      <c r="F69" s="24" t="s">
        <v>1288</v>
      </c>
      <c r="G69" s="1"/>
      <c r="H69" s="1"/>
      <c r="I69" s="1" t="s">
        <v>906</v>
      </c>
      <c r="J69" s="1"/>
      <c r="K69" s="1">
        <v>68</v>
      </c>
      <c r="L69" t="str">
        <f t="shared" si="1"/>
        <v>66 HDO by CO2, self</v>
      </c>
      <c r="M69" s="1"/>
      <c r="N69" s="1"/>
      <c r="O69" s="1"/>
      <c r="P69" s="1"/>
      <c r="R69" s="1"/>
      <c r="S69" s="1"/>
      <c r="T69" s="1"/>
      <c r="U69" s="1"/>
      <c r="V69" s="1"/>
      <c r="W69" s="1"/>
      <c r="X69" s="1"/>
      <c r="Y69" s="1"/>
      <c r="Z69" s="1"/>
      <c r="AD69" s="1"/>
      <c r="AE69" s="1"/>
    </row>
    <row r="70" spans="1:31" ht="50" customHeight="1" x14ac:dyDescent="0.15">
      <c r="A70" s="1"/>
      <c r="B70" s="11">
        <v>67</v>
      </c>
      <c r="C70" s="11" t="s">
        <v>577</v>
      </c>
      <c r="D70" s="16" t="s">
        <v>1052</v>
      </c>
      <c r="E70" s="1" t="s">
        <v>135</v>
      </c>
      <c r="F70" s="24" t="s">
        <v>136</v>
      </c>
      <c r="G70" s="1"/>
      <c r="H70" s="1"/>
      <c r="I70" s="1" t="s">
        <v>906</v>
      </c>
      <c r="J70" s="1"/>
      <c r="K70" s="1">
        <v>69</v>
      </c>
      <c r="L70" t="str">
        <f t="shared" si="1"/>
        <v>67 HDO by CO2, self</v>
      </c>
      <c r="M70" s="1"/>
      <c r="N70" s="1"/>
      <c r="O70" s="1"/>
      <c r="P70" s="1"/>
      <c r="R70" s="1"/>
      <c r="S70" s="1"/>
      <c r="T70" s="1"/>
      <c r="U70" s="1"/>
      <c r="V70" s="1"/>
      <c r="W70" s="1"/>
      <c r="X70" s="1"/>
      <c r="Y70" s="1"/>
      <c r="Z70" s="1"/>
      <c r="AD70" s="1"/>
      <c r="AE70" s="1"/>
    </row>
    <row r="71" spans="1:31" ht="50" customHeight="1" x14ac:dyDescent="0.15">
      <c r="A71" s="1"/>
      <c r="B71" s="11">
        <v>68</v>
      </c>
      <c r="C71" s="11" t="s">
        <v>578</v>
      </c>
      <c r="D71" s="16" t="s">
        <v>1053</v>
      </c>
      <c r="E71" s="1" t="s">
        <v>134</v>
      </c>
      <c r="F71" s="24" t="s">
        <v>137</v>
      </c>
      <c r="G71" s="1"/>
      <c r="H71" s="1"/>
      <c r="I71" s="1" t="s">
        <v>906</v>
      </c>
      <c r="J71" s="1" t="s">
        <v>930</v>
      </c>
      <c r="K71" s="1">
        <v>70</v>
      </c>
      <c r="L71" t="str">
        <f t="shared" si="1"/>
        <v>68 HDO by CO2</v>
      </c>
      <c r="M71" s="1"/>
      <c r="N71" s="1"/>
      <c r="O71" s="1"/>
      <c r="P71" s="1"/>
      <c r="R71" s="1"/>
      <c r="S71" s="1"/>
      <c r="T71" s="1"/>
      <c r="U71" s="1"/>
      <c r="V71" s="1"/>
      <c r="W71" s="1"/>
      <c r="X71" s="1"/>
      <c r="Y71" s="1"/>
      <c r="Z71" s="1"/>
      <c r="AD71" s="1"/>
      <c r="AE71" s="1"/>
    </row>
    <row r="72" spans="1:31" ht="50" customHeight="1" x14ac:dyDescent="0.15">
      <c r="A72" s="1"/>
      <c r="B72" s="11">
        <v>69</v>
      </c>
      <c r="C72" s="11" t="s">
        <v>579</v>
      </c>
      <c r="D72" s="16" t="s">
        <v>1054</v>
      </c>
      <c r="E72" s="1" t="s">
        <v>138</v>
      </c>
      <c r="F72" s="24" t="s">
        <v>1289</v>
      </c>
      <c r="G72" s="1"/>
      <c r="H72" s="1"/>
      <c r="I72" s="1" t="s">
        <v>907</v>
      </c>
      <c r="J72" s="1"/>
      <c r="K72" s="1">
        <v>71</v>
      </c>
      <c r="L72" t="str">
        <f t="shared" si="1"/>
        <v>69 HCl by N2, He, Ar, Xe</v>
      </c>
      <c r="M72" s="1"/>
      <c r="N72" s="1"/>
      <c r="O72" s="1"/>
      <c r="P72" s="1"/>
      <c r="R72" s="1"/>
      <c r="S72" s="1"/>
      <c r="T72" s="1"/>
      <c r="U72" s="1"/>
      <c r="V72" s="1"/>
      <c r="W72" s="1"/>
      <c r="X72" s="1"/>
      <c r="Y72" s="1"/>
      <c r="Z72" s="1"/>
      <c r="AD72" s="1"/>
      <c r="AE72" s="1"/>
    </row>
    <row r="73" spans="1:31" ht="50" customHeight="1" x14ac:dyDescent="0.15">
      <c r="A73" s="1"/>
      <c r="B73" s="11">
        <v>70</v>
      </c>
      <c r="C73" s="11" t="s">
        <v>580</v>
      </c>
      <c r="D73" s="16" t="s">
        <v>1055</v>
      </c>
      <c r="E73" s="1" t="s">
        <v>127</v>
      </c>
      <c r="F73" s="24" t="s">
        <v>139</v>
      </c>
      <c r="G73" s="1"/>
      <c r="H73" s="1"/>
      <c r="I73" s="1" t="s">
        <v>927</v>
      </c>
      <c r="J73" s="1"/>
      <c r="K73" s="1">
        <v>72</v>
      </c>
      <c r="L73" t="str">
        <f t="shared" si="1"/>
        <v>70 HCl by Ar</v>
      </c>
      <c r="M73" s="1"/>
      <c r="N73" s="1"/>
      <c r="O73" s="1"/>
      <c r="P73" s="1"/>
      <c r="R73" s="1"/>
      <c r="S73" s="1"/>
      <c r="T73" s="1"/>
      <c r="U73" s="1"/>
      <c r="V73" s="1"/>
      <c r="W73" s="1"/>
      <c r="X73" s="1"/>
      <c r="Y73" s="1"/>
      <c r="Z73" s="1"/>
      <c r="AD73" s="1"/>
      <c r="AE73" s="1"/>
    </row>
    <row r="74" spans="1:31" ht="50" customHeight="1" x14ac:dyDescent="0.15">
      <c r="A74" s="1"/>
      <c r="B74" s="11">
        <v>71</v>
      </c>
      <c r="C74" s="11" t="s">
        <v>581</v>
      </c>
      <c r="D74" s="16" t="s">
        <v>1056</v>
      </c>
      <c r="E74" s="1" t="s">
        <v>141</v>
      </c>
      <c r="F74" s="24" t="s">
        <v>140</v>
      </c>
      <c r="G74" s="1"/>
      <c r="H74" s="1"/>
      <c r="I74" s="1" t="s">
        <v>906</v>
      </c>
      <c r="J74" s="1"/>
      <c r="K74" s="1">
        <v>73</v>
      </c>
      <c r="L74" t="str">
        <f t="shared" si="1"/>
        <v>71 CH4 by Ar, N2, O2, He</v>
      </c>
      <c r="M74" s="1"/>
      <c r="N74" s="1"/>
      <c r="O74" s="1"/>
      <c r="P74" s="1"/>
      <c r="R74" s="1"/>
      <c r="S74" s="1"/>
      <c r="T74" s="1"/>
      <c r="U74" s="1"/>
      <c r="V74" s="1"/>
      <c r="W74" s="1"/>
      <c r="X74" s="1"/>
      <c r="Y74" s="1"/>
      <c r="Z74" s="1"/>
      <c r="AD74" s="1"/>
      <c r="AE74" s="1"/>
    </row>
    <row r="75" spans="1:31" ht="50" customHeight="1" x14ac:dyDescent="0.15">
      <c r="A75" s="1"/>
      <c r="B75" s="11">
        <v>72</v>
      </c>
      <c r="C75" s="11" t="s">
        <v>582</v>
      </c>
      <c r="D75" s="16" t="s">
        <v>1057</v>
      </c>
      <c r="E75" s="1" t="s">
        <v>73</v>
      </c>
      <c r="F75" s="24" t="s">
        <v>1290</v>
      </c>
      <c r="G75" s="1"/>
      <c r="H75" s="1"/>
      <c r="I75" s="1" t="s">
        <v>907</v>
      </c>
      <c r="J75" s="1"/>
      <c r="K75" s="1">
        <v>74</v>
      </c>
      <c r="L75" t="str">
        <f t="shared" si="1"/>
        <v>72 CH4 by CO2</v>
      </c>
      <c r="M75" s="1"/>
      <c r="N75" s="1"/>
      <c r="O75" s="1"/>
      <c r="P75" s="1"/>
      <c r="R75" s="1"/>
      <c r="S75" s="1"/>
      <c r="T75" s="1"/>
      <c r="U75" s="1"/>
      <c r="V75" s="1"/>
      <c r="W75" s="1"/>
      <c r="X75" s="1"/>
      <c r="Y75" s="1"/>
      <c r="Z75" s="1"/>
      <c r="AD75" s="1"/>
      <c r="AE75" s="1"/>
    </row>
    <row r="76" spans="1:31" ht="50" customHeight="1" x14ac:dyDescent="0.15">
      <c r="A76" s="1"/>
      <c r="B76" s="11">
        <v>73</v>
      </c>
      <c r="C76" s="11" t="s">
        <v>583</v>
      </c>
      <c r="D76" s="16" t="s">
        <v>1058</v>
      </c>
      <c r="E76" s="1" t="s">
        <v>142</v>
      </c>
      <c r="F76" s="24" t="s">
        <v>1291</v>
      </c>
      <c r="G76" s="1"/>
      <c r="H76" s="1"/>
      <c r="I76" s="1" t="s">
        <v>906</v>
      </c>
      <c r="J76" s="1"/>
      <c r="K76" s="1">
        <v>75</v>
      </c>
      <c r="L76" t="str">
        <f t="shared" si="1"/>
        <v>73 CH4 by Ar, N2, O2, He, H2, CO2</v>
      </c>
      <c r="M76" s="1"/>
      <c r="N76" s="1"/>
      <c r="O76" s="1"/>
      <c r="P76" s="1"/>
      <c r="R76" s="1"/>
      <c r="S76" s="1"/>
      <c r="T76" s="1"/>
      <c r="U76" s="1"/>
      <c r="V76" s="1"/>
      <c r="W76" s="1"/>
      <c r="X76" s="1"/>
      <c r="Y76" s="1"/>
      <c r="Z76" s="1"/>
      <c r="AD76" s="1"/>
      <c r="AE76" s="1"/>
    </row>
    <row r="77" spans="1:31" ht="50" customHeight="1" x14ac:dyDescent="0.15">
      <c r="A77" s="1"/>
      <c r="B77" s="11">
        <v>74</v>
      </c>
      <c r="C77" s="11" t="s">
        <v>584</v>
      </c>
      <c r="D77" s="16" t="s">
        <v>1059</v>
      </c>
      <c r="E77" s="1" t="s">
        <v>143</v>
      </c>
      <c r="F77" s="24" t="s">
        <v>1292</v>
      </c>
      <c r="G77" s="1"/>
      <c r="H77" s="1" t="s">
        <v>903</v>
      </c>
      <c r="I77" s="1" t="s">
        <v>906</v>
      </c>
      <c r="J77" s="1" t="s">
        <v>931</v>
      </c>
      <c r="K77" s="1">
        <v>76</v>
      </c>
      <c r="L77" t="str">
        <f t="shared" si="1"/>
        <v>74 H2 by H2</v>
      </c>
      <c r="M77" s="1"/>
      <c r="N77" s="1"/>
      <c r="O77" s="1"/>
      <c r="P77" s="1"/>
      <c r="R77" s="1"/>
      <c r="S77" s="1"/>
      <c r="T77" s="1"/>
      <c r="U77" s="1"/>
      <c r="V77" s="1"/>
      <c r="W77" s="1"/>
      <c r="X77" s="1"/>
      <c r="Y77" s="1"/>
      <c r="Z77" s="1"/>
      <c r="AD77" s="1"/>
      <c r="AE77" s="1"/>
    </row>
    <row r="78" spans="1:31" ht="50" customHeight="1" x14ac:dyDescent="0.15">
      <c r="A78" s="1"/>
      <c r="B78" s="11">
        <v>75</v>
      </c>
      <c r="C78" s="11" t="s">
        <v>585</v>
      </c>
      <c r="D78" s="16" t="s">
        <v>1060</v>
      </c>
      <c r="E78" s="1" t="s">
        <v>144</v>
      </c>
      <c r="F78" s="24" t="s">
        <v>1293</v>
      </c>
      <c r="G78" s="1"/>
      <c r="H78" s="1"/>
      <c r="I78" s="1" t="s">
        <v>906</v>
      </c>
      <c r="J78" s="1"/>
      <c r="K78" s="1">
        <v>77</v>
      </c>
      <c r="L78" t="str">
        <f t="shared" si="1"/>
        <v>75 NH3 by N2, O2, CO2, H2O</v>
      </c>
      <c r="M78" s="1"/>
      <c r="N78" s="1"/>
      <c r="O78" s="1"/>
      <c r="P78" s="1"/>
      <c r="R78" s="1"/>
      <c r="S78" s="1"/>
      <c r="T78" s="1"/>
      <c r="U78" s="1"/>
      <c r="V78" s="1"/>
      <c r="W78" s="1"/>
      <c r="X78" s="1"/>
      <c r="Y78" s="1"/>
      <c r="Z78" s="1"/>
      <c r="AD78" s="1"/>
      <c r="AE78" s="1"/>
    </row>
    <row r="79" spans="1:31" ht="50" customHeight="1" x14ac:dyDescent="0.15">
      <c r="A79" s="1"/>
      <c r="B79" s="11">
        <v>76</v>
      </c>
      <c r="C79" s="11" t="s">
        <v>586</v>
      </c>
      <c r="D79" s="16" t="s">
        <v>1061</v>
      </c>
      <c r="E79" s="1" t="s">
        <v>145</v>
      </c>
      <c r="F79" s="24" t="s">
        <v>1294</v>
      </c>
      <c r="G79" s="1"/>
      <c r="H79" s="1"/>
      <c r="I79" s="1" t="s">
        <v>907</v>
      </c>
      <c r="J79" s="1"/>
      <c r="K79" s="1">
        <v>78</v>
      </c>
      <c r="L79" t="str">
        <f t="shared" si="1"/>
        <v>76 CHBr by N2, O2, self</v>
      </c>
      <c r="M79" s="1"/>
      <c r="N79" s="1"/>
      <c r="O79" s="1"/>
      <c r="P79" s="1"/>
      <c r="R79" s="1"/>
      <c r="S79" s="1"/>
      <c r="T79" s="1"/>
      <c r="U79" s="1"/>
      <c r="V79" s="1"/>
      <c r="W79" s="1"/>
      <c r="X79" s="1"/>
      <c r="Y79" s="1"/>
      <c r="Z79" s="1"/>
      <c r="AD79" s="1"/>
      <c r="AE79" s="1"/>
    </row>
    <row r="80" spans="1:31" ht="50" customHeight="1" x14ac:dyDescent="0.15">
      <c r="A80" s="1"/>
      <c r="B80" s="11">
        <v>77</v>
      </c>
      <c r="C80" s="11" t="s">
        <v>587</v>
      </c>
      <c r="D80" s="16" t="s">
        <v>1062</v>
      </c>
      <c r="E80" s="1" t="s">
        <v>146</v>
      </c>
      <c r="F80" s="24" t="s">
        <v>1295</v>
      </c>
      <c r="G80" s="1"/>
      <c r="H80" s="1"/>
      <c r="I80" s="1" t="s">
        <v>906</v>
      </c>
      <c r="J80" s="1"/>
      <c r="K80" s="1">
        <v>79</v>
      </c>
      <c r="L80" t="str">
        <f t="shared" si="1"/>
        <v>77 CH3Cl by CO2</v>
      </c>
      <c r="M80" s="1"/>
      <c r="N80" s="1"/>
      <c r="O80" s="1"/>
      <c r="P80" s="1"/>
      <c r="R80" s="1"/>
      <c r="S80" s="1"/>
      <c r="T80" s="1"/>
      <c r="U80" s="1"/>
      <c r="V80" s="1"/>
      <c r="W80" s="1"/>
      <c r="X80" s="1"/>
      <c r="Y80" s="1"/>
      <c r="Z80" s="1"/>
      <c r="AD80" s="1"/>
      <c r="AE80" s="1"/>
    </row>
    <row r="81" spans="1:31" ht="50" customHeight="1" x14ac:dyDescent="0.15">
      <c r="A81" s="1"/>
      <c r="B81" s="11">
        <v>78</v>
      </c>
      <c r="C81" s="11" t="s">
        <v>588</v>
      </c>
      <c r="D81" s="16" t="s">
        <v>1063</v>
      </c>
      <c r="E81" s="1" t="s">
        <v>147</v>
      </c>
      <c r="F81" s="24" t="s">
        <v>1296</v>
      </c>
      <c r="G81" s="1"/>
      <c r="H81" s="1"/>
      <c r="I81" s="1" t="s">
        <v>906</v>
      </c>
      <c r="J81" s="1"/>
      <c r="K81" s="1">
        <v>80</v>
      </c>
      <c r="L81" t="str">
        <f t="shared" si="1"/>
        <v>78 CH3Cl by O2</v>
      </c>
      <c r="M81" s="1"/>
      <c r="N81" s="1"/>
      <c r="O81" s="1"/>
      <c r="P81" s="1"/>
      <c r="R81" s="1"/>
      <c r="S81" s="1"/>
      <c r="T81" s="1"/>
      <c r="U81" s="1"/>
      <c r="V81" s="1"/>
      <c r="W81" s="1"/>
      <c r="X81" s="1"/>
      <c r="Y81" s="1"/>
      <c r="Z81" s="1"/>
      <c r="AD81" s="1"/>
      <c r="AE81" s="1"/>
    </row>
    <row r="82" spans="1:31" ht="50" customHeight="1" x14ac:dyDescent="0.15">
      <c r="A82" s="1"/>
      <c r="B82" s="11">
        <v>79</v>
      </c>
      <c r="C82" s="11" t="s">
        <v>589</v>
      </c>
      <c r="D82" s="16" t="s">
        <v>1064</v>
      </c>
      <c r="E82" s="1" t="s">
        <v>148</v>
      </c>
      <c r="F82" s="24" t="s">
        <v>1297</v>
      </c>
      <c r="G82" s="1"/>
      <c r="H82" s="1"/>
      <c r="I82" s="1" t="s">
        <v>906</v>
      </c>
      <c r="J82" s="1"/>
      <c r="K82" s="1">
        <v>81</v>
      </c>
      <c r="L82" t="str">
        <f t="shared" si="1"/>
        <v>79 CH3Cl by He, Ar, Kr</v>
      </c>
      <c r="M82" s="1"/>
      <c r="N82" s="1"/>
      <c r="O82" s="1"/>
      <c r="P82" s="1"/>
      <c r="R82" s="1"/>
      <c r="S82" s="1"/>
      <c r="T82" s="1"/>
      <c r="U82" s="1"/>
      <c r="V82" s="1"/>
      <c r="W82" s="1"/>
      <c r="X82" s="1"/>
      <c r="Y82" s="1"/>
      <c r="Z82" s="1"/>
      <c r="AD82" s="1"/>
      <c r="AE82" s="1"/>
    </row>
    <row r="83" spans="1:31" ht="50" customHeight="1" x14ac:dyDescent="0.15">
      <c r="A83" s="1"/>
      <c r="B83" s="11">
        <v>80</v>
      </c>
      <c r="C83" s="11" t="s">
        <v>590</v>
      </c>
      <c r="D83" s="16" t="s">
        <v>1065</v>
      </c>
      <c r="E83" s="1" t="s">
        <v>150</v>
      </c>
      <c r="F83" s="24" t="s">
        <v>149</v>
      </c>
      <c r="G83" s="1"/>
      <c r="H83" s="1"/>
      <c r="I83" s="1" t="s">
        <v>917</v>
      </c>
      <c r="J83" s="1"/>
      <c r="K83" s="1">
        <v>82</v>
      </c>
      <c r="L83" t="str">
        <f t="shared" si="1"/>
        <v>80 CH2CHF by self</v>
      </c>
      <c r="M83" s="1"/>
      <c r="N83" s="1"/>
      <c r="O83" s="1"/>
      <c r="P83" s="1"/>
      <c r="R83" s="1"/>
      <c r="S83" s="1"/>
      <c r="T83" s="1"/>
      <c r="U83" s="1"/>
      <c r="V83" s="1"/>
      <c r="W83" s="1"/>
      <c r="X83" s="1"/>
      <c r="Y83" s="1"/>
      <c r="Z83" s="1"/>
      <c r="AD83" s="1"/>
      <c r="AE83" s="1"/>
    </row>
    <row r="84" spans="1:31" ht="50" customHeight="1" x14ac:dyDescent="0.15">
      <c r="A84" s="1"/>
      <c r="B84" s="11">
        <v>81</v>
      </c>
      <c r="C84" s="28" t="s">
        <v>591</v>
      </c>
      <c r="D84" s="29" t="s">
        <v>1066</v>
      </c>
      <c r="E84" s="30" t="s">
        <v>151</v>
      </c>
      <c r="F84" s="31" t="s">
        <v>152</v>
      </c>
      <c r="G84" s="30"/>
      <c r="H84" s="1" t="s">
        <v>903</v>
      </c>
      <c r="I84" s="30" t="s">
        <v>932</v>
      </c>
      <c r="J84" s="1" t="s">
        <v>929</v>
      </c>
      <c r="K84" s="1">
        <v>83</v>
      </c>
      <c r="L84" t="str">
        <f t="shared" si="1"/>
        <v>81 CO by Xe</v>
      </c>
      <c r="M84" s="1"/>
      <c r="N84" s="1"/>
      <c r="O84" s="1"/>
      <c r="P84" s="1"/>
      <c r="R84" s="1"/>
      <c r="S84" s="1"/>
      <c r="T84" s="1"/>
      <c r="U84" s="1"/>
      <c r="V84" s="1"/>
      <c r="W84" s="1"/>
      <c r="X84" s="1"/>
      <c r="Y84" s="1"/>
      <c r="Z84" s="1"/>
      <c r="AD84" s="1"/>
      <c r="AE84" s="1"/>
    </row>
    <row r="85" spans="1:31" ht="50" customHeight="1" x14ac:dyDescent="0.15">
      <c r="A85" s="1"/>
      <c r="B85" s="11">
        <v>82</v>
      </c>
      <c r="C85" s="11" t="s">
        <v>592</v>
      </c>
      <c r="D85" s="16" t="s">
        <v>1067</v>
      </c>
      <c r="E85" s="1" t="s">
        <v>153</v>
      </c>
      <c r="F85" s="24" t="s">
        <v>1298</v>
      </c>
      <c r="G85" s="1"/>
      <c r="H85" s="1"/>
      <c r="I85" s="1" t="s">
        <v>906</v>
      </c>
      <c r="J85" s="1"/>
      <c r="K85" s="1">
        <v>84</v>
      </c>
      <c r="L85" t="str">
        <f t="shared" si="1"/>
        <v>82 CO by He, Ar, Kr, SF6</v>
      </c>
      <c r="M85" s="1"/>
      <c r="N85" s="1"/>
      <c r="O85" s="1"/>
      <c r="P85" s="1"/>
      <c r="R85" s="1"/>
      <c r="S85" s="1"/>
      <c r="T85" s="1"/>
      <c r="U85" s="1"/>
      <c r="V85" s="1"/>
      <c r="W85" s="1"/>
      <c r="X85" s="1"/>
      <c r="Y85" s="1"/>
      <c r="Z85" s="1"/>
      <c r="AD85" s="1"/>
      <c r="AE85" s="1"/>
    </row>
    <row r="86" spans="1:31" ht="50" customHeight="1" x14ac:dyDescent="0.15">
      <c r="A86" s="1"/>
      <c r="B86" s="11">
        <v>83</v>
      </c>
      <c r="C86" s="11" t="s">
        <v>593</v>
      </c>
      <c r="D86" s="16" t="s">
        <v>1068</v>
      </c>
      <c r="E86" s="1" t="s">
        <v>154</v>
      </c>
      <c r="F86" s="24" t="s">
        <v>1299</v>
      </c>
      <c r="G86" s="1"/>
      <c r="H86" s="1"/>
      <c r="I86" s="1" t="s">
        <v>906</v>
      </c>
      <c r="J86" s="1"/>
      <c r="K86" s="1">
        <v>85</v>
      </c>
      <c r="L86" t="str">
        <f t="shared" si="1"/>
        <v>83 CO by Ar</v>
      </c>
      <c r="M86" s="1"/>
      <c r="N86" s="1"/>
      <c r="O86" s="1"/>
      <c r="P86" s="1"/>
      <c r="R86" s="1"/>
      <c r="S86" s="1"/>
      <c r="T86" s="1"/>
      <c r="U86" s="1"/>
      <c r="V86" s="1"/>
      <c r="W86" s="1"/>
      <c r="X86" s="1"/>
      <c r="Y86" s="1"/>
      <c r="Z86" s="1"/>
      <c r="AD86" s="1"/>
      <c r="AE86" s="1"/>
    </row>
    <row r="87" spans="1:31" ht="50" customHeight="1" x14ac:dyDescent="0.15">
      <c r="A87" s="1"/>
      <c r="B87" s="11">
        <v>84</v>
      </c>
      <c r="C87" s="11" t="s">
        <v>594</v>
      </c>
      <c r="D87" s="16" t="s">
        <v>1069</v>
      </c>
      <c r="E87" s="1" t="s">
        <v>156</v>
      </c>
      <c r="F87" s="24" t="s">
        <v>155</v>
      </c>
      <c r="G87" s="1"/>
      <c r="H87" s="1"/>
      <c r="I87" s="1" t="s">
        <v>933</v>
      </c>
      <c r="J87" s="1"/>
      <c r="K87" s="1">
        <v>86</v>
      </c>
      <c r="L87" t="str">
        <f t="shared" si="1"/>
        <v>84 CN by Ar</v>
      </c>
      <c r="M87" s="1"/>
      <c r="N87" s="1"/>
      <c r="O87" s="1"/>
      <c r="P87" s="1"/>
      <c r="R87" s="1"/>
      <c r="S87" s="1"/>
      <c r="T87" s="1"/>
      <c r="U87" s="1"/>
      <c r="V87" s="1"/>
      <c r="W87" s="1"/>
      <c r="X87" s="1"/>
      <c r="Y87" s="1"/>
      <c r="Z87" s="1"/>
      <c r="AD87" s="1"/>
      <c r="AE87" s="1"/>
    </row>
    <row r="88" spans="1:31" ht="50" customHeight="1" x14ac:dyDescent="0.15">
      <c r="A88" s="1"/>
      <c r="B88" s="11">
        <v>85</v>
      </c>
      <c r="C88" s="11" t="s">
        <v>595</v>
      </c>
      <c r="D88" s="16" t="s">
        <v>1070</v>
      </c>
      <c r="E88" s="1" t="s">
        <v>51</v>
      </c>
      <c r="F88" s="24" t="s">
        <v>1300</v>
      </c>
      <c r="G88" s="1"/>
      <c r="H88" s="1"/>
      <c r="I88" s="1" t="s">
        <v>907</v>
      </c>
      <c r="J88" s="1"/>
      <c r="K88" s="1">
        <v>87</v>
      </c>
      <c r="L88" t="str">
        <f t="shared" si="1"/>
        <v>85 C2H2 by N2</v>
      </c>
      <c r="M88" s="1"/>
      <c r="N88" s="1"/>
      <c r="O88" s="1"/>
      <c r="P88" s="1"/>
      <c r="R88" s="1"/>
      <c r="S88" s="1"/>
      <c r="T88" s="1"/>
      <c r="U88" s="1"/>
      <c r="V88" s="1"/>
      <c r="W88" s="1"/>
      <c r="X88" s="1"/>
      <c r="Y88" s="1"/>
      <c r="Z88" s="1"/>
      <c r="AD88" s="1"/>
      <c r="AE88" s="1"/>
    </row>
    <row r="89" spans="1:31" ht="50" customHeight="1" x14ac:dyDescent="0.15">
      <c r="A89" s="1"/>
      <c r="B89" s="11">
        <v>86</v>
      </c>
      <c r="C89" s="11" t="s">
        <v>596</v>
      </c>
      <c r="D89" s="16" t="s">
        <v>1071</v>
      </c>
      <c r="E89" s="1" t="s">
        <v>793</v>
      </c>
      <c r="F89" s="24" t="s">
        <v>1301</v>
      </c>
      <c r="G89" s="1"/>
      <c r="H89" s="1"/>
      <c r="I89" s="1" t="s">
        <v>906</v>
      </c>
      <c r="J89" s="1"/>
      <c r="K89" s="1">
        <v>88</v>
      </c>
      <c r="L89" t="str">
        <f t="shared" si="1"/>
        <v>86 C2H2 by N2, Ar, He, self</v>
      </c>
      <c r="M89" s="1"/>
      <c r="N89" s="1"/>
      <c r="O89" s="1"/>
      <c r="P89" s="1"/>
      <c r="R89" s="1"/>
      <c r="S89" s="1"/>
      <c r="T89" s="1"/>
      <c r="U89" s="1"/>
      <c r="V89" s="1"/>
      <c r="W89" s="1"/>
      <c r="X89" s="1"/>
      <c r="Y89" s="1"/>
      <c r="Z89" s="1"/>
      <c r="AD89" s="1"/>
      <c r="AE89" s="1"/>
    </row>
    <row r="90" spans="1:31" ht="50" customHeight="1" x14ac:dyDescent="0.15">
      <c r="A90" s="1"/>
      <c r="B90" s="11">
        <v>87</v>
      </c>
      <c r="C90" s="11" t="s">
        <v>597</v>
      </c>
      <c r="D90" s="16" t="s">
        <v>1072</v>
      </c>
      <c r="E90" s="1" t="s">
        <v>158</v>
      </c>
      <c r="F90" s="24" t="s">
        <v>157</v>
      </c>
      <c r="G90" s="1"/>
      <c r="H90" s="1"/>
      <c r="I90" s="1" t="s">
        <v>907</v>
      </c>
      <c r="J90" s="1"/>
      <c r="K90" s="1">
        <v>89</v>
      </c>
      <c r="L90" t="str">
        <f t="shared" si="1"/>
        <v>87 C2H2 by O2</v>
      </c>
      <c r="M90" s="1"/>
      <c r="N90" s="1"/>
      <c r="O90" s="1"/>
      <c r="P90" s="1"/>
      <c r="R90" s="1"/>
      <c r="S90" s="1"/>
      <c r="T90" s="1"/>
      <c r="U90" s="1"/>
      <c r="V90" s="1"/>
      <c r="W90" s="1"/>
      <c r="X90" s="1"/>
      <c r="Y90" s="1"/>
      <c r="Z90" s="1"/>
      <c r="AD90" s="1"/>
      <c r="AE90" s="1"/>
    </row>
    <row r="91" spans="1:31" ht="50" customHeight="1" x14ac:dyDescent="0.15">
      <c r="A91" s="1"/>
      <c r="B91" s="11">
        <v>88</v>
      </c>
      <c r="C91" s="28" t="s">
        <v>598</v>
      </c>
      <c r="D91" s="29" t="s">
        <v>1073</v>
      </c>
      <c r="E91" s="30" t="s">
        <v>51</v>
      </c>
      <c r="F91" s="31" t="s">
        <v>159</v>
      </c>
      <c r="G91" s="30"/>
      <c r="H91" s="1" t="s">
        <v>903</v>
      </c>
      <c r="I91" s="30" t="s">
        <v>932</v>
      </c>
      <c r="J91" s="1" t="s">
        <v>929</v>
      </c>
      <c r="K91" s="1">
        <v>90</v>
      </c>
      <c r="L91" t="str">
        <f t="shared" si="1"/>
        <v>88 C2H2 by N2</v>
      </c>
      <c r="M91" s="1"/>
      <c r="N91" s="1"/>
      <c r="O91" s="1"/>
      <c r="P91" s="1"/>
      <c r="R91" s="1"/>
      <c r="S91" s="1"/>
      <c r="T91" s="1"/>
      <c r="U91" s="1"/>
      <c r="V91" s="1"/>
      <c r="W91" s="1"/>
      <c r="X91" s="1"/>
      <c r="Y91" s="1"/>
      <c r="Z91" s="1"/>
      <c r="AD91" s="1"/>
      <c r="AE91" s="1"/>
    </row>
    <row r="92" spans="1:31" ht="50" customHeight="1" x14ac:dyDescent="0.15">
      <c r="A92" s="1"/>
      <c r="B92" s="11">
        <v>89</v>
      </c>
      <c r="C92" s="11" t="s">
        <v>599</v>
      </c>
      <c r="D92" s="16" t="s">
        <v>1074</v>
      </c>
      <c r="E92" s="1" t="s">
        <v>51</v>
      </c>
      <c r="F92" s="24" t="s">
        <v>160</v>
      </c>
      <c r="G92" s="1"/>
      <c r="H92" s="1"/>
      <c r="I92" s="1" t="s">
        <v>917</v>
      </c>
      <c r="J92" s="1"/>
      <c r="K92" s="1">
        <v>91</v>
      </c>
      <c r="L92" t="str">
        <f t="shared" si="1"/>
        <v>89 C2H2 by N2</v>
      </c>
      <c r="M92" s="1"/>
      <c r="N92" s="1"/>
      <c r="O92" s="1"/>
      <c r="P92" s="1"/>
      <c r="R92" s="1"/>
      <c r="S92" s="1"/>
      <c r="T92" s="1"/>
      <c r="U92" s="1"/>
      <c r="V92" s="1"/>
      <c r="W92" s="1"/>
      <c r="X92" s="1"/>
      <c r="Y92" s="1"/>
      <c r="Z92" s="1"/>
      <c r="AD92" s="1"/>
      <c r="AE92" s="1"/>
    </row>
    <row r="93" spans="1:31" ht="50" customHeight="1" x14ac:dyDescent="0.15">
      <c r="A93" s="1"/>
      <c r="B93" s="11">
        <v>90</v>
      </c>
      <c r="C93" s="11" t="s">
        <v>600</v>
      </c>
      <c r="D93" s="16" t="s">
        <v>1075</v>
      </c>
      <c r="E93" s="1" t="s">
        <v>51</v>
      </c>
      <c r="F93" s="24" t="s">
        <v>1302</v>
      </c>
      <c r="G93" s="1"/>
      <c r="H93" s="1"/>
      <c r="I93" s="1" t="s">
        <v>906</v>
      </c>
      <c r="J93" s="1"/>
      <c r="K93" s="1">
        <v>92</v>
      </c>
      <c r="L93" t="str">
        <f t="shared" si="1"/>
        <v>90 C2H2 by N2</v>
      </c>
      <c r="M93" s="1"/>
      <c r="N93" s="1"/>
      <c r="O93" s="1"/>
      <c r="P93" s="1"/>
      <c r="R93" s="1"/>
      <c r="S93" s="1"/>
      <c r="T93" s="1"/>
      <c r="U93" s="1"/>
      <c r="V93" s="1"/>
      <c r="W93" s="1"/>
      <c r="X93" s="1"/>
      <c r="Y93" s="1"/>
      <c r="Z93" s="1"/>
      <c r="AD93" s="1"/>
      <c r="AE93" s="1"/>
    </row>
    <row r="94" spans="1:31" ht="50" customHeight="1" x14ac:dyDescent="0.15">
      <c r="A94" s="1"/>
      <c r="B94" s="11">
        <v>91</v>
      </c>
      <c r="C94" s="11" t="s">
        <v>601</v>
      </c>
      <c r="D94" s="16" t="s">
        <v>1076</v>
      </c>
      <c r="E94" s="1" t="s">
        <v>162</v>
      </c>
      <c r="F94" s="24" t="s">
        <v>161</v>
      </c>
      <c r="G94" s="1"/>
      <c r="H94" s="1"/>
      <c r="I94" s="1" t="s">
        <v>914</v>
      </c>
      <c r="J94" s="1"/>
      <c r="K94" s="1">
        <v>93</v>
      </c>
      <c r="L94" t="str">
        <f t="shared" si="1"/>
        <v>91 C2H2 by N2, self</v>
      </c>
      <c r="M94" s="1"/>
      <c r="N94" s="1"/>
      <c r="O94" s="1"/>
      <c r="P94" s="1"/>
      <c r="R94" s="1"/>
      <c r="S94" s="1"/>
      <c r="T94" s="1"/>
      <c r="U94" s="1"/>
      <c r="V94" s="1"/>
      <c r="W94" s="1"/>
      <c r="X94" s="1"/>
      <c r="Y94" s="1"/>
      <c r="Z94" s="1"/>
      <c r="AD94" s="1"/>
      <c r="AE94" s="1"/>
    </row>
    <row r="95" spans="1:31" ht="50" customHeight="1" x14ac:dyDescent="0.15">
      <c r="A95" s="1"/>
      <c r="B95" s="11">
        <v>92</v>
      </c>
      <c r="C95" s="11" t="s">
        <v>602</v>
      </c>
      <c r="D95" s="16" t="s">
        <v>1077</v>
      </c>
      <c r="E95" s="1" t="s">
        <v>162</v>
      </c>
      <c r="F95" s="24" t="s">
        <v>1303</v>
      </c>
      <c r="G95" s="1"/>
      <c r="H95" s="1"/>
      <c r="I95" s="1" t="s">
        <v>906</v>
      </c>
      <c r="J95" s="1"/>
      <c r="K95" s="1">
        <v>94</v>
      </c>
      <c r="L95" t="str">
        <f t="shared" si="1"/>
        <v>92 C2H2 by N2, self</v>
      </c>
      <c r="M95" s="1"/>
      <c r="N95" s="1"/>
      <c r="O95" s="1"/>
      <c r="P95" s="1"/>
      <c r="R95" s="1"/>
      <c r="S95" s="1"/>
      <c r="T95" s="1"/>
      <c r="U95" s="1"/>
      <c r="V95" s="1"/>
      <c r="W95" s="1"/>
      <c r="X95" s="1"/>
      <c r="Y95" s="1"/>
      <c r="Z95" s="1"/>
      <c r="AD95" s="1"/>
      <c r="AE95" s="1"/>
    </row>
    <row r="96" spans="1:31" ht="50" customHeight="1" x14ac:dyDescent="0.15">
      <c r="A96" s="1"/>
      <c r="B96" s="11">
        <v>93</v>
      </c>
      <c r="C96" s="11" t="s">
        <v>603</v>
      </c>
      <c r="D96" s="16" t="s">
        <v>1078</v>
      </c>
      <c r="E96" s="1" t="s">
        <v>163</v>
      </c>
      <c r="F96" s="24" t="s">
        <v>1304</v>
      </c>
      <c r="G96" s="1"/>
      <c r="H96" s="1"/>
      <c r="I96" s="1" t="s">
        <v>906</v>
      </c>
      <c r="J96" s="1"/>
      <c r="K96" s="1">
        <v>95</v>
      </c>
      <c r="L96" t="str">
        <f t="shared" si="1"/>
        <v>93 O2 by N2, self</v>
      </c>
      <c r="M96" s="1"/>
      <c r="N96" s="1"/>
      <c r="O96" s="1"/>
      <c r="P96" s="1"/>
      <c r="R96" s="1"/>
      <c r="S96" s="1"/>
      <c r="T96" s="1"/>
      <c r="U96" s="1"/>
      <c r="V96" s="1"/>
      <c r="W96" s="1"/>
      <c r="X96" s="1"/>
      <c r="Y96" s="1"/>
      <c r="Z96" s="1"/>
      <c r="AD96" s="1"/>
      <c r="AE96" s="1"/>
    </row>
    <row r="97" spans="1:31" ht="50" customHeight="1" x14ac:dyDescent="0.15">
      <c r="A97" s="1"/>
      <c r="B97" s="11">
        <v>94</v>
      </c>
      <c r="C97" s="11" t="s">
        <v>604</v>
      </c>
      <c r="D97" s="16" t="s">
        <v>1079</v>
      </c>
      <c r="E97" s="1" t="s">
        <v>164</v>
      </c>
      <c r="F97" s="24" t="s">
        <v>1305</v>
      </c>
      <c r="G97" s="1"/>
      <c r="H97" s="1"/>
      <c r="I97" s="1" t="s">
        <v>907</v>
      </c>
      <c r="J97" s="1"/>
      <c r="K97" s="1">
        <v>96</v>
      </c>
      <c r="L97" t="str">
        <f t="shared" si="1"/>
        <v>94 O2 by N2</v>
      </c>
      <c r="M97" s="1"/>
      <c r="N97" s="1"/>
      <c r="O97" s="1"/>
      <c r="P97" s="1"/>
      <c r="R97" s="1"/>
      <c r="S97" s="1"/>
      <c r="T97" s="1"/>
      <c r="U97" s="1"/>
      <c r="V97" s="1"/>
      <c r="W97" s="1"/>
      <c r="X97" s="1"/>
      <c r="Y97" s="1"/>
      <c r="Z97" s="1"/>
      <c r="AD97" s="1"/>
      <c r="AE97" s="1"/>
    </row>
    <row r="98" spans="1:31" ht="50" customHeight="1" x14ac:dyDescent="0.15">
      <c r="A98" s="1"/>
      <c r="B98" s="11">
        <v>95</v>
      </c>
      <c r="C98" s="11" t="s">
        <v>605</v>
      </c>
      <c r="D98" s="16" t="s">
        <v>1080</v>
      </c>
      <c r="E98" s="1" t="s">
        <v>165</v>
      </c>
      <c r="F98" s="24" t="s">
        <v>1306</v>
      </c>
      <c r="G98" s="1"/>
      <c r="H98" s="1" t="s">
        <v>903</v>
      </c>
      <c r="I98" s="1" t="s">
        <v>906</v>
      </c>
      <c r="J98" s="1" t="s">
        <v>931</v>
      </c>
      <c r="K98" s="1">
        <v>97</v>
      </c>
      <c r="L98" t="str">
        <f t="shared" si="1"/>
        <v>95 CO2 by Ar</v>
      </c>
      <c r="M98" s="1"/>
      <c r="N98" s="1"/>
      <c r="O98" s="1"/>
      <c r="P98" s="1"/>
      <c r="R98" s="1"/>
      <c r="S98" s="1"/>
      <c r="T98" s="1"/>
      <c r="U98" s="1"/>
      <c r="V98" s="1"/>
      <c r="W98" s="1"/>
      <c r="X98" s="1"/>
      <c r="Y98" s="1"/>
      <c r="Z98" s="1"/>
      <c r="AD98" s="1"/>
      <c r="AE98" s="1"/>
    </row>
    <row r="99" spans="1:31" ht="50" customHeight="1" x14ac:dyDescent="0.15">
      <c r="A99" s="1"/>
      <c r="B99" s="11">
        <v>96</v>
      </c>
      <c r="C99" s="11" t="s">
        <v>606</v>
      </c>
      <c r="D99" s="16" t="s">
        <v>1081</v>
      </c>
      <c r="E99" s="1" t="s">
        <v>166</v>
      </c>
      <c r="F99" s="24" t="s">
        <v>1307</v>
      </c>
      <c r="G99" s="1"/>
      <c r="H99" s="1"/>
      <c r="I99" s="1" t="s">
        <v>906</v>
      </c>
      <c r="J99" s="1"/>
      <c r="K99" s="1">
        <v>98</v>
      </c>
      <c r="L99" t="str">
        <f t="shared" si="1"/>
        <v xml:space="preserve">96 CO2, C2H2, CO, HCl and HF by Ar </v>
      </c>
      <c r="M99" s="1"/>
      <c r="N99" s="1"/>
      <c r="O99" s="1"/>
      <c r="P99" s="1"/>
      <c r="R99" s="1"/>
      <c r="S99" s="1"/>
      <c r="T99" s="1"/>
      <c r="U99" s="1"/>
      <c r="V99" s="1"/>
      <c r="W99" s="1"/>
      <c r="X99" s="1"/>
      <c r="Y99" s="1"/>
      <c r="Z99" s="1"/>
      <c r="AD99" s="1"/>
      <c r="AE99" s="1"/>
    </row>
    <row r="100" spans="1:31" ht="50" customHeight="1" x14ac:dyDescent="0.15">
      <c r="A100" s="1"/>
      <c r="B100" s="11">
        <v>97</v>
      </c>
      <c r="C100" s="11" t="s">
        <v>607</v>
      </c>
      <c r="D100" s="16" t="s">
        <v>1082</v>
      </c>
      <c r="E100" s="1" t="s">
        <v>168</v>
      </c>
      <c r="F100" s="24" t="s">
        <v>167</v>
      </c>
      <c r="G100" s="1"/>
      <c r="H100" s="1"/>
      <c r="I100" s="1" t="s">
        <v>917</v>
      </c>
      <c r="J100" s="1"/>
      <c r="K100" s="1">
        <v>99</v>
      </c>
      <c r="L100" t="str">
        <f t="shared" si="1"/>
        <v>97 C2H4 by Ar</v>
      </c>
      <c r="M100" s="1"/>
      <c r="N100" s="1"/>
      <c r="O100" s="1"/>
      <c r="P100" s="1"/>
      <c r="R100" s="1"/>
      <c r="S100" s="1"/>
      <c r="T100" s="1"/>
      <c r="U100" s="1"/>
      <c r="V100" s="1"/>
      <c r="W100" s="1"/>
      <c r="X100" s="1"/>
      <c r="Y100" s="1"/>
      <c r="Z100" s="1"/>
      <c r="AD100" s="1"/>
      <c r="AE100" s="1"/>
    </row>
    <row r="101" spans="1:31" ht="50" customHeight="1" x14ac:dyDescent="0.15">
      <c r="A101" s="1"/>
      <c r="B101" s="11">
        <v>98</v>
      </c>
      <c r="C101" s="11" t="s">
        <v>608</v>
      </c>
      <c r="D101" s="16" t="s">
        <v>1083</v>
      </c>
      <c r="E101" s="1" t="s">
        <v>169</v>
      </c>
      <c r="F101" s="24" t="s">
        <v>170</v>
      </c>
      <c r="G101" s="1"/>
      <c r="H101" s="1"/>
      <c r="I101" s="1" t="s">
        <v>917</v>
      </c>
      <c r="J101" s="1"/>
      <c r="K101" s="1">
        <v>100</v>
      </c>
      <c r="L101" t="str">
        <f t="shared" si="1"/>
        <v>98 H2O by He</v>
      </c>
      <c r="M101" s="1"/>
      <c r="N101" s="1"/>
      <c r="O101" s="1"/>
      <c r="P101" s="1"/>
      <c r="R101" s="1"/>
      <c r="S101" s="1"/>
      <c r="T101" s="1"/>
      <c r="U101" s="1"/>
      <c r="V101" s="1"/>
      <c r="W101" s="1"/>
      <c r="X101" s="1"/>
      <c r="Y101" s="1"/>
      <c r="Z101" s="1"/>
      <c r="AD101" s="1"/>
      <c r="AE101" s="1"/>
    </row>
    <row r="102" spans="1:31" ht="50" customHeight="1" x14ac:dyDescent="0.15">
      <c r="A102" s="1"/>
      <c r="B102" s="11">
        <v>99</v>
      </c>
      <c r="C102" s="11" t="s">
        <v>609</v>
      </c>
      <c r="D102" s="16" t="s">
        <v>1084</v>
      </c>
      <c r="E102" s="1" t="s">
        <v>169</v>
      </c>
      <c r="F102" s="24" t="s">
        <v>1308</v>
      </c>
      <c r="G102" s="1"/>
      <c r="H102" s="1"/>
      <c r="I102" s="1" t="s">
        <v>907</v>
      </c>
      <c r="J102" s="1"/>
      <c r="K102" s="1">
        <v>101</v>
      </c>
      <c r="L102" t="str">
        <f t="shared" si="1"/>
        <v>99 H2O by He</v>
      </c>
      <c r="M102" s="1"/>
      <c r="N102" s="1"/>
      <c r="O102" s="1"/>
      <c r="P102" s="1"/>
      <c r="R102" s="1"/>
      <c r="S102" s="1"/>
      <c r="T102" s="1"/>
      <c r="U102" s="1"/>
      <c r="V102" s="1"/>
      <c r="W102" s="1"/>
      <c r="X102" s="1"/>
      <c r="Y102" s="1"/>
      <c r="Z102" s="1"/>
      <c r="AD102" s="1"/>
      <c r="AE102" s="1"/>
    </row>
    <row r="103" spans="1:31" ht="50" customHeight="1" x14ac:dyDescent="0.15">
      <c r="A103" s="1"/>
      <c r="B103" s="11">
        <v>100</v>
      </c>
      <c r="C103" s="11" t="s">
        <v>610</v>
      </c>
      <c r="D103" s="16" t="s">
        <v>1085</v>
      </c>
      <c r="E103" s="1" t="s">
        <v>169</v>
      </c>
      <c r="F103" s="24" t="s">
        <v>171</v>
      </c>
      <c r="G103" s="1"/>
      <c r="H103" s="1"/>
      <c r="I103" s="1" t="s">
        <v>906</v>
      </c>
      <c r="J103" s="1"/>
      <c r="K103" s="1">
        <v>102</v>
      </c>
      <c r="L103" t="str">
        <f t="shared" si="1"/>
        <v>100 H2O by He</v>
      </c>
      <c r="M103" s="1"/>
      <c r="N103" s="1"/>
      <c r="O103" s="1"/>
      <c r="P103" s="1"/>
      <c r="R103" s="1"/>
      <c r="S103" s="1"/>
      <c r="T103" s="1"/>
      <c r="U103" s="1"/>
      <c r="V103" s="1"/>
      <c r="W103" s="1"/>
      <c r="X103" s="1"/>
      <c r="Y103" s="1"/>
      <c r="Z103" s="1"/>
      <c r="AD103" s="1"/>
      <c r="AE103" s="1"/>
    </row>
    <row r="104" spans="1:31" ht="50" customHeight="1" x14ac:dyDescent="0.15">
      <c r="A104" s="1"/>
      <c r="B104" s="11">
        <v>101</v>
      </c>
      <c r="C104" s="11" t="s">
        <v>611</v>
      </c>
      <c r="D104" s="16" t="s">
        <v>1086</v>
      </c>
      <c r="E104" s="1" t="s">
        <v>169</v>
      </c>
      <c r="F104" s="24" t="s">
        <v>172</v>
      </c>
      <c r="G104" s="1"/>
      <c r="H104" s="1"/>
      <c r="I104" s="1" t="s">
        <v>917</v>
      </c>
      <c r="J104" s="1"/>
      <c r="K104" s="1">
        <v>103</v>
      </c>
      <c r="L104" t="str">
        <f t="shared" si="1"/>
        <v>101 H2O by He</v>
      </c>
      <c r="M104" s="1"/>
      <c r="N104" s="1"/>
      <c r="O104" s="1"/>
      <c r="P104" s="1"/>
      <c r="R104" s="1"/>
      <c r="S104" s="1"/>
      <c r="T104" s="1"/>
      <c r="U104" s="1"/>
      <c r="V104" s="1"/>
      <c r="W104" s="1"/>
      <c r="X104" s="1"/>
      <c r="Y104" s="1"/>
      <c r="Z104" s="1"/>
      <c r="AD104" s="1"/>
      <c r="AE104" s="1"/>
    </row>
    <row r="105" spans="1:31" ht="50" customHeight="1" x14ac:dyDescent="0.15">
      <c r="A105" s="1"/>
      <c r="B105" s="11">
        <v>102</v>
      </c>
      <c r="C105" s="11" t="s">
        <v>612</v>
      </c>
      <c r="D105" s="16" t="s">
        <v>1087</v>
      </c>
      <c r="E105" s="1" t="s">
        <v>132</v>
      </c>
      <c r="F105" s="24" t="s">
        <v>173</v>
      </c>
      <c r="G105" s="1"/>
      <c r="H105" s="1"/>
      <c r="I105" s="1" t="s">
        <v>906</v>
      </c>
      <c r="J105" s="1"/>
      <c r="K105" s="1">
        <v>104</v>
      </c>
      <c r="L105" t="str">
        <f t="shared" si="1"/>
        <v>102 H2O by Ar</v>
      </c>
      <c r="M105" s="1"/>
      <c r="N105" s="1"/>
      <c r="O105" s="1"/>
      <c r="P105" s="1"/>
      <c r="R105" s="1"/>
      <c r="S105" s="1"/>
      <c r="T105" s="1"/>
      <c r="U105" s="1"/>
      <c r="V105" s="1"/>
      <c r="W105" s="1"/>
      <c r="X105" s="1"/>
      <c r="Y105" s="1"/>
      <c r="Z105" s="1"/>
      <c r="AD105" s="1"/>
      <c r="AE105" s="1"/>
    </row>
    <row r="106" spans="1:31" ht="50" customHeight="1" x14ac:dyDescent="0.15">
      <c r="A106" s="1"/>
      <c r="B106" s="27"/>
      <c r="C106" s="20"/>
      <c r="D106" s="16" t="s">
        <v>1088</v>
      </c>
      <c r="E106" s="18" t="s">
        <v>51</v>
      </c>
      <c r="F106" s="25" t="s">
        <v>160</v>
      </c>
      <c r="G106" s="18" t="s">
        <v>795</v>
      </c>
      <c r="H106" s="1"/>
      <c r="K106" s="18">
        <v>105</v>
      </c>
      <c r="L106" t="str">
        <f t="shared" si="1"/>
        <v xml:space="preserve"> C2H2 by N2</v>
      </c>
      <c r="M106" s="18"/>
      <c r="N106" s="1"/>
      <c r="O106" s="1"/>
      <c r="P106" s="1"/>
      <c r="R106" s="1"/>
      <c r="S106" s="1"/>
      <c r="T106" s="1"/>
      <c r="U106" s="1"/>
      <c r="V106" s="1"/>
      <c r="W106" s="1"/>
      <c r="X106" s="1"/>
      <c r="Y106" s="1"/>
      <c r="Z106" s="1"/>
      <c r="AD106" s="1"/>
      <c r="AE106" s="1"/>
    </row>
    <row r="107" spans="1:31" ht="50" customHeight="1" x14ac:dyDescent="0.15">
      <c r="A107" s="1"/>
      <c r="B107" s="11">
        <v>103</v>
      </c>
      <c r="C107" s="11" t="s">
        <v>614</v>
      </c>
      <c r="D107" s="16" t="s">
        <v>1089</v>
      </c>
      <c r="E107" s="1" t="s">
        <v>174</v>
      </c>
      <c r="F107" s="24" t="s">
        <v>175</v>
      </c>
      <c r="G107" s="1" t="s">
        <v>974</v>
      </c>
      <c r="H107" s="1"/>
      <c r="I107" s="1" t="s">
        <v>934</v>
      </c>
      <c r="J107" s="1"/>
      <c r="K107" s="1">
        <v>106</v>
      </c>
      <c r="L107" t="str">
        <f t="shared" si="1"/>
        <v>103 N2 by H2</v>
      </c>
      <c r="M107" s="1"/>
      <c r="N107" s="1"/>
      <c r="O107" s="1"/>
      <c r="P107" s="1"/>
      <c r="R107" s="1"/>
      <c r="S107" s="1"/>
      <c r="T107" s="1"/>
      <c r="U107" s="1"/>
      <c r="V107" s="1"/>
      <c r="W107" s="1"/>
      <c r="X107" s="1"/>
      <c r="Y107" s="1"/>
      <c r="Z107" s="1"/>
      <c r="AD107" s="1"/>
      <c r="AE107" s="1"/>
    </row>
    <row r="108" spans="1:31" ht="50" customHeight="1" x14ac:dyDescent="0.15">
      <c r="A108" s="1"/>
      <c r="B108" s="11">
        <v>104</v>
      </c>
      <c r="C108" s="11" t="s">
        <v>615</v>
      </c>
      <c r="D108" s="16" t="s">
        <v>1090</v>
      </c>
      <c r="E108" s="1" t="s">
        <v>176</v>
      </c>
      <c r="F108" s="24" t="s">
        <v>1309</v>
      </c>
      <c r="G108" s="1"/>
      <c r="H108" s="1"/>
      <c r="I108" s="1" t="s">
        <v>906</v>
      </c>
      <c r="J108" s="1"/>
      <c r="K108" s="1">
        <v>107</v>
      </c>
      <c r="L108" t="str">
        <f t="shared" si="1"/>
        <v>104 HCN by O2 and N2</v>
      </c>
      <c r="M108" s="1"/>
      <c r="N108" s="1"/>
      <c r="O108" s="1"/>
      <c r="P108" s="1"/>
      <c r="R108" s="1"/>
      <c r="S108" s="1"/>
      <c r="T108" s="1"/>
      <c r="U108" s="1"/>
      <c r="V108" s="1"/>
      <c r="W108" s="1"/>
      <c r="X108" s="1"/>
      <c r="Y108" s="1"/>
      <c r="Z108" s="1"/>
      <c r="AD108" s="1"/>
      <c r="AE108" s="1"/>
    </row>
    <row r="109" spans="1:31" ht="50" customHeight="1" x14ac:dyDescent="0.15">
      <c r="A109" s="1"/>
      <c r="B109" s="11">
        <v>105</v>
      </c>
      <c r="C109" s="11" t="s">
        <v>616</v>
      </c>
      <c r="D109" s="16" t="s">
        <v>1091</v>
      </c>
      <c r="E109" s="1" t="s">
        <v>174</v>
      </c>
      <c r="F109" s="24" t="s">
        <v>1310</v>
      </c>
      <c r="G109" s="1" t="s">
        <v>974</v>
      </c>
      <c r="H109" s="1"/>
      <c r="I109" s="1" t="s">
        <v>906</v>
      </c>
      <c r="J109" s="1"/>
      <c r="K109" s="1">
        <v>108</v>
      </c>
      <c r="L109" t="str">
        <f t="shared" si="1"/>
        <v>105 N2 by H2</v>
      </c>
      <c r="M109" s="1"/>
      <c r="N109" s="1"/>
      <c r="O109" s="1"/>
      <c r="P109" s="1"/>
      <c r="R109" s="1"/>
      <c r="S109" s="1"/>
      <c r="T109" s="1"/>
      <c r="U109" s="1"/>
      <c r="V109" s="1"/>
      <c r="W109" s="1"/>
      <c r="X109" s="1"/>
      <c r="Y109" s="1"/>
      <c r="Z109" s="1"/>
      <c r="AD109" s="1"/>
      <c r="AE109" s="1"/>
    </row>
    <row r="110" spans="1:31" ht="50" customHeight="1" x14ac:dyDescent="0.15">
      <c r="A110" s="1"/>
      <c r="B110" s="11">
        <v>106</v>
      </c>
      <c r="C110" s="11" t="s">
        <v>617</v>
      </c>
      <c r="D110" s="16" t="s">
        <v>1092</v>
      </c>
      <c r="E110" s="1" t="s">
        <v>177</v>
      </c>
      <c r="F110" s="24" t="s">
        <v>178</v>
      </c>
      <c r="G110" s="1" t="s">
        <v>975</v>
      </c>
      <c r="H110" s="1"/>
      <c r="I110" s="1" t="s">
        <v>923</v>
      </c>
      <c r="J110" s="1"/>
      <c r="K110" s="1">
        <v>109</v>
      </c>
      <c r="L110" t="str">
        <f t="shared" si="1"/>
        <v>106 CO by H2O, N2, O2, CO2</v>
      </c>
      <c r="M110" s="1"/>
      <c r="N110" s="1"/>
      <c r="O110" s="1"/>
      <c r="P110" s="1"/>
      <c r="R110" s="1"/>
      <c r="S110" s="1"/>
      <c r="T110" s="1"/>
      <c r="U110" s="1"/>
      <c r="V110" s="1"/>
      <c r="W110" s="1"/>
      <c r="X110" s="1"/>
      <c r="Y110" s="1"/>
      <c r="Z110" s="1"/>
      <c r="AD110" s="1"/>
      <c r="AE110" s="1"/>
    </row>
    <row r="111" spans="1:31" ht="50" customHeight="1" x14ac:dyDescent="0.15">
      <c r="A111" s="1"/>
      <c r="B111" s="11">
        <v>107</v>
      </c>
      <c r="C111" s="11" t="s">
        <v>618</v>
      </c>
      <c r="D111" s="16" t="s">
        <v>1093</v>
      </c>
      <c r="E111" s="1" t="s">
        <v>179</v>
      </c>
      <c r="F111" s="24" t="s">
        <v>180</v>
      </c>
      <c r="G111" s="1" t="s">
        <v>975</v>
      </c>
      <c r="H111" s="1"/>
      <c r="I111" s="1" t="s">
        <v>923</v>
      </c>
      <c r="J111" s="1"/>
      <c r="K111" s="1">
        <v>110</v>
      </c>
      <c r="L111" t="str">
        <f t="shared" si="1"/>
        <v>107 CO2 by CO2, H2O, N2, O2</v>
      </c>
      <c r="M111" s="1"/>
      <c r="N111" s="1"/>
      <c r="O111" s="1"/>
      <c r="P111" s="1"/>
      <c r="R111" s="1"/>
      <c r="S111" s="1"/>
      <c r="T111" s="1"/>
      <c r="U111" s="1"/>
      <c r="V111" s="1"/>
      <c r="W111" s="1"/>
      <c r="X111" s="1"/>
      <c r="Y111" s="1"/>
      <c r="Z111" s="1"/>
      <c r="AD111" s="1"/>
      <c r="AE111" s="1"/>
    </row>
    <row r="112" spans="1:31" ht="50" customHeight="1" x14ac:dyDescent="0.15">
      <c r="A112" s="1"/>
      <c r="B112" s="11">
        <v>108</v>
      </c>
      <c r="C112" s="11" t="s">
        <v>619</v>
      </c>
      <c r="D112" s="16" t="s">
        <v>1094</v>
      </c>
      <c r="E112" s="1" t="s">
        <v>181</v>
      </c>
      <c r="F112" s="24" t="s">
        <v>1311</v>
      </c>
      <c r="G112" s="1"/>
      <c r="H112" s="1" t="s">
        <v>903</v>
      </c>
      <c r="I112" s="1" t="s">
        <v>907</v>
      </c>
      <c r="J112" s="1" t="s">
        <v>931</v>
      </c>
      <c r="K112" s="1">
        <v>111</v>
      </c>
      <c r="L112" t="str">
        <f t="shared" si="1"/>
        <v>108 H2O by CH4</v>
      </c>
      <c r="M112" s="1"/>
      <c r="N112" s="1"/>
      <c r="O112" s="1"/>
      <c r="P112" s="1"/>
      <c r="R112" s="1"/>
      <c r="S112" s="1"/>
      <c r="T112" s="1"/>
      <c r="U112" s="1"/>
      <c r="V112" s="1"/>
      <c r="W112" s="1"/>
      <c r="X112" s="1"/>
      <c r="Y112" s="1"/>
      <c r="Z112" s="1"/>
      <c r="AD112" s="1"/>
      <c r="AE112" s="1"/>
    </row>
    <row r="113" spans="1:31" ht="50" customHeight="1" x14ac:dyDescent="0.15">
      <c r="A113" s="1"/>
      <c r="B113" s="11">
        <v>109</v>
      </c>
      <c r="C113" s="11" t="s">
        <v>620</v>
      </c>
      <c r="D113" s="16" t="s">
        <v>1095</v>
      </c>
      <c r="E113" s="1" t="s">
        <v>182</v>
      </c>
      <c r="F113" s="24" t="s">
        <v>183</v>
      </c>
      <c r="G113" s="1" t="s">
        <v>976</v>
      </c>
      <c r="H113" s="1"/>
      <c r="I113" s="1" t="s">
        <v>927</v>
      </c>
      <c r="J113" s="1"/>
      <c r="K113" s="1">
        <v>112</v>
      </c>
      <c r="L113" t="str">
        <f t="shared" si="1"/>
        <v>109 N2 by H2O</v>
      </c>
      <c r="M113" s="1"/>
      <c r="N113" s="1"/>
      <c r="O113" s="1"/>
      <c r="P113" s="1"/>
      <c r="R113" s="1"/>
      <c r="S113" s="1"/>
      <c r="T113" s="1"/>
      <c r="U113" s="1"/>
      <c r="V113" s="1"/>
      <c r="W113" s="1"/>
      <c r="X113" s="1"/>
      <c r="Y113" s="1"/>
      <c r="Z113" s="1"/>
      <c r="AD113" s="1"/>
      <c r="AE113" s="1"/>
    </row>
    <row r="114" spans="1:31" ht="50" customHeight="1" x14ac:dyDescent="0.15">
      <c r="A114" s="1"/>
      <c r="B114" s="11">
        <v>110</v>
      </c>
      <c r="C114" s="11" t="s">
        <v>621</v>
      </c>
      <c r="D114" s="16" t="s">
        <v>1096</v>
      </c>
      <c r="E114" s="1" t="s">
        <v>3</v>
      </c>
      <c r="F114" s="24" t="s">
        <v>1312</v>
      </c>
      <c r="G114" s="1"/>
      <c r="H114" s="1"/>
      <c r="I114" s="1" t="s">
        <v>907</v>
      </c>
      <c r="J114" s="1"/>
      <c r="K114" s="1">
        <v>113</v>
      </c>
      <c r="L114" t="str">
        <f t="shared" si="1"/>
        <v>110 H2O by CO2</v>
      </c>
      <c r="M114" s="1"/>
      <c r="N114" s="1"/>
      <c r="O114" s="1"/>
      <c r="P114" s="1"/>
      <c r="R114" s="1"/>
      <c r="S114" s="1"/>
      <c r="T114" s="1"/>
      <c r="U114" s="1"/>
      <c r="V114" s="1"/>
      <c r="W114" s="1"/>
      <c r="X114" s="1"/>
      <c r="Y114" s="1"/>
      <c r="Z114" s="1"/>
      <c r="AD114" s="1"/>
      <c r="AE114" s="1"/>
    </row>
    <row r="115" spans="1:31" ht="50" customHeight="1" x14ac:dyDescent="0.15">
      <c r="A115" s="1"/>
      <c r="B115" s="11">
        <v>111</v>
      </c>
      <c r="C115" s="11" t="s">
        <v>622</v>
      </c>
      <c r="D115" s="16" t="s">
        <v>1097</v>
      </c>
      <c r="E115" s="1" t="s">
        <v>184</v>
      </c>
      <c r="F115" s="24" t="s">
        <v>185</v>
      </c>
      <c r="G115" s="1"/>
      <c r="H115" s="1" t="s">
        <v>903</v>
      </c>
      <c r="I115" s="1" t="s">
        <v>926</v>
      </c>
      <c r="J115" s="1" t="s">
        <v>922</v>
      </c>
      <c r="K115" s="1">
        <v>114</v>
      </c>
      <c r="L115" t="str">
        <f t="shared" si="1"/>
        <v>111 C2H4 by N2</v>
      </c>
      <c r="M115" s="1"/>
      <c r="N115" s="1"/>
      <c r="O115" s="1"/>
      <c r="P115" s="1"/>
      <c r="R115" s="1"/>
      <c r="S115" s="1"/>
      <c r="T115" s="1"/>
      <c r="U115" s="1"/>
      <c r="V115" s="1"/>
      <c r="W115" s="1"/>
      <c r="X115" s="1"/>
      <c r="Y115" s="1"/>
      <c r="Z115" s="1"/>
      <c r="AD115" s="1"/>
      <c r="AE115" s="1"/>
    </row>
    <row r="116" spans="1:31" ht="50" customHeight="1" x14ac:dyDescent="0.15">
      <c r="A116" s="1"/>
      <c r="B116" s="11">
        <v>112</v>
      </c>
      <c r="C116" s="11" t="s">
        <v>623</v>
      </c>
      <c r="D116" s="16" t="s">
        <v>1098</v>
      </c>
      <c r="E116" s="1" t="s">
        <v>63</v>
      </c>
      <c r="F116" s="24" t="s">
        <v>1313</v>
      </c>
      <c r="G116" s="1" t="s">
        <v>977</v>
      </c>
      <c r="H116" s="1"/>
      <c r="I116" s="1" t="s">
        <v>906</v>
      </c>
      <c r="J116" s="1"/>
      <c r="K116" s="1">
        <v>115</v>
      </c>
      <c r="L116" t="str">
        <f t="shared" si="1"/>
        <v>112 H2O by N2</v>
      </c>
      <c r="M116" s="1"/>
      <c r="N116" s="1"/>
      <c r="O116" s="1"/>
      <c r="P116" s="1"/>
      <c r="R116" s="1"/>
      <c r="S116" s="1"/>
      <c r="T116" s="1"/>
      <c r="U116" s="1"/>
      <c r="V116" s="1"/>
      <c r="W116" s="1"/>
      <c r="X116" s="1"/>
      <c r="Y116" s="1"/>
      <c r="Z116" s="1"/>
      <c r="AD116" s="1"/>
      <c r="AE116" s="1"/>
    </row>
    <row r="117" spans="1:31" ht="50" customHeight="1" x14ac:dyDescent="0.15">
      <c r="A117" s="1"/>
      <c r="B117" s="11">
        <v>113</v>
      </c>
      <c r="C117" s="11" t="s">
        <v>624</v>
      </c>
      <c r="D117" s="16" t="s">
        <v>1099</v>
      </c>
      <c r="E117" s="1" t="s">
        <v>63</v>
      </c>
      <c r="F117" s="24" t="s">
        <v>186</v>
      </c>
      <c r="G117" s="1"/>
      <c r="H117" s="1"/>
      <c r="I117" s="1" t="s">
        <v>917</v>
      </c>
      <c r="J117" s="1"/>
      <c r="K117" s="1">
        <v>116</v>
      </c>
      <c r="L117" t="str">
        <f t="shared" si="1"/>
        <v>113 H2O by N2</v>
      </c>
      <c r="M117" s="1"/>
      <c r="N117" s="1"/>
      <c r="O117" s="1"/>
      <c r="P117" s="1"/>
      <c r="R117" s="1"/>
      <c r="S117" s="1"/>
      <c r="T117" s="1"/>
      <c r="U117" s="1"/>
      <c r="V117" s="1"/>
      <c r="W117" s="1"/>
      <c r="X117" s="1"/>
      <c r="Y117" s="1"/>
      <c r="Z117" s="1"/>
      <c r="AD117" s="1"/>
      <c r="AE117" s="1"/>
    </row>
    <row r="118" spans="1:31" ht="50" customHeight="1" x14ac:dyDescent="0.15">
      <c r="A118" s="1"/>
      <c r="B118" s="11">
        <v>114</v>
      </c>
      <c r="C118" s="11" t="s">
        <v>625</v>
      </c>
      <c r="D118" s="16" t="s">
        <v>1100</v>
      </c>
      <c r="E118" s="1" t="s">
        <v>187</v>
      </c>
      <c r="F118" s="24" t="s">
        <v>188</v>
      </c>
      <c r="G118" s="1"/>
      <c r="H118" s="1" t="s">
        <v>903</v>
      </c>
      <c r="I118" s="1" t="s">
        <v>917</v>
      </c>
      <c r="J118" s="1" t="s">
        <v>922</v>
      </c>
      <c r="K118" s="1">
        <v>117</v>
      </c>
      <c r="L118" t="str">
        <f t="shared" si="1"/>
        <v>114 O3 by N2, O2</v>
      </c>
      <c r="M118" s="1"/>
      <c r="N118" s="1"/>
      <c r="O118" s="1"/>
      <c r="P118" s="1"/>
      <c r="R118" s="1"/>
      <c r="S118" s="1"/>
      <c r="T118" s="1"/>
      <c r="U118" s="1"/>
      <c r="V118" s="1"/>
      <c r="W118" s="1"/>
      <c r="X118" s="1"/>
      <c r="Y118" s="1"/>
      <c r="Z118" s="1"/>
      <c r="AD118" s="1"/>
      <c r="AE118" s="1"/>
    </row>
    <row r="119" spans="1:31" ht="50" customHeight="1" x14ac:dyDescent="0.15">
      <c r="A119" s="1"/>
      <c r="B119" s="11">
        <v>115</v>
      </c>
      <c r="C119" s="11" t="s">
        <v>626</v>
      </c>
      <c r="D119" s="16" t="s">
        <v>1101</v>
      </c>
      <c r="E119" s="1" t="s">
        <v>187</v>
      </c>
      <c r="F119" s="24" t="s">
        <v>189</v>
      </c>
      <c r="G119" s="1"/>
      <c r="H119" s="1" t="s">
        <v>903</v>
      </c>
      <c r="I119" s="1" t="s">
        <v>913</v>
      </c>
      <c r="J119" s="1" t="s">
        <v>922</v>
      </c>
      <c r="K119" s="1">
        <v>118</v>
      </c>
      <c r="L119" t="str">
        <f t="shared" si="1"/>
        <v>115 O3 by N2, O2</v>
      </c>
      <c r="M119" s="1"/>
      <c r="N119" s="1"/>
      <c r="O119" s="1"/>
      <c r="P119" s="1"/>
      <c r="R119" s="1"/>
      <c r="S119" s="1"/>
      <c r="T119" s="1"/>
      <c r="U119" s="1"/>
      <c r="V119" s="1"/>
      <c r="W119" s="1"/>
      <c r="X119" s="1"/>
      <c r="Y119" s="1"/>
      <c r="Z119" s="1"/>
      <c r="AD119" s="1"/>
      <c r="AE119" s="1"/>
    </row>
    <row r="120" spans="1:31" ht="50" customHeight="1" x14ac:dyDescent="0.15">
      <c r="A120" s="1"/>
      <c r="B120" s="11">
        <v>116</v>
      </c>
      <c r="C120" s="11" t="s">
        <v>627</v>
      </c>
      <c r="D120" s="16" t="s">
        <v>1102</v>
      </c>
      <c r="E120" s="1" t="s">
        <v>190</v>
      </c>
      <c r="F120" s="24" t="s">
        <v>1314</v>
      </c>
      <c r="G120" s="1"/>
      <c r="H120" s="1"/>
      <c r="I120" s="1" t="s">
        <v>906</v>
      </c>
      <c r="J120" s="1" t="s">
        <v>930</v>
      </c>
      <c r="K120" s="1">
        <v>119</v>
      </c>
      <c r="L120" t="str">
        <f t="shared" si="1"/>
        <v>116 H2CO by N2</v>
      </c>
      <c r="M120" s="1"/>
      <c r="N120" s="1"/>
      <c r="O120" s="1"/>
      <c r="P120" s="1"/>
      <c r="R120" s="1"/>
      <c r="S120" s="1"/>
      <c r="T120" s="1"/>
      <c r="U120" s="1"/>
      <c r="V120" s="1"/>
      <c r="W120" s="1"/>
      <c r="X120" s="1"/>
      <c r="Y120" s="1"/>
      <c r="Z120" s="1"/>
      <c r="AD120" s="1"/>
      <c r="AE120" s="1"/>
    </row>
    <row r="121" spans="1:31" ht="50" customHeight="1" x14ac:dyDescent="0.15">
      <c r="A121" s="1"/>
      <c r="B121" s="11">
        <v>117</v>
      </c>
      <c r="C121" s="11" t="s">
        <v>628</v>
      </c>
      <c r="D121" s="16" t="s">
        <v>1103</v>
      </c>
      <c r="E121" s="1" t="s">
        <v>134</v>
      </c>
      <c r="F121" s="24" t="s">
        <v>1315</v>
      </c>
      <c r="G121" s="1"/>
      <c r="H121" s="1" t="s">
        <v>903</v>
      </c>
      <c r="I121" s="1" t="s">
        <v>921</v>
      </c>
      <c r="J121" s="1" t="s">
        <v>922</v>
      </c>
      <c r="K121" s="1">
        <v>120</v>
      </c>
      <c r="L121" t="str">
        <f t="shared" si="1"/>
        <v>117 HDO by CO2</v>
      </c>
      <c r="M121" s="1"/>
      <c r="N121" s="1"/>
      <c r="O121" s="1"/>
      <c r="P121" s="1"/>
      <c r="R121" s="1"/>
      <c r="S121" s="1"/>
      <c r="T121" s="1"/>
      <c r="U121" s="1"/>
      <c r="V121" s="1"/>
      <c r="W121" s="1"/>
      <c r="X121" s="1"/>
      <c r="Y121" s="1"/>
      <c r="Z121" s="1"/>
      <c r="AD121" s="1"/>
      <c r="AE121" s="1"/>
    </row>
    <row r="122" spans="1:31" ht="50" customHeight="1" x14ac:dyDescent="0.15">
      <c r="A122" s="1"/>
      <c r="B122" s="11">
        <v>118</v>
      </c>
      <c r="C122" s="11" t="s">
        <v>629</v>
      </c>
      <c r="D122" s="16" t="s">
        <v>1104</v>
      </c>
      <c r="E122" s="1" t="s">
        <v>63</v>
      </c>
      <c r="F122" s="24" t="s">
        <v>1316</v>
      </c>
      <c r="G122" s="1"/>
      <c r="H122" s="1" t="s">
        <v>903</v>
      </c>
      <c r="I122" s="1" t="s">
        <v>906</v>
      </c>
      <c r="J122" s="1" t="s">
        <v>922</v>
      </c>
      <c r="K122" s="1">
        <v>121</v>
      </c>
      <c r="L122" t="str">
        <f t="shared" si="1"/>
        <v>118 H2O by N2</v>
      </c>
      <c r="M122" s="1"/>
      <c r="N122" s="1"/>
      <c r="O122" s="1"/>
      <c r="P122" s="1"/>
      <c r="R122" s="1"/>
      <c r="S122" s="1"/>
      <c r="T122" s="1"/>
      <c r="U122" s="1"/>
      <c r="V122" s="1"/>
      <c r="W122" s="1"/>
      <c r="X122" s="1"/>
      <c r="Y122" s="1"/>
      <c r="Z122" s="1"/>
      <c r="AD122" s="1"/>
      <c r="AE122" s="1"/>
    </row>
    <row r="123" spans="1:31" ht="50" customHeight="1" x14ac:dyDescent="0.15">
      <c r="A123" s="1"/>
      <c r="B123" s="11">
        <v>119</v>
      </c>
      <c r="C123" s="11" t="s">
        <v>630</v>
      </c>
      <c r="D123" s="16" t="s">
        <v>1105</v>
      </c>
      <c r="E123" s="1" t="s">
        <v>191</v>
      </c>
      <c r="F123" s="24" t="s">
        <v>1317</v>
      </c>
      <c r="G123" s="1"/>
      <c r="H123" s="1"/>
      <c r="I123" s="1" t="s">
        <v>907</v>
      </c>
      <c r="J123" s="1"/>
      <c r="K123" s="1">
        <v>122</v>
      </c>
      <c r="L123" t="str">
        <f t="shared" si="1"/>
        <v>119 CH4 by N2, O2</v>
      </c>
      <c r="M123" s="1"/>
      <c r="N123" s="1"/>
      <c r="O123" s="1"/>
      <c r="P123" s="1"/>
      <c r="R123" s="1"/>
      <c r="S123" s="1"/>
      <c r="T123" s="1"/>
      <c r="U123" s="1"/>
      <c r="V123" s="1"/>
      <c r="W123" s="1"/>
      <c r="X123" s="1"/>
      <c r="Y123" s="1"/>
      <c r="Z123" s="1"/>
      <c r="AD123" s="1"/>
      <c r="AE123" s="1"/>
    </row>
    <row r="124" spans="1:31" ht="50" customHeight="1" x14ac:dyDescent="0.15">
      <c r="A124" s="1"/>
      <c r="B124" s="11">
        <v>120</v>
      </c>
      <c r="C124" s="11" t="s">
        <v>631</v>
      </c>
      <c r="D124" s="16" t="s">
        <v>1106</v>
      </c>
      <c r="E124" s="1" t="s">
        <v>192</v>
      </c>
      <c r="F124" s="24" t="s">
        <v>1318</v>
      </c>
      <c r="G124" s="1"/>
      <c r="H124" s="1"/>
      <c r="I124" s="1" t="s">
        <v>906</v>
      </c>
      <c r="J124" s="1"/>
      <c r="K124" s="1">
        <v>123</v>
      </c>
      <c r="L124" t="str">
        <f t="shared" si="1"/>
        <v>120 CH4 by N2</v>
      </c>
      <c r="M124" s="1"/>
      <c r="N124" s="1"/>
      <c r="O124" s="1"/>
      <c r="P124" s="1"/>
      <c r="R124" s="1"/>
      <c r="S124" s="1"/>
      <c r="T124" s="1"/>
      <c r="U124" s="1"/>
      <c r="V124" s="1"/>
      <c r="W124" s="1"/>
      <c r="X124" s="1"/>
      <c r="Y124" s="1"/>
      <c r="Z124" s="1"/>
      <c r="AD124" s="1"/>
      <c r="AE124" s="1"/>
    </row>
    <row r="125" spans="1:31" ht="50" customHeight="1" x14ac:dyDescent="0.15">
      <c r="A125" s="1"/>
      <c r="B125" s="11">
        <v>121</v>
      </c>
      <c r="C125" s="11" t="s">
        <v>632</v>
      </c>
      <c r="D125" s="16" t="s">
        <v>1107</v>
      </c>
      <c r="E125" s="1" t="s">
        <v>193</v>
      </c>
      <c r="F125" s="24" t="s">
        <v>1319</v>
      </c>
      <c r="G125" s="1"/>
      <c r="H125" s="1" t="s">
        <v>903</v>
      </c>
      <c r="I125" s="1" t="s">
        <v>907</v>
      </c>
      <c r="J125" s="1" t="s">
        <v>922</v>
      </c>
      <c r="K125" s="1">
        <v>124</v>
      </c>
      <c r="L125" t="str">
        <f t="shared" si="1"/>
        <v>121 CH4 by N2, O2, H2</v>
      </c>
      <c r="M125" s="1"/>
      <c r="N125" s="1"/>
      <c r="O125" s="1"/>
      <c r="P125" s="1"/>
      <c r="R125" s="1"/>
      <c r="S125" s="1"/>
      <c r="T125" s="1"/>
      <c r="U125" s="1"/>
      <c r="V125" s="1"/>
      <c r="W125" s="1"/>
      <c r="X125" s="1"/>
      <c r="Y125" s="1"/>
      <c r="Z125" s="1"/>
      <c r="AD125" s="1"/>
      <c r="AE125" s="1"/>
    </row>
    <row r="126" spans="1:31" ht="50" customHeight="1" x14ac:dyDescent="0.15">
      <c r="A126" s="1"/>
      <c r="B126" s="11">
        <v>122</v>
      </c>
      <c r="C126" s="11" t="s">
        <v>633</v>
      </c>
      <c r="D126" s="16" t="s">
        <v>1108</v>
      </c>
      <c r="E126" s="1" t="s">
        <v>194</v>
      </c>
      <c r="F126" s="24" t="s">
        <v>1479</v>
      </c>
      <c r="G126" s="1"/>
      <c r="H126" s="1"/>
      <c r="I126" s="1" t="s">
        <v>906</v>
      </c>
      <c r="J126" s="1"/>
      <c r="K126" s="1">
        <v>125</v>
      </c>
      <c r="L126" t="str">
        <f t="shared" si="1"/>
        <v>122 CH4 by H2</v>
      </c>
      <c r="M126" s="1"/>
      <c r="N126" s="1"/>
      <c r="O126" s="1"/>
      <c r="P126" s="1"/>
      <c r="R126" s="1"/>
      <c r="S126" s="1"/>
      <c r="T126" s="1"/>
      <c r="U126" s="1"/>
      <c r="V126" s="1"/>
      <c r="W126" s="1"/>
      <c r="X126" s="1"/>
      <c r="Y126" s="1"/>
      <c r="Z126" s="1"/>
      <c r="AD126" s="1"/>
      <c r="AE126" s="1"/>
    </row>
    <row r="127" spans="1:31" ht="50" customHeight="1" x14ac:dyDescent="0.15">
      <c r="A127" s="1"/>
      <c r="B127" s="11">
        <v>123</v>
      </c>
      <c r="C127" s="11" t="s">
        <v>634</v>
      </c>
      <c r="D127" s="16" t="s">
        <v>1109</v>
      </c>
      <c r="E127" s="1" t="s">
        <v>195</v>
      </c>
      <c r="F127" s="24" t="s">
        <v>1320</v>
      </c>
      <c r="G127" s="1"/>
      <c r="H127" s="1" t="s">
        <v>903</v>
      </c>
      <c r="I127" s="1" t="s">
        <v>935</v>
      </c>
      <c r="J127" s="1" t="s">
        <v>922</v>
      </c>
      <c r="K127" s="1">
        <v>126</v>
      </c>
      <c r="L127" t="str">
        <f t="shared" si="1"/>
        <v>123 SF6 by N2</v>
      </c>
      <c r="M127" s="1"/>
      <c r="N127" s="1"/>
      <c r="O127" s="1"/>
      <c r="P127" s="1"/>
      <c r="R127" s="1"/>
      <c r="S127" s="1"/>
      <c r="T127" s="1"/>
      <c r="U127" s="1"/>
      <c r="V127" s="1"/>
      <c r="W127" s="1"/>
      <c r="X127" s="1"/>
      <c r="Y127" s="1"/>
      <c r="Z127" s="1"/>
      <c r="AD127" s="1"/>
      <c r="AE127" s="1"/>
    </row>
    <row r="128" spans="1:31" ht="50" customHeight="1" x14ac:dyDescent="0.15">
      <c r="A128" s="1"/>
      <c r="B128" s="11">
        <v>124</v>
      </c>
      <c r="C128" s="11" t="s">
        <v>635</v>
      </c>
      <c r="D128" s="16" t="s">
        <v>1110</v>
      </c>
      <c r="E128" s="1" t="s">
        <v>87</v>
      </c>
      <c r="F128" s="24" t="s">
        <v>196</v>
      </c>
      <c r="G128" s="1"/>
      <c r="H128" s="1"/>
      <c r="I128" s="1" t="s">
        <v>927</v>
      </c>
      <c r="J128" s="1"/>
      <c r="K128" s="1">
        <v>127</v>
      </c>
      <c r="L128" t="str">
        <f t="shared" si="1"/>
        <v>124 CO by N2</v>
      </c>
      <c r="M128" s="1"/>
      <c r="N128" s="1"/>
      <c r="O128" s="1"/>
      <c r="P128" s="1"/>
      <c r="R128" s="1"/>
      <c r="S128" s="1"/>
      <c r="T128" s="1"/>
      <c r="U128" s="1"/>
      <c r="V128" s="1"/>
      <c r="W128" s="1"/>
      <c r="X128" s="1"/>
      <c r="Y128" s="1"/>
      <c r="Z128" s="1"/>
      <c r="AD128" s="1"/>
      <c r="AE128" s="1"/>
    </row>
    <row r="129" spans="1:31" ht="50" customHeight="1" x14ac:dyDescent="0.15">
      <c r="A129" s="1"/>
      <c r="B129" s="11">
        <v>125</v>
      </c>
      <c r="C129" s="11" t="s">
        <v>636</v>
      </c>
      <c r="D129" s="16" t="s">
        <v>1111</v>
      </c>
      <c r="E129" s="1" t="s">
        <v>197</v>
      </c>
      <c r="F129" s="24" t="s">
        <v>198</v>
      </c>
      <c r="G129" s="1"/>
      <c r="H129" s="1"/>
      <c r="I129" s="1" t="s">
        <v>907</v>
      </c>
      <c r="J129" s="1"/>
      <c r="K129" s="1">
        <v>128</v>
      </c>
      <c r="L129" t="str">
        <f t="shared" si="1"/>
        <v>125 CH3D by O2</v>
      </c>
      <c r="M129" s="1"/>
      <c r="N129" s="1"/>
      <c r="O129" s="1"/>
      <c r="P129" s="1"/>
      <c r="R129" s="1"/>
      <c r="S129" s="1"/>
      <c r="T129" s="1"/>
      <c r="U129" s="1"/>
      <c r="V129" s="1"/>
      <c r="W129" s="1"/>
      <c r="X129" s="1"/>
      <c r="Y129" s="1"/>
      <c r="Z129" s="1"/>
      <c r="AD129" s="1"/>
      <c r="AE129" s="1"/>
    </row>
    <row r="130" spans="1:31" ht="50" customHeight="1" x14ac:dyDescent="0.15">
      <c r="A130" s="1"/>
      <c r="B130" s="11">
        <v>126</v>
      </c>
      <c r="C130" s="11" t="s">
        <v>637</v>
      </c>
      <c r="D130" s="16" t="s">
        <v>1112</v>
      </c>
      <c r="E130" s="1" t="s">
        <v>197</v>
      </c>
      <c r="F130" s="24" t="s">
        <v>199</v>
      </c>
      <c r="G130" s="1"/>
      <c r="H130" s="1"/>
      <c r="I130" s="1" t="s">
        <v>907</v>
      </c>
      <c r="J130" s="1"/>
      <c r="K130" s="1">
        <v>129</v>
      </c>
      <c r="L130" t="str">
        <f t="shared" ref="L130:L193" si="2">B130&amp;" "&amp;E130</f>
        <v>126 CH3D by O2</v>
      </c>
      <c r="M130" s="1"/>
      <c r="N130" s="1"/>
      <c r="O130" s="1"/>
      <c r="P130" s="1"/>
      <c r="R130" s="1"/>
      <c r="S130" s="1"/>
      <c r="T130" s="1"/>
      <c r="U130" s="1"/>
      <c r="V130" s="1"/>
      <c r="W130" s="1"/>
      <c r="X130" s="1"/>
      <c r="Y130" s="1"/>
      <c r="Z130" s="1"/>
      <c r="AD130" s="1"/>
      <c r="AE130" s="1"/>
    </row>
    <row r="131" spans="1:31" ht="50" customHeight="1" x14ac:dyDescent="0.15">
      <c r="A131" s="1"/>
      <c r="B131" s="27"/>
      <c r="C131" s="20"/>
      <c r="D131" s="16" t="s">
        <v>1113</v>
      </c>
      <c r="E131" s="18" t="s">
        <v>71</v>
      </c>
      <c r="F131" s="25" t="s">
        <v>70</v>
      </c>
      <c r="G131" s="18" t="s">
        <v>795</v>
      </c>
      <c r="H131" s="1"/>
      <c r="K131" s="18">
        <v>130</v>
      </c>
      <c r="L131" t="str">
        <f t="shared" si="2"/>
        <v xml:space="preserve"> CO2 by O2</v>
      </c>
      <c r="M131" s="18"/>
      <c r="N131" s="18"/>
      <c r="O131" s="18"/>
      <c r="P131" s="1"/>
      <c r="R131" s="1"/>
      <c r="S131" s="1"/>
      <c r="T131" s="1"/>
      <c r="U131" s="1"/>
      <c r="V131" s="1"/>
      <c r="W131" s="1"/>
      <c r="X131" s="1"/>
      <c r="Y131" s="1"/>
      <c r="Z131" s="1"/>
      <c r="AD131" s="1"/>
      <c r="AE131" s="1"/>
    </row>
    <row r="132" spans="1:31" ht="50" customHeight="1" x14ac:dyDescent="0.15">
      <c r="A132" s="1"/>
      <c r="B132" s="27"/>
      <c r="C132" s="20"/>
      <c r="D132" s="16" t="s">
        <v>1114</v>
      </c>
      <c r="E132" s="18" t="s">
        <v>164</v>
      </c>
      <c r="F132" s="25" t="s">
        <v>200</v>
      </c>
      <c r="G132" s="18" t="s">
        <v>795</v>
      </c>
      <c r="H132" s="1"/>
      <c r="K132" s="18">
        <v>131</v>
      </c>
      <c r="L132" t="str">
        <f t="shared" si="2"/>
        <v xml:space="preserve"> O2 by N2</v>
      </c>
      <c r="M132" s="18"/>
      <c r="N132" s="18"/>
      <c r="O132" s="18"/>
      <c r="P132" s="1"/>
      <c r="R132" s="1"/>
      <c r="S132" s="1"/>
      <c r="T132" s="1"/>
      <c r="U132" s="1"/>
      <c r="V132" s="1"/>
      <c r="W132" s="1"/>
      <c r="X132" s="1"/>
      <c r="Y132" s="1"/>
      <c r="Z132" s="1"/>
      <c r="AD132" s="1"/>
      <c r="AE132" s="1"/>
    </row>
    <row r="133" spans="1:31" ht="50" customHeight="1" x14ac:dyDescent="0.15">
      <c r="A133" s="1"/>
      <c r="B133" s="11">
        <v>127</v>
      </c>
      <c r="C133" s="11" t="s">
        <v>638</v>
      </c>
      <c r="D133" s="16" t="s">
        <v>1115</v>
      </c>
      <c r="E133" s="1" t="s">
        <v>87</v>
      </c>
      <c r="F133" s="24" t="s">
        <v>201</v>
      </c>
      <c r="G133" s="1"/>
      <c r="H133" s="1"/>
      <c r="I133" s="1" t="s">
        <v>935</v>
      </c>
      <c r="J133" s="1"/>
      <c r="K133" s="1">
        <v>132</v>
      </c>
      <c r="L133" t="str">
        <f t="shared" si="2"/>
        <v>127 CO by N2</v>
      </c>
      <c r="M133" s="1"/>
      <c r="N133" s="1"/>
      <c r="O133" s="1"/>
      <c r="P133" s="1"/>
      <c r="R133" s="1"/>
      <c r="S133" s="1"/>
      <c r="T133" s="1"/>
      <c r="U133" s="1"/>
      <c r="V133" s="1"/>
      <c r="W133" s="1"/>
      <c r="X133" s="1"/>
      <c r="Y133" s="1"/>
      <c r="Z133" s="1"/>
      <c r="AD133" s="1"/>
      <c r="AE133" s="1"/>
    </row>
    <row r="134" spans="1:31" ht="50" customHeight="1" x14ac:dyDescent="0.15">
      <c r="A134" s="1"/>
      <c r="B134" s="11">
        <v>128</v>
      </c>
      <c r="C134" s="11" t="s">
        <v>639</v>
      </c>
      <c r="D134" s="16" t="s">
        <v>1116</v>
      </c>
      <c r="E134" s="1" t="s">
        <v>87</v>
      </c>
      <c r="F134" s="24" t="s">
        <v>202</v>
      </c>
      <c r="G134" s="1"/>
      <c r="H134" s="1"/>
      <c r="I134" s="1" t="s">
        <v>907</v>
      </c>
      <c r="J134" s="1"/>
      <c r="K134" s="1">
        <v>133</v>
      </c>
      <c r="L134" t="str">
        <f t="shared" si="2"/>
        <v>128 CO by N2</v>
      </c>
      <c r="M134" s="1"/>
      <c r="N134" s="1"/>
      <c r="O134" s="1"/>
      <c r="P134" s="1"/>
      <c r="R134" s="1"/>
      <c r="S134" s="1"/>
      <c r="T134" s="1"/>
      <c r="U134" s="1"/>
      <c r="V134" s="1"/>
      <c r="W134" s="1"/>
      <c r="X134" s="1"/>
      <c r="Y134" s="1"/>
      <c r="Z134" s="1"/>
      <c r="AD134" s="1"/>
      <c r="AE134" s="1"/>
    </row>
    <row r="135" spans="1:31" ht="50" customHeight="1" x14ac:dyDescent="0.15">
      <c r="A135" s="1"/>
      <c r="B135" s="11">
        <v>129</v>
      </c>
      <c r="C135" s="11" t="s">
        <v>640</v>
      </c>
      <c r="D135" s="16" t="s">
        <v>1117</v>
      </c>
      <c r="E135" s="1" t="s">
        <v>204</v>
      </c>
      <c r="F135" s="24" t="s">
        <v>205</v>
      </c>
      <c r="G135" s="1" t="s">
        <v>203</v>
      </c>
      <c r="H135" s="1"/>
      <c r="I135" s="1" t="s">
        <v>907</v>
      </c>
      <c r="J135" s="1"/>
      <c r="K135" s="1">
        <v>134</v>
      </c>
      <c r="L135" t="str">
        <f t="shared" si="2"/>
        <v>129 CS2 by He, Ne and Kr</v>
      </c>
      <c r="M135" s="1"/>
      <c r="N135" s="1"/>
      <c r="O135" s="1"/>
      <c r="P135" s="1"/>
      <c r="R135" s="1"/>
      <c r="S135" s="1"/>
      <c r="T135" s="1"/>
      <c r="U135" s="1"/>
      <c r="V135" s="1"/>
      <c r="W135" s="1"/>
      <c r="X135" s="1"/>
      <c r="Y135" s="1"/>
      <c r="Z135" s="1"/>
      <c r="AD135" s="1"/>
      <c r="AE135" s="1"/>
    </row>
    <row r="136" spans="1:31" ht="50" customHeight="1" x14ac:dyDescent="0.15">
      <c r="A136" s="1"/>
      <c r="B136" s="11">
        <v>130</v>
      </c>
      <c r="C136" s="11" t="s">
        <v>641</v>
      </c>
      <c r="D136" s="16" t="s">
        <v>1118</v>
      </c>
      <c r="E136" s="1" t="s">
        <v>73</v>
      </c>
      <c r="F136" s="24" t="s">
        <v>206</v>
      </c>
      <c r="G136" s="14" t="s">
        <v>207</v>
      </c>
      <c r="H136" s="1" t="s">
        <v>903</v>
      </c>
      <c r="I136" s="1" t="s">
        <v>906</v>
      </c>
      <c r="J136" s="1" t="s">
        <v>931</v>
      </c>
      <c r="K136" s="1">
        <v>135</v>
      </c>
      <c r="L136" t="str">
        <f t="shared" si="2"/>
        <v>130 CH4 by CO2</v>
      </c>
      <c r="M136" s="1"/>
      <c r="N136" s="1"/>
      <c r="O136" s="1"/>
      <c r="P136" s="1"/>
      <c r="R136" s="1"/>
      <c r="S136" s="1"/>
      <c r="T136" s="1"/>
      <c r="U136" s="1"/>
      <c r="V136" s="1"/>
      <c r="W136" s="1"/>
      <c r="X136" s="1"/>
      <c r="Y136" s="1"/>
      <c r="Z136" s="1"/>
      <c r="AD136" s="1"/>
      <c r="AE136" s="1"/>
    </row>
    <row r="137" spans="1:31" ht="50" customHeight="1" x14ac:dyDescent="0.15">
      <c r="A137" s="1"/>
      <c r="B137" s="11">
        <v>131</v>
      </c>
      <c r="C137" s="11" t="s">
        <v>642</v>
      </c>
      <c r="D137" s="16" t="s">
        <v>1119</v>
      </c>
      <c r="E137" s="1" t="s">
        <v>208</v>
      </c>
      <c r="F137" s="24" t="s">
        <v>209</v>
      </c>
      <c r="G137" s="13"/>
      <c r="H137" s="1" t="s">
        <v>903</v>
      </c>
      <c r="I137" s="1" t="s">
        <v>907</v>
      </c>
      <c r="J137" s="1" t="s">
        <v>931</v>
      </c>
      <c r="K137" s="1">
        <v>136</v>
      </c>
      <c r="L137" t="str">
        <f t="shared" si="2"/>
        <v>131 He+ by N2 and O2</v>
      </c>
      <c r="M137" s="1"/>
      <c r="N137" s="1"/>
      <c r="O137" s="1"/>
      <c r="P137" s="1"/>
      <c r="R137" s="1"/>
      <c r="S137" s="1"/>
      <c r="T137" s="1"/>
      <c r="U137" s="1"/>
      <c r="V137" s="1"/>
      <c r="W137" s="1"/>
      <c r="X137" s="1"/>
      <c r="Y137" s="1"/>
      <c r="Z137" s="1"/>
      <c r="AD137" s="1"/>
      <c r="AE137" s="1"/>
    </row>
    <row r="138" spans="1:31" ht="50" customHeight="1" x14ac:dyDescent="0.15">
      <c r="A138" s="1"/>
      <c r="B138" s="11">
        <v>132</v>
      </c>
      <c r="C138" s="11" t="s">
        <v>643</v>
      </c>
      <c r="D138" s="16" t="s">
        <v>1120</v>
      </c>
      <c r="E138" s="1" t="s">
        <v>3</v>
      </c>
      <c r="F138" s="24" t="s">
        <v>210</v>
      </c>
      <c r="G138" s="13" t="s">
        <v>211</v>
      </c>
      <c r="H138" s="1" t="s">
        <v>903</v>
      </c>
      <c r="I138" s="1" t="s">
        <v>906</v>
      </c>
      <c r="J138" s="1" t="s">
        <v>931</v>
      </c>
      <c r="K138" s="1">
        <v>137</v>
      </c>
      <c r="L138" t="str">
        <f t="shared" si="2"/>
        <v>132 H2O by CO2</v>
      </c>
      <c r="M138" s="1"/>
      <c r="N138" s="1"/>
      <c r="O138" s="1"/>
      <c r="P138" s="1"/>
      <c r="R138" s="1"/>
      <c r="S138" s="1"/>
      <c r="T138" s="1"/>
      <c r="U138" s="1"/>
      <c r="V138" s="1"/>
      <c r="W138" s="1"/>
      <c r="X138" s="1"/>
      <c r="Y138" s="1"/>
      <c r="Z138" s="1"/>
      <c r="AD138" s="1"/>
      <c r="AE138" s="1"/>
    </row>
    <row r="139" spans="1:31" ht="50" customHeight="1" x14ac:dyDescent="0.15">
      <c r="A139" s="1"/>
      <c r="B139" s="11">
        <v>133</v>
      </c>
      <c r="C139" s="11" t="s">
        <v>1454</v>
      </c>
      <c r="D139" s="16" t="s">
        <v>1121</v>
      </c>
      <c r="E139" s="1" t="s">
        <v>213</v>
      </c>
      <c r="F139" s="24" t="s">
        <v>212</v>
      </c>
      <c r="G139" s="13"/>
      <c r="H139" s="1"/>
      <c r="I139" s="1" t="s">
        <v>907</v>
      </c>
      <c r="J139" s="1"/>
      <c r="K139" s="1">
        <v>138</v>
      </c>
      <c r="L139" t="str">
        <f t="shared" si="2"/>
        <v>133 C2H4 by H2</v>
      </c>
      <c r="M139" s="1"/>
      <c r="N139" s="1"/>
      <c r="O139" s="1"/>
      <c r="P139" s="1"/>
      <c r="R139" s="1"/>
      <c r="S139" s="1"/>
      <c r="T139" s="1"/>
      <c r="U139" s="1"/>
      <c r="V139" s="1"/>
      <c r="W139" s="1"/>
      <c r="X139" s="1"/>
      <c r="Y139" s="1"/>
      <c r="Z139" s="1"/>
      <c r="AD139" s="1"/>
      <c r="AE139" s="1"/>
    </row>
    <row r="140" spans="1:31" ht="50" customHeight="1" x14ac:dyDescent="0.15">
      <c r="A140" s="1"/>
      <c r="B140" s="11">
        <v>134</v>
      </c>
      <c r="C140" s="11" t="s">
        <v>1455</v>
      </c>
      <c r="D140" s="16" t="s">
        <v>1122</v>
      </c>
      <c r="E140" s="1" t="s">
        <v>214</v>
      </c>
      <c r="F140" s="24" t="s">
        <v>215</v>
      </c>
      <c r="G140" s="1"/>
      <c r="H140" s="1"/>
      <c r="I140" s="1" t="s">
        <v>907</v>
      </c>
      <c r="J140" s="1"/>
      <c r="K140" s="1">
        <v>139</v>
      </c>
      <c r="L140" t="str">
        <f t="shared" si="2"/>
        <v>134 C2H4 by Ne and Kr</v>
      </c>
      <c r="M140" s="1"/>
      <c r="N140" s="1"/>
      <c r="O140" s="1"/>
      <c r="P140" s="1"/>
      <c r="R140" s="1"/>
      <c r="S140" s="1"/>
      <c r="T140" s="1"/>
      <c r="U140" s="1"/>
      <c r="V140" s="1"/>
      <c r="W140" s="1"/>
      <c r="X140" s="1"/>
      <c r="Y140" s="1"/>
      <c r="Z140" s="1"/>
      <c r="AD140" s="1"/>
      <c r="AE140" s="1"/>
    </row>
    <row r="141" spans="1:31" ht="50" customHeight="1" x14ac:dyDescent="0.15">
      <c r="A141" s="1"/>
      <c r="B141" s="11">
        <v>135</v>
      </c>
      <c r="C141" s="11" t="s">
        <v>644</v>
      </c>
      <c r="D141" s="16" t="s">
        <v>1123</v>
      </c>
      <c r="E141" s="1" t="s">
        <v>213</v>
      </c>
      <c r="F141" s="24" t="s">
        <v>216</v>
      </c>
      <c r="G141" s="1"/>
      <c r="H141" s="1"/>
      <c r="I141" s="1" t="s">
        <v>907</v>
      </c>
      <c r="J141" s="1"/>
      <c r="K141" s="1">
        <v>140</v>
      </c>
      <c r="L141" t="str">
        <f t="shared" si="2"/>
        <v>135 C2H4 by H2</v>
      </c>
      <c r="M141" s="1"/>
      <c r="N141" s="1"/>
      <c r="O141" s="1"/>
      <c r="P141" s="1"/>
      <c r="R141" s="1"/>
      <c r="S141" s="1"/>
      <c r="T141" s="1"/>
      <c r="U141" s="1"/>
      <c r="V141" s="1"/>
      <c r="W141" s="1"/>
      <c r="X141" s="1"/>
      <c r="Y141" s="1"/>
      <c r="Z141" s="1"/>
      <c r="AD141" s="1"/>
      <c r="AE141" s="1"/>
    </row>
    <row r="142" spans="1:31" ht="50" customHeight="1" x14ac:dyDescent="0.15">
      <c r="A142" s="1"/>
      <c r="B142" s="11">
        <v>136</v>
      </c>
      <c r="C142" s="11" t="s">
        <v>645</v>
      </c>
      <c r="D142" s="16" t="s">
        <v>1124</v>
      </c>
      <c r="E142" s="1" t="s">
        <v>184</v>
      </c>
      <c r="F142" s="24" t="s">
        <v>1321</v>
      </c>
      <c r="G142" s="1"/>
      <c r="H142" s="1"/>
      <c r="I142" s="1" t="s">
        <v>907</v>
      </c>
      <c r="J142" s="1"/>
      <c r="K142" s="1">
        <v>141</v>
      </c>
      <c r="L142" t="str">
        <f t="shared" si="2"/>
        <v>136 C2H4 by N2</v>
      </c>
      <c r="M142" s="1"/>
      <c r="N142" s="1"/>
      <c r="O142" s="1"/>
      <c r="P142" s="1"/>
      <c r="R142" s="1"/>
      <c r="S142" s="1"/>
      <c r="T142" s="1"/>
      <c r="U142" s="1"/>
      <c r="V142" s="1"/>
      <c r="W142" s="1"/>
      <c r="X142" s="1"/>
      <c r="Y142" s="1"/>
      <c r="Z142" s="1"/>
      <c r="AD142" s="1"/>
      <c r="AE142" s="1"/>
    </row>
    <row r="143" spans="1:31" ht="50" customHeight="1" x14ac:dyDescent="0.15">
      <c r="A143" s="1"/>
      <c r="B143" s="11">
        <v>137</v>
      </c>
      <c r="C143" s="11" t="s">
        <v>646</v>
      </c>
      <c r="D143" s="16" t="s">
        <v>1125</v>
      </c>
      <c r="E143" s="1" t="s">
        <v>221</v>
      </c>
      <c r="F143" s="24" t="s">
        <v>220</v>
      </c>
      <c r="G143" s="1"/>
      <c r="H143" s="1"/>
      <c r="I143" s="1" t="s">
        <v>936</v>
      </c>
      <c r="J143" s="1"/>
      <c r="K143" s="1">
        <v>142</v>
      </c>
      <c r="L143" t="str">
        <f t="shared" si="2"/>
        <v>137 SO2 by CO2</v>
      </c>
      <c r="M143" s="1"/>
      <c r="N143" s="1"/>
      <c r="O143" s="1"/>
      <c r="P143" s="1"/>
      <c r="R143" s="1"/>
      <c r="S143" s="1"/>
      <c r="T143" s="1"/>
      <c r="U143" s="1"/>
      <c r="V143" s="1"/>
      <c r="W143" s="1"/>
      <c r="X143" s="1"/>
      <c r="Y143" s="1"/>
      <c r="Z143" s="1"/>
      <c r="AD143" s="1"/>
      <c r="AE143" s="1"/>
    </row>
    <row r="144" spans="1:31" ht="50" customHeight="1" x14ac:dyDescent="0.15">
      <c r="A144" s="1"/>
      <c r="B144" s="11">
        <v>138</v>
      </c>
      <c r="C144" s="11" t="s">
        <v>647</v>
      </c>
      <c r="D144" s="16" t="s">
        <v>1126</v>
      </c>
      <c r="E144" s="1" t="s">
        <v>223</v>
      </c>
      <c r="F144" s="24" t="s">
        <v>222</v>
      </c>
      <c r="G144" s="1"/>
      <c r="H144" s="1"/>
      <c r="I144" s="1" t="s">
        <v>913</v>
      </c>
      <c r="J144" s="1"/>
      <c r="K144" s="1">
        <v>143</v>
      </c>
      <c r="L144" t="str">
        <f t="shared" si="2"/>
        <v>138 CH3D by N2</v>
      </c>
      <c r="M144" s="1"/>
      <c r="N144" s="1"/>
      <c r="O144" s="1"/>
      <c r="P144" s="1"/>
      <c r="R144" s="1"/>
      <c r="S144" s="1"/>
      <c r="T144" s="1"/>
      <c r="U144" s="1"/>
      <c r="V144" s="1"/>
      <c r="W144" s="1"/>
      <c r="X144" s="1"/>
      <c r="Y144" s="1"/>
      <c r="Z144" s="1"/>
      <c r="AD144" s="1"/>
      <c r="AE144" s="1"/>
    </row>
    <row r="145" spans="1:31" ht="50" customHeight="1" x14ac:dyDescent="0.15">
      <c r="A145" s="1"/>
      <c r="B145" s="11">
        <v>139</v>
      </c>
      <c r="C145" s="11" t="s">
        <v>648</v>
      </c>
      <c r="D145" s="16" t="s">
        <v>1127</v>
      </c>
      <c r="E145" s="1" t="s">
        <v>225</v>
      </c>
      <c r="F145" s="24" t="s">
        <v>224</v>
      </c>
      <c r="G145" s="1"/>
      <c r="H145" s="1"/>
      <c r="I145" s="1" t="s">
        <v>937</v>
      </c>
      <c r="J145" s="1"/>
      <c r="K145" s="1">
        <v>144</v>
      </c>
      <c r="L145" t="str">
        <f t="shared" si="2"/>
        <v>139 H2O by He, Ar, Kr, Xe</v>
      </c>
      <c r="M145" s="1"/>
      <c r="N145" s="1"/>
      <c r="O145" s="1"/>
      <c r="P145" s="1"/>
      <c r="R145" s="1"/>
      <c r="S145" s="1"/>
      <c r="T145" s="1"/>
      <c r="U145" s="1"/>
      <c r="V145" s="1"/>
      <c r="W145" s="1"/>
      <c r="X145" s="1"/>
      <c r="Y145" s="1"/>
      <c r="Z145" s="1"/>
      <c r="AD145" s="1"/>
      <c r="AE145" s="1"/>
    </row>
    <row r="146" spans="1:31" ht="50" customHeight="1" x14ac:dyDescent="0.15">
      <c r="A146" s="1"/>
      <c r="B146" s="11">
        <v>140</v>
      </c>
      <c r="C146" s="11" t="s">
        <v>649</v>
      </c>
      <c r="D146" s="16" t="s">
        <v>1128</v>
      </c>
      <c r="E146" s="1" t="s">
        <v>226</v>
      </c>
      <c r="F146" s="24" t="s">
        <v>227</v>
      </c>
      <c r="G146" s="1" t="s">
        <v>228</v>
      </c>
      <c r="H146" s="1"/>
      <c r="I146" s="1" t="s">
        <v>937</v>
      </c>
      <c r="J146" s="1"/>
      <c r="K146" s="1">
        <v>145</v>
      </c>
      <c r="L146" t="str">
        <f t="shared" si="2"/>
        <v>140 H2S by He, Ne, Ar, Kr, Xe</v>
      </c>
      <c r="M146" s="1"/>
      <c r="N146" s="1"/>
      <c r="O146" s="1"/>
      <c r="P146" s="1"/>
      <c r="R146" s="1"/>
      <c r="S146" s="1"/>
      <c r="T146" s="1"/>
      <c r="U146" s="1"/>
      <c r="V146" s="1"/>
      <c r="W146" s="1"/>
      <c r="X146" s="1"/>
      <c r="Y146" s="1"/>
      <c r="Z146" s="1"/>
      <c r="AD146" s="1"/>
      <c r="AE146" s="1"/>
    </row>
    <row r="147" spans="1:31" ht="50" customHeight="1" x14ac:dyDescent="0.15">
      <c r="A147" s="1"/>
      <c r="B147" s="11">
        <v>141</v>
      </c>
      <c r="C147" s="11" t="s">
        <v>650</v>
      </c>
      <c r="D147" s="16" t="s">
        <v>1129</v>
      </c>
      <c r="E147" s="1" t="s">
        <v>226</v>
      </c>
      <c r="F147" s="24" t="s">
        <v>1322</v>
      </c>
      <c r="G147" s="1"/>
      <c r="H147" s="1"/>
      <c r="I147" s="1" t="s">
        <v>907</v>
      </c>
      <c r="J147" s="1"/>
      <c r="K147" s="1">
        <v>146</v>
      </c>
      <c r="L147" t="str">
        <f t="shared" si="2"/>
        <v>141 H2S by He, Ne, Ar, Kr, Xe</v>
      </c>
      <c r="M147" s="1"/>
      <c r="N147" s="1"/>
      <c r="O147" s="1"/>
      <c r="P147" s="1"/>
      <c r="R147" s="1"/>
      <c r="S147" s="1"/>
      <c r="T147" s="1"/>
      <c r="U147" s="1"/>
      <c r="V147" s="1"/>
      <c r="W147" s="1"/>
      <c r="X147" s="1"/>
      <c r="Y147" s="1"/>
      <c r="Z147" s="1"/>
      <c r="AD147" s="1"/>
      <c r="AE147" s="1"/>
    </row>
    <row r="148" spans="1:31" ht="50" customHeight="1" x14ac:dyDescent="0.15">
      <c r="A148" s="1"/>
      <c r="B148" s="11">
        <v>142</v>
      </c>
      <c r="C148" s="11" t="s">
        <v>651</v>
      </c>
      <c r="D148" s="16" t="s">
        <v>1130</v>
      </c>
      <c r="E148" s="1" t="s">
        <v>230</v>
      </c>
      <c r="F148" s="24" t="s">
        <v>229</v>
      </c>
      <c r="G148" s="1"/>
      <c r="H148" s="1"/>
      <c r="I148" s="1" t="s">
        <v>937</v>
      </c>
      <c r="J148" s="1"/>
      <c r="K148" s="1">
        <v>147</v>
      </c>
      <c r="L148" t="str">
        <f t="shared" si="2"/>
        <v>142 H2O by H2, He, N2, Ar</v>
      </c>
      <c r="M148" s="1"/>
      <c r="N148" s="1"/>
      <c r="O148" s="1"/>
      <c r="P148" s="1"/>
      <c r="R148" s="1"/>
      <c r="S148" s="1"/>
      <c r="T148" s="1"/>
      <c r="U148" s="1"/>
      <c r="V148" s="1"/>
      <c r="W148" s="1"/>
      <c r="X148" s="1"/>
      <c r="Y148" s="1"/>
      <c r="Z148" s="1"/>
      <c r="AD148" s="1"/>
      <c r="AE148" s="1"/>
    </row>
    <row r="149" spans="1:31" ht="50" customHeight="1" x14ac:dyDescent="0.15">
      <c r="A149" s="1"/>
      <c r="B149" s="11">
        <v>143</v>
      </c>
      <c r="C149" s="11" t="s">
        <v>652</v>
      </c>
      <c r="D149" s="16" t="s">
        <v>1131</v>
      </c>
      <c r="E149" s="1" t="s">
        <v>132</v>
      </c>
      <c r="F149" s="24" t="s">
        <v>231</v>
      </c>
      <c r="G149" s="1"/>
      <c r="H149" s="1"/>
      <c r="I149" s="1" t="s">
        <v>937</v>
      </c>
      <c r="J149" s="1"/>
      <c r="K149" s="1">
        <v>148</v>
      </c>
      <c r="L149" t="str">
        <f t="shared" si="2"/>
        <v>143 H2O by Ar</v>
      </c>
      <c r="M149" s="1"/>
      <c r="N149" s="1"/>
      <c r="O149" s="1"/>
      <c r="P149" s="1"/>
      <c r="R149" s="1"/>
      <c r="S149" s="1"/>
      <c r="T149" s="1"/>
      <c r="U149" s="1"/>
      <c r="V149" s="1"/>
      <c r="W149" s="1"/>
      <c r="X149" s="1"/>
      <c r="Y149" s="1"/>
      <c r="Z149" s="1"/>
      <c r="AD149" s="1"/>
      <c r="AE149" s="1"/>
    </row>
    <row r="150" spans="1:31" ht="50" customHeight="1" x14ac:dyDescent="0.15">
      <c r="A150" s="1"/>
      <c r="B150" s="11">
        <v>144</v>
      </c>
      <c r="C150" s="11" t="s">
        <v>653</v>
      </c>
      <c r="D150" s="16" t="s">
        <v>1132</v>
      </c>
      <c r="E150" s="1" t="s">
        <v>233</v>
      </c>
      <c r="F150" s="24" t="s">
        <v>232</v>
      </c>
      <c r="G150" s="1"/>
      <c r="H150" s="1"/>
      <c r="I150" s="1" t="s">
        <v>906</v>
      </c>
      <c r="J150" s="1"/>
      <c r="K150" s="1">
        <v>149</v>
      </c>
      <c r="L150" t="str">
        <f t="shared" si="2"/>
        <v>144 SF6 by He, Ar, O2, N2, Hf, SF6</v>
      </c>
      <c r="M150" s="1"/>
      <c r="N150" s="1"/>
      <c r="O150" s="1"/>
      <c r="P150" s="1"/>
      <c r="R150" s="1"/>
      <c r="S150" s="1"/>
      <c r="T150" s="1"/>
      <c r="U150" s="1"/>
      <c r="V150" s="1"/>
      <c r="W150" s="1"/>
      <c r="X150" s="1"/>
      <c r="Y150" s="1"/>
      <c r="Z150" s="1"/>
      <c r="AD150" s="1"/>
      <c r="AE150" s="1"/>
    </row>
    <row r="151" spans="1:31" ht="50" customHeight="1" x14ac:dyDescent="0.15">
      <c r="A151" s="1"/>
      <c r="B151" s="11">
        <v>145</v>
      </c>
      <c r="C151" s="11" t="s">
        <v>654</v>
      </c>
      <c r="D151" s="16" t="s">
        <v>1133</v>
      </c>
      <c r="E151" s="1" t="s">
        <v>234</v>
      </c>
      <c r="F151" s="24" t="s">
        <v>236</v>
      </c>
      <c r="G151" s="1" t="s">
        <v>235</v>
      </c>
      <c r="H151" s="1"/>
      <c r="I151" s="1" t="s">
        <v>938</v>
      </c>
      <c r="J151" s="1"/>
      <c r="K151" s="1">
        <v>150</v>
      </c>
      <c r="L151" t="str">
        <f t="shared" si="2"/>
        <v>145 CH3F by many</v>
      </c>
      <c r="M151" s="1"/>
      <c r="N151" s="1"/>
      <c r="O151" s="1"/>
      <c r="P151" s="1"/>
      <c r="R151" s="1"/>
      <c r="S151" s="1"/>
      <c r="T151" s="1"/>
      <c r="U151" s="1"/>
      <c r="V151" s="1"/>
      <c r="W151" s="1"/>
      <c r="X151" s="1"/>
      <c r="Y151" s="1"/>
      <c r="Z151" s="1"/>
      <c r="AD151" s="1"/>
      <c r="AE151" s="1"/>
    </row>
    <row r="152" spans="1:31" ht="50" customHeight="1" x14ac:dyDescent="0.15">
      <c r="A152" s="1"/>
      <c r="B152" s="11">
        <v>146</v>
      </c>
      <c r="C152" s="11" t="s">
        <v>655</v>
      </c>
      <c r="D152" s="16" t="s">
        <v>1134</v>
      </c>
      <c r="E152" s="1" t="s">
        <v>69</v>
      </c>
      <c r="F152" s="24" t="s">
        <v>237</v>
      </c>
      <c r="G152" s="1"/>
      <c r="H152" s="1"/>
      <c r="I152" s="1" t="s">
        <v>907</v>
      </c>
      <c r="J152" s="1"/>
      <c r="K152" s="1">
        <v>151</v>
      </c>
      <c r="L152" t="str">
        <f t="shared" si="2"/>
        <v>146 HF by Ar</v>
      </c>
      <c r="M152" s="1"/>
      <c r="N152" s="1"/>
      <c r="O152" s="1"/>
      <c r="P152" s="1"/>
      <c r="R152" s="1"/>
      <c r="S152" s="1"/>
      <c r="T152" s="1"/>
      <c r="U152" s="1"/>
      <c r="V152" s="1"/>
      <c r="W152" s="1"/>
      <c r="X152" s="1"/>
      <c r="Y152" s="1"/>
      <c r="Z152" s="1"/>
      <c r="AD152" s="1"/>
      <c r="AE152" s="1"/>
    </row>
    <row r="153" spans="1:31" ht="50" customHeight="1" x14ac:dyDescent="0.15">
      <c r="A153" s="1"/>
      <c r="B153" s="11">
        <v>147</v>
      </c>
      <c r="C153" s="11" t="s">
        <v>656</v>
      </c>
      <c r="D153" s="16" t="s">
        <v>1135</v>
      </c>
      <c r="E153" s="1" t="s">
        <v>238</v>
      </c>
      <c r="F153" s="24" t="s">
        <v>239</v>
      </c>
      <c r="G153" s="1"/>
      <c r="H153" s="1"/>
      <c r="I153" s="1" t="s">
        <v>907</v>
      </c>
      <c r="J153" s="1"/>
      <c r="K153" s="1">
        <v>152</v>
      </c>
      <c r="L153" t="str">
        <f t="shared" si="2"/>
        <v>147 HF by He, Ar, N2</v>
      </c>
      <c r="M153" s="1"/>
      <c r="N153" s="1"/>
      <c r="O153" s="1"/>
      <c r="P153" s="1"/>
      <c r="R153" s="1"/>
      <c r="S153" s="1"/>
      <c r="T153" s="1"/>
      <c r="U153" s="1"/>
      <c r="V153" s="1"/>
      <c r="W153" s="1"/>
      <c r="X153" s="1"/>
      <c r="Y153" s="1"/>
      <c r="Z153" s="1"/>
      <c r="AD153" s="1"/>
      <c r="AE153" s="1"/>
    </row>
    <row r="154" spans="1:31" ht="50" customHeight="1" x14ac:dyDescent="0.15">
      <c r="A154" s="1"/>
      <c r="B154" s="11">
        <v>148</v>
      </c>
      <c r="C154" s="11" t="s">
        <v>657</v>
      </c>
      <c r="D154" s="16" t="s">
        <v>1136</v>
      </c>
      <c r="E154" s="1" t="s">
        <v>242</v>
      </c>
      <c r="F154" s="24" t="s">
        <v>243</v>
      </c>
      <c r="G154" s="1"/>
      <c r="H154" s="1"/>
      <c r="I154" s="1" t="s">
        <v>907</v>
      </c>
      <c r="J154" s="1"/>
      <c r="K154" s="1">
        <v>153</v>
      </c>
      <c r="L154" t="str">
        <f t="shared" si="2"/>
        <v>148 HF by He and Kr</v>
      </c>
      <c r="M154" s="1"/>
      <c r="N154" s="1"/>
      <c r="O154" s="1"/>
      <c r="P154" s="1"/>
      <c r="R154" s="1"/>
      <c r="S154" s="1"/>
      <c r="T154" s="1"/>
      <c r="U154" s="1"/>
      <c r="V154" s="1"/>
      <c r="W154" s="1"/>
      <c r="X154" s="1"/>
      <c r="Y154" s="1"/>
      <c r="Z154" s="1"/>
      <c r="AD154" s="1"/>
      <c r="AE154" s="1"/>
    </row>
    <row r="155" spans="1:31" ht="50" customHeight="1" x14ac:dyDescent="0.15">
      <c r="A155" s="1"/>
      <c r="B155" s="11">
        <v>149</v>
      </c>
      <c r="C155" s="11" t="s">
        <v>658</v>
      </c>
      <c r="D155" s="16" t="s">
        <v>1137</v>
      </c>
      <c r="E155" s="1" t="s">
        <v>240</v>
      </c>
      <c r="F155" s="24" t="s">
        <v>241</v>
      </c>
      <c r="G155" s="1"/>
      <c r="H155" s="1"/>
      <c r="I155" s="1" t="s">
        <v>907</v>
      </c>
      <c r="J155" s="1"/>
      <c r="K155" s="1">
        <v>154</v>
      </c>
      <c r="L155" t="str">
        <f t="shared" si="2"/>
        <v>149 HF by N2</v>
      </c>
      <c r="M155" s="1"/>
      <c r="N155" s="1"/>
      <c r="O155" s="1"/>
      <c r="P155" s="1"/>
      <c r="R155" s="1"/>
      <c r="S155" s="1"/>
      <c r="T155" s="1"/>
      <c r="U155" s="1"/>
      <c r="V155" s="1"/>
      <c r="W155" s="1"/>
      <c r="X155" s="1"/>
      <c r="Y155" s="1"/>
      <c r="Z155" s="1"/>
      <c r="AD155" s="1"/>
      <c r="AE155" s="1"/>
    </row>
    <row r="156" spans="1:31" ht="50" customHeight="1" x14ac:dyDescent="0.15">
      <c r="A156" s="1"/>
      <c r="B156" s="11">
        <v>150</v>
      </c>
      <c r="C156" s="11" t="s">
        <v>659</v>
      </c>
      <c r="D156" s="16" t="s">
        <v>1138</v>
      </c>
      <c r="E156" s="1" t="s">
        <v>244</v>
      </c>
      <c r="F156" s="24" t="s">
        <v>245</v>
      </c>
      <c r="G156" s="1"/>
      <c r="H156" s="1" t="s">
        <v>903</v>
      </c>
      <c r="I156" s="1" t="s">
        <v>939</v>
      </c>
      <c r="J156" s="1" t="s">
        <v>922</v>
      </c>
      <c r="K156" s="1">
        <v>155</v>
      </c>
      <c r="L156" t="str">
        <f t="shared" si="2"/>
        <v>150 CH4 by N2, CO2, C2H6</v>
      </c>
      <c r="M156" s="1"/>
      <c r="N156" s="1"/>
      <c r="O156" s="1"/>
      <c r="P156" s="1"/>
      <c r="R156" s="1"/>
      <c r="S156" s="1"/>
      <c r="T156" s="1"/>
      <c r="U156" s="1"/>
      <c r="V156" s="1"/>
      <c r="W156" s="1"/>
      <c r="X156" s="1"/>
      <c r="Y156" s="1"/>
      <c r="Z156" s="1"/>
      <c r="AD156" s="1"/>
      <c r="AE156" s="1"/>
    </row>
    <row r="157" spans="1:31" ht="50" customHeight="1" x14ac:dyDescent="0.15">
      <c r="A157" s="1"/>
      <c r="B157" s="11">
        <v>151</v>
      </c>
      <c r="C157" s="11" t="s">
        <v>1456</v>
      </c>
      <c r="D157" s="16" t="s">
        <v>1139</v>
      </c>
      <c r="E157" s="1" t="s">
        <v>246</v>
      </c>
      <c r="F157" s="24" t="s">
        <v>247</v>
      </c>
      <c r="G157" s="1"/>
      <c r="H157" s="1"/>
      <c r="I157" s="1" t="s">
        <v>906</v>
      </c>
      <c r="J157" s="1" t="s">
        <v>931</v>
      </c>
      <c r="K157" s="1">
        <v>156</v>
      </c>
      <c r="L157" t="str">
        <f t="shared" si="2"/>
        <v>151 C2H6 by O2</v>
      </c>
      <c r="M157" s="1"/>
      <c r="N157" s="1"/>
      <c r="O157" s="1"/>
      <c r="P157" s="1"/>
      <c r="R157" s="1"/>
      <c r="S157" s="1"/>
      <c r="T157" s="1"/>
      <c r="U157" s="1"/>
      <c r="V157" s="1"/>
      <c r="W157" s="1"/>
      <c r="X157" s="1"/>
      <c r="Y157" s="1"/>
      <c r="Z157" s="1"/>
      <c r="AD157" s="1"/>
      <c r="AE157" s="1"/>
    </row>
    <row r="158" spans="1:31" ht="50" customHeight="1" x14ac:dyDescent="0.15">
      <c r="A158" s="1"/>
      <c r="B158" s="11">
        <v>152</v>
      </c>
      <c r="C158" s="11" t="s">
        <v>660</v>
      </c>
      <c r="D158" s="16" t="s">
        <v>1140</v>
      </c>
      <c r="E158" s="1" t="s">
        <v>248</v>
      </c>
      <c r="F158" s="24" t="s">
        <v>249</v>
      </c>
      <c r="G158" s="1"/>
      <c r="H158" s="1"/>
      <c r="I158" s="1" t="s">
        <v>906</v>
      </c>
      <c r="J158" s="1" t="s">
        <v>940</v>
      </c>
      <c r="K158" s="1">
        <v>157</v>
      </c>
      <c r="L158" t="str">
        <f t="shared" si="2"/>
        <v>152 CH3I by O2</v>
      </c>
      <c r="M158" s="1"/>
      <c r="N158" s="1"/>
      <c r="O158" s="1"/>
      <c r="P158" s="1"/>
      <c r="R158" s="1"/>
      <c r="S158" s="1"/>
      <c r="T158" s="1"/>
      <c r="U158" s="1"/>
      <c r="V158" s="1"/>
      <c r="W158" s="1"/>
      <c r="X158" s="1"/>
      <c r="Y158" s="1"/>
      <c r="Z158" s="1"/>
      <c r="AD158" s="1"/>
      <c r="AE158" s="1"/>
    </row>
    <row r="159" spans="1:31" ht="50" customHeight="1" x14ac:dyDescent="0.15">
      <c r="A159" s="1"/>
      <c r="B159" s="11">
        <v>153</v>
      </c>
      <c r="C159" s="11" t="s">
        <v>661</v>
      </c>
      <c r="D159" s="16" t="s">
        <v>1141</v>
      </c>
      <c r="E159" s="1" t="s">
        <v>248</v>
      </c>
      <c r="F159" s="24" t="s">
        <v>252</v>
      </c>
      <c r="G159" s="1"/>
      <c r="H159" s="1"/>
      <c r="I159" s="1" t="s">
        <v>906</v>
      </c>
      <c r="J159" s="1"/>
      <c r="K159" s="1">
        <v>158</v>
      </c>
      <c r="L159" t="str">
        <f t="shared" si="2"/>
        <v>153 CH3I by O2</v>
      </c>
      <c r="M159" s="1"/>
      <c r="N159" s="1"/>
      <c r="O159" s="1"/>
      <c r="P159" s="1"/>
      <c r="R159" s="1"/>
      <c r="S159" s="1"/>
      <c r="T159" s="1"/>
      <c r="U159" s="1"/>
      <c r="V159" s="1"/>
      <c r="W159" s="1"/>
      <c r="X159" s="1"/>
      <c r="Y159" s="1"/>
      <c r="Z159" s="1"/>
      <c r="AD159" s="1"/>
      <c r="AE159" s="1"/>
    </row>
    <row r="160" spans="1:31" ht="50" customHeight="1" x14ac:dyDescent="0.15">
      <c r="A160" s="1"/>
      <c r="B160" s="11">
        <v>154</v>
      </c>
      <c r="C160" s="11" t="s">
        <v>662</v>
      </c>
      <c r="D160" s="16" t="s">
        <v>1142</v>
      </c>
      <c r="E160" s="1" t="s">
        <v>253</v>
      </c>
      <c r="F160" s="24" t="s">
        <v>254</v>
      </c>
      <c r="G160" s="1"/>
      <c r="H160" s="1" t="s">
        <v>903</v>
      </c>
      <c r="I160" s="1" t="s">
        <v>906</v>
      </c>
      <c r="J160" s="1" t="s">
        <v>941</v>
      </c>
      <c r="K160" s="1">
        <v>159</v>
      </c>
      <c r="L160" t="str">
        <f t="shared" si="2"/>
        <v>154 CH3 I by O2 and N2</v>
      </c>
      <c r="M160" s="1"/>
      <c r="N160" s="1"/>
      <c r="O160" s="1"/>
      <c r="P160" s="1"/>
      <c r="R160" s="1"/>
      <c r="S160" s="1"/>
      <c r="T160" s="1"/>
      <c r="U160" s="1"/>
      <c r="V160" s="1"/>
      <c r="W160" s="1"/>
      <c r="X160" s="1"/>
      <c r="Y160" s="1"/>
      <c r="Z160" s="1"/>
      <c r="AD160" s="1"/>
      <c r="AE160" s="1"/>
    </row>
    <row r="161" spans="1:31" ht="50" customHeight="1" x14ac:dyDescent="0.15">
      <c r="A161" s="1"/>
      <c r="B161" s="11">
        <v>155</v>
      </c>
      <c r="C161" s="11" t="s">
        <v>663</v>
      </c>
      <c r="D161" s="16" t="s">
        <v>1143</v>
      </c>
      <c r="E161" s="1" t="s">
        <v>250</v>
      </c>
      <c r="F161" s="24" t="s">
        <v>251</v>
      </c>
      <c r="G161" s="1"/>
      <c r="H161" s="1"/>
      <c r="I161" s="1" t="s">
        <v>906</v>
      </c>
      <c r="J161" s="1"/>
      <c r="K161" s="1">
        <v>160</v>
      </c>
      <c r="L161" t="str">
        <f t="shared" si="2"/>
        <v>155 CH3I by N2</v>
      </c>
      <c r="M161" s="1"/>
      <c r="N161" s="1"/>
      <c r="O161" s="1"/>
      <c r="P161" s="1"/>
      <c r="R161" s="1"/>
      <c r="S161" s="1"/>
      <c r="T161" s="1"/>
      <c r="U161" s="1"/>
      <c r="V161" s="1"/>
      <c r="W161" s="1"/>
      <c r="X161" s="1"/>
      <c r="Y161" s="1"/>
      <c r="Z161" s="1"/>
      <c r="AD161" s="1"/>
      <c r="AE161" s="1"/>
    </row>
    <row r="162" spans="1:31" ht="50" customHeight="1" x14ac:dyDescent="0.15">
      <c r="A162" s="1"/>
      <c r="B162" s="11">
        <v>156</v>
      </c>
      <c r="C162" s="11" t="s">
        <v>664</v>
      </c>
      <c r="D162" s="16" t="s">
        <v>1144</v>
      </c>
      <c r="E162" s="1" t="s">
        <v>250</v>
      </c>
      <c r="F162" s="24" t="s">
        <v>255</v>
      </c>
      <c r="G162" s="1"/>
      <c r="H162" s="1"/>
      <c r="I162" s="1" t="s">
        <v>906</v>
      </c>
      <c r="J162" s="1" t="s">
        <v>942</v>
      </c>
      <c r="K162" s="1">
        <v>161</v>
      </c>
      <c r="L162" t="str">
        <f t="shared" si="2"/>
        <v>156 CH3I by N2</v>
      </c>
      <c r="M162" s="1"/>
      <c r="N162" s="1"/>
      <c r="O162" s="1"/>
      <c r="P162" s="1"/>
      <c r="R162" s="1"/>
      <c r="S162" s="1"/>
      <c r="T162" s="1"/>
      <c r="U162" s="1"/>
      <c r="V162" s="1"/>
      <c r="W162" s="1"/>
      <c r="X162" s="1"/>
      <c r="Y162" s="1"/>
      <c r="Z162" s="1"/>
      <c r="AD162" s="1"/>
      <c r="AE162" s="1"/>
    </row>
    <row r="163" spans="1:31" ht="50" customHeight="1" x14ac:dyDescent="0.15">
      <c r="A163" s="1"/>
      <c r="B163" s="11">
        <v>157</v>
      </c>
      <c r="C163" s="11" t="s">
        <v>665</v>
      </c>
      <c r="D163" s="16" t="s">
        <v>1145</v>
      </c>
      <c r="E163" s="1" t="s">
        <v>256</v>
      </c>
      <c r="F163" s="24" t="s">
        <v>257</v>
      </c>
      <c r="G163" s="1"/>
      <c r="H163" s="1"/>
      <c r="I163" s="1" t="s">
        <v>938</v>
      </c>
      <c r="J163" s="1"/>
      <c r="K163" s="1">
        <v>162</v>
      </c>
      <c r="L163" t="str">
        <f t="shared" si="2"/>
        <v>157 CH3OH by self</v>
      </c>
      <c r="M163" s="1"/>
      <c r="N163" s="1"/>
      <c r="O163" s="1"/>
      <c r="P163" s="1"/>
      <c r="R163" s="1"/>
      <c r="S163" s="1"/>
      <c r="T163" s="1"/>
      <c r="U163" s="1"/>
      <c r="V163" s="1"/>
      <c r="W163" s="1"/>
      <c r="X163" s="1"/>
      <c r="Y163" s="1"/>
      <c r="Z163" s="1"/>
      <c r="AD163" s="1"/>
      <c r="AE163" s="1"/>
    </row>
    <row r="164" spans="1:31" ht="50" customHeight="1" x14ac:dyDescent="0.15">
      <c r="A164" s="1"/>
      <c r="B164" s="11">
        <v>158</v>
      </c>
      <c r="C164" s="11" t="s">
        <v>666</v>
      </c>
      <c r="D164" s="16" t="s">
        <v>1146</v>
      </c>
      <c r="E164" s="1" t="s">
        <v>256</v>
      </c>
      <c r="F164" s="24" t="s">
        <v>258</v>
      </c>
      <c r="G164" s="1"/>
      <c r="H164" s="1"/>
      <c r="I164" s="1" t="s">
        <v>907</v>
      </c>
      <c r="J164" s="1"/>
      <c r="K164" s="1">
        <v>163</v>
      </c>
      <c r="L164" t="str">
        <f t="shared" si="2"/>
        <v>158 CH3OH by self</v>
      </c>
      <c r="M164" s="1"/>
      <c r="N164" s="1"/>
      <c r="O164" s="1"/>
      <c r="P164" s="1"/>
      <c r="R164" s="1"/>
      <c r="S164" s="1"/>
      <c r="T164" s="1"/>
      <c r="U164" s="1"/>
      <c r="V164" s="1"/>
      <c r="W164" s="1"/>
      <c r="X164" s="1"/>
      <c r="Y164" s="1"/>
      <c r="Z164" s="1"/>
      <c r="AD164" s="1"/>
      <c r="AE164" s="1"/>
    </row>
    <row r="165" spans="1:31" ht="50" customHeight="1" x14ac:dyDescent="0.15">
      <c r="A165" s="1"/>
      <c r="B165" s="11">
        <v>159</v>
      </c>
      <c r="C165" s="11" t="s">
        <v>667</v>
      </c>
      <c r="D165" s="16" t="s">
        <v>1147</v>
      </c>
      <c r="E165" s="1" t="s">
        <v>259</v>
      </c>
      <c r="F165" s="24" t="s">
        <v>260</v>
      </c>
      <c r="G165" s="1"/>
      <c r="H165" s="1"/>
      <c r="I165" s="1" t="s">
        <v>906</v>
      </c>
      <c r="J165" s="1"/>
      <c r="K165" s="1">
        <v>164</v>
      </c>
      <c r="L165" t="str">
        <f t="shared" si="2"/>
        <v>159 K by N2, H2, HD, D2, CH4, C2H6, C3H8, C4H10</v>
      </c>
      <c r="M165" s="1"/>
      <c r="N165" s="1"/>
      <c r="O165" s="1"/>
      <c r="P165" s="1"/>
      <c r="R165" s="1"/>
      <c r="S165" s="1"/>
      <c r="T165" s="1"/>
      <c r="U165" s="1"/>
      <c r="V165" s="1"/>
      <c r="W165" s="1"/>
      <c r="X165" s="1"/>
      <c r="Y165" s="1"/>
      <c r="Z165" s="1"/>
      <c r="AD165" s="1"/>
      <c r="AE165" s="1"/>
    </row>
    <row r="166" spans="1:31" ht="50" customHeight="1" x14ac:dyDescent="0.15">
      <c r="A166" s="1"/>
      <c r="B166" s="11">
        <v>160</v>
      </c>
      <c r="C166" s="11" t="s">
        <v>668</v>
      </c>
      <c r="D166" s="16" t="s">
        <v>1148</v>
      </c>
      <c r="E166" s="1" t="s">
        <v>261</v>
      </c>
      <c r="F166" s="24" t="s">
        <v>262</v>
      </c>
      <c r="G166" s="1"/>
      <c r="H166" s="1"/>
      <c r="I166" s="1" t="s">
        <v>906</v>
      </c>
      <c r="J166" s="1"/>
      <c r="K166" s="1">
        <v>165</v>
      </c>
      <c r="L166" t="str">
        <f t="shared" si="2"/>
        <v>160 Rb by He, CH4, C2H6, C3H8, C4H10</v>
      </c>
      <c r="M166" s="1"/>
      <c r="N166" s="1"/>
      <c r="O166" s="1"/>
      <c r="P166" s="1"/>
      <c r="R166" s="1"/>
      <c r="S166" s="1"/>
      <c r="T166" s="1"/>
      <c r="U166" s="1"/>
      <c r="V166" s="1"/>
      <c r="W166" s="1"/>
      <c r="X166" s="1"/>
      <c r="Y166" s="1"/>
      <c r="Z166" s="1"/>
      <c r="AD166" s="1"/>
      <c r="AE166" s="1"/>
    </row>
    <row r="167" spans="1:31" ht="50" customHeight="1" x14ac:dyDescent="0.15">
      <c r="A167" s="1"/>
      <c r="B167" s="11">
        <v>161</v>
      </c>
      <c r="C167" s="11" t="s">
        <v>669</v>
      </c>
      <c r="D167" s="16" t="s">
        <v>1149</v>
      </c>
      <c r="E167" s="1" t="s">
        <v>263</v>
      </c>
      <c r="F167" s="24" t="s">
        <v>264</v>
      </c>
      <c r="G167" s="1"/>
      <c r="H167" s="1"/>
      <c r="I167" s="1" t="s">
        <v>906</v>
      </c>
      <c r="J167" t="s">
        <v>943</v>
      </c>
      <c r="K167" s="1">
        <v>166</v>
      </c>
      <c r="L167" t="str">
        <f t="shared" si="2"/>
        <v>161 Rb by He, Ar, CH4, C2H6</v>
      </c>
      <c r="M167" s="1"/>
      <c r="N167" s="1"/>
      <c r="O167" s="1"/>
      <c r="P167" s="1"/>
      <c r="R167" s="1"/>
      <c r="S167" s="1"/>
      <c r="T167" s="1"/>
      <c r="U167" s="1"/>
      <c r="V167" s="1"/>
      <c r="W167" s="1"/>
      <c r="X167" s="1"/>
      <c r="Y167" s="1"/>
      <c r="Z167" s="1"/>
      <c r="AD167" s="1"/>
      <c r="AE167" s="1"/>
    </row>
    <row r="168" spans="1:31" ht="50" customHeight="1" x14ac:dyDescent="0.15">
      <c r="M168" s="1"/>
      <c r="N168" s="1"/>
      <c r="O168" s="1"/>
      <c r="P168" s="1"/>
      <c r="R168" s="1"/>
      <c r="S168" s="1"/>
      <c r="T168" s="1"/>
      <c r="U168" s="1"/>
      <c r="V168" s="1"/>
      <c r="W168" s="1"/>
      <c r="X168" s="1"/>
      <c r="Y168" s="1"/>
      <c r="Z168" s="1"/>
      <c r="AD168" s="1"/>
      <c r="AE168" s="1"/>
    </row>
    <row r="169" spans="1:31" ht="50" customHeight="1" x14ac:dyDescent="0.15">
      <c r="A169" s="1"/>
      <c r="B169" s="32">
        <v>303</v>
      </c>
      <c r="C169" s="11" t="s">
        <v>1420</v>
      </c>
      <c r="D169" s="16" t="s">
        <v>1323</v>
      </c>
      <c r="E169" s="1" t="s">
        <v>269</v>
      </c>
      <c r="F169" s="24" t="s">
        <v>796</v>
      </c>
      <c r="G169" s="1"/>
      <c r="H169" s="1" t="s">
        <v>266</v>
      </c>
      <c r="K169" s="1">
        <v>168</v>
      </c>
      <c r="L169" t="str">
        <f t="shared" si="2"/>
        <v>303 HBr by CO2</v>
      </c>
      <c r="M169" s="1"/>
      <c r="N169" s="1"/>
      <c r="O169" s="1"/>
      <c r="P169" s="1"/>
      <c r="R169" s="1"/>
      <c r="S169" s="1"/>
      <c r="T169" s="1"/>
      <c r="U169" s="1"/>
      <c r="V169" s="1"/>
      <c r="W169" s="1"/>
      <c r="X169" s="1"/>
      <c r="Y169" s="1"/>
      <c r="Z169" s="1"/>
      <c r="AD169" s="1"/>
      <c r="AE169" s="1"/>
    </row>
    <row r="170" spans="1:31" ht="50" customHeight="1" x14ac:dyDescent="0.15">
      <c r="A170" s="1"/>
      <c r="B170" s="32">
        <v>304</v>
      </c>
      <c r="C170" s="11" t="s">
        <v>798</v>
      </c>
      <c r="D170" s="16" t="s">
        <v>1324</v>
      </c>
      <c r="E170" s="1" t="s">
        <v>270</v>
      </c>
      <c r="F170" s="24" t="s">
        <v>797</v>
      </c>
      <c r="G170" s="1"/>
      <c r="H170" s="1" t="s">
        <v>266</v>
      </c>
      <c r="K170" s="1">
        <v>169</v>
      </c>
      <c r="L170" t="str">
        <f t="shared" si="2"/>
        <v>304 HF by CO2</v>
      </c>
      <c r="M170" s="1"/>
      <c r="N170" s="1"/>
      <c r="O170" s="1"/>
      <c r="P170" s="1"/>
      <c r="R170" s="1"/>
      <c r="S170" s="1"/>
      <c r="T170" s="1"/>
      <c r="U170" s="1"/>
      <c r="V170" s="1"/>
      <c r="W170" s="1"/>
      <c r="X170" s="1"/>
      <c r="Y170" s="1"/>
      <c r="Z170" s="1"/>
      <c r="AD170" s="1"/>
      <c r="AE170" s="1"/>
    </row>
    <row r="171" spans="1:31" ht="50" customHeight="1" x14ac:dyDescent="0.15">
      <c r="A171" s="1"/>
      <c r="B171" s="11">
        <v>165</v>
      </c>
      <c r="C171" s="11" t="s">
        <v>671</v>
      </c>
      <c r="D171" s="16" t="s">
        <v>1151</v>
      </c>
      <c r="E171" s="1" t="s">
        <v>80</v>
      </c>
      <c r="F171" s="24" t="s">
        <v>271</v>
      </c>
      <c r="G171" s="1" t="s">
        <v>276</v>
      </c>
      <c r="H171" s="1" t="s">
        <v>903</v>
      </c>
      <c r="I171" s="1" t="s">
        <v>907</v>
      </c>
      <c r="J171" s="1" t="s">
        <v>944</v>
      </c>
      <c r="K171" s="1">
        <v>170</v>
      </c>
      <c r="L171" t="str">
        <f t="shared" si="2"/>
        <v>165 NO by N2</v>
      </c>
      <c r="M171" s="1"/>
      <c r="N171" s="1"/>
      <c r="O171" s="1"/>
      <c r="P171" s="1"/>
      <c r="R171" s="1"/>
      <c r="S171" s="1"/>
      <c r="T171" s="1"/>
      <c r="U171" s="1"/>
      <c r="V171" s="1"/>
      <c r="W171" s="1"/>
      <c r="X171" s="1"/>
      <c r="Y171" s="1"/>
      <c r="Z171" s="1"/>
      <c r="AD171" s="1"/>
      <c r="AE171" s="1"/>
    </row>
    <row r="172" spans="1:31" ht="50" customHeight="1" x14ac:dyDescent="0.15">
      <c r="A172" s="1"/>
      <c r="B172" s="11">
        <v>166</v>
      </c>
      <c r="C172" s="11" t="s">
        <v>672</v>
      </c>
      <c r="D172" s="16" t="s">
        <v>1152</v>
      </c>
      <c r="E172" s="1" t="s">
        <v>80</v>
      </c>
      <c r="F172" s="24" t="s">
        <v>272</v>
      </c>
      <c r="G172" s="1" t="s">
        <v>276</v>
      </c>
      <c r="H172" s="1"/>
      <c r="I172" s="1" t="s">
        <v>907</v>
      </c>
      <c r="J172" s="1"/>
      <c r="K172" s="1">
        <v>171</v>
      </c>
      <c r="L172" t="str">
        <f t="shared" si="2"/>
        <v>166 NO by N2</v>
      </c>
      <c r="M172" s="1"/>
      <c r="N172" s="1"/>
      <c r="O172" s="1"/>
      <c r="P172" s="1"/>
      <c r="R172" s="1"/>
      <c r="S172" s="1"/>
      <c r="T172" s="1"/>
      <c r="U172" s="1"/>
      <c r="V172" s="1"/>
      <c r="W172" s="1"/>
      <c r="X172" s="1"/>
      <c r="Y172" s="1"/>
      <c r="Z172" s="1"/>
      <c r="AD172" s="1"/>
      <c r="AE172" s="1"/>
    </row>
    <row r="173" spans="1:31" ht="50" customHeight="1" x14ac:dyDescent="0.15">
      <c r="A173" s="1"/>
      <c r="B173" s="11">
        <v>167</v>
      </c>
      <c r="C173" s="11" t="s">
        <v>673</v>
      </c>
      <c r="D173" s="16" t="s">
        <v>1153</v>
      </c>
      <c r="E173" s="1" t="s">
        <v>275</v>
      </c>
      <c r="F173" s="24" t="s">
        <v>273</v>
      </c>
      <c r="G173" s="1" t="s">
        <v>276</v>
      </c>
      <c r="H173" s="1"/>
      <c r="I173" s="1" t="s">
        <v>907</v>
      </c>
      <c r="J173" s="1"/>
      <c r="K173" s="1">
        <v>172</v>
      </c>
      <c r="L173" t="str">
        <f t="shared" si="2"/>
        <v>167 NO by He, Ne, Ar, Kr, and Xe</v>
      </c>
      <c r="M173" s="1"/>
      <c r="N173" s="1"/>
      <c r="O173" s="1"/>
      <c r="P173" s="1"/>
      <c r="R173" s="1"/>
      <c r="S173" s="1"/>
      <c r="T173" s="1"/>
      <c r="U173" s="1"/>
      <c r="V173" s="1"/>
      <c r="W173" s="1"/>
      <c r="X173" s="1"/>
      <c r="Y173" s="1"/>
      <c r="Z173" s="1"/>
      <c r="AD173" s="1"/>
      <c r="AE173" s="1"/>
    </row>
    <row r="174" spans="1:31" ht="50" customHeight="1" x14ac:dyDescent="0.15">
      <c r="A174" s="1"/>
      <c r="B174" s="11">
        <v>168</v>
      </c>
      <c r="C174" s="11" t="s">
        <v>674</v>
      </c>
      <c r="D174" s="16" t="s">
        <v>1154</v>
      </c>
      <c r="E174" s="1" t="s">
        <v>84</v>
      </c>
      <c r="F174" s="24" t="s">
        <v>274</v>
      </c>
      <c r="G174" s="1" t="s">
        <v>276</v>
      </c>
      <c r="H174" s="1"/>
      <c r="I174" s="1" t="s">
        <v>907</v>
      </c>
      <c r="J174" s="1"/>
      <c r="K174" s="1">
        <v>173</v>
      </c>
      <c r="L174" t="str">
        <f t="shared" si="2"/>
        <v>168 NO by O2</v>
      </c>
      <c r="M174" s="1"/>
      <c r="N174" s="1"/>
      <c r="O174" s="1"/>
      <c r="P174" s="1"/>
      <c r="R174" s="1"/>
      <c r="S174" s="1"/>
      <c r="T174" s="1"/>
      <c r="U174" s="1"/>
      <c r="V174" s="1"/>
      <c r="W174" s="1"/>
      <c r="X174" s="1"/>
      <c r="Y174" s="1"/>
      <c r="Z174" s="1"/>
      <c r="AD174" s="1"/>
      <c r="AE174" s="1"/>
    </row>
    <row r="175" spans="1:31" ht="50" customHeight="1" x14ac:dyDescent="0.15">
      <c r="A175" s="1"/>
      <c r="B175" s="11">
        <v>169</v>
      </c>
      <c r="C175" s="11" t="s">
        <v>675</v>
      </c>
      <c r="D175" s="16" t="s">
        <v>1155</v>
      </c>
      <c r="E175" s="1" t="s">
        <v>278</v>
      </c>
      <c r="F175" s="24" t="s">
        <v>277</v>
      </c>
      <c r="G175" s="1"/>
      <c r="H175" s="1"/>
      <c r="I175" s="1" t="s">
        <v>945</v>
      </c>
      <c r="J175" t="s">
        <v>946</v>
      </c>
      <c r="K175" s="1">
        <v>174</v>
      </c>
      <c r="L175" t="str">
        <f t="shared" si="2"/>
        <v>169 CHF3 by self</v>
      </c>
      <c r="M175" s="1"/>
      <c r="N175" s="1"/>
      <c r="O175" s="1"/>
      <c r="P175" s="1"/>
      <c r="R175" s="1"/>
      <c r="S175" s="1"/>
      <c r="T175" s="1"/>
      <c r="U175" s="1"/>
      <c r="V175" s="1"/>
      <c r="W175" s="1"/>
      <c r="X175" s="1"/>
      <c r="Y175" s="1"/>
      <c r="Z175" s="1"/>
      <c r="AD175" s="1"/>
      <c r="AE175" s="1"/>
    </row>
    <row r="176" spans="1:31" ht="50" customHeight="1" x14ac:dyDescent="0.15">
      <c r="A176" s="1"/>
      <c r="B176" s="11">
        <v>170</v>
      </c>
      <c r="C176" s="11" t="s">
        <v>676</v>
      </c>
      <c r="D176" s="16" t="s">
        <v>1156</v>
      </c>
      <c r="E176" s="1" t="s">
        <v>282</v>
      </c>
      <c r="F176" s="24" t="s">
        <v>281</v>
      </c>
      <c r="G176" s="1" t="s">
        <v>284</v>
      </c>
      <c r="H176" s="1"/>
      <c r="I176" s="1" t="s">
        <v>927</v>
      </c>
      <c r="J176" s="1"/>
      <c r="K176" s="1">
        <v>175</v>
      </c>
      <c r="L176" t="str">
        <f t="shared" si="2"/>
        <v>170 CHF3 by CO2, C2H2, C6H6 and O2</v>
      </c>
      <c r="M176" s="1"/>
      <c r="N176" s="1"/>
      <c r="O176" s="1"/>
      <c r="P176" s="1"/>
      <c r="R176" s="1"/>
      <c r="S176" s="1"/>
      <c r="T176" s="1"/>
      <c r="U176" s="1"/>
      <c r="V176" s="1"/>
      <c r="W176" s="1"/>
      <c r="X176" s="1"/>
      <c r="Y176" s="1"/>
      <c r="Z176" s="1"/>
      <c r="AD176" s="1"/>
      <c r="AE176" s="1"/>
    </row>
    <row r="177" spans="1:31" ht="50" customHeight="1" x14ac:dyDescent="0.15">
      <c r="A177" s="1"/>
      <c r="B177" s="11">
        <v>171</v>
      </c>
      <c r="C177" s="11" t="s">
        <v>677</v>
      </c>
      <c r="D177" s="16" t="s">
        <v>1157</v>
      </c>
      <c r="E177" s="1" t="s">
        <v>280</v>
      </c>
      <c r="F177" s="24" t="s">
        <v>279</v>
      </c>
      <c r="G177" s="1" t="s">
        <v>284</v>
      </c>
      <c r="H177" s="1"/>
      <c r="I177" s="1" t="s">
        <v>945</v>
      </c>
      <c r="J177" t="s">
        <v>946</v>
      </c>
      <c r="K177" s="1">
        <v>176</v>
      </c>
      <c r="L177" t="str">
        <f t="shared" si="2"/>
        <v>171 CHF3 by He, Ne, Ar, Kr, Xe, CH4, CCl4</v>
      </c>
      <c r="M177" s="1"/>
      <c r="N177" s="1"/>
      <c r="O177" s="1"/>
      <c r="P177" s="1"/>
      <c r="R177" s="1"/>
      <c r="S177" s="1"/>
      <c r="T177" s="1"/>
      <c r="U177" s="1"/>
      <c r="V177" s="1"/>
      <c r="W177" s="1"/>
      <c r="X177" s="1"/>
      <c r="Y177" s="1"/>
      <c r="Z177" s="1"/>
      <c r="AD177" s="1"/>
      <c r="AE177" s="1"/>
    </row>
    <row r="178" spans="1:31" ht="50" customHeight="1" x14ac:dyDescent="0.15">
      <c r="A178" s="1"/>
      <c r="B178" s="11">
        <v>172</v>
      </c>
      <c r="C178" s="11" t="s">
        <v>678</v>
      </c>
      <c r="D178" s="16" t="s">
        <v>1158</v>
      </c>
      <c r="E178" s="1" t="s">
        <v>283</v>
      </c>
      <c r="F178" s="24" t="s">
        <v>285</v>
      </c>
      <c r="G178" s="1"/>
      <c r="H178" s="1"/>
      <c r="I178" s="1" t="s">
        <v>915</v>
      </c>
      <c r="J178" t="s">
        <v>946</v>
      </c>
      <c r="K178" s="1">
        <v>177</v>
      </c>
      <c r="L178" t="str">
        <f t="shared" si="2"/>
        <v>172 CF3CCH by He, Ne, Ar, Kr and Xe</v>
      </c>
      <c r="M178" s="1"/>
      <c r="N178" s="1"/>
      <c r="O178" s="1"/>
      <c r="P178" s="1"/>
      <c r="R178" s="1"/>
      <c r="S178" s="1"/>
      <c r="T178" s="1"/>
      <c r="U178" s="1"/>
      <c r="V178" s="1"/>
      <c r="W178" s="1"/>
      <c r="X178" s="1"/>
      <c r="Y178" s="1"/>
      <c r="Z178" s="1"/>
      <c r="AD178" s="1"/>
      <c r="AE178" s="1"/>
    </row>
    <row r="179" spans="1:31" ht="50" customHeight="1" x14ac:dyDescent="0.15">
      <c r="A179" s="1"/>
      <c r="B179" s="11">
        <v>173</v>
      </c>
      <c r="C179" s="11" t="s">
        <v>679</v>
      </c>
      <c r="D179" s="16" t="s">
        <v>1159</v>
      </c>
      <c r="E179" s="1" t="s">
        <v>287</v>
      </c>
      <c r="F179" s="24" t="s">
        <v>286</v>
      </c>
      <c r="G179" s="1"/>
      <c r="H179" s="1"/>
      <c r="J179" t="s">
        <v>947</v>
      </c>
      <c r="K179" s="1">
        <v>178</v>
      </c>
      <c r="L179" t="str">
        <f t="shared" si="2"/>
        <v>173 (CΗ3)3CCΝ by He, CO2, OCS,and CΗ3CΝ</v>
      </c>
      <c r="M179" s="1"/>
      <c r="N179" s="1"/>
      <c r="O179" s="1"/>
      <c r="P179" s="1"/>
      <c r="R179" s="1"/>
      <c r="S179" s="1"/>
      <c r="T179" s="1"/>
      <c r="U179" s="1"/>
      <c r="V179" s="1"/>
      <c r="W179" s="1"/>
      <c r="X179" s="1"/>
      <c r="Y179" s="1"/>
      <c r="Z179" s="1"/>
      <c r="AD179" s="1"/>
      <c r="AE179" s="1"/>
    </row>
    <row r="180" spans="1:31" ht="50" customHeight="1" x14ac:dyDescent="0.15">
      <c r="A180" s="1"/>
      <c r="B180" s="11">
        <v>174</v>
      </c>
      <c r="C180" s="11" t="s">
        <v>680</v>
      </c>
      <c r="D180" s="16" t="s">
        <v>1160</v>
      </c>
      <c r="E180" s="1" t="s">
        <v>289</v>
      </c>
      <c r="F180" s="24" t="s">
        <v>288</v>
      </c>
      <c r="G180" s="1"/>
      <c r="H180" s="1"/>
      <c r="I180" s="1" t="s">
        <v>928</v>
      </c>
      <c r="J180" s="1"/>
      <c r="K180" s="1">
        <v>179</v>
      </c>
      <c r="L180" t="str">
        <f t="shared" si="2"/>
        <v>174 O2 by He</v>
      </c>
      <c r="M180" s="1"/>
      <c r="N180" s="1"/>
      <c r="O180" s="1"/>
      <c r="P180" s="1"/>
      <c r="R180" s="1"/>
      <c r="S180" s="1"/>
      <c r="T180" s="1"/>
      <c r="U180" s="1"/>
      <c r="V180" s="1"/>
      <c r="W180" s="1"/>
      <c r="X180" s="1"/>
      <c r="Y180" s="1"/>
      <c r="Z180" s="1"/>
      <c r="AD180" s="1"/>
      <c r="AE180" s="1"/>
    </row>
    <row r="181" spans="1:31" ht="50" customHeight="1" x14ac:dyDescent="0.15">
      <c r="A181" s="1"/>
      <c r="B181" s="11">
        <v>175</v>
      </c>
      <c r="C181" s="11" t="s">
        <v>681</v>
      </c>
      <c r="D181" s="16" t="s">
        <v>1161</v>
      </c>
      <c r="E181" s="1" t="s">
        <v>165</v>
      </c>
      <c r="F181" s="24" t="s">
        <v>293</v>
      </c>
      <c r="G181" s="1"/>
      <c r="H181" s="1"/>
      <c r="I181" s="1" t="s">
        <v>948</v>
      </c>
      <c r="J181" s="1"/>
      <c r="K181" s="1">
        <v>180</v>
      </c>
      <c r="L181" t="str">
        <f t="shared" si="2"/>
        <v>175 CO2 by Ar</v>
      </c>
      <c r="M181" s="1"/>
      <c r="N181" s="1"/>
      <c r="O181" s="1"/>
      <c r="P181" s="1"/>
      <c r="R181" s="1"/>
      <c r="S181" s="1"/>
      <c r="T181" s="1"/>
      <c r="U181" s="1"/>
      <c r="V181" s="1"/>
      <c r="W181" s="1"/>
      <c r="X181" s="1"/>
      <c r="Y181" s="1"/>
      <c r="Z181" s="1"/>
      <c r="AD181" s="1"/>
      <c r="AE181" s="1"/>
    </row>
    <row r="182" spans="1:31" ht="50" customHeight="1" x14ac:dyDescent="0.15">
      <c r="A182" s="1"/>
      <c r="B182" s="11">
        <v>176</v>
      </c>
      <c r="C182" s="11" t="s">
        <v>682</v>
      </c>
      <c r="D182" s="16" t="s">
        <v>1162</v>
      </c>
      <c r="E182" s="1" t="s">
        <v>295</v>
      </c>
      <c r="F182" s="26" t="s">
        <v>294</v>
      </c>
      <c r="G182" s="1"/>
      <c r="H182" s="1" t="s">
        <v>903</v>
      </c>
      <c r="I182" s="1" t="s">
        <v>949</v>
      </c>
      <c r="J182" s="1" t="s">
        <v>941</v>
      </c>
      <c r="K182" s="1">
        <v>181</v>
      </c>
      <c r="L182" t="str">
        <f t="shared" si="2"/>
        <v>176 NH3 by He, A, CH4, N2, Co2, COS, CH3CN and CH3F</v>
      </c>
      <c r="M182" s="1"/>
      <c r="N182" s="1"/>
      <c r="O182" s="1"/>
      <c r="P182" s="1"/>
      <c r="R182" s="1"/>
      <c r="S182" s="1"/>
      <c r="T182" s="1"/>
      <c r="U182" s="1"/>
      <c r="V182" s="1"/>
      <c r="W182" s="1"/>
      <c r="X182" s="1"/>
      <c r="Y182" s="1"/>
      <c r="Z182" s="1"/>
      <c r="AD182" s="1"/>
      <c r="AE182" s="1"/>
    </row>
    <row r="183" spans="1:31" ht="50" customHeight="1" x14ac:dyDescent="0.15">
      <c r="A183" s="1"/>
      <c r="B183" s="11">
        <v>177</v>
      </c>
      <c r="C183" s="11" t="s">
        <v>683</v>
      </c>
      <c r="D183" s="16" t="s">
        <v>1163</v>
      </c>
      <c r="E183" s="1" t="s">
        <v>69</v>
      </c>
      <c r="F183" s="24" t="s">
        <v>298</v>
      </c>
      <c r="G183" s="1" t="s">
        <v>299</v>
      </c>
      <c r="H183" s="1"/>
      <c r="I183" s="1" t="s">
        <v>927</v>
      </c>
      <c r="J183" s="1" t="s">
        <v>950</v>
      </c>
      <c r="K183" s="1">
        <v>182</v>
      </c>
      <c r="L183" t="str">
        <f t="shared" si="2"/>
        <v>177 HF by Ar</v>
      </c>
      <c r="M183" s="1"/>
      <c r="N183" s="1"/>
      <c r="O183" s="1"/>
      <c r="P183" s="1"/>
      <c r="R183" s="1"/>
      <c r="S183" s="1"/>
      <c r="T183" s="1"/>
      <c r="U183" s="1"/>
      <c r="V183" s="1"/>
      <c r="W183" s="1"/>
      <c r="X183" s="1"/>
      <c r="Y183" s="1"/>
      <c r="Z183" s="1"/>
      <c r="AD183" s="1"/>
      <c r="AE183" s="1"/>
    </row>
    <row r="184" spans="1:31" ht="50" customHeight="1" x14ac:dyDescent="0.15">
      <c r="A184" s="1"/>
      <c r="B184" s="11">
        <v>178</v>
      </c>
      <c r="C184" s="11" t="s">
        <v>684</v>
      </c>
      <c r="D184" s="16" t="s">
        <v>1164</v>
      </c>
      <c r="E184" s="1" t="s">
        <v>301</v>
      </c>
      <c r="F184" s="24" t="s">
        <v>300</v>
      </c>
      <c r="G184" s="1"/>
      <c r="H184" s="1"/>
      <c r="I184" s="1" t="s">
        <v>906</v>
      </c>
      <c r="J184" s="1" t="s">
        <v>951</v>
      </c>
      <c r="K184" s="1">
        <v>183</v>
      </c>
      <c r="L184" t="str">
        <f t="shared" si="2"/>
        <v>178 HF by various gases</v>
      </c>
      <c r="M184" s="1"/>
      <c r="N184" s="1"/>
      <c r="O184" s="1"/>
      <c r="P184" s="1"/>
      <c r="R184" s="1"/>
      <c r="S184" s="1"/>
      <c r="T184" s="1"/>
      <c r="U184" s="1"/>
      <c r="V184" s="1"/>
      <c r="W184" s="1"/>
      <c r="X184" s="1"/>
      <c r="Y184" s="1"/>
      <c r="Z184" s="1"/>
      <c r="AD184" s="1"/>
      <c r="AE184" s="1"/>
    </row>
    <row r="185" spans="1:31" ht="50" customHeight="1" x14ac:dyDescent="0.15">
      <c r="A185" s="1"/>
      <c r="B185" s="11">
        <v>179</v>
      </c>
      <c r="C185" s="11" t="s">
        <v>685</v>
      </c>
      <c r="D185" s="16" t="s">
        <v>1165</v>
      </c>
      <c r="E185" s="1" t="s">
        <v>303</v>
      </c>
      <c r="F185" s="24" t="s">
        <v>302</v>
      </c>
      <c r="G185" s="1"/>
      <c r="H185" s="1"/>
      <c r="I185" s="1" t="s">
        <v>907</v>
      </c>
      <c r="J185" s="1"/>
      <c r="K185" s="1">
        <v>184</v>
      </c>
      <c r="L185" t="str">
        <f t="shared" si="2"/>
        <v>179 HF by Ar, Kr, Xe</v>
      </c>
      <c r="M185" s="1"/>
      <c r="N185" s="1"/>
      <c r="O185" s="1"/>
      <c r="P185" s="1"/>
      <c r="R185" s="1"/>
      <c r="S185" s="1"/>
      <c r="T185" s="1"/>
      <c r="U185" s="1"/>
      <c r="V185" s="1"/>
      <c r="W185" s="1"/>
      <c r="X185" s="1"/>
      <c r="Y185" s="1"/>
      <c r="Z185" s="1"/>
      <c r="AD185" s="1"/>
      <c r="AE185" s="1"/>
    </row>
    <row r="186" spans="1:31" ht="50" customHeight="1" x14ac:dyDescent="0.15">
      <c r="A186" s="1"/>
      <c r="B186" s="27"/>
      <c r="C186" s="20"/>
      <c r="D186" s="16" t="s">
        <v>1166</v>
      </c>
      <c r="E186" s="18" t="s">
        <v>242</v>
      </c>
      <c r="F186" s="25" t="s">
        <v>304</v>
      </c>
      <c r="G186" s="18" t="s">
        <v>795</v>
      </c>
      <c r="H186" s="1"/>
      <c r="K186" s="18">
        <v>185</v>
      </c>
      <c r="L186" t="str">
        <f t="shared" si="2"/>
        <v xml:space="preserve"> HF by He and Kr</v>
      </c>
      <c r="M186" s="18"/>
      <c r="N186" s="18"/>
      <c r="O186" s="18"/>
      <c r="P186" s="1"/>
      <c r="R186" s="1"/>
      <c r="S186" s="1"/>
      <c r="T186" s="1"/>
      <c r="U186" s="1"/>
      <c r="V186" s="1"/>
      <c r="W186" s="1"/>
      <c r="X186" s="1"/>
      <c r="Y186" s="1"/>
      <c r="Z186" s="1"/>
      <c r="AD186" s="1"/>
      <c r="AE186" s="1"/>
    </row>
    <row r="187" spans="1:31" ht="50" customHeight="1" x14ac:dyDescent="0.15">
      <c r="A187" s="1"/>
      <c r="B187" s="11">
        <v>180</v>
      </c>
      <c r="C187" s="11" t="s">
        <v>686</v>
      </c>
      <c r="D187" s="16" t="s">
        <v>1167</v>
      </c>
      <c r="E187" s="1" t="s">
        <v>306</v>
      </c>
      <c r="F187" s="24" t="s">
        <v>1392</v>
      </c>
      <c r="G187" s="1"/>
      <c r="H187" s="1"/>
      <c r="I187" s="1" t="s">
        <v>907</v>
      </c>
      <c r="J187" s="1"/>
      <c r="K187" s="1">
        <v>186</v>
      </c>
      <c r="L187" t="str">
        <f t="shared" si="2"/>
        <v>180 HCl35, DCl35, HBr79 and CO by Xe, Kr, He, Ar, H2, N2, CF4, CS2</v>
      </c>
      <c r="M187" s="1"/>
      <c r="N187" s="1"/>
      <c r="O187" s="1"/>
      <c r="P187" s="1"/>
      <c r="R187" s="1"/>
      <c r="S187" s="1"/>
      <c r="T187" s="1"/>
      <c r="U187" s="1"/>
      <c r="V187" s="1"/>
      <c r="W187" s="1"/>
      <c r="X187" s="1"/>
      <c r="Y187" s="1"/>
      <c r="Z187" s="1"/>
      <c r="AD187" s="1"/>
      <c r="AE187" s="1"/>
    </row>
    <row r="188" spans="1:31" ht="50" customHeight="1" x14ac:dyDescent="0.15">
      <c r="A188" s="1"/>
      <c r="B188" s="11">
        <v>181</v>
      </c>
      <c r="C188" s="11" t="s">
        <v>687</v>
      </c>
      <c r="D188" s="16" t="s">
        <v>1168</v>
      </c>
      <c r="E188" s="1" t="s">
        <v>307</v>
      </c>
      <c r="F188" s="24" t="s">
        <v>1393</v>
      </c>
      <c r="G188" s="1"/>
      <c r="H188" s="1"/>
      <c r="I188" s="1" t="s">
        <v>906</v>
      </c>
      <c r="J188" s="1"/>
      <c r="K188" s="1">
        <v>187</v>
      </c>
      <c r="L188" t="str">
        <f t="shared" si="2"/>
        <v>181 HCl by Ar, Xe</v>
      </c>
      <c r="M188" s="1"/>
      <c r="N188" s="1"/>
      <c r="O188" s="1"/>
      <c r="P188" s="1"/>
      <c r="R188" s="1"/>
      <c r="S188" s="1"/>
      <c r="T188" s="1"/>
      <c r="U188" s="1"/>
      <c r="V188" s="1"/>
      <c r="W188" s="1"/>
      <c r="X188" s="1"/>
      <c r="Y188" s="1"/>
      <c r="Z188" s="1"/>
      <c r="AD188" s="1"/>
      <c r="AE188" s="1"/>
    </row>
    <row r="189" spans="1:31" ht="50" customHeight="1" x14ac:dyDescent="0.15">
      <c r="A189" s="1"/>
      <c r="B189" s="11">
        <v>182</v>
      </c>
      <c r="C189" s="11" t="s">
        <v>688</v>
      </c>
      <c r="D189" s="16" t="s">
        <v>1169</v>
      </c>
      <c r="E189" s="1" t="s">
        <v>127</v>
      </c>
      <c r="F189" s="24" t="s">
        <v>308</v>
      </c>
      <c r="G189" s="1"/>
      <c r="H189" s="1"/>
      <c r="I189" s="1" t="s">
        <v>927</v>
      </c>
      <c r="J189" s="1"/>
      <c r="K189" s="1">
        <v>188</v>
      </c>
      <c r="L189" t="str">
        <f t="shared" si="2"/>
        <v>182 HCl by Ar</v>
      </c>
      <c r="M189" s="1"/>
      <c r="N189" s="1"/>
      <c r="O189" s="1"/>
      <c r="P189" s="1"/>
      <c r="R189" s="1"/>
      <c r="S189" s="1"/>
      <c r="T189" s="1"/>
      <c r="U189" s="1"/>
      <c r="V189" s="1"/>
      <c r="W189" s="1"/>
      <c r="X189" s="1"/>
      <c r="Y189" s="1"/>
      <c r="Z189" s="1"/>
      <c r="AD189" s="1"/>
      <c r="AE189" s="1"/>
    </row>
    <row r="190" spans="1:31" ht="50" customHeight="1" x14ac:dyDescent="0.15">
      <c r="A190" s="1"/>
      <c r="B190" s="42"/>
      <c r="C190" s="11"/>
      <c r="D190" s="43"/>
      <c r="E190" s="18"/>
      <c r="F190" s="25" t="s">
        <v>139</v>
      </c>
      <c r="G190" s="18" t="s">
        <v>795</v>
      </c>
      <c r="H190" s="18"/>
      <c r="I190" s="44"/>
      <c r="J190" s="44"/>
      <c r="K190" s="18">
        <v>189</v>
      </c>
      <c r="L190" s="44" t="str">
        <f t="shared" si="2"/>
        <v xml:space="preserve"> </v>
      </c>
      <c r="M190" s="18"/>
      <c r="N190" s="18"/>
      <c r="O190" s="18"/>
      <c r="P190" s="1"/>
      <c r="R190" s="1"/>
      <c r="S190" s="1"/>
      <c r="T190" s="1"/>
      <c r="U190" s="1"/>
      <c r="V190" s="1"/>
      <c r="W190" s="1"/>
      <c r="X190" s="1"/>
      <c r="Y190" s="1"/>
      <c r="Z190" s="1"/>
      <c r="AD190" s="1"/>
      <c r="AE190" s="1"/>
    </row>
    <row r="191" spans="1:31" ht="50" customHeight="1" x14ac:dyDescent="0.15">
      <c r="A191" s="1"/>
      <c r="B191" s="11">
        <v>183</v>
      </c>
      <c r="C191" s="11" t="s">
        <v>689</v>
      </c>
      <c r="D191" s="16" t="s">
        <v>1170</v>
      </c>
      <c r="E191" s="1" t="s">
        <v>127</v>
      </c>
      <c r="F191" s="24" t="s">
        <v>309</v>
      </c>
      <c r="G191" s="1"/>
      <c r="H191" s="1" t="s">
        <v>978</v>
      </c>
      <c r="I191" s="1" t="s">
        <v>907</v>
      </c>
      <c r="J191" s="1"/>
      <c r="K191" s="1">
        <v>190</v>
      </c>
      <c r="L191" t="str">
        <f t="shared" si="2"/>
        <v>183 HCl by Ar</v>
      </c>
      <c r="M191" s="1"/>
      <c r="N191" s="1"/>
      <c r="O191" s="1"/>
      <c r="P191" s="1"/>
      <c r="R191" s="1"/>
      <c r="S191" s="1"/>
      <c r="T191" s="1"/>
      <c r="U191" s="1"/>
      <c r="V191" s="1"/>
      <c r="W191" s="1"/>
      <c r="X191" s="1"/>
      <c r="Y191" s="1"/>
      <c r="Z191" s="1"/>
      <c r="AD191" s="1"/>
      <c r="AE191" s="1"/>
    </row>
    <row r="192" spans="1:31" ht="50" customHeight="1" x14ac:dyDescent="0.15">
      <c r="A192" s="1"/>
      <c r="B192" s="11">
        <v>184</v>
      </c>
      <c r="C192" s="11" t="s">
        <v>690</v>
      </c>
      <c r="D192" s="16" t="s">
        <v>1171</v>
      </c>
      <c r="E192" s="1" t="s">
        <v>310</v>
      </c>
      <c r="F192" s="24" t="s">
        <v>311</v>
      </c>
      <c r="G192" s="1"/>
      <c r="H192" s="1" t="s">
        <v>903</v>
      </c>
      <c r="I192" s="1" t="s">
        <v>927</v>
      </c>
      <c r="J192" s="1" t="s">
        <v>922</v>
      </c>
      <c r="K192" s="1">
        <v>191</v>
      </c>
      <c r="L192" t="str">
        <f t="shared" si="2"/>
        <v>184 HCl and C2H2 by Kr and Xe</v>
      </c>
      <c r="M192" s="1"/>
      <c r="N192" s="1"/>
      <c r="O192" s="1"/>
      <c r="P192" s="1"/>
      <c r="R192" s="1"/>
      <c r="S192" s="1"/>
      <c r="T192" s="1"/>
      <c r="U192" s="1"/>
      <c r="V192" s="1"/>
      <c r="W192" s="1"/>
      <c r="X192" s="1"/>
      <c r="Y192" s="1"/>
      <c r="Z192" s="1"/>
      <c r="AD192" s="1"/>
      <c r="AE192" s="1"/>
    </row>
    <row r="193" spans="1:31" ht="50" customHeight="1" x14ac:dyDescent="0.15">
      <c r="A193" s="1"/>
      <c r="B193" s="11">
        <v>185</v>
      </c>
      <c r="C193" s="11" t="s">
        <v>691</v>
      </c>
      <c r="D193" s="16" t="s">
        <v>1394</v>
      </c>
      <c r="E193" s="1" t="s">
        <v>312</v>
      </c>
      <c r="F193" s="24" t="s">
        <v>313</v>
      </c>
      <c r="G193" s="1"/>
      <c r="H193" s="1"/>
      <c r="I193" s="1" t="s">
        <v>927</v>
      </c>
      <c r="J193" s="1"/>
      <c r="K193" s="1">
        <v>192</v>
      </c>
      <c r="L193" t="str">
        <f t="shared" si="2"/>
        <v>185 HCL by Ar, CO2, CO, D2, H2, HBr, He, Ne, N2, O2,</v>
      </c>
      <c r="M193" s="1"/>
      <c r="N193" s="1"/>
      <c r="O193" s="1"/>
      <c r="P193" s="1"/>
      <c r="R193" s="1"/>
      <c r="S193" s="1"/>
      <c r="T193" s="1"/>
      <c r="U193" s="1"/>
      <c r="V193" s="1"/>
      <c r="W193" s="1"/>
      <c r="X193" s="1"/>
      <c r="Y193" s="1"/>
      <c r="Z193" s="1"/>
      <c r="AD193" s="1"/>
      <c r="AE193" s="1"/>
    </row>
    <row r="194" spans="1:31" ht="50" customHeight="1" x14ac:dyDescent="0.15">
      <c r="A194" s="1"/>
      <c r="B194" s="11">
        <v>186</v>
      </c>
      <c r="C194" s="11" t="s">
        <v>692</v>
      </c>
      <c r="D194" s="16" t="s">
        <v>1172</v>
      </c>
      <c r="E194" s="1" t="s">
        <v>314</v>
      </c>
      <c r="F194" s="24" t="s">
        <v>1395</v>
      </c>
      <c r="G194" s="1" t="s">
        <v>315</v>
      </c>
      <c r="H194" s="1" t="s">
        <v>903</v>
      </c>
      <c r="I194" s="1" t="s">
        <v>907</v>
      </c>
      <c r="J194" s="1" t="s">
        <v>922</v>
      </c>
      <c r="K194" s="1">
        <v>193</v>
      </c>
      <c r="L194" t="str">
        <f t="shared" ref="L194:L257" si="3">B194&amp;" "&amp;E194</f>
        <v>186 CO2 by self</v>
      </c>
      <c r="M194" s="1"/>
      <c r="N194" s="1"/>
      <c r="O194" s="1"/>
      <c r="P194" s="1"/>
      <c r="R194" s="1"/>
      <c r="S194" s="1"/>
      <c r="T194" s="1"/>
      <c r="U194" s="1"/>
      <c r="V194" s="1"/>
      <c r="W194" s="1"/>
      <c r="X194" s="1"/>
      <c r="Y194" s="1"/>
      <c r="Z194" s="1"/>
      <c r="AD194" s="1"/>
      <c r="AE194" s="1"/>
    </row>
    <row r="195" spans="1:31" ht="50" customHeight="1" x14ac:dyDescent="0.15">
      <c r="A195" s="1"/>
      <c r="B195" s="11">
        <v>187</v>
      </c>
      <c r="C195" s="11" t="s">
        <v>693</v>
      </c>
      <c r="D195" s="16" t="s">
        <v>1173</v>
      </c>
      <c r="E195" s="1" t="s">
        <v>316</v>
      </c>
      <c r="F195" s="24" t="s">
        <v>1396</v>
      </c>
      <c r="G195" s="1" t="s">
        <v>323</v>
      </c>
      <c r="H195" s="1"/>
      <c r="I195" s="1" t="s">
        <v>906</v>
      </c>
      <c r="J195" s="1" t="s">
        <v>930</v>
      </c>
      <c r="K195" s="1">
        <v>194</v>
      </c>
      <c r="L195" t="str">
        <f t="shared" si="3"/>
        <v>187 O2 by self</v>
      </c>
      <c r="M195" s="1"/>
      <c r="N195" s="1"/>
      <c r="O195" s="1"/>
      <c r="P195" s="1"/>
      <c r="R195" s="1"/>
      <c r="S195" s="1"/>
      <c r="T195" s="1"/>
      <c r="U195" s="1"/>
      <c r="V195" s="1"/>
      <c r="W195" s="1"/>
      <c r="X195" s="1"/>
      <c r="Y195" s="1"/>
      <c r="Z195" s="1"/>
      <c r="AD195" s="1"/>
      <c r="AE195" s="1"/>
    </row>
    <row r="196" spans="1:31" ht="50" customHeight="1" x14ac:dyDescent="0.15">
      <c r="A196" s="1"/>
      <c r="B196" s="27"/>
      <c r="C196" s="20"/>
      <c r="D196" s="16" t="s">
        <v>1174</v>
      </c>
      <c r="E196" s="18" t="s">
        <v>317</v>
      </c>
      <c r="F196" s="19" t="s">
        <v>318</v>
      </c>
      <c r="G196" s="18" t="s">
        <v>315</v>
      </c>
      <c r="H196" s="1"/>
      <c r="J196" s="1"/>
      <c r="K196" s="18">
        <v>195</v>
      </c>
      <c r="L196" t="str">
        <f t="shared" si="3"/>
        <v xml:space="preserve"> CO by He, Ar, Kr and SF6</v>
      </c>
      <c r="M196" s="18" t="s">
        <v>795</v>
      </c>
      <c r="N196" s="18"/>
      <c r="O196" s="1"/>
      <c r="P196" s="1"/>
      <c r="R196" s="1"/>
      <c r="S196" s="1"/>
      <c r="T196" s="1"/>
      <c r="U196" s="1"/>
      <c r="V196" s="1"/>
      <c r="W196" s="1"/>
      <c r="X196" s="1"/>
      <c r="Y196" s="1"/>
      <c r="Z196" s="1"/>
      <c r="AD196" s="1"/>
      <c r="AE196" s="1"/>
    </row>
    <row r="197" spans="1:31" ht="50" customHeight="1" x14ac:dyDescent="0.15">
      <c r="A197" s="1"/>
      <c r="B197" s="11">
        <v>188</v>
      </c>
      <c r="C197" s="11" t="s">
        <v>694</v>
      </c>
      <c r="D197" s="16" t="s">
        <v>1175</v>
      </c>
      <c r="E197" s="1" t="s">
        <v>316</v>
      </c>
      <c r="F197" s="24" t="s">
        <v>1397</v>
      </c>
      <c r="G197" s="1" t="s">
        <v>319</v>
      </c>
      <c r="H197" s="1"/>
      <c r="I197" s="1" t="s">
        <v>906</v>
      </c>
      <c r="J197" s="1"/>
      <c r="K197" s="1">
        <v>196</v>
      </c>
      <c r="L197" t="str">
        <f t="shared" si="3"/>
        <v>188 O2 by self</v>
      </c>
      <c r="M197" s="1"/>
      <c r="N197" s="1"/>
      <c r="O197" s="1"/>
      <c r="P197" s="1"/>
      <c r="R197" s="1"/>
      <c r="S197" s="1"/>
      <c r="T197" s="1"/>
      <c r="U197" s="1"/>
      <c r="V197" s="1"/>
      <c r="W197" s="1"/>
      <c r="X197" s="1"/>
      <c r="Y197" s="1"/>
      <c r="Z197" s="1"/>
      <c r="AD197" s="1"/>
      <c r="AE197" s="1"/>
    </row>
    <row r="198" spans="1:31" ht="50" customHeight="1" x14ac:dyDescent="0.15">
      <c r="A198" s="1"/>
      <c r="B198" s="27"/>
      <c r="C198" s="20"/>
      <c r="D198" s="16" t="s">
        <v>1176</v>
      </c>
      <c r="E198" s="18" t="s">
        <v>320</v>
      </c>
      <c r="F198" s="25" t="s">
        <v>321</v>
      </c>
      <c r="G198" s="18" t="s">
        <v>322</v>
      </c>
      <c r="H198" s="1"/>
      <c r="K198" s="18">
        <v>197</v>
      </c>
      <c r="L198" t="str">
        <f t="shared" si="3"/>
        <v xml:space="preserve"> CH4 by Ar, N2,
O2 and He</v>
      </c>
      <c r="M198" s="18" t="s">
        <v>795</v>
      </c>
      <c r="N198" s="18"/>
      <c r="O198" s="1"/>
      <c r="P198" s="1"/>
      <c r="R198" s="1"/>
      <c r="S198" s="1"/>
      <c r="T198" s="1"/>
      <c r="U198" s="1"/>
      <c r="V198" s="1"/>
      <c r="W198" s="1"/>
      <c r="X198" s="1"/>
      <c r="Y198" s="1"/>
      <c r="Z198" s="1"/>
      <c r="AD198" s="1"/>
      <c r="AE198" s="1"/>
    </row>
    <row r="199" spans="1:31" ht="50" customHeight="1" x14ac:dyDescent="0.15">
      <c r="A199" s="1"/>
      <c r="B199" s="11">
        <v>189</v>
      </c>
      <c r="C199" s="11" t="s">
        <v>695</v>
      </c>
      <c r="D199" s="16" t="s">
        <v>1177</v>
      </c>
      <c r="E199" s="1" t="s">
        <v>324</v>
      </c>
      <c r="F199" s="24" t="s">
        <v>1398</v>
      </c>
      <c r="G199" s="1" t="s">
        <v>325</v>
      </c>
      <c r="H199" s="1"/>
      <c r="I199" s="1" t="s">
        <v>906</v>
      </c>
      <c r="J199" s="1"/>
      <c r="K199" s="1">
        <v>198</v>
      </c>
      <c r="L199" t="str">
        <f t="shared" si="3"/>
        <v>189 CO by self</v>
      </c>
      <c r="M199" s="1"/>
      <c r="N199" s="1"/>
      <c r="O199" s="1"/>
      <c r="P199" s="1"/>
      <c r="R199" s="1"/>
      <c r="S199" s="1"/>
      <c r="T199" s="1"/>
      <c r="U199" s="1"/>
      <c r="V199" s="1"/>
      <c r="W199" s="1"/>
      <c r="X199" s="1"/>
      <c r="Y199" s="1"/>
      <c r="Z199" s="1"/>
      <c r="AD199" s="1"/>
      <c r="AE199" s="1"/>
    </row>
    <row r="200" spans="1:31" ht="50" customHeight="1" x14ac:dyDescent="0.15">
      <c r="A200" s="1"/>
      <c r="B200" s="27"/>
      <c r="C200" s="20"/>
      <c r="D200" s="16" t="s">
        <v>1114</v>
      </c>
      <c r="E200" s="18" t="s">
        <v>164</v>
      </c>
      <c r="F200" s="19" t="s">
        <v>326</v>
      </c>
      <c r="G200" s="18" t="s">
        <v>327</v>
      </c>
      <c r="H200" s="1"/>
      <c r="K200" s="18">
        <v>199</v>
      </c>
      <c r="L200" t="str">
        <f t="shared" si="3"/>
        <v xml:space="preserve"> O2 by N2</v>
      </c>
      <c r="M200" s="18" t="s">
        <v>795</v>
      </c>
      <c r="N200" s="18"/>
      <c r="O200" s="18"/>
      <c r="P200" s="1"/>
      <c r="R200" s="1"/>
      <c r="S200" s="1"/>
      <c r="T200" s="1"/>
      <c r="U200" s="1"/>
      <c r="V200" s="1"/>
      <c r="W200" s="1"/>
      <c r="X200" s="1"/>
      <c r="Y200" s="1"/>
      <c r="Z200" s="1"/>
      <c r="AD200" s="1"/>
      <c r="AE200" s="1"/>
    </row>
    <row r="201" spans="1:31" ht="50" customHeight="1" x14ac:dyDescent="0.15">
      <c r="A201" s="1"/>
      <c r="B201" s="27"/>
      <c r="C201" s="20"/>
      <c r="D201" s="16" t="s">
        <v>1178</v>
      </c>
      <c r="E201" s="18" t="s">
        <v>328</v>
      </c>
      <c r="F201" s="19" t="s">
        <v>329</v>
      </c>
      <c r="G201" s="18" t="s">
        <v>315</v>
      </c>
      <c r="H201" s="1"/>
      <c r="K201" s="18">
        <v>200</v>
      </c>
      <c r="L201" t="str">
        <f t="shared" si="3"/>
        <v xml:space="preserve"> H2O by self, N2, SF6</v>
      </c>
      <c r="M201" s="18" t="s">
        <v>795</v>
      </c>
      <c r="N201" s="18"/>
      <c r="O201" s="18"/>
      <c r="P201" s="1"/>
      <c r="R201" s="1"/>
      <c r="S201" s="1"/>
      <c r="T201" s="1"/>
      <c r="U201" s="1"/>
      <c r="V201" s="1"/>
      <c r="W201" s="1"/>
      <c r="X201" s="1"/>
      <c r="Y201" s="1"/>
      <c r="Z201" s="1"/>
      <c r="AD201" s="1"/>
      <c r="AE201" s="1"/>
    </row>
    <row r="202" spans="1:31" ht="50" customHeight="1" x14ac:dyDescent="0.15">
      <c r="A202" s="1"/>
      <c r="B202" s="11">
        <v>190</v>
      </c>
      <c r="C202" s="11" t="s">
        <v>696</v>
      </c>
      <c r="D202" s="16" t="s">
        <v>1179</v>
      </c>
      <c r="E202" s="1" t="s">
        <v>330</v>
      </c>
      <c r="F202" s="24" t="s">
        <v>1399</v>
      </c>
      <c r="G202" s="1" t="s">
        <v>322</v>
      </c>
      <c r="H202" s="1"/>
      <c r="I202" s="1" t="s">
        <v>906</v>
      </c>
      <c r="J202" s="1"/>
      <c r="K202" s="1">
        <v>201</v>
      </c>
      <c r="L202" t="str">
        <f t="shared" si="3"/>
        <v>190 H2O by self, N2</v>
      </c>
      <c r="M202" s="1"/>
      <c r="N202" s="1"/>
      <c r="O202" s="1"/>
      <c r="P202" s="1"/>
      <c r="R202" s="1"/>
      <c r="S202" s="1"/>
      <c r="T202" s="1"/>
      <c r="U202" s="1"/>
      <c r="V202" s="1"/>
      <c r="W202" s="1"/>
      <c r="X202" s="1"/>
      <c r="Y202" s="1"/>
      <c r="Z202" s="1"/>
      <c r="AD202" s="1"/>
      <c r="AE202" s="1"/>
    </row>
    <row r="203" spans="1:31" ht="50" customHeight="1" x14ac:dyDescent="0.15">
      <c r="A203" s="1"/>
      <c r="B203" s="11">
        <v>191</v>
      </c>
      <c r="C203" s="11" t="s">
        <v>697</v>
      </c>
      <c r="D203" s="16" t="s">
        <v>1180</v>
      </c>
      <c r="E203" s="1" t="s">
        <v>332</v>
      </c>
      <c r="F203" s="24" t="s">
        <v>331</v>
      </c>
      <c r="G203" s="1" t="s">
        <v>335</v>
      </c>
      <c r="H203" s="1"/>
      <c r="I203" s="1" t="s">
        <v>906</v>
      </c>
      <c r="J203" s="1"/>
      <c r="K203" s="1">
        <v>202</v>
      </c>
      <c r="L203" t="str">
        <f t="shared" si="3"/>
        <v>191 CH4 by He, Ne, Ar, H2, N2, O2 and air</v>
      </c>
      <c r="M203" s="1"/>
      <c r="N203" s="1"/>
      <c r="O203" s="1"/>
      <c r="P203" s="1"/>
      <c r="R203" s="1"/>
      <c r="S203" s="1"/>
      <c r="T203" s="1"/>
      <c r="U203" s="1"/>
      <c r="V203" s="1"/>
      <c r="W203" s="1"/>
      <c r="X203" s="1"/>
      <c r="Y203" s="1"/>
      <c r="Z203" s="1"/>
      <c r="AD203" s="1"/>
      <c r="AE203" s="1"/>
    </row>
    <row r="204" spans="1:31" ht="50" customHeight="1" x14ac:dyDescent="0.15">
      <c r="A204" s="1"/>
      <c r="B204" s="11">
        <v>192</v>
      </c>
      <c r="C204" s="11" t="s">
        <v>698</v>
      </c>
      <c r="D204" s="16" t="s">
        <v>1181</v>
      </c>
      <c r="E204" s="1" t="s">
        <v>334</v>
      </c>
      <c r="F204" s="24" t="s">
        <v>333</v>
      </c>
      <c r="G204" s="1" t="s">
        <v>335</v>
      </c>
      <c r="H204" s="1"/>
      <c r="I204" s="1" t="s">
        <v>927</v>
      </c>
      <c r="J204" s="1"/>
      <c r="K204" s="1">
        <v>203</v>
      </c>
      <c r="L204" t="str">
        <f t="shared" si="3"/>
        <v>192 CH4 by Self‐, N2, O2, H2, Ar, and He</v>
      </c>
      <c r="M204" s="1"/>
      <c r="N204" s="1"/>
      <c r="O204" s="1"/>
      <c r="P204" s="1"/>
      <c r="R204" s="1"/>
      <c r="S204" s="1"/>
      <c r="T204" s="1"/>
      <c r="U204" s="1"/>
      <c r="V204" s="1"/>
      <c r="W204" s="1"/>
      <c r="X204" s="1"/>
      <c r="Y204" s="1"/>
      <c r="Z204" s="1"/>
      <c r="AD204" s="1"/>
      <c r="AE204" s="1"/>
    </row>
    <row r="205" spans="1:31" ht="50" customHeight="1" x14ac:dyDescent="0.15">
      <c r="A205" s="1"/>
      <c r="B205" s="11">
        <v>193</v>
      </c>
      <c r="C205" s="11" t="s">
        <v>699</v>
      </c>
      <c r="D205" s="16" t="s">
        <v>1182</v>
      </c>
      <c r="E205" s="1" t="s">
        <v>337</v>
      </c>
      <c r="F205" s="24" t="s">
        <v>336</v>
      </c>
      <c r="G205" s="1" t="s">
        <v>335</v>
      </c>
      <c r="H205" s="1"/>
      <c r="I205" s="1" t="s">
        <v>906</v>
      </c>
      <c r="J205" s="1"/>
      <c r="K205" s="1">
        <v>204</v>
      </c>
      <c r="L205" t="str">
        <f t="shared" si="3"/>
        <v>193 CH4 by Ar, He, H2, N2</v>
      </c>
      <c r="M205" s="1"/>
      <c r="N205" s="1"/>
      <c r="O205" s="1"/>
      <c r="P205" s="1"/>
      <c r="R205" s="1"/>
      <c r="S205" s="1"/>
      <c r="T205" s="1"/>
      <c r="U205" s="1"/>
      <c r="V205" s="1"/>
      <c r="W205" s="1"/>
      <c r="X205" s="1"/>
      <c r="Y205" s="1"/>
      <c r="Z205" s="1"/>
      <c r="AD205" s="1"/>
      <c r="AE205" s="1"/>
    </row>
    <row r="206" spans="1:31" ht="50" customHeight="1" x14ac:dyDescent="0.15">
      <c r="A206" s="1"/>
      <c r="B206" s="11">
        <v>194</v>
      </c>
      <c r="C206" s="11" t="s">
        <v>700</v>
      </c>
      <c r="D206" s="16" t="s">
        <v>1183</v>
      </c>
      <c r="E206" s="1" t="s">
        <v>338</v>
      </c>
      <c r="F206" s="24" t="s">
        <v>339</v>
      </c>
      <c r="G206" s="1" t="s">
        <v>335</v>
      </c>
      <c r="H206" s="1"/>
      <c r="I206" s="1" t="s">
        <v>906</v>
      </c>
      <c r="K206" s="1">
        <v>205</v>
      </c>
      <c r="L206" t="str">
        <f t="shared" si="3"/>
        <v>194 CH4 by self, H2, He</v>
      </c>
      <c r="M206" s="1"/>
      <c r="N206" s="1"/>
      <c r="O206" s="1"/>
      <c r="P206" s="1"/>
      <c r="R206" s="1"/>
      <c r="S206" s="1"/>
      <c r="T206" s="1"/>
      <c r="U206" s="1"/>
      <c r="V206" s="1"/>
      <c r="W206" s="1"/>
      <c r="X206" s="1"/>
      <c r="Y206" s="1"/>
      <c r="Z206" s="1"/>
      <c r="AD206" s="1"/>
      <c r="AE206" s="1"/>
    </row>
    <row r="207" spans="1:31" ht="50" customHeight="1" x14ac:dyDescent="0.15">
      <c r="A207" s="1"/>
      <c r="B207" s="11">
        <v>195</v>
      </c>
      <c r="C207" s="11" t="s">
        <v>701</v>
      </c>
      <c r="D207" s="16" t="s">
        <v>1184</v>
      </c>
      <c r="E207" s="1" t="s">
        <v>337</v>
      </c>
      <c r="F207" s="24" t="s">
        <v>340</v>
      </c>
      <c r="G207" s="1" t="s">
        <v>335</v>
      </c>
      <c r="H207" s="1"/>
      <c r="I207" s="1" t="s">
        <v>906</v>
      </c>
      <c r="J207" t="s">
        <v>952</v>
      </c>
      <c r="K207" s="1">
        <v>206</v>
      </c>
      <c r="L207" t="str">
        <f t="shared" si="3"/>
        <v>195 CH4 by Ar, He, H2, N2</v>
      </c>
      <c r="M207" s="1"/>
      <c r="N207" s="1"/>
      <c r="O207" s="1"/>
      <c r="P207" s="1"/>
      <c r="R207" s="1"/>
      <c r="S207" s="1"/>
      <c r="T207" s="1"/>
      <c r="U207" s="1"/>
      <c r="V207" s="1"/>
      <c r="W207" s="1"/>
      <c r="X207" s="1"/>
      <c r="Y207" s="1"/>
      <c r="Z207" s="1"/>
      <c r="AD207" s="1"/>
      <c r="AE207" s="1"/>
    </row>
    <row r="208" spans="1:31" ht="50" customHeight="1" x14ac:dyDescent="0.15">
      <c r="A208" s="1"/>
      <c r="B208" s="11">
        <v>196</v>
      </c>
      <c r="C208" s="11" t="s">
        <v>702</v>
      </c>
      <c r="D208" s="16" t="s">
        <v>1185</v>
      </c>
      <c r="E208" s="1" t="s">
        <v>341</v>
      </c>
      <c r="F208" s="24" t="s">
        <v>342</v>
      </c>
      <c r="G208" s="1" t="s">
        <v>335</v>
      </c>
      <c r="H208" s="1"/>
      <c r="I208" s="1" t="s">
        <v>906</v>
      </c>
      <c r="J208" s="1" t="s">
        <v>953</v>
      </c>
      <c r="K208" s="1">
        <v>207</v>
      </c>
      <c r="L208" t="str">
        <f t="shared" si="3"/>
        <v>196 CH4 by He</v>
      </c>
      <c r="M208" s="1"/>
      <c r="N208" s="1"/>
      <c r="O208" s="1"/>
      <c r="P208" s="1"/>
      <c r="R208" s="1"/>
      <c r="S208" s="1"/>
      <c r="T208" s="1"/>
      <c r="U208" s="1"/>
      <c r="V208" s="1"/>
      <c r="W208" s="1"/>
      <c r="X208" s="1"/>
      <c r="Y208" s="1"/>
      <c r="Z208" s="1"/>
      <c r="AD208" s="1"/>
      <c r="AE208" s="1"/>
    </row>
    <row r="209" spans="1:31" ht="50" customHeight="1" x14ac:dyDescent="0.15">
      <c r="A209" s="1"/>
      <c r="B209" s="11">
        <v>197</v>
      </c>
      <c r="C209" s="11" t="s">
        <v>703</v>
      </c>
      <c r="D209" s="16" t="s">
        <v>1186</v>
      </c>
      <c r="E209" s="1" t="s">
        <v>343</v>
      </c>
      <c r="F209" s="24" t="s">
        <v>344</v>
      </c>
      <c r="G209" s="1" t="s">
        <v>335</v>
      </c>
      <c r="H209" s="1"/>
      <c r="I209" s="1" t="s">
        <v>907</v>
      </c>
      <c r="J209" s="1"/>
      <c r="K209" s="1">
        <v>208</v>
      </c>
      <c r="L209" t="str">
        <f t="shared" si="3"/>
        <v>197 CH4 by He and Ar</v>
      </c>
      <c r="M209" s="1"/>
      <c r="N209" s="1"/>
      <c r="O209" s="1"/>
      <c r="P209" s="1"/>
      <c r="R209" s="1"/>
      <c r="S209" s="1"/>
      <c r="T209" s="1"/>
      <c r="U209" s="1"/>
      <c r="V209" s="1"/>
      <c r="W209" s="1"/>
      <c r="X209" s="1"/>
      <c r="Y209" s="1"/>
      <c r="Z209" s="1"/>
      <c r="AD209" s="1"/>
      <c r="AE209" s="1"/>
    </row>
    <row r="210" spans="1:31" ht="50" customHeight="1" x14ac:dyDescent="0.15">
      <c r="A210" s="1"/>
      <c r="B210" s="11">
        <v>198</v>
      </c>
      <c r="C210" s="11" t="s">
        <v>704</v>
      </c>
      <c r="D210" s="16" t="s">
        <v>1187</v>
      </c>
      <c r="E210" s="1" t="s">
        <v>345</v>
      </c>
      <c r="F210" s="24" t="s">
        <v>346</v>
      </c>
      <c r="G210" s="1" t="s">
        <v>335</v>
      </c>
      <c r="H210" s="1"/>
      <c r="I210" s="1" t="s">
        <v>906</v>
      </c>
      <c r="K210" s="1">
        <v>209</v>
      </c>
      <c r="L210" t="str">
        <f t="shared" si="3"/>
        <v>198 CH4 by air, CO2, He</v>
      </c>
      <c r="M210" s="1"/>
      <c r="N210" s="1"/>
      <c r="O210" s="1"/>
      <c r="P210" s="1"/>
      <c r="R210" s="1"/>
      <c r="S210" s="1"/>
      <c r="T210" s="1"/>
      <c r="U210" s="1"/>
      <c r="V210" s="1"/>
      <c r="W210" s="1"/>
      <c r="X210" s="1"/>
      <c r="Y210" s="1"/>
      <c r="Z210" s="1"/>
      <c r="AD210" s="1"/>
      <c r="AE210" s="1"/>
    </row>
    <row r="211" spans="1:31" ht="50" customHeight="1" x14ac:dyDescent="0.15">
      <c r="A211" s="1"/>
      <c r="B211" s="11">
        <v>199</v>
      </c>
      <c r="C211" s="11" t="s">
        <v>705</v>
      </c>
      <c r="D211" s="16" t="s">
        <v>1188</v>
      </c>
      <c r="E211" s="1" t="s">
        <v>73</v>
      </c>
      <c r="F211" s="24" t="s">
        <v>347</v>
      </c>
      <c r="G211" s="1" t="s">
        <v>335</v>
      </c>
      <c r="H211" s="1"/>
      <c r="I211" s="1" t="s">
        <v>907</v>
      </c>
      <c r="J211" s="1" t="s">
        <v>954</v>
      </c>
      <c r="K211" s="1">
        <v>210</v>
      </c>
      <c r="L211" t="str">
        <f t="shared" si="3"/>
        <v>199 CH4 by CO2</v>
      </c>
      <c r="M211" s="1"/>
      <c r="N211" s="1"/>
      <c r="O211" s="1"/>
      <c r="P211" s="1"/>
      <c r="R211" s="1"/>
      <c r="S211" s="1"/>
      <c r="T211" s="1"/>
      <c r="U211" s="1"/>
      <c r="V211" s="1"/>
      <c r="W211" s="1"/>
      <c r="X211" s="1"/>
      <c r="Y211" s="1"/>
      <c r="Z211" s="1"/>
      <c r="AD211" s="1"/>
      <c r="AE211" s="1"/>
    </row>
    <row r="212" spans="1:31" ht="50" customHeight="1" x14ac:dyDescent="0.15">
      <c r="A212" s="1"/>
      <c r="B212" s="11">
        <v>200</v>
      </c>
      <c r="C212" s="11" t="s">
        <v>706</v>
      </c>
      <c r="D212" s="16" t="s">
        <v>1189</v>
      </c>
      <c r="E212" s="1" t="s">
        <v>73</v>
      </c>
      <c r="F212" s="24" t="s">
        <v>348</v>
      </c>
      <c r="G212" s="1" t="s">
        <v>335</v>
      </c>
      <c r="H212" s="1"/>
      <c r="I212" s="1" t="s">
        <v>906</v>
      </c>
      <c r="J212" s="1" t="s">
        <v>954</v>
      </c>
      <c r="K212" s="1">
        <v>211</v>
      </c>
      <c r="L212" t="str">
        <f t="shared" si="3"/>
        <v>200 CH4 by CO2</v>
      </c>
      <c r="M212" s="1"/>
      <c r="N212" s="1"/>
      <c r="O212" s="1"/>
      <c r="P212" s="1"/>
      <c r="R212" s="1"/>
      <c r="S212" s="1"/>
      <c r="T212" s="1"/>
      <c r="U212" s="1"/>
      <c r="V212" s="1"/>
      <c r="W212" s="1"/>
      <c r="X212" s="1"/>
      <c r="Y212" s="1"/>
      <c r="Z212" s="1"/>
      <c r="AD212" s="1"/>
      <c r="AE212" s="1"/>
    </row>
    <row r="213" spans="1:31" ht="50" customHeight="1" x14ac:dyDescent="0.15">
      <c r="A213" s="1"/>
      <c r="B213" s="27"/>
      <c r="C213" s="20"/>
      <c r="D213" s="16" t="s">
        <v>1190</v>
      </c>
      <c r="E213" s="18" t="s">
        <v>73</v>
      </c>
      <c r="F213" s="25" t="s">
        <v>349</v>
      </c>
      <c r="G213" s="18" t="s">
        <v>335</v>
      </c>
      <c r="H213" s="1"/>
      <c r="K213" s="18">
        <v>212</v>
      </c>
      <c r="L213" t="str">
        <f t="shared" si="3"/>
        <v xml:space="preserve"> CH4 by CO2</v>
      </c>
      <c r="M213" s="18" t="s">
        <v>795</v>
      </c>
      <c r="N213" s="18"/>
      <c r="O213" s="18"/>
      <c r="P213" s="1"/>
      <c r="R213" s="1"/>
      <c r="S213" s="1"/>
      <c r="T213" s="1"/>
      <c r="U213" s="1"/>
      <c r="V213" s="1"/>
      <c r="W213" s="1"/>
      <c r="X213" s="1"/>
      <c r="Y213" s="1"/>
      <c r="Z213" s="1"/>
      <c r="AD213" s="1"/>
      <c r="AE213" s="1"/>
    </row>
    <row r="214" spans="1:31" ht="50" customHeight="1" x14ac:dyDescent="0.15">
      <c r="A214" s="1"/>
      <c r="B214" s="11">
        <v>201</v>
      </c>
      <c r="C214" s="11" t="s">
        <v>707</v>
      </c>
      <c r="D214" s="16" t="s">
        <v>1191</v>
      </c>
      <c r="E214" s="1" t="s">
        <v>169</v>
      </c>
      <c r="F214" s="24" t="s">
        <v>350</v>
      </c>
      <c r="G214" s="1" t="s">
        <v>335</v>
      </c>
      <c r="H214" s="1"/>
      <c r="I214" s="1" t="s">
        <v>913</v>
      </c>
      <c r="J214" s="1" t="s">
        <v>930</v>
      </c>
      <c r="K214" s="1">
        <v>213</v>
      </c>
      <c r="L214" t="str">
        <f t="shared" si="3"/>
        <v>201 H2O by He</v>
      </c>
      <c r="M214" s="1"/>
      <c r="N214" s="1"/>
      <c r="O214" s="1"/>
      <c r="P214" s="1"/>
      <c r="R214" s="1"/>
      <c r="S214" s="1"/>
      <c r="T214" s="1"/>
      <c r="U214" s="1"/>
      <c r="V214" s="1"/>
      <c r="W214" s="1"/>
      <c r="X214" s="1"/>
      <c r="Y214" s="1"/>
      <c r="Z214" s="1"/>
      <c r="AD214" s="1"/>
      <c r="AE214" s="1"/>
    </row>
    <row r="215" spans="1:31" ht="50" customHeight="1" x14ac:dyDescent="0.15">
      <c r="A215" s="1"/>
      <c r="B215" s="27"/>
      <c r="C215" s="20"/>
      <c r="D215" s="16" t="s">
        <v>1192</v>
      </c>
      <c r="E215" s="18" t="s">
        <v>169</v>
      </c>
      <c r="F215" s="25" t="s">
        <v>170</v>
      </c>
      <c r="G215" s="18" t="s">
        <v>335</v>
      </c>
      <c r="H215" s="1"/>
      <c r="K215" s="18">
        <v>214</v>
      </c>
      <c r="L215" t="str">
        <f t="shared" si="3"/>
        <v xml:space="preserve"> H2O by He</v>
      </c>
      <c r="M215" s="18" t="s">
        <v>795</v>
      </c>
      <c r="N215" s="18"/>
      <c r="O215" s="18"/>
      <c r="P215" s="1"/>
      <c r="R215" s="1"/>
      <c r="S215" s="1"/>
      <c r="T215" s="1"/>
      <c r="U215" s="1"/>
      <c r="V215" s="1"/>
      <c r="W215" s="1"/>
      <c r="X215" s="1"/>
      <c r="Y215" s="1"/>
      <c r="Z215" s="1"/>
      <c r="AD215" s="1"/>
      <c r="AE215" s="1"/>
    </row>
    <row r="216" spans="1:31" ht="50" customHeight="1" x14ac:dyDescent="0.15">
      <c r="A216" s="1"/>
      <c r="B216" s="27"/>
      <c r="C216" s="20"/>
      <c r="D216" s="16" t="s">
        <v>1192</v>
      </c>
      <c r="E216" s="18" t="s">
        <v>169</v>
      </c>
      <c r="F216" s="25" t="s">
        <v>351</v>
      </c>
      <c r="G216" s="18" t="s">
        <v>335</v>
      </c>
      <c r="H216" s="1"/>
      <c r="K216" s="18">
        <v>215</v>
      </c>
      <c r="L216" t="str">
        <f t="shared" si="3"/>
        <v xml:space="preserve"> H2O by He</v>
      </c>
      <c r="M216" s="18" t="s">
        <v>795</v>
      </c>
      <c r="N216" s="18"/>
      <c r="O216" s="18"/>
      <c r="P216" s="1"/>
      <c r="R216" s="1"/>
      <c r="S216" s="1"/>
      <c r="T216" s="1"/>
      <c r="U216" s="1"/>
      <c r="V216" s="1"/>
      <c r="W216" s="1"/>
      <c r="X216" s="1"/>
      <c r="Y216" s="1"/>
      <c r="Z216" s="1"/>
      <c r="AD216" s="1"/>
      <c r="AE216" s="1"/>
    </row>
    <row r="217" spans="1:31" ht="50" customHeight="1" x14ac:dyDescent="0.15">
      <c r="A217" s="1"/>
      <c r="B217" s="27"/>
      <c r="C217" s="20"/>
      <c r="D217" s="16" t="s">
        <v>1192</v>
      </c>
      <c r="E217" s="18" t="s">
        <v>169</v>
      </c>
      <c r="F217" s="25" t="s">
        <v>172</v>
      </c>
      <c r="G217" s="18" t="s">
        <v>335</v>
      </c>
      <c r="H217" s="1"/>
      <c r="K217" s="18">
        <v>216</v>
      </c>
      <c r="L217" t="str">
        <f t="shared" si="3"/>
        <v xml:space="preserve"> H2O by He</v>
      </c>
      <c r="M217" s="18" t="s">
        <v>795</v>
      </c>
      <c r="N217" s="18"/>
      <c r="O217" s="18"/>
      <c r="P217" s="1"/>
      <c r="R217" s="1"/>
      <c r="S217" s="1"/>
      <c r="T217" s="1"/>
      <c r="U217" s="1"/>
      <c r="V217" s="1"/>
      <c r="W217" s="1"/>
      <c r="X217" s="1"/>
      <c r="Y217" s="1"/>
      <c r="Z217" s="1"/>
      <c r="AD217" s="1"/>
      <c r="AE217" s="1"/>
    </row>
    <row r="218" spans="1:31" ht="50" customHeight="1" x14ac:dyDescent="0.15">
      <c r="A218" s="1"/>
      <c r="B218" s="27"/>
      <c r="C218" s="20"/>
      <c r="D218" s="16" t="s">
        <v>1192</v>
      </c>
      <c r="E218" s="18" t="s">
        <v>169</v>
      </c>
      <c r="F218" s="25" t="s">
        <v>352</v>
      </c>
      <c r="G218" s="18" t="s">
        <v>335</v>
      </c>
      <c r="H218" s="1"/>
      <c r="K218" s="18">
        <v>217</v>
      </c>
      <c r="L218" t="str">
        <f t="shared" si="3"/>
        <v xml:space="preserve"> H2O by He</v>
      </c>
      <c r="M218" s="18" t="s">
        <v>795</v>
      </c>
      <c r="N218" s="18"/>
      <c r="O218" s="18"/>
      <c r="P218" s="1"/>
      <c r="R218" s="1"/>
      <c r="S218" s="1"/>
      <c r="T218" s="1"/>
      <c r="U218" s="1"/>
      <c r="V218" s="1"/>
      <c r="W218" s="1"/>
      <c r="X218" s="1"/>
      <c r="Y218" s="1"/>
      <c r="Z218" s="1"/>
      <c r="AD218" s="1"/>
      <c r="AE218" s="1"/>
    </row>
    <row r="219" spans="1:31" ht="50" customHeight="1" x14ac:dyDescent="0.15">
      <c r="A219" s="1"/>
      <c r="B219" s="11">
        <v>202</v>
      </c>
      <c r="C219" s="11" t="s">
        <v>708</v>
      </c>
      <c r="D219" s="16" t="s">
        <v>1193</v>
      </c>
      <c r="E219" s="1" t="s">
        <v>354</v>
      </c>
      <c r="F219" s="24" t="s">
        <v>1400</v>
      </c>
      <c r="G219" s="1" t="s">
        <v>335</v>
      </c>
      <c r="H219" s="1"/>
      <c r="I219" s="1" t="s">
        <v>906</v>
      </c>
      <c r="J219" s="1" t="s">
        <v>955</v>
      </c>
      <c r="K219" s="1">
        <v>218</v>
      </c>
      <c r="L219" t="str">
        <f t="shared" si="3"/>
        <v>202 H2O by H2</v>
      </c>
      <c r="M219" s="1"/>
      <c r="N219" s="1"/>
      <c r="O219" s="1"/>
      <c r="P219" s="1"/>
      <c r="R219" s="1"/>
      <c r="S219" s="1"/>
      <c r="T219" s="1"/>
      <c r="U219" s="1"/>
      <c r="V219" s="1"/>
      <c r="W219" s="1"/>
      <c r="X219" s="1"/>
      <c r="Y219" s="1"/>
      <c r="Z219" s="1"/>
      <c r="AD219" s="1"/>
      <c r="AE219" s="1"/>
    </row>
    <row r="220" spans="1:31" ht="50" customHeight="1" x14ac:dyDescent="0.15">
      <c r="A220" s="1"/>
      <c r="B220" s="11">
        <v>203</v>
      </c>
      <c r="C220" s="11" t="s">
        <v>804</v>
      </c>
      <c r="D220" s="16" t="s">
        <v>1194</v>
      </c>
      <c r="E220" s="1" t="s">
        <v>353</v>
      </c>
      <c r="F220" s="24" t="s">
        <v>497</v>
      </c>
      <c r="G220" s="1" t="s">
        <v>335</v>
      </c>
      <c r="H220" s="1"/>
      <c r="I220" s="1" t="s">
        <v>906</v>
      </c>
      <c r="J220" s="1"/>
      <c r="K220" s="1">
        <v>219</v>
      </c>
      <c r="L220" t="str">
        <f t="shared" si="3"/>
        <v>203 H2O by H2, He</v>
      </c>
      <c r="M220" s="1"/>
      <c r="N220" s="1"/>
      <c r="O220" s="1"/>
      <c r="P220" s="1"/>
      <c r="R220" s="1"/>
      <c r="S220" s="1"/>
      <c r="T220" s="1"/>
      <c r="U220" s="1"/>
      <c r="V220" s="1"/>
      <c r="W220" s="1"/>
      <c r="X220" s="1"/>
      <c r="Y220" s="1"/>
      <c r="Z220" s="1"/>
      <c r="AD220" s="1"/>
      <c r="AE220" s="1"/>
    </row>
    <row r="221" spans="1:31" ht="50" customHeight="1" x14ac:dyDescent="0.15">
      <c r="A221" s="1"/>
      <c r="B221" s="11">
        <v>204</v>
      </c>
      <c r="C221" s="11" t="s">
        <v>709</v>
      </c>
      <c r="D221" s="16" t="s">
        <v>1195</v>
      </c>
      <c r="E221" s="1" t="s">
        <v>355</v>
      </c>
      <c r="F221" s="24" t="s">
        <v>1402</v>
      </c>
      <c r="G221" s="1" t="s">
        <v>335</v>
      </c>
      <c r="H221" s="1"/>
      <c r="I221" s="1" t="s">
        <v>935</v>
      </c>
      <c r="J221" s="1"/>
      <c r="K221" s="1">
        <v>220</v>
      </c>
      <c r="L221" t="str">
        <f t="shared" si="3"/>
        <v>204 H2O by self, H2, He, CO2, N2, O2 and air</v>
      </c>
      <c r="M221" s="1"/>
      <c r="N221" s="1"/>
      <c r="O221" s="1"/>
      <c r="P221" s="1"/>
      <c r="R221" s="1"/>
      <c r="S221" s="1"/>
      <c r="T221" s="1"/>
      <c r="U221" s="1"/>
      <c r="V221" s="1"/>
      <c r="W221" s="1"/>
      <c r="X221" s="1"/>
      <c r="Y221" s="1"/>
      <c r="Z221" s="1"/>
      <c r="AD221" s="1"/>
      <c r="AE221" s="1"/>
    </row>
    <row r="222" spans="1:31" ht="50" customHeight="1" x14ac:dyDescent="0.15">
      <c r="A222" s="1"/>
      <c r="B222" s="11">
        <v>205</v>
      </c>
      <c r="C222" s="11" t="s">
        <v>710</v>
      </c>
      <c r="D222" s="16" t="s">
        <v>1196</v>
      </c>
      <c r="E222" s="1" t="s">
        <v>356</v>
      </c>
      <c r="F222" s="24" t="s">
        <v>1401</v>
      </c>
      <c r="G222" s="1" t="s">
        <v>335</v>
      </c>
      <c r="H222" s="1"/>
      <c r="I222" s="1" t="s">
        <v>907</v>
      </c>
      <c r="J222" s="1"/>
      <c r="K222" s="1">
        <v>221</v>
      </c>
      <c r="L222" t="str">
        <f t="shared" si="3"/>
        <v>205 H2O by H2O, O2, N2, CO2, H2, He, Ne, Ar, and Kr</v>
      </c>
      <c r="M222" s="1"/>
      <c r="N222" s="1"/>
      <c r="O222" s="1"/>
      <c r="P222" s="1"/>
      <c r="R222" s="1"/>
      <c r="S222" s="1"/>
      <c r="T222" s="1"/>
      <c r="U222" s="1"/>
      <c r="V222" s="1"/>
      <c r="W222" s="1"/>
      <c r="X222" s="1"/>
      <c r="Y222" s="1"/>
      <c r="Z222" s="1"/>
      <c r="AD222" s="1"/>
      <c r="AE222" s="1"/>
    </row>
    <row r="223" spans="1:31" ht="50" customHeight="1" x14ac:dyDescent="0.15">
      <c r="A223" s="1"/>
      <c r="B223" s="11">
        <v>206</v>
      </c>
      <c r="C223" s="11" t="s">
        <v>711</v>
      </c>
      <c r="D223" s="16" t="s">
        <v>1197</v>
      </c>
      <c r="E223" s="1" t="s">
        <v>353</v>
      </c>
      <c r="F223" s="24" t="s">
        <v>357</v>
      </c>
      <c r="G223" s="1" t="s">
        <v>335</v>
      </c>
      <c r="H223" s="1"/>
      <c r="I223" s="1" t="s">
        <v>956</v>
      </c>
      <c r="J223" s="1"/>
      <c r="K223" s="1">
        <v>222</v>
      </c>
      <c r="L223" t="str">
        <f t="shared" si="3"/>
        <v>206 H2O by H2, He</v>
      </c>
      <c r="M223" s="1"/>
      <c r="N223" s="1"/>
      <c r="O223" s="1"/>
      <c r="P223" s="1"/>
      <c r="R223" s="1"/>
      <c r="S223" s="1"/>
      <c r="T223" s="1"/>
      <c r="U223" s="1"/>
      <c r="V223" s="1"/>
      <c r="W223" s="1"/>
      <c r="X223" s="1"/>
      <c r="Y223" s="1"/>
      <c r="Z223" s="1"/>
      <c r="AD223" s="1"/>
      <c r="AE223" s="1"/>
    </row>
    <row r="224" spans="1:31" ht="50" customHeight="1" x14ac:dyDescent="0.15">
      <c r="A224" s="1"/>
      <c r="B224" s="11">
        <v>207</v>
      </c>
      <c r="C224" s="11" t="s">
        <v>712</v>
      </c>
      <c r="D224" s="16" t="s">
        <v>1198</v>
      </c>
      <c r="E224" s="1" t="s">
        <v>358</v>
      </c>
      <c r="F224" s="24" t="s">
        <v>359</v>
      </c>
      <c r="G224" s="1" t="s">
        <v>335</v>
      </c>
      <c r="H224" s="1"/>
      <c r="I224" s="1" t="s">
        <v>920</v>
      </c>
      <c r="J224" s="1"/>
      <c r="K224" s="1">
        <v>223</v>
      </c>
      <c r="L224" t="str">
        <f t="shared" si="3"/>
        <v>207 H2O by N2, O2, H2 and He</v>
      </c>
      <c r="M224" s="1"/>
      <c r="N224" s="1"/>
      <c r="O224" s="1"/>
      <c r="P224" s="1"/>
      <c r="R224" s="1"/>
      <c r="S224" s="1"/>
      <c r="T224" s="1"/>
      <c r="U224" s="1"/>
      <c r="V224" s="1"/>
      <c r="W224" s="1"/>
      <c r="X224" s="1"/>
      <c r="Y224" s="1"/>
      <c r="Z224" s="1"/>
      <c r="AD224" s="1"/>
      <c r="AE224" s="1"/>
    </row>
    <row r="225" spans="1:31" ht="50" customHeight="1" x14ac:dyDescent="0.15">
      <c r="A225" s="1"/>
      <c r="B225" s="11">
        <v>208</v>
      </c>
      <c r="C225" s="11" t="s">
        <v>713</v>
      </c>
      <c r="D225" s="16" t="s">
        <v>1199</v>
      </c>
      <c r="E225" s="1" t="s">
        <v>362</v>
      </c>
      <c r="F225" s="24" t="s">
        <v>361</v>
      </c>
      <c r="G225" s="1"/>
      <c r="H225" s="1" t="s">
        <v>363</v>
      </c>
      <c r="I225" s="1" t="s">
        <v>906</v>
      </c>
      <c r="J225" s="1"/>
      <c r="K225" s="1">
        <v>224</v>
      </c>
      <c r="L225" t="str">
        <f t="shared" si="3"/>
        <v>208 NH2 by Ar</v>
      </c>
      <c r="M225" s="1"/>
      <c r="N225" s="1"/>
      <c r="O225" s="1"/>
      <c r="P225" s="1"/>
      <c r="R225" s="1"/>
      <c r="S225" s="1"/>
      <c r="T225" s="1"/>
      <c r="U225" s="1"/>
      <c r="V225" s="1"/>
      <c r="W225" s="1"/>
      <c r="X225" s="1"/>
      <c r="Y225" s="1"/>
      <c r="Z225" s="1"/>
      <c r="AD225" s="1"/>
      <c r="AE225" s="1"/>
    </row>
    <row r="226" spans="1:31" ht="50" customHeight="1" x14ac:dyDescent="0.15">
      <c r="A226" s="1"/>
      <c r="B226" s="11">
        <v>209</v>
      </c>
      <c r="C226" s="11" t="s">
        <v>714</v>
      </c>
      <c r="D226" s="16" t="s">
        <v>1200</v>
      </c>
      <c r="E226" s="1" t="s">
        <v>365</v>
      </c>
      <c r="F226" s="24" t="s">
        <v>364</v>
      </c>
      <c r="G226" s="1"/>
      <c r="H226" s="1"/>
      <c r="I226" s="1" t="s">
        <v>906</v>
      </c>
      <c r="J226" s="1"/>
      <c r="K226" s="1">
        <v>225</v>
      </c>
      <c r="L226" t="str">
        <f t="shared" si="3"/>
        <v>209 NO by O2 and H2O</v>
      </c>
      <c r="M226" s="1"/>
      <c r="N226" s="1"/>
      <c r="O226" s="1"/>
      <c r="P226" s="1"/>
      <c r="R226" s="1"/>
      <c r="S226" s="1"/>
      <c r="T226" s="1"/>
      <c r="U226" s="1"/>
      <c r="V226" s="1"/>
      <c r="W226" s="1"/>
      <c r="X226" s="1"/>
      <c r="Y226" s="1"/>
      <c r="Z226" s="1"/>
      <c r="AD226" s="1"/>
      <c r="AE226" s="1"/>
    </row>
    <row r="227" spans="1:31" ht="50" customHeight="1" x14ac:dyDescent="0.15">
      <c r="A227" s="1"/>
      <c r="B227" s="11">
        <v>210</v>
      </c>
      <c r="C227" s="11" t="s">
        <v>715</v>
      </c>
      <c r="D227" s="16" t="s">
        <v>1201</v>
      </c>
      <c r="E227" s="1" t="s">
        <v>65</v>
      </c>
      <c r="F227" s="24" t="s">
        <v>1403</v>
      </c>
      <c r="G227" s="1"/>
      <c r="H227" s="1"/>
      <c r="I227" s="1" t="s">
        <v>906</v>
      </c>
      <c r="J227" s="1"/>
      <c r="K227" s="1">
        <v>226</v>
      </c>
      <c r="L227" t="str">
        <f t="shared" si="3"/>
        <v>210 OH by Ar</v>
      </c>
      <c r="M227" s="1"/>
      <c r="N227" s="1"/>
      <c r="O227" s="1"/>
      <c r="P227" s="1"/>
      <c r="R227" s="1"/>
      <c r="S227" s="1"/>
      <c r="T227" s="1"/>
      <c r="U227" s="1"/>
      <c r="V227" s="1"/>
      <c r="W227" s="1"/>
      <c r="X227" s="1"/>
      <c r="Y227" s="1"/>
      <c r="Z227" s="1"/>
      <c r="AD227" s="1"/>
      <c r="AE227" s="1"/>
    </row>
    <row r="228" spans="1:31" ht="50" customHeight="1" x14ac:dyDescent="0.15">
      <c r="A228" s="1"/>
      <c r="B228" s="11">
        <v>211</v>
      </c>
      <c r="C228" s="11" t="s">
        <v>716</v>
      </c>
      <c r="D228" s="16" t="s">
        <v>1202</v>
      </c>
      <c r="E228" s="1" t="s">
        <v>366</v>
      </c>
      <c r="F228" s="24" t="s">
        <v>367</v>
      </c>
      <c r="G228" s="1"/>
      <c r="H228" s="1"/>
      <c r="I228" s="1" t="s">
        <v>906</v>
      </c>
      <c r="J228" s="1"/>
      <c r="K228" s="1">
        <v>227</v>
      </c>
      <c r="L228" t="str">
        <f t="shared" si="3"/>
        <v>211 OH by H2O, O2, CO2, N2 and Ar</v>
      </c>
      <c r="M228" s="1"/>
      <c r="N228" s="1"/>
      <c r="O228" s="1"/>
      <c r="P228" s="1"/>
      <c r="R228" s="1"/>
      <c r="S228" s="1"/>
      <c r="T228" s="1"/>
      <c r="U228" s="1"/>
      <c r="V228" s="1"/>
      <c r="W228" s="1"/>
      <c r="X228" s="1"/>
      <c r="Y228" s="1"/>
      <c r="Z228" s="1"/>
      <c r="AD228" s="1"/>
      <c r="AE228" s="1"/>
    </row>
    <row r="229" spans="1:31" ht="50" customHeight="1" x14ac:dyDescent="0.15">
      <c r="A229" s="1"/>
      <c r="B229" s="27"/>
      <c r="C229" s="20"/>
      <c r="D229" s="16" t="s">
        <v>1203</v>
      </c>
      <c r="E229" s="18" t="s">
        <v>112</v>
      </c>
      <c r="F229" s="25" t="s">
        <v>368</v>
      </c>
      <c r="G229" s="18" t="s">
        <v>426</v>
      </c>
      <c r="H229" s="1"/>
      <c r="J229" s="1"/>
      <c r="K229" s="18">
        <v>228</v>
      </c>
      <c r="L229" t="str">
        <f t="shared" si="3"/>
        <v xml:space="preserve"> OH by Ar and N2</v>
      </c>
      <c r="M229" s="18" t="s">
        <v>795</v>
      </c>
      <c r="N229" s="18"/>
      <c r="O229" s="18"/>
      <c r="P229" s="1"/>
      <c r="R229" s="1"/>
      <c r="S229" s="1"/>
      <c r="T229" s="1"/>
      <c r="U229" s="1"/>
      <c r="V229" s="1"/>
      <c r="W229" s="1"/>
      <c r="X229" s="1"/>
      <c r="Y229" s="1"/>
      <c r="Z229" s="1"/>
      <c r="AD229" s="1"/>
      <c r="AE229" s="1"/>
    </row>
    <row r="230" spans="1:31" ht="50" customHeight="1" x14ac:dyDescent="0.15">
      <c r="A230" s="1"/>
      <c r="B230" s="11">
        <v>213</v>
      </c>
      <c r="C230" s="11" t="s">
        <v>717</v>
      </c>
      <c r="D230" s="16" t="s">
        <v>1204</v>
      </c>
      <c r="E230" s="1" t="s">
        <v>371</v>
      </c>
      <c r="F230" s="24" t="s">
        <v>370</v>
      </c>
      <c r="G230" s="1" t="s">
        <v>379</v>
      </c>
      <c r="H230" s="1"/>
      <c r="I230" s="1" t="s">
        <v>948</v>
      </c>
      <c r="J230" s="1"/>
      <c r="K230" s="1">
        <v>229</v>
      </c>
      <c r="L230" t="str">
        <f t="shared" si="3"/>
        <v>213 CO by N2, H2O, CO2</v>
      </c>
      <c r="M230" s="1"/>
      <c r="N230" s="1"/>
      <c r="O230" s="1"/>
      <c r="P230" s="1"/>
      <c r="R230" s="1"/>
      <c r="S230" s="1"/>
      <c r="T230" s="1"/>
      <c r="U230" s="1"/>
      <c r="V230" s="1"/>
      <c r="W230" s="1"/>
      <c r="X230" s="1"/>
      <c r="Y230" s="1"/>
      <c r="Z230" s="1"/>
      <c r="AD230" s="1"/>
      <c r="AE230" s="1"/>
    </row>
    <row r="231" spans="1:31" ht="50" customHeight="1" x14ac:dyDescent="0.15">
      <c r="A231" s="1"/>
      <c r="B231" s="11">
        <v>214</v>
      </c>
      <c r="C231" s="11" t="s">
        <v>718</v>
      </c>
      <c r="D231" s="16" t="s">
        <v>1205</v>
      </c>
      <c r="E231" s="1" t="s">
        <v>369</v>
      </c>
      <c r="F231" s="24" t="s">
        <v>372</v>
      </c>
      <c r="G231" s="1" t="s">
        <v>379</v>
      </c>
      <c r="H231" s="1"/>
      <c r="I231" s="1" t="s">
        <v>935</v>
      </c>
      <c r="J231" s="1"/>
      <c r="K231" s="1">
        <v>230</v>
      </c>
      <c r="L231" t="str">
        <f t="shared" si="3"/>
        <v>214 CO by He</v>
      </c>
      <c r="M231" s="1"/>
      <c r="N231" s="1"/>
      <c r="O231" s="1"/>
      <c r="P231" s="1"/>
      <c r="R231" s="1"/>
      <c r="S231" s="1"/>
      <c r="T231" s="1"/>
      <c r="U231" s="1"/>
      <c r="V231" s="1"/>
      <c r="W231" s="1"/>
      <c r="X231" s="1"/>
      <c r="Y231" s="1"/>
      <c r="Z231" s="1"/>
      <c r="AD231" s="1"/>
      <c r="AE231" s="1"/>
    </row>
    <row r="232" spans="1:31" ht="50" customHeight="1" x14ac:dyDescent="0.15">
      <c r="A232" s="1"/>
      <c r="B232" s="11">
        <v>215</v>
      </c>
      <c r="C232" s="11" t="s">
        <v>719</v>
      </c>
      <c r="D232" s="16" t="s">
        <v>1206</v>
      </c>
      <c r="E232" s="1" t="s">
        <v>374</v>
      </c>
      <c r="F232" s="24" t="s">
        <v>373</v>
      </c>
      <c r="G232" s="1" t="s">
        <v>379</v>
      </c>
      <c r="H232" s="1"/>
      <c r="I232" s="1" t="s">
        <v>927</v>
      </c>
      <c r="J232" s="1"/>
      <c r="K232" s="1">
        <v>231</v>
      </c>
      <c r="L232" t="str">
        <f t="shared" si="3"/>
        <v>215 CO by H2 and He</v>
      </c>
      <c r="M232" s="1"/>
      <c r="N232" s="1"/>
      <c r="O232" s="1"/>
      <c r="P232" s="1"/>
      <c r="R232" s="1"/>
      <c r="S232" s="1"/>
      <c r="T232" s="1"/>
      <c r="U232" s="1"/>
      <c r="V232" s="1"/>
      <c r="W232" s="1"/>
      <c r="X232" s="1"/>
      <c r="Y232" s="1"/>
      <c r="Z232" s="1"/>
      <c r="AD232" s="1"/>
      <c r="AE232" s="1"/>
    </row>
    <row r="233" spans="1:31" ht="50" customHeight="1" x14ac:dyDescent="0.15">
      <c r="A233" s="1"/>
      <c r="B233" s="11">
        <v>216</v>
      </c>
      <c r="C233" s="11" t="s">
        <v>720</v>
      </c>
      <c r="D233" s="16" t="s">
        <v>1405</v>
      </c>
      <c r="E233" s="1" t="s">
        <v>375</v>
      </c>
      <c r="F233" s="24" t="s">
        <v>1404</v>
      </c>
      <c r="G233" s="1"/>
      <c r="H233" s="1"/>
      <c r="I233" s="1" t="s">
        <v>906</v>
      </c>
      <c r="J233" s="1"/>
      <c r="K233" s="1">
        <v>232</v>
      </c>
      <c r="L233" t="str">
        <f t="shared" si="3"/>
        <v xml:space="preserve">216 CO by Xe, Ar, Ne,
He AND N2 </v>
      </c>
      <c r="M233" s="1"/>
      <c r="N233" s="1"/>
      <c r="O233" s="1"/>
      <c r="P233" s="1"/>
      <c r="R233" s="1"/>
      <c r="S233" s="1"/>
      <c r="T233" s="1"/>
      <c r="U233" s="1"/>
      <c r="V233" s="1"/>
      <c r="W233" s="1"/>
      <c r="X233" s="1"/>
      <c r="Y233" s="1"/>
      <c r="Z233" s="1"/>
      <c r="AD233" s="1"/>
      <c r="AE233" s="1"/>
    </row>
    <row r="234" spans="1:31" ht="50" customHeight="1" x14ac:dyDescent="0.15">
      <c r="A234" s="1"/>
      <c r="B234" s="11">
        <v>217</v>
      </c>
      <c r="C234" s="11" t="s">
        <v>721</v>
      </c>
      <c r="D234" s="16" t="s">
        <v>1207</v>
      </c>
      <c r="E234" s="1" t="s">
        <v>376</v>
      </c>
      <c r="F234" s="24" t="s">
        <v>1406</v>
      </c>
      <c r="G234" s="1"/>
      <c r="H234" s="1"/>
      <c r="I234" s="1" t="s">
        <v>907</v>
      </c>
      <c r="J234" s="1"/>
      <c r="K234" s="1">
        <v>233</v>
      </c>
      <c r="L234" t="str">
        <f t="shared" si="3"/>
        <v>217 CO by He and Ar</v>
      </c>
      <c r="M234" s="1"/>
      <c r="N234" s="1"/>
      <c r="O234" s="1"/>
      <c r="P234" s="1"/>
      <c r="R234" s="1"/>
      <c r="S234" s="1"/>
      <c r="T234" s="1"/>
      <c r="U234" s="1"/>
      <c r="V234" s="1"/>
      <c r="W234" s="1"/>
      <c r="X234" s="1"/>
      <c r="Y234" s="1"/>
      <c r="Z234" s="1"/>
      <c r="AD234" s="1"/>
      <c r="AE234" s="1"/>
    </row>
    <row r="235" spans="1:31" ht="50" customHeight="1" x14ac:dyDescent="0.15">
      <c r="A235" s="1"/>
      <c r="B235" s="27"/>
      <c r="C235" s="20"/>
      <c r="D235" s="16" t="s">
        <v>1208</v>
      </c>
      <c r="E235" s="18" t="s">
        <v>376</v>
      </c>
      <c r="F235" s="25" t="s">
        <v>377</v>
      </c>
      <c r="G235" s="18"/>
      <c r="H235" s="1"/>
      <c r="K235" s="18">
        <v>234</v>
      </c>
      <c r="L235" t="str">
        <f t="shared" si="3"/>
        <v xml:space="preserve"> CO by He and Ar</v>
      </c>
      <c r="M235" s="18" t="s">
        <v>795</v>
      </c>
      <c r="N235" s="18"/>
      <c r="O235" s="18"/>
      <c r="P235" s="1"/>
      <c r="R235" s="1"/>
      <c r="S235" s="1"/>
      <c r="T235" s="1"/>
      <c r="U235" s="1"/>
      <c r="V235" s="1"/>
      <c r="W235" s="1"/>
      <c r="X235" s="1"/>
      <c r="Y235" s="1"/>
      <c r="Z235" s="1"/>
      <c r="AD235" s="1"/>
      <c r="AE235" s="1"/>
    </row>
    <row r="236" spans="1:31" ht="50" customHeight="1" x14ac:dyDescent="0.15">
      <c r="A236" s="1"/>
      <c r="B236" s="11">
        <v>218</v>
      </c>
      <c r="C236" s="11" t="s">
        <v>722</v>
      </c>
      <c r="D236" s="16" t="s">
        <v>1209</v>
      </c>
      <c r="E236" s="1" t="s">
        <v>378</v>
      </c>
      <c r="F236" s="24" t="s">
        <v>1407</v>
      </c>
      <c r="G236" s="1" t="s">
        <v>379</v>
      </c>
      <c r="H236" s="1"/>
      <c r="I236" s="1" t="s">
        <v>907</v>
      </c>
      <c r="K236" s="1">
        <v>235</v>
      </c>
      <c r="L236" t="str">
        <f t="shared" si="3"/>
        <v>218 13CO by He</v>
      </c>
      <c r="M236" s="1"/>
      <c r="N236" s="1"/>
      <c r="O236" s="1"/>
      <c r="P236" s="1"/>
      <c r="R236" s="1"/>
      <c r="S236" s="1"/>
      <c r="T236" s="1"/>
      <c r="U236" s="1"/>
      <c r="V236" s="1"/>
      <c r="W236" s="1"/>
      <c r="X236" s="1"/>
      <c r="Y236" s="1"/>
      <c r="Z236" s="1"/>
      <c r="AD236" s="1"/>
      <c r="AE236" s="1"/>
    </row>
    <row r="237" spans="1:31" ht="50" customHeight="1" x14ac:dyDescent="0.15">
      <c r="A237" s="1"/>
      <c r="B237" s="11">
        <v>219</v>
      </c>
      <c r="C237" s="11" t="s">
        <v>723</v>
      </c>
      <c r="D237" s="16" t="s">
        <v>1210</v>
      </c>
      <c r="E237" s="1" t="s">
        <v>378</v>
      </c>
      <c r="F237" s="24" t="s">
        <v>1408</v>
      </c>
      <c r="G237" s="1" t="s">
        <v>379</v>
      </c>
      <c r="H237" s="1"/>
      <c r="I237" s="1" t="s">
        <v>907</v>
      </c>
      <c r="J237" s="1"/>
      <c r="K237" s="1">
        <v>236</v>
      </c>
      <c r="L237" t="str">
        <f t="shared" si="3"/>
        <v>219 13CO by He</v>
      </c>
      <c r="M237" s="1"/>
      <c r="N237" s="1"/>
      <c r="O237" s="1"/>
      <c r="P237" s="1"/>
      <c r="R237" s="1"/>
      <c r="S237" s="1"/>
      <c r="T237" s="1"/>
      <c r="U237" s="1"/>
      <c r="V237" s="1"/>
      <c r="W237" s="1"/>
      <c r="X237" s="1"/>
      <c r="Y237" s="1"/>
      <c r="Z237" s="1"/>
      <c r="AD237" s="1"/>
      <c r="AE237" s="1"/>
    </row>
    <row r="238" spans="1:31" ht="50" customHeight="1" x14ac:dyDescent="0.15">
      <c r="A238" s="1"/>
      <c r="B238" s="11">
        <v>220</v>
      </c>
      <c r="C238" s="11" t="s">
        <v>724</v>
      </c>
      <c r="D238" s="16" t="s">
        <v>1211</v>
      </c>
      <c r="E238" s="1" t="s">
        <v>380</v>
      </c>
      <c r="F238" s="24" t="s">
        <v>382</v>
      </c>
      <c r="G238" s="1" t="s">
        <v>381</v>
      </c>
      <c r="H238" s="1"/>
      <c r="I238" s="1" t="s">
        <v>927</v>
      </c>
      <c r="J238" s="1"/>
      <c r="K238" s="1">
        <v>237</v>
      </c>
      <c r="L238" t="str">
        <f t="shared" si="3"/>
        <v>220 HD by Ar</v>
      </c>
      <c r="M238" s="1"/>
      <c r="N238" s="1"/>
      <c r="O238" s="1"/>
      <c r="P238" s="1"/>
      <c r="R238" s="1"/>
      <c r="S238" s="1"/>
      <c r="T238" s="1"/>
      <c r="U238" s="1"/>
      <c r="V238" s="1"/>
      <c r="W238" s="1"/>
      <c r="X238" s="1"/>
      <c r="Y238" s="1"/>
      <c r="Z238" s="1"/>
      <c r="AD238" s="1"/>
      <c r="AE238" s="1"/>
    </row>
    <row r="239" spans="1:31" ht="50" customHeight="1" x14ac:dyDescent="0.15">
      <c r="A239" s="1"/>
      <c r="B239" s="11">
        <v>221</v>
      </c>
      <c r="C239" s="11" t="s">
        <v>725</v>
      </c>
      <c r="D239" s="16" t="s">
        <v>1212</v>
      </c>
      <c r="E239" s="1" t="s">
        <v>383</v>
      </c>
      <c r="F239" s="24" t="s">
        <v>384</v>
      </c>
      <c r="G239" s="1"/>
      <c r="H239" s="1"/>
      <c r="I239" s="1" t="s">
        <v>927</v>
      </c>
      <c r="J239" s="1"/>
      <c r="K239" s="1">
        <v>238</v>
      </c>
      <c r="L239" t="str">
        <f t="shared" si="3"/>
        <v>221 HCl by Ar and Xe</v>
      </c>
      <c r="M239" s="1"/>
      <c r="N239" s="1"/>
      <c r="O239" s="1"/>
      <c r="P239" s="1"/>
      <c r="R239" s="1"/>
      <c r="S239" s="1"/>
      <c r="T239" s="1"/>
      <c r="U239" s="1"/>
      <c r="V239" s="1"/>
      <c r="W239" s="1"/>
      <c r="X239" s="1"/>
      <c r="Y239" s="1"/>
      <c r="Z239" s="1"/>
      <c r="AD239" s="1"/>
      <c r="AE239" s="1"/>
    </row>
    <row r="240" spans="1:31" ht="50" customHeight="1" x14ac:dyDescent="0.15">
      <c r="A240" s="1"/>
      <c r="B240" s="11">
        <v>222</v>
      </c>
      <c r="C240" s="11" t="s">
        <v>726</v>
      </c>
      <c r="D240" s="16" t="s">
        <v>1213</v>
      </c>
      <c r="E240" s="1" t="s">
        <v>385</v>
      </c>
      <c r="F240" s="24" t="s">
        <v>1409</v>
      </c>
      <c r="G240" s="1"/>
      <c r="H240" s="1"/>
      <c r="I240" s="1" t="s">
        <v>928</v>
      </c>
      <c r="J240" s="1"/>
      <c r="K240" s="1">
        <v>239</v>
      </c>
      <c r="L240" t="str">
        <f t="shared" si="3"/>
        <v>222 H2 by Ar</v>
      </c>
      <c r="M240" s="1"/>
      <c r="N240" s="1"/>
      <c r="O240" s="1"/>
      <c r="P240" s="1"/>
      <c r="R240" s="1"/>
      <c r="S240" s="1"/>
      <c r="T240" s="1"/>
      <c r="U240" s="1"/>
      <c r="V240" s="1"/>
      <c r="W240" s="1"/>
      <c r="X240" s="1"/>
      <c r="Y240" s="1"/>
      <c r="Z240" s="1"/>
      <c r="AD240" s="1"/>
      <c r="AE240" s="1"/>
    </row>
    <row r="241" spans="1:31" ht="50" customHeight="1" x14ac:dyDescent="0.15">
      <c r="A241" s="1"/>
      <c r="B241" s="11">
        <v>223</v>
      </c>
      <c r="C241" s="11" t="s">
        <v>727</v>
      </c>
      <c r="D241" s="16" t="s">
        <v>1214</v>
      </c>
      <c r="E241" s="1" t="s">
        <v>387</v>
      </c>
      <c r="F241" s="24" t="s">
        <v>386</v>
      </c>
      <c r="G241" s="1"/>
      <c r="H241" s="1"/>
      <c r="I241" s="1" t="s">
        <v>957</v>
      </c>
      <c r="J241" s="1"/>
      <c r="K241" s="1">
        <v>240</v>
      </c>
      <c r="L241" t="str">
        <f t="shared" si="3"/>
        <v>223 HCl by Noble gases</v>
      </c>
      <c r="M241" s="1"/>
      <c r="N241" s="1"/>
      <c r="O241" s="1"/>
      <c r="P241" s="1"/>
      <c r="R241" s="1"/>
      <c r="S241" s="1"/>
      <c r="T241" s="1"/>
      <c r="U241" s="1"/>
      <c r="V241" s="1"/>
      <c r="W241" s="1"/>
      <c r="X241" s="1"/>
      <c r="Y241" s="1"/>
      <c r="Z241" s="1"/>
      <c r="AD241" s="1"/>
      <c r="AE241" s="1"/>
    </row>
    <row r="242" spans="1:31" ht="50" customHeight="1" x14ac:dyDescent="0.15">
      <c r="A242" s="1"/>
      <c r="B242" s="11">
        <v>224</v>
      </c>
      <c r="C242" s="11" t="s">
        <v>728</v>
      </c>
      <c r="D242" s="16" t="s">
        <v>1215</v>
      </c>
      <c r="E242" s="1" t="s">
        <v>383</v>
      </c>
      <c r="F242" s="24" t="s">
        <v>1410</v>
      </c>
      <c r="G242" s="1" t="s">
        <v>388</v>
      </c>
      <c r="H242" s="1" t="s">
        <v>903</v>
      </c>
      <c r="I242" s="1" t="s">
        <v>928</v>
      </c>
      <c r="J242" s="1" t="s">
        <v>922</v>
      </c>
      <c r="K242" s="1">
        <v>241</v>
      </c>
      <c r="L242" t="str">
        <f t="shared" si="3"/>
        <v>224 HCl by Ar and Xe</v>
      </c>
      <c r="M242" s="1"/>
      <c r="N242" s="1"/>
      <c r="O242" s="1"/>
      <c r="P242" s="1"/>
      <c r="R242" s="1"/>
      <c r="S242" s="1"/>
      <c r="T242" s="1"/>
      <c r="U242" s="1"/>
      <c r="V242" s="1"/>
      <c r="W242" s="1"/>
      <c r="X242" s="1"/>
      <c r="Y242" s="1"/>
      <c r="Z242" s="1"/>
      <c r="AD242" s="1"/>
      <c r="AE242" s="1"/>
    </row>
    <row r="243" spans="1:31" ht="50" customHeight="1" x14ac:dyDescent="0.15">
      <c r="A243" s="1"/>
      <c r="B243" s="11">
        <v>225</v>
      </c>
      <c r="C243" s="11" t="s">
        <v>729</v>
      </c>
      <c r="D243" s="16" t="s">
        <v>1216</v>
      </c>
      <c r="E243" s="34" t="s">
        <v>1411</v>
      </c>
      <c r="F243" s="24" t="s">
        <v>1412</v>
      </c>
      <c r="G243" s="1"/>
      <c r="H243" s="1"/>
      <c r="I243" s="1" t="s">
        <v>907</v>
      </c>
      <c r="J243" s="1"/>
      <c r="K243" s="1">
        <v>242</v>
      </c>
      <c r="L243" t="str">
        <f t="shared" si="3"/>
        <v>225 HCl by He, Ar, N2, O2, and CO</v>
      </c>
      <c r="M243" s="1"/>
      <c r="N243" s="1"/>
      <c r="O243" s="1"/>
      <c r="P243" s="1"/>
      <c r="R243" s="1"/>
      <c r="S243" s="1"/>
      <c r="T243" s="1"/>
      <c r="U243" s="1"/>
      <c r="V243" s="1"/>
      <c r="W243" s="1"/>
      <c r="X243" s="1"/>
      <c r="Y243" s="1"/>
      <c r="Z243" s="1"/>
      <c r="AD243" s="1"/>
      <c r="AE243" s="1"/>
    </row>
    <row r="244" spans="1:31" ht="50" customHeight="1" x14ac:dyDescent="0.15">
      <c r="A244" s="1"/>
      <c r="B244" s="27"/>
      <c r="C244" s="20"/>
      <c r="D244" s="16" t="s">
        <v>1217</v>
      </c>
      <c r="E244" s="18" t="s">
        <v>303</v>
      </c>
      <c r="F244" s="25" t="s">
        <v>389</v>
      </c>
      <c r="G244" s="18"/>
      <c r="H244" s="1"/>
      <c r="K244" s="18">
        <v>243</v>
      </c>
      <c r="L244" t="str">
        <f t="shared" si="3"/>
        <v xml:space="preserve"> HF by Ar, Kr, Xe</v>
      </c>
      <c r="M244" s="18" t="s">
        <v>795</v>
      </c>
      <c r="N244" s="18"/>
      <c r="O244" s="18"/>
      <c r="P244" s="1"/>
      <c r="R244" s="1"/>
      <c r="S244" s="1"/>
      <c r="T244" s="1"/>
      <c r="U244" s="1"/>
      <c r="V244" s="1"/>
      <c r="W244" s="1"/>
      <c r="X244" s="1"/>
      <c r="Y244" s="1"/>
      <c r="Z244" s="1"/>
      <c r="AD244" s="1"/>
      <c r="AE244" s="1"/>
    </row>
    <row r="245" spans="1:31" ht="50" customHeight="1" x14ac:dyDescent="0.15">
      <c r="A245" s="1"/>
      <c r="B245" s="11">
        <v>226</v>
      </c>
      <c r="C245" s="11" t="s">
        <v>730</v>
      </c>
      <c r="D245" s="16" t="s">
        <v>1218</v>
      </c>
      <c r="E245" s="1" t="s">
        <v>391</v>
      </c>
      <c r="F245" s="24" t="s">
        <v>390</v>
      </c>
      <c r="G245" s="1" t="s">
        <v>388</v>
      </c>
      <c r="H245" s="1" t="s">
        <v>903</v>
      </c>
      <c r="I245" s="1" t="s">
        <v>927</v>
      </c>
      <c r="J245" s="1" t="s">
        <v>929</v>
      </c>
      <c r="K245" s="1">
        <v>244</v>
      </c>
      <c r="L245" t="str">
        <f t="shared" si="3"/>
        <v>226 OCS by CO2, N2, Ar, H2, He</v>
      </c>
      <c r="M245" s="1"/>
      <c r="N245" s="1"/>
      <c r="O245" s="1"/>
      <c r="P245" s="1"/>
      <c r="R245" s="1"/>
      <c r="S245" s="1"/>
      <c r="T245" s="1"/>
      <c r="U245" s="1"/>
      <c r="V245" s="1"/>
      <c r="W245" s="1"/>
      <c r="X245" s="1"/>
      <c r="Y245" s="1"/>
      <c r="Z245" s="1"/>
      <c r="AD245" s="1"/>
      <c r="AE245" s="1"/>
    </row>
    <row r="246" spans="1:31" ht="50" customHeight="1" x14ac:dyDescent="0.15">
      <c r="A246" s="1"/>
      <c r="B246" s="11">
        <v>227</v>
      </c>
      <c r="C246" s="11" t="s">
        <v>731</v>
      </c>
      <c r="D246" s="16" t="s">
        <v>1219</v>
      </c>
      <c r="E246" s="1" t="s">
        <v>393</v>
      </c>
      <c r="F246" s="24" t="s">
        <v>392</v>
      </c>
      <c r="G246" s="1"/>
      <c r="H246" s="1"/>
      <c r="I246" s="1" t="s">
        <v>920</v>
      </c>
      <c r="J246" s="1"/>
      <c r="K246" s="1">
        <v>245</v>
      </c>
      <c r="L246" t="str">
        <f t="shared" si="3"/>
        <v>227 HCl by He</v>
      </c>
      <c r="M246" s="1"/>
      <c r="N246" s="1"/>
      <c r="O246" s="1"/>
      <c r="P246" s="1"/>
      <c r="R246" s="1"/>
      <c r="S246" s="1"/>
      <c r="T246" s="1"/>
      <c r="U246" s="1"/>
      <c r="V246" s="1"/>
      <c r="W246" s="1"/>
      <c r="X246" s="1"/>
      <c r="Y246" s="1"/>
      <c r="Z246" s="1"/>
      <c r="AD246" s="1"/>
      <c r="AE246" s="1"/>
    </row>
    <row r="247" spans="1:31" ht="50" customHeight="1" x14ac:dyDescent="0.15">
      <c r="A247" s="1"/>
      <c r="B247" s="11">
        <v>228</v>
      </c>
      <c r="C247" s="11" t="s">
        <v>732</v>
      </c>
      <c r="D247" s="16" t="s">
        <v>1220</v>
      </c>
      <c r="E247" s="1" t="s">
        <v>394</v>
      </c>
      <c r="F247" s="24" t="s">
        <v>1413</v>
      </c>
      <c r="G247" s="1"/>
      <c r="H247" s="1"/>
      <c r="I247" s="1" t="s">
        <v>906</v>
      </c>
      <c r="J247" s="1"/>
      <c r="K247" s="1">
        <v>246</v>
      </c>
      <c r="L247" t="str">
        <f t="shared" si="3"/>
        <v>228 HCl by CO and CO2</v>
      </c>
      <c r="M247" s="1"/>
      <c r="N247" s="1"/>
      <c r="O247" s="1"/>
      <c r="P247" s="1"/>
      <c r="R247" s="1"/>
      <c r="S247" s="1"/>
      <c r="T247" s="1"/>
      <c r="U247" s="1"/>
      <c r="V247" s="1"/>
      <c r="W247" s="1"/>
      <c r="X247" s="1"/>
      <c r="Y247" s="1"/>
      <c r="Z247" s="1"/>
      <c r="AD247" s="1"/>
      <c r="AE247" s="1"/>
    </row>
    <row r="248" spans="1:31" ht="50" customHeight="1" x14ac:dyDescent="0.15">
      <c r="A248" s="1"/>
      <c r="B248" s="11">
        <v>229</v>
      </c>
      <c r="C248" s="11" t="s">
        <v>1457</v>
      </c>
      <c r="D248" s="16" t="s">
        <v>1221</v>
      </c>
      <c r="E248" s="1" t="s">
        <v>156</v>
      </c>
      <c r="F248" s="24" t="s">
        <v>395</v>
      </c>
      <c r="G248" s="1"/>
      <c r="H248" s="1"/>
      <c r="I248" s="1" t="s">
        <v>958</v>
      </c>
      <c r="J248" s="1"/>
      <c r="K248" s="1">
        <v>247</v>
      </c>
      <c r="L248" t="str">
        <f t="shared" si="3"/>
        <v>229 CN by Ar</v>
      </c>
      <c r="M248" s="1"/>
      <c r="N248" s="1"/>
      <c r="O248" s="1"/>
      <c r="P248" s="1"/>
      <c r="R248" s="1"/>
      <c r="S248" s="1"/>
      <c r="T248" s="1"/>
      <c r="U248" s="1"/>
      <c r="V248" s="1"/>
      <c r="W248" s="1"/>
      <c r="X248" s="1"/>
      <c r="Y248" s="1"/>
      <c r="Z248" s="1"/>
      <c r="AD248" s="1"/>
      <c r="AE248" s="1"/>
    </row>
    <row r="249" spans="1:31" ht="50" customHeight="1" x14ac:dyDescent="0.15">
      <c r="A249" s="1"/>
      <c r="B249" s="11">
        <v>230</v>
      </c>
      <c r="C249" s="11" t="s">
        <v>733</v>
      </c>
      <c r="D249" s="16" t="s">
        <v>1222</v>
      </c>
      <c r="E249" s="1" t="s">
        <v>396</v>
      </c>
      <c r="F249" s="24" t="s">
        <v>1414</v>
      </c>
      <c r="G249" s="1"/>
      <c r="H249" s="1"/>
      <c r="I249" s="1" t="s">
        <v>907</v>
      </c>
      <c r="J249" s="1"/>
      <c r="K249" s="1">
        <v>248</v>
      </c>
      <c r="L249" t="str">
        <f t="shared" si="3"/>
        <v>230 HI by Ne, Ar, Xe</v>
      </c>
      <c r="M249" s="1"/>
      <c r="N249" s="1"/>
      <c r="O249" s="1"/>
      <c r="P249" s="1"/>
      <c r="R249" s="1"/>
      <c r="S249" s="1"/>
      <c r="T249" s="1"/>
      <c r="U249" s="1"/>
      <c r="V249" s="1"/>
      <c r="W249" s="1"/>
      <c r="X249" s="1"/>
      <c r="Y249" s="1"/>
      <c r="Z249" s="1"/>
      <c r="AD249" s="1"/>
      <c r="AE249" s="1"/>
    </row>
    <row r="250" spans="1:31" ht="50" customHeight="1" x14ac:dyDescent="0.15">
      <c r="A250" s="1"/>
      <c r="B250" s="11">
        <v>231</v>
      </c>
      <c r="C250" s="11" t="s">
        <v>734</v>
      </c>
      <c r="D250" s="16" t="s">
        <v>1223</v>
      </c>
      <c r="E250" s="1" t="s">
        <v>397</v>
      </c>
      <c r="F250" s="24" t="s">
        <v>1415</v>
      </c>
      <c r="G250" s="1"/>
      <c r="H250" s="1"/>
      <c r="I250" s="1" t="s">
        <v>907</v>
      </c>
      <c r="J250" s="1"/>
      <c r="K250" s="1">
        <v>249</v>
      </c>
      <c r="L250" t="str">
        <f t="shared" si="3"/>
        <v>231 HBr, HI by He, Ne, Ar, Kr, and Xe</v>
      </c>
      <c r="M250" s="1"/>
      <c r="N250" s="1"/>
      <c r="O250" s="1"/>
      <c r="P250" s="1"/>
      <c r="R250" s="1"/>
      <c r="S250" s="1"/>
      <c r="T250" s="1"/>
      <c r="U250" s="1"/>
      <c r="V250" s="1"/>
      <c r="W250" s="1"/>
      <c r="X250" s="1"/>
      <c r="Y250" s="1"/>
      <c r="Z250" s="1"/>
      <c r="AD250" s="1"/>
      <c r="AE250" s="1"/>
    </row>
    <row r="251" spans="1:31" ht="50" customHeight="1" x14ac:dyDescent="0.15">
      <c r="A251" s="1"/>
      <c r="B251" s="27"/>
      <c r="C251" s="20"/>
      <c r="D251" s="16" t="s">
        <v>1208</v>
      </c>
      <c r="E251" s="18" t="s">
        <v>376</v>
      </c>
      <c r="F251" s="25" t="s">
        <v>398</v>
      </c>
      <c r="G251" s="18" t="s">
        <v>795</v>
      </c>
      <c r="H251" s="1"/>
      <c r="K251" s="18">
        <v>250</v>
      </c>
      <c r="L251" t="str">
        <f t="shared" si="3"/>
        <v xml:space="preserve"> CO by He and Ar</v>
      </c>
      <c r="M251" s="18" t="s">
        <v>795</v>
      </c>
      <c r="N251" s="18"/>
      <c r="O251" s="18"/>
      <c r="P251" s="1"/>
      <c r="R251" s="1"/>
      <c r="S251" s="1"/>
      <c r="T251" s="1"/>
      <c r="U251" s="1"/>
      <c r="V251" s="1"/>
      <c r="W251" s="1"/>
      <c r="X251" s="1"/>
      <c r="Y251" s="1"/>
      <c r="Z251" s="1"/>
      <c r="AD251" s="1"/>
      <c r="AE251" s="1"/>
    </row>
    <row r="252" spans="1:31" ht="50" customHeight="1" x14ac:dyDescent="0.15">
      <c r="A252" s="1"/>
      <c r="B252" s="20"/>
      <c r="C252" s="20"/>
      <c r="D252" s="43"/>
      <c r="E252" s="18"/>
      <c r="F252" s="25" t="s">
        <v>399</v>
      </c>
      <c r="G252" s="18" t="s">
        <v>795</v>
      </c>
      <c r="H252" s="18"/>
      <c r="I252" s="44"/>
      <c r="J252" s="44"/>
      <c r="K252" s="18">
        <v>251</v>
      </c>
      <c r="L252" s="44" t="str">
        <f t="shared" si="3"/>
        <v xml:space="preserve"> </v>
      </c>
      <c r="M252" s="18"/>
      <c r="N252" s="18"/>
      <c r="O252" s="18"/>
      <c r="P252" s="1"/>
      <c r="R252" s="1"/>
      <c r="S252" s="1"/>
      <c r="T252" s="1"/>
      <c r="U252" s="1"/>
      <c r="V252" s="1"/>
      <c r="W252" s="1"/>
      <c r="X252" s="1"/>
      <c r="Y252" s="1"/>
      <c r="Z252" s="1"/>
      <c r="AD252" s="1"/>
      <c r="AE252" s="1"/>
    </row>
    <row r="253" spans="1:31" ht="50" customHeight="1" x14ac:dyDescent="0.15">
      <c r="A253" s="1"/>
      <c r="B253" s="11">
        <v>252</v>
      </c>
      <c r="C253" s="11" t="s">
        <v>735</v>
      </c>
      <c r="D253" s="16" t="s">
        <v>1224</v>
      </c>
      <c r="E253" s="1" t="s">
        <v>401</v>
      </c>
      <c r="F253" s="24" t="s">
        <v>400</v>
      </c>
      <c r="G253" s="1"/>
      <c r="H253" s="1"/>
      <c r="I253" s="1" t="s">
        <v>907</v>
      </c>
      <c r="J253" s="1"/>
      <c r="K253" s="1">
        <v>252</v>
      </c>
      <c r="L253" t="str">
        <f t="shared" si="3"/>
        <v>252 13CO by Ar</v>
      </c>
      <c r="M253" s="1"/>
      <c r="N253" s="1"/>
      <c r="O253" s="1"/>
      <c r="P253" s="1"/>
      <c r="R253" s="1"/>
      <c r="S253" s="1"/>
      <c r="T253" s="1"/>
      <c r="U253" s="1"/>
      <c r="V253" s="1"/>
      <c r="W253" s="1"/>
      <c r="X253" s="1"/>
      <c r="Y253" s="1"/>
      <c r="Z253" s="1"/>
      <c r="AD253" s="1"/>
      <c r="AE253" s="1"/>
    </row>
    <row r="254" spans="1:31" ht="50" customHeight="1" x14ac:dyDescent="0.15">
      <c r="A254" s="1"/>
      <c r="B254" s="11">
        <v>253</v>
      </c>
      <c r="C254" s="11" t="s">
        <v>736</v>
      </c>
      <c r="D254" s="16" t="s">
        <v>1225</v>
      </c>
      <c r="E254" s="1" t="s">
        <v>221</v>
      </c>
      <c r="F254" s="24" t="s">
        <v>402</v>
      </c>
      <c r="G254" s="1" t="s">
        <v>403</v>
      </c>
      <c r="H254" s="1"/>
      <c r="I254" s="1" t="s">
        <v>906</v>
      </c>
      <c r="J254" s="1"/>
      <c r="K254" s="1">
        <v>253</v>
      </c>
      <c r="L254" t="str">
        <f t="shared" si="3"/>
        <v>253 SO2 by CO2</v>
      </c>
      <c r="M254" s="1"/>
      <c r="N254" s="1"/>
      <c r="O254" s="1"/>
      <c r="P254" s="1"/>
      <c r="R254" s="1"/>
      <c r="S254" s="1"/>
      <c r="T254" s="1"/>
      <c r="U254" s="1"/>
      <c r="V254" s="1"/>
      <c r="W254" s="1"/>
      <c r="X254" s="1"/>
      <c r="Y254" s="1"/>
      <c r="Z254" s="1"/>
      <c r="AD254" s="1"/>
      <c r="AE254" s="1"/>
    </row>
    <row r="255" spans="1:31" ht="50" customHeight="1" x14ac:dyDescent="0.15">
      <c r="A255" s="1"/>
      <c r="B255" s="11">
        <v>254</v>
      </c>
      <c r="C255" s="11" t="s">
        <v>737</v>
      </c>
      <c r="D255" s="16" t="s">
        <v>1226</v>
      </c>
      <c r="E255" s="1" t="s">
        <v>376</v>
      </c>
      <c r="F255" s="24" t="s">
        <v>404</v>
      </c>
      <c r="G255" s="1"/>
      <c r="H255" s="1"/>
      <c r="I255" s="1" t="s">
        <v>927</v>
      </c>
      <c r="J255" s="1"/>
      <c r="K255" s="1">
        <v>254</v>
      </c>
      <c r="L255" t="str">
        <f t="shared" si="3"/>
        <v>254 CO by He and Ar</v>
      </c>
      <c r="M255" s="1"/>
      <c r="N255" s="1"/>
      <c r="O255" s="1"/>
      <c r="P255" s="1"/>
      <c r="R255" s="1"/>
      <c r="S255" s="1"/>
      <c r="T255" s="1"/>
      <c r="U255" s="1"/>
      <c r="V255" s="1"/>
      <c r="W255" s="1"/>
      <c r="X255" s="1"/>
      <c r="Y255" s="1"/>
      <c r="Z255" s="1"/>
      <c r="AD255" s="1"/>
      <c r="AE255" s="1"/>
    </row>
    <row r="256" spans="1:31" ht="50" customHeight="1" x14ac:dyDescent="0.15">
      <c r="A256" s="1"/>
      <c r="B256" s="11">
        <v>255</v>
      </c>
      <c r="C256" s="11" t="s">
        <v>738</v>
      </c>
      <c r="D256" s="16" t="s">
        <v>1227</v>
      </c>
      <c r="E256" s="1" t="s">
        <v>154</v>
      </c>
      <c r="F256" s="24" t="s">
        <v>405</v>
      </c>
      <c r="G256" s="1"/>
      <c r="H256" s="1"/>
      <c r="I256" s="1" t="s">
        <v>907</v>
      </c>
      <c r="J256" s="1"/>
      <c r="K256" s="1">
        <v>255</v>
      </c>
      <c r="L256" t="str">
        <f t="shared" si="3"/>
        <v>255 CO by Ar</v>
      </c>
      <c r="M256" s="1"/>
      <c r="N256" s="1"/>
      <c r="O256" s="1"/>
      <c r="P256" s="1"/>
      <c r="R256" s="1"/>
      <c r="S256" s="1"/>
      <c r="T256" s="1"/>
      <c r="U256" s="1"/>
      <c r="V256" s="1"/>
      <c r="W256" s="1"/>
      <c r="X256" s="1"/>
      <c r="Y256" s="1"/>
      <c r="Z256" s="1"/>
      <c r="AD256" s="1"/>
      <c r="AE256" s="1"/>
    </row>
    <row r="257" spans="1:31" ht="50" customHeight="1" x14ac:dyDescent="0.15">
      <c r="A257" s="1"/>
      <c r="B257" s="28">
        <v>256</v>
      </c>
      <c r="C257" s="28" t="s">
        <v>739</v>
      </c>
      <c r="D257" s="29" t="s">
        <v>1228</v>
      </c>
      <c r="E257" s="30" t="s">
        <v>406</v>
      </c>
      <c r="F257" s="31" t="s">
        <v>408</v>
      </c>
      <c r="G257" s="30" t="s">
        <v>407</v>
      </c>
      <c r="H257" s="1" t="s">
        <v>903</v>
      </c>
      <c r="I257" s="30" t="s">
        <v>959</v>
      </c>
      <c r="J257" s="1" t="s">
        <v>929</v>
      </c>
      <c r="K257" s="1">
        <v>256</v>
      </c>
      <c r="L257" t="str">
        <f t="shared" si="3"/>
        <v>256 H2 by He, Ar, N2</v>
      </c>
      <c r="M257" s="1"/>
      <c r="N257" s="1"/>
      <c r="O257" s="1"/>
      <c r="P257" s="1"/>
      <c r="R257" s="1"/>
      <c r="S257" s="1"/>
      <c r="T257" s="1"/>
      <c r="U257" s="1"/>
      <c r="V257" s="1"/>
      <c r="W257" s="1"/>
      <c r="X257" s="1"/>
      <c r="Y257" s="1"/>
      <c r="Z257" s="1"/>
      <c r="AD257" s="1"/>
      <c r="AE257" s="1"/>
    </row>
    <row r="258" spans="1:31" ht="50" customHeight="1" x14ac:dyDescent="0.15">
      <c r="A258" s="1"/>
      <c r="B258" s="11">
        <v>257</v>
      </c>
      <c r="C258" s="11" t="s">
        <v>740</v>
      </c>
      <c r="D258" s="16" t="s">
        <v>1229</v>
      </c>
      <c r="E258" s="1" t="s">
        <v>410</v>
      </c>
      <c r="F258" s="24" t="s">
        <v>409</v>
      </c>
      <c r="G258" s="1"/>
      <c r="H258" s="1"/>
      <c r="I258" s="1" t="s">
        <v>927</v>
      </c>
      <c r="J258" s="1"/>
      <c r="K258" s="1">
        <v>257</v>
      </c>
      <c r="L258" t="str">
        <f t="shared" ref="L258:L305" si="4">B258&amp;" "&amp;E258</f>
        <v>257 HD by Kr, Xe</v>
      </c>
      <c r="M258" s="1"/>
      <c r="N258" s="1"/>
      <c r="O258" s="1"/>
      <c r="P258" s="1"/>
      <c r="R258" s="1"/>
      <c r="S258" s="1"/>
      <c r="T258" s="1"/>
      <c r="U258" s="1"/>
      <c r="V258" s="1"/>
      <c r="W258" s="1"/>
      <c r="X258" s="1"/>
      <c r="Y258" s="1"/>
      <c r="Z258" s="1"/>
      <c r="AD258" s="1"/>
      <c r="AE258" s="1"/>
    </row>
    <row r="259" spans="1:31" ht="50" customHeight="1" x14ac:dyDescent="0.15">
      <c r="A259" s="1"/>
      <c r="B259" s="11">
        <v>258</v>
      </c>
      <c r="C259" s="11" t="s">
        <v>741</v>
      </c>
      <c r="D259" s="16" t="s">
        <v>1230</v>
      </c>
      <c r="E259" s="1" t="s">
        <v>387</v>
      </c>
      <c r="F259" s="24" t="s">
        <v>411</v>
      </c>
      <c r="G259" s="1" t="s">
        <v>412</v>
      </c>
      <c r="H259" s="1" t="s">
        <v>903</v>
      </c>
      <c r="I259" s="1" t="s">
        <v>960</v>
      </c>
      <c r="J259" s="1" t="s">
        <v>922</v>
      </c>
      <c r="K259" s="1">
        <v>258</v>
      </c>
      <c r="L259" t="str">
        <f t="shared" si="4"/>
        <v>258 HCl by Noble gases</v>
      </c>
      <c r="M259" s="1"/>
      <c r="N259" s="1"/>
      <c r="O259" s="1"/>
      <c r="P259" s="1"/>
      <c r="R259" s="1"/>
      <c r="S259" s="1"/>
      <c r="T259" s="1"/>
      <c r="U259" s="1"/>
      <c r="V259" s="1"/>
      <c r="W259" s="1"/>
      <c r="X259" s="1"/>
      <c r="Y259" s="1"/>
      <c r="Z259" s="1"/>
      <c r="AD259" s="1"/>
      <c r="AE259" s="1"/>
    </row>
    <row r="260" spans="1:31" ht="50" customHeight="1" x14ac:dyDescent="0.15">
      <c r="A260" s="1"/>
      <c r="B260" s="11">
        <v>259</v>
      </c>
      <c r="C260" s="11" t="s">
        <v>742</v>
      </c>
      <c r="D260" s="16" t="s">
        <v>1231</v>
      </c>
      <c r="E260" s="1" t="s">
        <v>415</v>
      </c>
      <c r="F260" s="24" t="s">
        <v>414</v>
      </c>
      <c r="G260" s="1" t="s">
        <v>416</v>
      </c>
      <c r="H260" s="1" t="s">
        <v>363</v>
      </c>
      <c r="I260" s="1" t="s">
        <v>906</v>
      </c>
      <c r="J260" s="1"/>
      <c r="K260" s="1">
        <v>259</v>
      </c>
      <c r="L260" t="str">
        <f t="shared" si="4"/>
        <v>259 CO2 by N2, O2, air, CO2</v>
      </c>
      <c r="N260" s="1"/>
      <c r="O260" s="1"/>
      <c r="P260" s="1"/>
      <c r="R260" s="1"/>
      <c r="S260" s="1"/>
      <c r="T260" s="1"/>
      <c r="U260" s="1"/>
      <c r="V260" s="1"/>
      <c r="W260" s="1"/>
      <c r="X260" s="1"/>
      <c r="Y260" s="1"/>
      <c r="Z260" s="1"/>
      <c r="AD260" s="1"/>
      <c r="AE260" s="1"/>
    </row>
    <row r="261" spans="1:31" ht="50" customHeight="1" x14ac:dyDescent="0.15">
      <c r="A261" s="1"/>
      <c r="B261" s="11">
        <v>260</v>
      </c>
      <c r="C261" s="11" t="s">
        <v>743</v>
      </c>
      <c r="D261" s="16" t="s">
        <v>1232</v>
      </c>
      <c r="E261" s="1" t="s">
        <v>415</v>
      </c>
      <c r="F261" s="24" t="s">
        <v>417</v>
      </c>
      <c r="G261" s="1" t="s">
        <v>418</v>
      </c>
      <c r="H261" s="1" t="s">
        <v>363</v>
      </c>
      <c r="I261" s="1" t="s">
        <v>906</v>
      </c>
      <c r="J261" s="1" t="s">
        <v>955</v>
      </c>
      <c r="K261" s="1">
        <v>260</v>
      </c>
      <c r="L261" t="str">
        <f t="shared" si="4"/>
        <v>260 CO2 by N2, O2, air, CO2</v>
      </c>
      <c r="N261" s="1"/>
      <c r="O261" s="1"/>
      <c r="P261" s="1"/>
      <c r="R261" s="1"/>
      <c r="S261" s="1"/>
      <c r="T261" s="1"/>
      <c r="U261" s="1"/>
      <c r="V261" s="1"/>
      <c r="W261" s="1"/>
      <c r="X261" s="1"/>
      <c r="Y261" s="1"/>
      <c r="Z261" s="1"/>
      <c r="AD261" s="1"/>
      <c r="AE261" s="1"/>
    </row>
    <row r="262" spans="1:31" ht="50" customHeight="1" x14ac:dyDescent="0.15">
      <c r="A262" s="1"/>
      <c r="B262" s="11">
        <v>261</v>
      </c>
      <c r="C262" s="11" t="s">
        <v>744</v>
      </c>
      <c r="D262" s="16" t="s">
        <v>1233</v>
      </c>
      <c r="E262" s="1" t="s">
        <v>314</v>
      </c>
      <c r="F262" s="24" t="s">
        <v>419</v>
      </c>
      <c r="G262" s="1" t="s">
        <v>420</v>
      </c>
      <c r="H262" s="1" t="s">
        <v>363</v>
      </c>
      <c r="I262" s="1" t="s">
        <v>906</v>
      </c>
      <c r="J262" s="1" t="s">
        <v>930</v>
      </c>
      <c r="K262" s="1">
        <v>261</v>
      </c>
      <c r="L262" t="str">
        <f t="shared" si="4"/>
        <v>261 CO2 by self</v>
      </c>
      <c r="N262" s="1"/>
      <c r="O262" s="1"/>
      <c r="P262" s="1"/>
      <c r="R262" s="1"/>
      <c r="S262" s="1"/>
      <c r="T262" s="1"/>
      <c r="U262" s="1"/>
      <c r="V262" s="1"/>
      <c r="W262" s="1"/>
      <c r="X262" s="1"/>
      <c r="Y262" s="1"/>
      <c r="Z262" s="1"/>
      <c r="AD262" s="1"/>
      <c r="AE262" s="1"/>
    </row>
    <row r="263" spans="1:31" ht="50" customHeight="1" x14ac:dyDescent="0.15">
      <c r="A263" s="1"/>
      <c r="B263" s="11">
        <v>262</v>
      </c>
      <c r="C263" s="11" t="s">
        <v>745</v>
      </c>
      <c r="D263" s="16" t="s">
        <v>1234</v>
      </c>
      <c r="E263" s="1" t="s">
        <v>422</v>
      </c>
      <c r="F263" s="24" t="s">
        <v>421</v>
      </c>
      <c r="G263" s="1" t="s">
        <v>423</v>
      </c>
      <c r="H263" s="1" t="s">
        <v>363</v>
      </c>
      <c r="I263" s="1" t="s">
        <v>906</v>
      </c>
      <c r="J263" s="1" t="s">
        <v>930</v>
      </c>
      <c r="K263" s="1">
        <v>262</v>
      </c>
      <c r="L263" t="str">
        <f t="shared" si="4"/>
        <v>262 CO2 by O2 and air</v>
      </c>
      <c r="N263" s="1"/>
      <c r="O263" s="1"/>
      <c r="P263" s="1"/>
      <c r="R263" s="1"/>
      <c r="S263" s="1"/>
      <c r="T263" s="1"/>
      <c r="U263" s="1"/>
      <c r="V263" s="1"/>
      <c r="W263" s="1"/>
      <c r="X263" s="1"/>
      <c r="Y263" s="1"/>
      <c r="Z263" s="1"/>
      <c r="AD263" s="1"/>
      <c r="AE263" s="1"/>
    </row>
    <row r="264" spans="1:31" ht="50" customHeight="1" x14ac:dyDescent="0.15">
      <c r="A264" s="1"/>
      <c r="B264" s="11">
        <v>263</v>
      </c>
      <c r="C264" s="11" t="s">
        <v>746</v>
      </c>
      <c r="D264" s="16" t="s">
        <v>1235</v>
      </c>
      <c r="E264" s="1" t="s">
        <v>74</v>
      </c>
      <c r="F264" s="24" t="s">
        <v>424</v>
      </c>
      <c r="G264" s="1" t="s">
        <v>425</v>
      </c>
      <c r="H264" s="1" t="s">
        <v>363</v>
      </c>
      <c r="I264" s="1" t="s">
        <v>906</v>
      </c>
      <c r="J264" s="1" t="s">
        <v>930</v>
      </c>
      <c r="K264" s="1">
        <v>263</v>
      </c>
      <c r="L264" t="str">
        <f t="shared" si="4"/>
        <v>263 CO2 by N2</v>
      </c>
      <c r="N264" s="1"/>
      <c r="O264" s="1"/>
      <c r="P264" s="1"/>
      <c r="R264" s="1"/>
      <c r="S264" s="1"/>
      <c r="T264" s="1"/>
      <c r="U264" s="1"/>
      <c r="V264" s="1"/>
      <c r="W264" s="1"/>
      <c r="X264" s="1"/>
      <c r="Y264" s="1"/>
      <c r="Z264" s="1"/>
      <c r="AD264" s="1"/>
      <c r="AE264" s="1"/>
    </row>
    <row r="265" spans="1:31" ht="50" customHeight="1" x14ac:dyDescent="0.15">
      <c r="A265" s="1"/>
      <c r="B265" s="11">
        <v>264</v>
      </c>
      <c r="C265" s="11" t="s">
        <v>747</v>
      </c>
      <c r="D265" s="16" t="s">
        <v>1236</v>
      </c>
      <c r="E265" s="1" t="s">
        <v>438</v>
      </c>
      <c r="F265" s="24" t="s">
        <v>1416</v>
      </c>
      <c r="G265" s="1"/>
      <c r="I265" s="1" t="s">
        <v>907</v>
      </c>
      <c r="J265" s="1"/>
      <c r="K265" s="1">
        <v>264</v>
      </c>
      <c r="L265" t="str">
        <f t="shared" si="4"/>
        <v>264 CO2 by Ar, N2</v>
      </c>
      <c r="M265" s="1"/>
      <c r="N265" s="1"/>
      <c r="O265" s="1"/>
      <c r="P265" s="1"/>
      <c r="R265" s="1"/>
      <c r="S265" s="1"/>
      <c r="T265" s="1"/>
      <c r="U265" s="1"/>
      <c r="V265" s="1"/>
      <c r="W265" s="1"/>
      <c r="X265" s="1"/>
      <c r="Y265" s="1"/>
      <c r="Z265" s="1"/>
      <c r="AD265" s="1"/>
      <c r="AE265" s="1"/>
    </row>
    <row r="266" spans="1:31" ht="50" customHeight="1" x14ac:dyDescent="0.15">
      <c r="A266" s="1"/>
      <c r="B266" s="11">
        <v>265</v>
      </c>
      <c r="C266" s="11" t="s">
        <v>748</v>
      </c>
      <c r="D266" s="16" t="s">
        <v>1237</v>
      </c>
      <c r="E266" s="1" t="s">
        <v>438</v>
      </c>
      <c r="F266" s="24" t="s">
        <v>1417</v>
      </c>
      <c r="G266" s="1"/>
      <c r="I266" s="1" t="s">
        <v>906</v>
      </c>
      <c r="J266" s="1"/>
      <c r="K266" s="1">
        <v>265</v>
      </c>
      <c r="L266" t="str">
        <f t="shared" si="4"/>
        <v>265 CO2 by Ar, N2</v>
      </c>
      <c r="M266" s="1"/>
      <c r="N266" s="1"/>
      <c r="O266" s="1"/>
      <c r="P266" s="1"/>
      <c r="R266" s="1"/>
      <c r="S266" s="1"/>
      <c r="T266" s="1"/>
      <c r="U266" s="1"/>
      <c r="V266" s="1"/>
      <c r="W266" s="1"/>
      <c r="X266" s="1"/>
      <c r="Y266" s="1"/>
      <c r="Z266" s="1"/>
      <c r="AD266" s="1"/>
      <c r="AE266" s="1"/>
    </row>
    <row r="267" spans="1:31" ht="50" customHeight="1" x14ac:dyDescent="0.15">
      <c r="A267" s="1"/>
      <c r="B267" s="11">
        <v>266</v>
      </c>
      <c r="C267" s="11" t="s">
        <v>749</v>
      </c>
      <c r="D267" s="16" t="s">
        <v>1238</v>
      </c>
      <c r="E267" s="1" t="s">
        <v>439</v>
      </c>
      <c r="F267" s="24" t="s">
        <v>440</v>
      </c>
      <c r="G267" s="1" t="s">
        <v>441</v>
      </c>
      <c r="H267" s="1" t="s">
        <v>903</v>
      </c>
      <c r="I267" s="1" t="s">
        <v>959</v>
      </c>
      <c r="J267" s="1" t="s">
        <v>961</v>
      </c>
      <c r="K267" s="1">
        <v>266</v>
      </c>
      <c r="L267" t="str">
        <f t="shared" si="4"/>
        <v>266 H2O by N2, O2, air, H2O</v>
      </c>
      <c r="M267" s="1" t="s">
        <v>450</v>
      </c>
      <c r="N267" s="1"/>
      <c r="O267" s="1"/>
      <c r="P267" s="1"/>
      <c r="R267" s="1"/>
      <c r="S267" s="1"/>
      <c r="T267" s="1"/>
      <c r="U267" s="1"/>
      <c r="V267" s="1"/>
      <c r="W267" s="1"/>
      <c r="X267" s="1"/>
      <c r="Y267" s="1"/>
      <c r="Z267" s="1"/>
      <c r="AD267" s="1"/>
      <c r="AE267" s="1"/>
    </row>
    <row r="268" spans="1:31" ht="50" customHeight="1" x14ac:dyDescent="0.15">
      <c r="A268" s="1"/>
      <c r="B268" s="11">
        <v>267</v>
      </c>
      <c r="C268" s="11" t="s">
        <v>750</v>
      </c>
      <c r="D268" s="16" t="s">
        <v>1239</v>
      </c>
      <c r="E268" s="1" t="s">
        <v>63</v>
      </c>
      <c r="F268" s="24" t="s">
        <v>442</v>
      </c>
      <c r="G268" s="1" t="s">
        <v>443</v>
      </c>
      <c r="H268" s="1" t="s">
        <v>450</v>
      </c>
      <c r="I268" s="1" t="s">
        <v>906</v>
      </c>
      <c r="J268" s="1" t="s">
        <v>962</v>
      </c>
      <c r="K268" s="1">
        <v>267</v>
      </c>
      <c r="L268" t="str">
        <f t="shared" si="4"/>
        <v>267 H2O by N2</v>
      </c>
      <c r="N268" s="1"/>
      <c r="O268" s="1"/>
      <c r="P268" s="1"/>
      <c r="R268" s="1"/>
      <c r="S268" s="1"/>
      <c r="T268" s="1"/>
      <c r="U268" s="1"/>
      <c r="V268" s="1"/>
      <c r="W268" s="1"/>
      <c r="X268" s="1"/>
      <c r="Y268" s="1"/>
      <c r="Z268" s="1"/>
      <c r="AD268" s="1"/>
      <c r="AE268" s="1"/>
    </row>
    <row r="269" spans="1:31" ht="50" customHeight="1" x14ac:dyDescent="0.15">
      <c r="A269" s="1"/>
      <c r="B269" s="36">
        <v>268</v>
      </c>
      <c r="C269" s="36" t="s">
        <v>751</v>
      </c>
      <c r="D269" s="37" t="s">
        <v>1240</v>
      </c>
      <c r="E269" s="38" t="s">
        <v>63</v>
      </c>
      <c r="F269" s="47" t="s">
        <v>444</v>
      </c>
      <c r="G269" s="38" t="s">
        <v>445</v>
      </c>
      <c r="H269" s="38" t="s">
        <v>903</v>
      </c>
      <c r="I269" s="38" t="s">
        <v>906</v>
      </c>
      <c r="J269" s="38" t="s">
        <v>963</v>
      </c>
      <c r="K269" s="38">
        <v>268</v>
      </c>
      <c r="L269" s="39" t="str">
        <f t="shared" si="4"/>
        <v>268 H2O by N2</v>
      </c>
      <c r="M269" s="38" t="s">
        <v>450</v>
      </c>
      <c r="N269" s="38"/>
      <c r="O269" s="38"/>
      <c r="P269" s="35" t="s">
        <v>902</v>
      </c>
      <c r="R269" s="1"/>
      <c r="S269" s="1"/>
      <c r="T269" s="1"/>
      <c r="U269" s="1"/>
      <c r="V269" s="1"/>
      <c r="W269" s="1"/>
      <c r="X269" s="1"/>
      <c r="Y269" s="1"/>
      <c r="Z269" s="1"/>
      <c r="AD269" s="1"/>
      <c r="AE269" s="1"/>
    </row>
    <row r="270" spans="1:31" ht="50" customHeight="1" x14ac:dyDescent="0.15">
      <c r="A270" s="1"/>
      <c r="B270" s="11">
        <v>269</v>
      </c>
      <c r="C270" s="11" t="s">
        <v>752</v>
      </c>
      <c r="D270" s="16" t="s">
        <v>1241</v>
      </c>
      <c r="E270" s="1" t="s">
        <v>446</v>
      </c>
      <c r="F270" s="24" t="s">
        <v>447</v>
      </c>
      <c r="G270" s="1" t="s">
        <v>448</v>
      </c>
      <c r="H270" s="1" t="s">
        <v>903</v>
      </c>
      <c r="I270" s="1" t="s">
        <v>906</v>
      </c>
      <c r="K270" s="1">
        <v>269</v>
      </c>
      <c r="L270" t="str">
        <f t="shared" si="4"/>
        <v>269 O3 by N2, O2, air, O3</v>
      </c>
      <c r="M270" s="1" t="s">
        <v>450</v>
      </c>
      <c r="N270" s="1"/>
      <c r="O270" s="1"/>
      <c r="P270" s="1"/>
      <c r="R270" s="1"/>
      <c r="S270" s="1"/>
      <c r="T270" s="1"/>
      <c r="U270" s="1"/>
      <c r="V270" s="1"/>
      <c r="W270" s="1"/>
      <c r="X270" s="1"/>
      <c r="Y270" s="1"/>
      <c r="Z270" s="1"/>
      <c r="AD270" s="1"/>
      <c r="AE270" s="1"/>
    </row>
    <row r="271" spans="1:31" ht="50" customHeight="1" x14ac:dyDescent="0.15">
      <c r="A271" s="1"/>
      <c r="B271" s="11">
        <v>270</v>
      </c>
      <c r="C271" s="11" t="s">
        <v>753</v>
      </c>
      <c r="D271" s="16" t="s">
        <v>1242</v>
      </c>
      <c r="E271" s="1" t="s">
        <v>446</v>
      </c>
      <c r="F271" s="24" t="s">
        <v>1418</v>
      </c>
      <c r="G271" s="1" t="s">
        <v>449</v>
      </c>
      <c r="H271" s="1" t="s">
        <v>903</v>
      </c>
      <c r="I271" s="1" t="s">
        <v>906</v>
      </c>
      <c r="J271" s="1" t="s">
        <v>964</v>
      </c>
      <c r="K271" s="1">
        <v>270</v>
      </c>
      <c r="L271" t="str">
        <f t="shared" si="4"/>
        <v>270 O3 by N2, O2, air, O3</v>
      </c>
      <c r="M271" s="1" t="s">
        <v>450</v>
      </c>
      <c r="N271" s="1"/>
      <c r="O271" s="1"/>
      <c r="P271" s="1"/>
      <c r="R271" s="1"/>
      <c r="S271" s="1"/>
      <c r="T271" s="1"/>
      <c r="U271" s="1"/>
      <c r="V271" s="1"/>
      <c r="W271" s="1"/>
      <c r="X271" s="1"/>
      <c r="Y271" s="1"/>
      <c r="Z271" s="1"/>
      <c r="AD271" s="1"/>
      <c r="AE271" s="1"/>
    </row>
    <row r="272" spans="1:31" ht="50" customHeight="1" x14ac:dyDescent="0.15">
      <c r="A272" s="1"/>
      <c r="B272" s="20">
        <v>271</v>
      </c>
      <c r="C272" s="20"/>
      <c r="D272" s="16" t="s">
        <v>1243</v>
      </c>
      <c r="E272" s="18" t="s">
        <v>112</v>
      </c>
      <c r="F272" s="25" t="s">
        <v>368</v>
      </c>
      <c r="G272" s="18" t="s">
        <v>795</v>
      </c>
      <c r="H272" s="1"/>
      <c r="I272" s="1" t="s">
        <v>906</v>
      </c>
      <c r="J272" s="1" t="s">
        <v>965</v>
      </c>
      <c r="K272" s="18">
        <v>271</v>
      </c>
      <c r="L272" t="str">
        <f t="shared" si="4"/>
        <v>271 OH by Ar and N2</v>
      </c>
      <c r="M272" s="18"/>
      <c r="N272" s="18"/>
      <c r="O272" s="18"/>
      <c r="P272" s="1"/>
      <c r="R272" s="1"/>
      <c r="S272" s="1"/>
      <c r="T272" s="1"/>
      <c r="U272" s="1"/>
      <c r="V272" s="1"/>
      <c r="W272" s="1"/>
      <c r="X272" s="1"/>
      <c r="Y272" s="1"/>
      <c r="Z272" s="1"/>
      <c r="AD272" s="1"/>
      <c r="AE272" s="1"/>
    </row>
    <row r="273" spans="1:31" ht="50" customHeight="1" x14ac:dyDescent="0.15">
      <c r="A273" s="1"/>
      <c r="B273" s="20">
        <v>272</v>
      </c>
      <c r="C273" s="20"/>
      <c r="D273" s="16" t="s">
        <v>1244</v>
      </c>
      <c r="E273" s="18" t="s">
        <v>428</v>
      </c>
      <c r="F273" s="19" t="s">
        <v>427</v>
      </c>
      <c r="G273" s="18" t="s">
        <v>795</v>
      </c>
      <c r="H273" s="1"/>
      <c r="I273" s="1" t="s">
        <v>907</v>
      </c>
      <c r="J273" s="1"/>
      <c r="K273" s="18">
        <v>272</v>
      </c>
      <c r="L273" t="str">
        <f t="shared" si="4"/>
        <v>272 OH by H2, He, N2, O2</v>
      </c>
      <c r="M273" s="1"/>
      <c r="N273" s="1"/>
      <c r="O273" s="1"/>
      <c r="P273" s="1"/>
      <c r="R273" s="1"/>
      <c r="S273" s="1"/>
      <c r="T273" s="1"/>
      <c r="U273" s="1"/>
      <c r="V273" s="1"/>
      <c r="W273" s="1"/>
      <c r="X273" s="1"/>
      <c r="Y273" s="1"/>
      <c r="Z273" s="1"/>
      <c r="AD273" s="1"/>
      <c r="AE273" s="1"/>
    </row>
    <row r="274" spans="1:31" ht="50" customHeight="1" x14ac:dyDescent="0.15">
      <c r="A274" s="1"/>
      <c r="B274" s="20">
        <v>273</v>
      </c>
      <c r="C274" s="20"/>
      <c r="D274" s="16" t="s">
        <v>1245</v>
      </c>
      <c r="E274" s="18" t="s">
        <v>428</v>
      </c>
      <c r="F274" s="19" t="s">
        <v>429</v>
      </c>
      <c r="G274" s="18" t="s">
        <v>795</v>
      </c>
      <c r="H274" s="1"/>
      <c r="I274" s="1" t="s">
        <v>906</v>
      </c>
      <c r="J274" s="1"/>
      <c r="K274" s="18">
        <v>273</v>
      </c>
      <c r="L274" t="str">
        <f t="shared" si="4"/>
        <v>273 OH by H2, He, N2, O2</v>
      </c>
      <c r="M274" s="1"/>
      <c r="N274" s="1"/>
      <c r="O274" s="1"/>
      <c r="P274" s="1"/>
      <c r="R274" s="1"/>
      <c r="S274" s="1"/>
      <c r="T274" s="1"/>
      <c r="U274" s="1"/>
      <c r="V274" s="1"/>
      <c r="W274" s="1"/>
      <c r="X274" s="1"/>
      <c r="Y274" s="1"/>
      <c r="Z274" s="1"/>
      <c r="AD274" s="1"/>
      <c r="AE274" s="1"/>
    </row>
    <row r="275" spans="1:31" ht="50" customHeight="1" x14ac:dyDescent="0.15">
      <c r="A275" s="1"/>
      <c r="B275" s="11">
        <v>274</v>
      </c>
      <c r="C275" s="11" t="s">
        <v>754</v>
      </c>
      <c r="D275" s="16" t="s">
        <v>1246</v>
      </c>
      <c r="E275" s="1" t="s">
        <v>430</v>
      </c>
      <c r="F275" s="24" t="s">
        <v>431</v>
      </c>
      <c r="G275" s="1"/>
      <c r="H275" s="1"/>
      <c r="I275" s="1" t="s">
        <v>927</v>
      </c>
      <c r="J275" s="1"/>
      <c r="K275" s="1">
        <v>274</v>
      </c>
      <c r="L275" t="str">
        <f t="shared" si="4"/>
        <v>274 OH by Ar, He N2, O2</v>
      </c>
      <c r="M275" s="1"/>
      <c r="N275" s="1"/>
      <c r="O275" s="1"/>
      <c r="P275" s="1"/>
      <c r="R275" s="1"/>
      <c r="S275" s="1"/>
      <c r="T275" s="1"/>
      <c r="U275" s="1"/>
      <c r="V275" s="1"/>
      <c r="W275" s="1"/>
      <c r="X275" s="1"/>
      <c r="Y275" s="1"/>
      <c r="Z275" s="1"/>
      <c r="AD275" s="1"/>
      <c r="AE275" s="1"/>
    </row>
    <row r="276" spans="1:31" ht="50" customHeight="1" x14ac:dyDescent="0.15">
      <c r="A276" s="1"/>
      <c r="B276" s="11">
        <v>275</v>
      </c>
      <c r="C276" s="11" t="s">
        <v>755</v>
      </c>
      <c r="D276" s="16" t="s">
        <v>1247</v>
      </c>
      <c r="E276" s="1" t="s">
        <v>432</v>
      </c>
      <c r="F276" s="24" t="s">
        <v>1419</v>
      </c>
      <c r="G276" s="1"/>
      <c r="H276" s="1"/>
      <c r="I276" s="1" t="s">
        <v>906</v>
      </c>
      <c r="J276" s="1" t="s">
        <v>966</v>
      </c>
      <c r="K276" s="1">
        <v>275</v>
      </c>
      <c r="L276" t="str">
        <f t="shared" si="4"/>
        <v>275 OH by H2, O2, H2O, N2</v>
      </c>
      <c r="M276" s="1"/>
      <c r="N276" s="1"/>
      <c r="O276" s="1"/>
      <c r="P276" s="1"/>
      <c r="R276" s="1"/>
      <c r="S276" s="1"/>
      <c r="T276" s="1"/>
      <c r="U276" s="1"/>
      <c r="V276" s="1"/>
      <c r="W276" s="1"/>
      <c r="X276" s="1"/>
      <c r="Y276" s="1"/>
      <c r="Z276" s="1"/>
      <c r="AD276" s="1"/>
      <c r="AE276" s="1"/>
    </row>
    <row r="277" spans="1:31" ht="50" customHeight="1" x14ac:dyDescent="0.15">
      <c r="A277" s="1"/>
      <c r="B277" s="20">
        <v>276</v>
      </c>
      <c r="C277" s="20"/>
      <c r="D277" s="16" t="s">
        <v>1248</v>
      </c>
      <c r="E277" s="18" t="s">
        <v>112</v>
      </c>
      <c r="F277" s="19" t="s">
        <v>433</v>
      </c>
      <c r="G277" s="18" t="s">
        <v>795</v>
      </c>
      <c r="H277" s="1"/>
      <c r="I277" s="1" t="s">
        <v>906</v>
      </c>
      <c r="J277" s="1" t="s">
        <v>966</v>
      </c>
      <c r="K277" s="18">
        <v>276</v>
      </c>
      <c r="L277" t="str">
        <f t="shared" si="4"/>
        <v>276 OH by Ar and N2</v>
      </c>
      <c r="M277" s="1"/>
      <c r="N277" s="1"/>
      <c r="O277" s="1"/>
      <c r="P277" s="1"/>
      <c r="R277" s="1"/>
      <c r="S277" s="1"/>
      <c r="T277" s="1"/>
      <c r="U277" s="1"/>
      <c r="V277" s="1"/>
      <c r="W277" s="1"/>
      <c r="X277" s="1"/>
      <c r="Y277" s="1"/>
      <c r="Z277" s="1"/>
      <c r="AD277" s="1"/>
      <c r="AE277" s="1"/>
    </row>
    <row r="278" spans="1:31" ht="50" customHeight="1" x14ac:dyDescent="0.15">
      <c r="A278" s="1"/>
      <c r="B278" s="11">
        <v>277</v>
      </c>
      <c r="C278" s="11" t="s">
        <v>756</v>
      </c>
      <c r="D278" s="16" t="s">
        <v>1249</v>
      </c>
      <c r="E278" s="1" t="s">
        <v>435</v>
      </c>
      <c r="F278" s="24" t="s">
        <v>434</v>
      </c>
      <c r="G278" s="1"/>
      <c r="H278" s="1"/>
      <c r="I278" s="1" t="s">
        <v>967</v>
      </c>
      <c r="J278" s="1"/>
      <c r="K278" s="1">
        <v>277</v>
      </c>
      <c r="L278" t="str">
        <f t="shared" si="4"/>
        <v>277 OH by N2, Ar, Ne, He</v>
      </c>
      <c r="M278" s="1"/>
      <c r="N278" s="1"/>
      <c r="O278" s="1"/>
      <c r="P278" s="1"/>
      <c r="R278" s="1"/>
      <c r="S278" s="1"/>
      <c r="T278" s="1"/>
      <c r="U278" s="1"/>
      <c r="V278" s="1"/>
      <c r="W278" s="1"/>
      <c r="X278" s="1"/>
      <c r="Y278" s="1"/>
      <c r="Z278" s="1"/>
      <c r="AD278" s="1"/>
      <c r="AE278" s="1"/>
    </row>
    <row r="279" spans="1:31" ht="50" customHeight="1" x14ac:dyDescent="0.15">
      <c r="A279" s="1"/>
      <c r="B279" s="11">
        <v>278</v>
      </c>
      <c r="C279" s="11" t="s">
        <v>757</v>
      </c>
      <c r="D279" s="16" t="s">
        <v>1250</v>
      </c>
      <c r="E279" s="1" t="s">
        <v>437</v>
      </c>
      <c r="F279" s="24" t="s">
        <v>436</v>
      </c>
      <c r="G279" s="1"/>
      <c r="H279" s="1"/>
      <c r="I279" s="1" t="s">
        <v>927</v>
      </c>
      <c r="J279" s="1"/>
      <c r="K279" s="1">
        <v>278</v>
      </c>
      <c r="L279" t="str">
        <f t="shared" si="4"/>
        <v>278 OH by He, Ne, Ar, Kr</v>
      </c>
      <c r="M279" s="1"/>
      <c r="N279" s="1"/>
      <c r="O279" s="1"/>
      <c r="P279" s="1"/>
      <c r="R279" s="1"/>
      <c r="S279" s="1"/>
      <c r="T279" s="1"/>
      <c r="U279" s="1"/>
      <c r="V279" s="1"/>
      <c r="W279" s="1"/>
      <c r="X279" s="1"/>
      <c r="Y279" s="1"/>
      <c r="Z279" s="1"/>
      <c r="AD279" s="1"/>
      <c r="AE279" s="1"/>
    </row>
    <row r="280" spans="1:31" ht="50" customHeight="1" x14ac:dyDescent="0.15">
      <c r="A280" s="1"/>
      <c r="B280" s="11">
        <v>279</v>
      </c>
      <c r="C280" s="11" t="s">
        <v>758</v>
      </c>
      <c r="D280" s="16" t="s">
        <v>1251</v>
      </c>
      <c r="E280" s="1" t="s">
        <v>451</v>
      </c>
      <c r="F280" s="24" t="s">
        <v>452</v>
      </c>
      <c r="G280" s="1"/>
      <c r="H280" s="1"/>
      <c r="I280" s="1" t="s">
        <v>906</v>
      </c>
      <c r="J280" s="1"/>
      <c r="K280" s="1">
        <v>279</v>
      </c>
      <c r="L280" t="str">
        <f t="shared" si="4"/>
        <v>279 CH4 by N2 and O2</v>
      </c>
      <c r="M280" s="1"/>
      <c r="N280" s="1"/>
      <c r="O280" s="1"/>
      <c r="P280" s="1"/>
      <c r="R280" s="1"/>
      <c r="S280" s="1"/>
      <c r="T280" s="1"/>
      <c r="U280" s="1"/>
      <c r="V280" s="1"/>
      <c r="W280" s="1"/>
      <c r="X280" s="1"/>
      <c r="Y280" s="1"/>
      <c r="Z280" s="1"/>
      <c r="AD280" s="1"/>
      <c r="AE280" s="1"/>
    </row>
    <row r="281" spans="1:31" ht="50" customHeight="1" x14ac:dyDescent="0.15">
      <c r="A281" s="1"/>
      <c r="B281" s="11">
        <v>280</v>
      </c>
      <c r="C281" s="11" t="s">
        <v>759</v>
      </c>
      <c r="D281" s="16" t="s">
        <v>1252</v>
      </c>
      <c r="E281" s="1" t="s">
        <v>195</v>
      </c>
      <c r="F281" s="24" t="s">
        <v>453</v>
      </c>
      <c r="G281" s="1"/>
      <c r="H281" s="1"/>
      <c r="I281" s="1" t="s">
        <v>968</v>
      </c>
      <c r="J281" s="1"/>
      <c r="K281" s="1">
        <v>280</v>
      </c>
      <c r="L281" t="str">
        <f t="shared" si="4"/>
        <v>280 SF6 by N2</v>
      </c>
      <c r="M281" s="1"/>
      <c r="N281" s="1"/>
      <c r="O281" s="1"/>
      <c r="P281" s="1"/>
      <c r="R281" s="1"/>
      <c r="S281" s="1"/>
      <c r="T281" s="1"/>
      <c r="U281" s="1"/>
      <c r="V281" s="1"/>
      <c r="W281" s="1"/>
      <c r="X281" s="1"/>
      <c r="Y281" s="1"/>
      <c r="Z281" s="1"/>
      <c r="AD281" s="1"/>
      <c r="AE281" s="1"/>
    </row>
    <row r="282" spans="1:31" ht="50" customHeight="1" x14ac:dyDescent="0.15">
      <c r="A282" s="1"/>
      <c r="B282" s="11">
        <v>281</v>
      </c>
      <c r="C282" s="11" t="s">
        <v>760</v>
      </c>
      <c r="D282" s="16" t="s">
        <v>1253</v>
      </c>
      <c r="E282" s="1" t="s">
        <v>454</v>
      </c>
      <c r="F282" s="24" t="s">
        <v>455</v>
      </c>
      <c r="G282" s="1"/>
      <c r="H282" s="1"/>
      <c r="I282" s="1" t="s">
        <v>969</v>
      </c>
      <c r="J282" s="1"/>
      <c r="K282" s="1">
        <v>281</v>
      </c>
      <c r="L282" t="str">
        <f t="shared" si="4"/>
        <v>281 CH4 by H2 and He (astro)</v>
      </c>
      <c r="M282" s="1"/>
      <c r="N282" s="1"/>
      <c r="O282" s="1"/>
      <c r="P282" s="1"/>
      <c r="R282" s="1"/>
      <c r="S282" s="1"/>
      <c r="T282" s="1"/>
      <c r="U282" s="1"/>
      <c r="V282" s="1"/>
      <c r="W282" s="1"/>
      <c r="X282" s="1"/>
      <c r="Y282" s="1"/>
      <c r="Z282" s="1"/>
    </row>
    <row r="283" spans="1:31" ht="50" customHeight="1" x14ac:dyDescent="0.15">
      <c r="A283" s="1"/>
      <c r="B283" s="11">
        <v>282</v>
      </c>
      <c r="C283" s="11" t="s">
        <v>1458</v>
      </c>
      <c r="D283" s="16" t="s">
        <v>1254</v>
      </c>
      <c r="E283" s="1" t="s">
        <v>456</v>
      </c>
      <c r="F283" s="24" t="s">
        <v>457</v>
      </c>
      <c r="G283" s="1"/>
      <c r="H283" s="1"/>
      <c r="I283" s="1" t="s">
        <v>907</v>
      </c>
      <c r="J283" s="1"/>
      <c r="K283" s="1">
        <v>282</v>
      </c>
      <c r="L283" t="str">
        <f t="shared" si="4"/>
        <v>282 CH3 by Ar, N2</v>
      </c>
      <c r="M283" s="1"/>
      <c r="N283" s="1"/>
      <c r="O283" s="1"/>
      <c r="P283" s="1"/>
      <c r="R283" s="1"/>
      <c r="S283" s="1"/>
      <c r="T283" s="1"/>
      <c r="U283" s="1"/>
      <c r="V283" s="1"/>
      <c r="W283" s="1"/>
      <c r="X283" s="1"/>
      <c r="Y283" s="1"/>
      <c r="Z283" s="1"/>
    </row>
    <row r="284" spans="1:31" ht="50" customHeight="1" x14ac:dyDescent="0.15">
      <c r="A284" s="1"/>
      <c r="B284" s="11">
        <v>283</v>
      </c>
      <c r="C284" s="11" t="s">
        <v>761</v>
      </c>
      <c r="D284" s="16" t="s">
        <v>1255</v>
      </c>
      <c r="E284" s="1" t="s">
        <v>458</v>
      </c>
      <c r="F284" s="24" t="s">
        <v>459</v>
      </c>
      <c r="G284" s="1"/>
      <c r="H284" s="1"/>
      <c r="I284" s="1" t="s">
        <v>906</v>
      </c>
      <c r="J284" s="1"/>
      <c r="K284" s="1">
        <v>283</v>
      </c>
      <c r="L284" t="str">
        <f t="shared" si="4"/>
        <v>283 HONO by Air</v>
      </c>
      <c r="M284" s="1"/>
      <c r="N284" s="1"/>
      <c r="O284" s="1"/>
      <c r="P284" s="1"/>
      <c r="R284" s="1"/>
      <c r="S284" s="1"/>
      <c r="T284" s="1"/>
      <c r="U284" s="1"/>
      <c r="V284" s="1"/>
      <c r="W284" s="1"/>
      <c r="X284" s="1"/>
      <c r="Y284" s="1"/>
      <c r="Z284" s="1"/>
    </row>
    <row r="285" spans="1:31" ht="50" customHeight="1" x14ac:dyDescent="0.15">
      <c r="A285" s="1"/>
      <c r="B285" s="11">
        <v>284</v>
      </c>
      <c r="C285" s="11" t="s">
        <v>762</v>
      </c>
      <c r="D285" s="16" t="s">
        <v>1256</v>
      </c>
      <c r="E285" s="1" t="s">
        <v>73</v>
      </c>
      <c r="F285" s="24" t="s">
        <v>460</v>
      </c>
      <c r="G285" s="1"/>
      <c r="H285" s="1"/>
      <c r="I285" s="1" t="s">
        <v>906</v>
      </c>
      <c r="J285" s="1"/>
      <c r="K285" s="1">
        <v>284</v>
      </c>
      <c r="L285" t="str">
        <f t="shared" si="4"/>
        <v>284 CH4 by CO2</v>
      </c>
      <c r="M285" s="1"/>
      <c r="N285" s="1"/>
      <c r="O285" s="1"/>
      <c r="P285" s="1"/>
      <c r="R285" s="1"/>
      <c r="S285" s="1"/>
      <c r="T285" s="1"/>
      <c r="U285" s="1"/>
      <c r="V285" s="1"/>
      <c r="W285" s="1"/>
      <c r="X285" s="1"/>
      <c r="Y285" s="1"/>
      <c r="Z285" s="1"/>
    </row>
    <row r="286" spans="1:31" ht="50" customHeight="1" x14ac:dyDescent="0.15">
      <c r="A286" s="1"/>
      <c r="B286" s="11">
        <v>285</v>
      </c>
      <c r="C286" s="11" t="s">
        <v>763</v>
      </c>
      <c r="D286" s="16" t="s">
        <v>1257</v>
      </c>
      <c r="E286" s="1" t="s">
        <v>74</v>
      </c>
      <c r="F286" s="24" t="s">
        <v>461</v>
      </c>
      <c r="G286" s="1"/>
      <c r="H286" s="1"/>
      <c r="I286" s="1" t="s">
        <v>906</v>
      </c>
      <c r="J286" s="1"/>
      <c r="K286" s="1">
        <v>285</v>
      </c>
      <c r="L286" t="str">
        <f t="shared" si="4"/>
        <v>285 CO2 by N2</v>
      </c>
      <c r="M286" s="1"/>
      <c r="N286" s="1"/>
      <c r="O286" s="1"/>
      <c r="P286" s="1"/>
      <c r="R286" s="1"/>
      <c r="S286" s="1"/>
      <c r="T286" s="1"/>
      <c r="U286" s="1"/>
      <c r="V286" s="1"/>
      <c r="W286" s="1"/>
      <c r="X286" s="1"/>
      <c r="Y286" s="1"/>
      <c r="Z286" s="1"/>
    </row>
    <row r="287" spans="1:31" ht="50" customHeight="1" x14ac:dyDescent="0.15">
      <c r="A287" s="1"/>
      <c r="B287" s="11">
        <v>286</v>
      </c>
      <c r="C287" s="11" t="s">
        <v>764</v>
      </c>
      <c r="D287" s="16" t="s">
        <v>1258</v>
      </c>
      <c r="E287" s="1" t="s">
        <v>462</v>
      </c>
      <c r="F287" s="24" t="s">
        <v>463</v>
      </c>
      <c r="G287" s="1"/>
      <c r="H287" s="1"/>
      <c r="I287" s="1" t="s">
        <v>906</v>
      </c>
      <c r="J287" s="1"/>
      <c r="K287" s="1">
        <v>286</v>
      </c>
      <c r="L287" t="str">
        <f t="shared" si="4"/>
        <v>286 N2O by N2</v>
      </c>
      <c r="M287" s="1"/>
      <c r="N287" s="1"/>
      <c r="O287" s="1"/>
      <c r="P287" s="1"/>
      <c r="R287" s="1"/>
      <c r="S287" s="1"/>
      <c r="T287" s="1"/>
      <c r="U287" s="1"/>
      <c r="V287" s="1"/>
      <c r="W287" s="1"/>
      <c r="X287" s="1"/>
      <c r="Y287" s="1"/>
      <c r="Z287" s="1"/>
    </row>
    <row r="288" spans="1:31" ht="50" customHeight="1" x14ac:dyDescent="0.15">
      <c r="A288" s="1"/>
      <c r="B288" s="32">
        <v>306</v>
      </c>
      <c r="C288" s="11" t="s">
        <v>799</v>
      </c>
      <c r="D288" s="16" t="s">
        <v>1325</v>
      </c>
      <c r="E288" s="1" t="s">
        <v>464</v>
      </c>
      <c r="F288" s="24" t="s">
        <v>465</v>
      </c>
      <c r="G288" s="1" t="s">
        <v>466</v>
      </c>
      <c r="H288" s="1" t="s">
        <v>1482</v>
      </c>
      <c r="J288" s="1"/>
      <c r="K288" s="1">
        <v>287</v>
      </c>
      <c r="L288" t="str">
        <f t="shared" si="4"/>
        <v>306 N2 by H2, He, Ar, Kr</v>
      </c>
      <c r="M288" s="1"/>
      <c r="N288" s="1"/>
      <c r="O288" s="1"/>
      <c r="P288" s="1"/>
      <c r="R288" s="1"/>
      <c r="S288" s="1"/>
      <c r="T288" s="1"/>
      <c r="U288" s="1"/>
      <c r="V288" s="1"/>
      <c r="W288" s="1"/>
      <c r="X288" s="1"/>
      <c r="Y288" s="1"/>
      <c r="Z288" s="1"/>
    </row>
    <row r="289" spans="1:26" ht="50" customHeight="1" x14ac:dyDescent="0.15">
      <c r="A289" s="1"/>
      <c r="B289" s="32">
        <v>307</v>
      </c>
      <c r="C289" s="11" t="s">
        <v>1488</v>
      </c>
      <c r="D289" s="16" t="s">
        <v>1326</v>
      </c>
      <c r="E289" s="1" t="s">
        <v>174</v>
      </c>
      <c r="F289" s="24" t="s">
        <v>467</v>
      </c>
      <c r="G289" s="1" t="s">
        <v>466</v>
      </c>
      <c r="H289" s="1" t="s">
        <v>363</v>
      </c>
      <c r="K289" s="1">
        <v>288</v>
      </c>
      <c r="L289" t="str">
        <f t="shared" si="4"/>
        <v>307 N2 by H2</v>
      </c>
      <c r="M289" s="1"/>
      <c r="N289" s="1"/>
      <c r="O289" s="1"/>
      <c r="P289" s="1"/>
      <c r="R289" s="1"/>
      <c r="S289" s="1"/>
      <c r="T289" s="1"/>
      <c r="U289" s="1"/>
      <c r="V289" s="1"/>
      <c r="W289" s="1"/>
      <c r="X289" s="1"/>
      <c r="Y289" s="1"/>
      <c r="Z289" s="1"/>
    </row>
    <row r="290" spans="1:26" ht="50" customHeight="1" x14ac:dyDescent="0.15">
      <c r="A290" s="1"/>
      <c r="B290" s="32">
        <v>308</v>
      </c>
      <c r="C290" s="11" t="s">
        <v>1434</v>
      </c>
      <c r="D290" s="16" t="s">
        <v>1327</v>
      </c>
      <c r="E290" s="1" t="s">
        <v>174</v>
      </c>
      <c r="F290" s="24" t="s">
        <v>468</v>
      </c>
      <c r="G290" s="1" t="s">
        <v>466</v>
      </c>
      <c r="H290" s="1" t="s">
        <v>363</v>
      </c>
      <c r="K290" s="1">
        <v>289</v>
      </c>
      <c r="L290" t="str">
        <f t="shared" si="4"/>
        <v>308 N2 by H2</v>
      </c>
      <c r="M290" s="1"/>
      <c r="N290" s="1"/>
      <c r="O290" s="1"/>
      <c r="P290" s="1"/>
      <c r="R290" s="1"/>
      <c r="S290" s="1"/>
      <c r="T290" s="1"/>
      <c r="U290" s="1"/>
      <c r="V290" s="1"/>
      <c r="W290" s="1"/>
      <c r="X290" s="1"/>
      <c r="Y290" s="1"/>
      <c r="Z290" s="1"/>
    </row>
    <row r="291" spans="1:26" ht="50" customHeight="1" x14ac:dyDescent="0.15">
      <c r="A291" s="1"/>
      <c r="B291" s="32">
        <v>309</v>
      </c>
      <c r="C291" s="11" t="s">
        <v>800</v>
      </c>
      <c r="D291" s="16" t="s">
        <v>1328</v>
      </c>
      <c r="E291" s="1" t="s">
        <v>174</v>
      </c>
      <c r="F291" s="26" t="s">
        <v>469</v>
      </c>
      <c r="G291" s="1" t="s">
        <v>466</v>
      </c>
      <c r="H291" s="1" t="s">
        <v>1482</v>
      </c>
      <c r="K291" s="1">
        <v>290</v>
      </c>
      <c r="L291" t="str">
        <f t="shared" si="4"/>
        <v>309 N2 by H2</v>
      </c>
      <c r="M291" s="1"/>
      <c r="N291" s="1"/>
      <c r="O291" s="1"/>
      <c r="P291" s="1"/>
      <c r="R291" s="1"/>
      <c r="S291" s="1"/>
      <c r="T291" s="1"/>
      <c r="U291" s="1"/>
      <c r="V291" s="1"/>
      <c r="W291" s="1"/>
      <c r="X291" s="1"/>
      <c r="Y291" s="1"/>
      <c r="Z291" s="1"/>
    </row>
    <row r="292" spans="1:26" ht="50" customHeight="1" x14ac:dyDescent="0.15">
      <c r="A292" s="1"/>
      <c r="B292" s="32">
        <v>310</v>
      </c>
      <c r="C292" s="11" t="s">
        <v>1421</v>
      </c>
      <c r="D292" s="16" t="s">
        <v>1329</v>
      </c>
      <c r="E292" s="1" t="s">
        <v>471</v>
      </c>
      <c r="F292" s="26" t="s">
        <v>470</v>
      </c>
      <c r="G292" s="1" t="s">
        <v>466</v>
      </c>
      <c r="H292" s="1" t="s">
        <v>266</v>
      </c>
      <c r="K292" s="1">
        <v>291</v>
      </c>
      <c r="L292" t="str">
        <f t="shared" si="4"/>
        <v>310 N2 by CO2</v>
      </c>
      <c r="M292" s="1"/>
      <c r="N292" s="1"/>
      <c r="O292" s="1"/>
      <c r="P292" s="1"/>
      <c r="R292" s="1"/>
      <c r="S292" s="1"/>
      <c r="T292" s="1"/>
      <c r="U292" s="1"/>
      <c r="V292" s="1"/>
      <c r="W292" s="1"/>
      <c r="X292" s="1"/>
      <c r="Y292" s="1"/>
      <c r="Z292" s="1"/>
    </row>
    <row r="293" spans="1:26" ht="50" customHeight="1" x14ac:dyDescent="0.15">
      <c r="A293" s="1"/>
      <c r="B293" s="32">
        <v>311</v>
      </c>
      <c r="C293" s="11" t="s">
        <v>801</v>
      </c>
      <c r="D293" s="16" t="s">
        <v>1330</v>
      </c>
      <c r="E293" s="1" t="s">
        <v>473</v>
      </c>
      <c r="F293" s="26" t="s">
        <v>472</v>
      </c>
      <c r="G293" s="1" t="s">
        <v>466</v>
      </c>
      <c r="H293" s="1" t="s">
        <v>266</v>
      </c>
      <c r="J293" s="1" t="s">
        <v>1489</v>
      </c>
      <c r="K293" s="1">
        <v>292</v>
      </c>
      <c r="L293" t="str">
        <f t="shared" si="4"/>
        <v>311 N2 by CO</v>
      </c>
      <c r="M293" s="1"/>
      <c r="N293" s="1"/>
      <c r="O293" s="1"/>
      <c r="P293" s="1"/>
      <c r="R293" s="1"/>
      <c r="S293" s="1"/>
      <c r="T293" s="1"/>
      <c r="U293" s="1"/>
      <c r="V293" s="1"/>
      <c r="W293" s="1"/>
      <c r="X293" s="1"/>
      <c r="Y293" s="1"/>
      <c r="Z293" s="1"/>
    </row>
    <row r="294" spans="1:26" ht="50" customHeight="1" x14ac:dyDescent="0.15">
      <c r="A294" s="1"/>
      <c r="B294" s="27"/>
      <c r="C294" s="20"/>
      <c r="D294" s="16" t="s">
        <v>1259</v>
      </c>
      <c r="E294" s="18" t="s">
        <v>475</v>
      </c>
      <c r="F294" s="25" t="s">
        <v>474</v>
      </c>
      <c r="G294" s="18" t="s">
        <v>795</v>
      </c>
      <c r="H294" s="1"/>
      <c r="K294" s="18">
        <v>293</v>
      </c>
      <c r="L294" t="str">
        <f t="shared" si="4"/>
        <v xml:space="preserve"> CO2, C2H2, CO, HCl and HF by Ar</v>
      </c>
      <c r="M294" s="18"/>
      <c r="N294" s="18"/>
      <c r="O294" s="18"/>
      <c r="P294" s="1"/>
      <c r="R294" s="1"/>
      <c r="S294" s="1"/>
      <c r="T294" s="1"/>
      <c r="U294" s="1"/>
      <c r="V294" s="1"/>
      <c r="W294" s="1"/>
      <c r="X294" s="1"/>
      <c r="Y294" s="1"/>
      <c r="Z294" s="1"/>
    </row>
    <row r="295" spans="1:26" ht="50" customHeight="1" x14ac:dyDescent="0.15">
      <c r="A295" s="1"/>
      <c r="B295" s="32">
        <v>312</v>
      </c>
      <c r="C295" s="11" t="s">
        <v>802</v>
      </c>
      <c r="D295" s="16" t="s">
        <v>1331</v>
      </c>
      <c r="E295" s="1" t="s">
        <v>477</v>
      </c>
      <c r="F295" s="26" t="s">
        <v>476</v>
      </c>
      <c r="G295" s="1"/>
      <c r="H295" s="1" t="s">
        <v>266</v>
      </c>
      <c r="K295" s="1">
        <v>294</v>
      </c>
      <c r="L295" t="str">
        <f t="shared" si="4"/>
        <v>312 HCN by N2</v>
      </c>
      <c r="M295" s="1"/>
      <c r="N295" s="1"/>
      <c r="O295" s="1"/>
      <c r="P295" s="1"/>
      <c r="R295" s="1"/>
      <c r="S295" s="1"/>
      <c r="T295" s="1"/>
      <c r="U295" s="1"/>
      <c r="V295" s="1"/>
      <c r="W295" s="1"/>
      <c r="X295" s="1"/>
      <c r="Y295" s="1"/>
      <c r="Z295" s="1"/>
    </row>
    <row r="296" spans="1:26" ht="50" customHeight="1" x14ac:dyDescent="0.15">
      <c r="A296" s="1"/>
      <c r="B296" s="11">
        <v>289</v>
      </c>
      <c r="C296" s="11" t="s">
        <v>1422</v>
      </c>
      <c r="D296" s="16" t="s">
        <v>1260</v>
      </c>
      <c r="E296" s="1" t="s">
        <v>478</v>
      </c>
      <c r="F296" s="26" t="s">
        <v>479</v>
      </c>
      <c r="G296" s="1"/>
      <c r="H296" s="1"/>
      <c r="I296" s="1" t="s">
        <v>906</v>
      </c>
      <c r="J296" s="1"/>
      <c r="K296" s="1">
        <v>295</v>
      </c>
      <c r="L296" t="str">
        <f t="shared" si="4"/>
        <v>289 CO2 by He</v>
      </c>
      <c r="M296" s="1"/>
      <c r="N296" s="1"/>
      <c r="O296" s="1"/>
      <c r="P296" s="1"/>
      <c r="R296" s="1"/>
      <c r="S296" s="1"/>
      <c r="T296" s="1"/>
      <c r="U296" s="1"/>
      <c r="V296" s="1"/>
      <c r="W296" s="1"/>
      <c r="X296" s="1"/>
      <c r="Y296" s="1"/>
      <c r="Z296" s="1"/>
    </row>
    <row r="297" spans="1:26" ht="50" customHeight="1" x14ac:dyDescent="0.15">
      <c r="A297" s="1"/>
      <c r="B297" s="27"/>
      <c r="C297" s="20"/>
      <c r="D297" s="16" t="s">
        <v>1261</v>
      </c>
      <c r="E297" s="18" t="s">
        <v>74</v>
      </c>
      <c r="F297" s="25" t="s">
        <v>480</v>
      </c>
      <c r="G297" s="18" t="s">
        <v>795</v>
      </c>
      <c r="H297" s="1"/>
      <c r="K297" s="18">
        <v>296</v>
      </c>
      <c r="L297" t="str">
        <f t="shared" si="4"/>
        <v xml:space="preserve"> CO2 by N2</v>
      </c>
      <c r="M297" s="18"/>
      <c r="N297" s="18"/>
      <c r="O297" s="18"/>
      <c r="P297" s="1"/>
      <c r="R297" s="1"/>
      <c r="S297" s="1"/>
      <c r="T297" s="1"/>
      <c r="U297" s="1"/>
      <c r="V297" s="1"/>
      <c r="W297" s="1"/>
      <c r="X297" s="1"/>
      <c r="Y297" s="1"/>
      <c r="Z297" s="1"/>
    </row>
    <row r="298" spans="1:26" ht="50" customHeight="1" x14ac:dyDescent="0.15">
      <c r="A298" s="1"/>
      <c r="B298" s="11">
        <v>290</v>
      </c>
      <c r="C298" s="11" t="s">
        <v>768</v>
      </c>
      <c r="D298" s="16" t="s">
        <v>1262</v>
      </c>
      <c r="E298" s="1" t="s">
        <v>324</v>
      </c>
      <c r="F298" s="26" t="s">
        <v>481</v>
      </c>
      <c r="G298" s="1"/>
      <c r="H298" s="1"/>
      <c r="I298" s="1" t="s">
        <v>906</v>
      </c>
      <c r="J298" s="1" t="s">
        <v>970</v>
      </c>
      <c r="K298" s="1">
        <v>297</v>
      </c>
      <c r="L298" t="str">
        <f t="shared" si="4"/>
        <v>290 CO by self</v>
      </c>
      <c r="M298" s="1"/>
      <c r="N298" s="1"/>
      <c r="O298" s="1"/>
      <c r="P298" s="1"/>
      <c r="R298" s="1"/>
      <c r="S298" s="1"/>
      <c r="T298" s="1"/>
      <c r="U298" s="1"/>
      <c r="V298" s="1"/>
      <c r="W298" s="1"/>
      <c r="X298" s="1"/>
      <c r="Y298" s="1"/>
      <c r="Z298" s="1"/>
    </row>
    <row r="299" spans="1:26" ht="50" customHeight="1" x14ac:dyDescent="0.15">
      <c r="A299" s="1"/>
      <c r="B299" s="32">
        <v>313</v>
      </c>
      <c r="C299" s="11" t="s">
        <v>1423</v>
      </c>
      <c r="D299" s="16" t="s">
        <v>1332</v>
      </c>
      <c r="E299" s="1" t="s">
        <v>169</v>
      </c>
      <c r="F299" s="40" t="s">
        <v>482</v>
      </c>
      <c r="G299" s="1"/>
      <c r="H299" s="1" t="s">
        <v>266</v>
      </c>
      <c r="K299" s="1">
        <v>298</v>
      </c>
      <c r="L299" t="str">
        <f t="shared" si="4"/>
        <v>313 H2O by He</v>
      </c>
      <c r="M299" s="1"/>
      <c r="N299" s="1"/>
      <c r="O299" s="1"/>
      <c r="P299" s="1"/>
      <c r="R299" s="1"/>
      <c r="S299" s="1"/>
      <c r="T299" s="1"/>
      <c r="U299" s="1"/>
      <c r="V299" s="1"/>
      <c r="W299" s="1"/>
      <c r="X299" s="1"/>
      <c r="Y299" s="1"/>
      <c r="Z299" s="1"/>
    </row>
    <row r="300" spans="1:26" ht="50" customHeight="1" x14ac:dyDescent="0.15">
      <c r="A300" s="1"/>
      <c r="B300" s="32">
        <v>314</v>
      </c>
      <c r="C300" s="11" t="s">
        <v>1424</v>
      </c>
      <c r="D300" s="16" t="s">
        <v>1333</v>
      </c>
      <c r="E300" s="1" t="s">
        <v>3</v>
      </c>
      <c r="F300" s="40" t="s">
        <v>483</v>
      </c>
      <c r="G300" s="1"/>
      <c r="H300" s="1" t="s">
        <v>1490</v>
      </c>
      <c r="K300" s="1">
        <v>299</v>
      </c>
      <c r="L300" t="str">
        <f t="shared" si="4"/>
        <v>314 H2O by CO2</v>
      </c>
      <c r="M300" s="1"/>
      <c r="N300" s="1"/>
      <c r="O300" s="1"/>
      <c r="P300" s="1"/>
      <c r="R300" s="1"/>
      <c r="S300" s="1"/>
      <c r="T300" s="1"/>
      <c r="U300" s="1"/>
      <c r="V300" s="1"/>
      <c r="W300" s="1"/>
      <c r="X300" s="1"/>
      <c r="Y300" s="1"/>
      <c r="Z300" s="1"/>
    </row>
    <row r="301" spans="1:26" ht="50" customHeight="1" x14ac:dyDescent="0.15">
      <c r="A301" s="1"/>
      <c r="B301" s="32">
        <v>315</v>
      </c>
      <c r="C301" s="11" t="s">
        <v>486</v>
      </c>
      <c r="D301" s="16" t="s">
        <v>1334</v>
      </c>
      <c r="E301" s="1" t="s">
        <v>485</v>
      </c>
      <c r="F301" s="40" t="s">
        <v>484</v>
      </c>
      <c r="G301" s="1"/>
      <c r="H301" s="1" t="s">
        <v>1491</v>
      </c>
      <c r="K301" s="1">
        <v>300</v>
      </c>
      <c r="L301" t="str">
        <f t="shared" si="4"/>
        <v>315 H2O and CO by H2</v>
      </c>
      <c r="M301" s="1"/>
      <c r="N301" s="1"/>
      <c r="O301" s="1"/>
      <c r="P301" s="1"/>
      <c r="R301" s="1"/>
      <c r="S301" s="1"/>
      <c r="T301" s="1"/>
      <c r="U301" s="1"/>
      <c r="V301" s="1"/>
      <c r="W301" s="1"/>
      <c r="X301" s="1"/>
      <c r="Y301" s="1"/>
      <c r="Z301" s="1"/>
    </row>
    <row r="302" spans="1:26" ht="50" customHeight="1" x14ac:dyDescent="0.15">
      <c r="A302" s="1"/>
      <c r="B302" s="32">
        <v>316</v>
      </c>
      <c r="C302" s="11" t="s">
        <v>489</v>
      </c>
      <c r="D302" s="16" t="s">
        <v>1335</v>
      </c>
      <c r="E302" s="1" t="s">
        <v>487</v>
      </c>
      <c r="F302" s="40" t="s">
        <v>488</v>
      </c>
      <c r="G302" s="1"/>
      <c r="H302" s="1" t="s">
        <v>266</v>
      </c>
      <c r="K302" s="1">
        <v>301</v>
      </c>
      <c r="L302" t="str">
        <f t="shared" si="4"/>
        <v>316 CO by H2</v>
      </c>
      <c r="M302" s="1"/>
      <c r="N302" s="1"/>
      <c r="O302" s="1"/>
      <c r="P302" s="1"/>
      <c r="R302" s="1"/>
      <c r="S302" s="1"/>
      <c r="T302" s="1"/>
      <c r="U302" s="1"/>
      <c r="V302" s="1"/>
      <c r="W302" s="1"/>
      <c r="X302" s="1"/>
      <c r="Y302" s="1"/>
      <c r="Z302" s="1"/>
    </row>
    <row r="303" spans="1:26" ht="50" customHeight="1" x14ac:dyDescent="0.15">
      <c r="A303" s="1"/>
      <c r="B303" s="32">
        <v>317</v>
      </c>
      <c r="C303" s="11" t="s">
        <v>803</v>
      </c>
      <c r="D303" s="16" t="s">
        <v>1336</v>
      </c>
      <c r="E303" s="1" t="s">
        <v>490</v>
      </c>
      <c r="F303" s="40" t="s">
        <v>491</v>
      </c>
      <c r="G303" s="1"/>
      <c r="H303" s="1" t="s">
        <v>266</v>
      </c>
      <c r="K303" s="1">
        <v>302</v>
      </c>
      <c r="L303" t="str">
        <f t="shared" si="4"/>
        <v>317 CO by air and H2</v>
      </c>
      <c r="M303" s="1"/>
      <c r="N303" s="1"/>
      <c r="O303" s="1"/>
      <c r="P303" s="1"/>
      <c r="R303" s="1"/>
      <c r="S303" s="1"/>
      <c r="T303" s="1"/>
      <c r="U303" s="1"/>
      <c r="V303" s="1"/>
      <c r="W303" s="1"/>
      <c r="X303" s="1"/>
      <c r="Y303" s="1"/>
      <c r="Z303" s="1"/>
    </row>
    <row r="304" spans="1:26" ht="50" customHeight="1" x14ac:dyDescent="0.15">
      <c r="A304" s="1"/>
      <c r="B304" s="32">
        <v>318</v>
      </c>
      <c r="C304" s="11" t="s">
        <v>1425</v>
      </c>
      <c r="D304" s="16" t="s">
        <v>1337</v>
      </c>
      <c r="E304" s="1" t="s">
        <v>493</v>
      </c>
      <c r="F304" s="40" t="s">
        <v>492</v>
      </c>
      <c r="G304" s="1"/>
      <c r="H304" s="1" t="s">
        <v>266</v>
      </c>
      <c r="K304" s="1">
        <v>303</v>
      </c>
      <c r="L304" t="str">
        <f t="shared" si="4"/>
        <v>318 CO by O2, N2, H2, He, CO2, self</v>
      </c>
      <c r="M304" s="1"/>
      <c r="N304" s="1"/>
      <c r="O304" s="1"/>
      <c r="P304" s="1"/>
      <c r="R304" s="1"/>
      <c r="S304" s="1"/>
      <c r="T304" s="1"/>
      <c r="U304" s="1"/>
      <c r="V304" s="1"/>
      <c r="W304" s="1"/>
      <c r="X304" s="1"/>
      <c r="Y304" s="1"/>
      <c r="Z304" s="1"/>
    </row>
    <row r="305" spans="1:26" ht="50" customHeight="1" x14ac:dyDescent="0.15">
      <c r="A305" s="1"/>
      <c r="B305" s="32">
        <v>319</v>
      </c>
      <c r="C305" s="11" t="s">
        <v>494</v>
      </c>
      <c r="D305" s="16" t="s">
        <v>1338</v>
      </c>
      <c r="E305" s="1" t="s">
        <v>496</v>
      </c>
      <c r="F305" s="40" t="s">
        <v>495</v>
      </c>
      <c r="G305" s="1"/>
      <c r="H305" s="1" t="s">
        <v>266</v>
      </c>
      <c r="K305" s="1">
        <v>304</v>
      </c>
      <c r="L305" t="str">
        <f t="shared" si="4"/>
        <v>319 H2O by H2 and He</v>
      </c>
      <c r="M305" s="1"/>
      <c r="N305" s="1"/>
      <c r="O305" s="1"/>
      <c r="P305" s="1"/>
      <c r="R305" s="1"/>
      <c r="S305" s="1"/>
      <c r="T305" s="1"/>
      <c r="U305" s="1"/>
      <c r="V305" s="1"/>
      <c r="W305" s="1"/>
      <c r="X305" s="1"/>
      <c r="Y305" s="1"/>
      <c r="Z305" s="1"/>
    </row>
    <row r="306" spans="1:26" ht="50" customHeight="1" x14ac:dyDescent="0.15">
      <c r="A306" s="1"/>
      <c r="B306" s="32">
        <v>321</v>
      </c>
      <c r="C306" s="11" t="s">
        <v>499</v>
      </c>
      <c r="D306" s="16" t="s">
        <v>1339</v>
      </c>
      <c r="E306" s="1" t="s">
        <v>354</v>
      </c>
      <c r="F306" s="40" t="s">
        <v>498</v>
      </c>
      <c r="G306" s="1"/>
      <c r="H306" s="1" t="s">
        <v>266</v>
      </c>
      <c r="J306" s="1" t="s">
        <v>1492</v>
      </c>
      <c r="K306" s="1">
        <v>306</v>
      </c>
      <c r="L306" t="str">
        <f t="shared" ref="L306:L314" si="5">B307&amp;" "&amp;E306</f>
        <v>322 H2O by H2</v>
      </c>
      <c r="M306" s="1"/>
      <c r="N306" s="1"/>
      <c r="O306" s="1"/>
      <c r="P306" s="1"/>
      <c r="R306" s="1"/>
      <c r="S306" s="1"/>
      <c r="T306" s="1"/>
      <c r="U306" s="1"/>
      <c r="V306" s="1"/>
      <c r="W306" s="1"/>
      <c r="X306" s="1"/>
      <c r="Y306" s="1"/>
      <c r="Z306" s="1"/>
    </row>
    <row r="307" spans="1:26" ht="50" customHeight="1" x14ac:dyDescent="0.15">
      <c r="A307" s="1"/>
      <c r="B307" s="32">
        <v>322</v>
      </c>
      <c r="C307" s="11" t="s">
        <v>1426</v>
      </c>
      <c r="D307" s="16" t="s">
        <v>1340</v>
      </c>
      <c r="E307" s="1" t="s">
        <v>496</v>
      </c>
      <c r="F307" s="40" t="s">
        <v>500</v>
      </c>
      <c r="G307" s="1"/>
      <c r="H307" s="1" t="s">
        <v>266</v>
      </c>
      <c r="K307" s="1">
        <v>307</v>
      </c>
      <c r="L307" t="str">
        <f t="shared" si="5"/>
        <v>323 H2O by H2 and He</v>
      </c>
      <c r="M307" s="1"/>
      <c r="N307" s="1"/>
      <c r="O307" s="1"/>
      <c r="P307" s="1"/>
      <c r="R307" s="1"/>
      <c r="S307" s="1"/>
      <c r="T307" s="1"/>
      <c r="U307" s="1"/>
      <c r="V307" s="1"/>
      <c r="W307" s="1"/>
      <c r="X307" s="1"/>
      <c r="Y307" s="1"/>
      <c r="Z307" s="1"/>
    </row>
    <row r="308" spans="1:26" ht="50" customHeight="1" x14ac:dyDescent="0.15">
      <c r="A308" s="1"/>
      <c r="B308" s="32">
        <v>323</v>
      </c>
      <c r="C308" s="11" t="s">
        <v>1435</v>
      </c>
      <c r="D308" s="16" t="s">
        <v>1341</v>
      </c>
      <c r="E308" s="1" t="s">
        <v>354</v>
      </c>
      <c r="F308" s="40" t="s">
        <v>501</v>
      </c>
      <c r="G308" s="1"/>
      <c r="H308" s="1" t="s">
        <v>1482</v>
      </c>
      <c r="K308" s="1">
        <v>308</v>
      </c>
      <c r="L308" t="str">
        <f t="shared" si="5"/>
        <v>324 H2O by H2</v>
      </c>
      <c r="M308" s="1"/>
      <c r="N308" s="1"/>
      <c r="O308" s="1"/>
      <c r="P308" s="1"/>
      <c r="R308" s="1"/>
      <c r="S308" s="1"/>
      <c r="T308" s="1"/>
      <c r="U308" s="1"/>
      <c r="V308" s="1"/>
      <c r="W308" s="1"/>
      <c r="X308" s="1"/>
      <c r="Y308" s="1"/>
      <c r="Z308" s="1"/>
    </row>
    <row r="309" spans="1:26" ht="50" customHeight="1" x14ac:dyDescent="0.15">
      <c r="A309" s="1"/>
      <c r="B309" s="32">
        <v>324</v>
      </c>
      <c r="C309" s="11" t="s">
        <v>1427</v>
      </c>
      <c r="D309" s="16" t="s">
        <v>1342</v>
      </c>
      <c r="E309" s="1" t="s">
        <v>502</v>
      </c>
      <c r="F309" s="40" t="s">
        <v>503</v>
      </c>
      <c r="G309" s="1"/>
      <c r="H309" s="1" t="s">
        <v>266</v>
      </c>
      <c r="I309" s="1"/>
      <c r="J309" s="1"/>
      <c r="K309" s="1">
        <v>309</v>
      </c>
      <c r="L309" t="str">
        <f t="shared" si="5"/>
        <v>325 C2H4 by self (C13 isotope)</v>
      </c>
      <c r="M309" s="1"/>
      <c r="N309" s="1"/>
      <c r="O309" s="1"/>
      <c r="P309" s="1"/>
      <c r="R309" s="1"/>
      <c r="S309" s="1"/>
      <c r="T309" s="1"/>
      <c r="U309" s="1"/>
      <c r="V309" s="1"/>
      <c r="W309" s="1"/>
      <c r="X309" s="1"/>
      <c r="Y309" s="1"/>
      <c r="Z309" s="1"/>
    </row>
    <row r="310" spans="1:26" ht="50" customHeight="1" x14ac:dyDescent="0.15">
      <c r="A310" s="1"/>
      <c r="B310" s="32">
        <v>325</v>
      </c>
      <c r="C310" s="11" t="s">
        <v>1428</v>
      </c>
      <c r="D310" s="16" t="s">
        <v>1343</v>
      </c>
      <c r="E310" s="1" t="s">
        <v>505</v>
      </c>
      <c r="F310" s="40" t="s">
        <v>504</v>
      </c>
      <c r="G310" s="1"/>
      <c r="H310" s="1" t="s">
        <v>266</v>
      </c>
      <c r="I310" s="1"/>
      <c r="J310" s="1"/>
      <c r="K310" s="1">
        <v>310</v>
      </c>
      <c r="L310" t="str">
        <f t="shared" si="5"/>
        <v>326 13CO and C18O by air</v>
      </c>
      <c r="M310" s="1"/>
      <c r="N310" s="1"/>
      <c r="O310" s="1"/>
      <c r="P310" s="1"/>
      <c r="R310" s="1"/>
      <c r="S310" s="1"/>
      <c r="T310" s="1"/>
      <c r="U310" s="1"/>
      <c r="V310" s="1"/>
      <c r="W310" s="1"/>
      <c r="X310" s="1"/>
      <c r="Y310" s="1"/>
      <c r="Z310" s="1"/>
    </row>
    <row r="311" spans="1:26" ht="50" customHeight="1" x14ac:dyDescent="0.15">
      <c r="A311" s="1"/>
      <c r="B311" s="32">
        <v>326</v>
      </c>
      <c r="C311" s="11" t="s">
        <v>1429</v>
      </c>
      <c r="D311" s="16" t="s">
        <v>1344</v>
      </c>
      <c r="E311" s="1" t="s">
        <v>507</v>
      </c>
      <c r="F311" s="40" t="s">
        <v>506</v>
      </c>
      <c r="G311" s="1"/>
      <c r="H311" s="1" t="s">
        <v>1482</v>
      </c>
      <c r="I311" s="1"/>
      <c r="J311" s="1"/>
      <c r="K311" s="1">
        <v>311</v>
      </c>
      <c r="L311" t="str">
        <f t="shared" si="5"/>
        <v>327 CH3F by self</v>
      </c>
      <c r="M311" s="1"/>
      <c r="N311" s="1"/>
      <c r="O311" s="1"/>
      <c r="P311" s="1"/>
      <c r="R311" s="1"/>
      <c r="S311" s="1"/>
      <c r="T311" s="1"/>
      <c r="U311" s="1"/>
      <c r="V311" s="1"/>
      <c r="W311" s="1"/>
      <c r="X311" s="1"/>
      <c r="Y311" s="1"/>
      <c r="Z311" s="1"/>
    </row>
    <row r="312" spans="1:26" ht="50" customHeight="1" x14ac:dyDescent="0.15">
      <c r="A312" s="1"/>
      <c r="B312" s="32">
        <v>327</v>
      </c>
      <c r="C312" s="11" t="s">
        <v>1430</v>
      </c>
      <c r="D312" s="16" t="s">
        <v>1345</v>
      </c>
      <c r="E312" s="1" t="s">
        <v>508</v>
      </c>
      <c r="F312" s="40" t="s">
        <v>1437</v>
      </c>
      <c r="G312" s="1"/>
      <c r="H312" s="1" t="s">
        <v>266</v>
      </c>
      <c r="I312" s="1"/>
      <c r="J312" s="1"/>
      <c r="K312" s="1">
        <v>312</v>
      </c>
      <c r="L312" t="str">
        <f t="shared" si="5"/>
        <v>328 CH4 by C3H8 and C4H10</v>
      </c>
      <c r="M312" s="1"/>
      <c r="N312" s="1"/>
      <c r="O312" s="1"/>
      <c r="P312" s="1"/>
      <c r="R312" s="1"/>
      <c r="S312" s="1"/>
      <c r="T312" s="1"/>
      <c r="U312" s="1"/>
      <c r="V312" s="1"/>
      <c r="W312" s="1"/>
      <c r="X312" s="1"/>
      <c r="Y312" s="1"/>
      <c r="Z312" s="1"/>
    </row>
    <row r="313" spans="1:26" ht="50" customHeight="1" x14ac:dyDescent="0.15">
      <c r="A313" s="1"/>
      <c r="B313" s="32">
        <v>328</v>
      </c>
      <c r="C313" s="11" t="s">
        <v>511</v>
      </c>
      <c r="D313" s="16" t="s">
        <v>1346</v>
      </c>
      <c r="E313" s="1" t="s">
        <v>510</v>
      </c>
      <c r="F313" s="40" t="s">
        <v>509</v>
      </c>
      <c r="G313" s="1"/>
      <c r="H313" s="1" t="s">
        <v>266</v>
      </c>
      <c r="I313" s="1"/>
      <c r="J313" s="1" t="s">
        <v>1492</v>
      </c>
      <c r="K313" s="1">
        <v>313</v>
      </c>
      <c r="L313" t="str">
        <f t="shared" si="5"/>
        <v>329 H2O by He, Ar, Kr</v>
      </c>
      <c r="M313" s="1"/>
      <c r="N313" s="1"/>
      <c r="O313" s="1"/>
      <c r="P313" s="1"/>
      <c r="R313" s="1"/>
      <c r="S313" s="1"/>
      <c r="T313" s="1"/>
      <c r="U313" s="1"/>
      <c r="V313" s="1"/>
      <c r="W313" s="1"/>
      <c r="X313" s="1"/>
      <c r="Y313" s="1"/>
      <c r="Z313" s="1"/>
    </row>
    <row r="314" spans="1:26" ht="50" customHeight="1" x14ac:dyDescent="0.15">
      <c r="A314" s="1"/>
      <c r="B314" s="32">
        <v>329</v>
      </c>
      <c r="C314" s="11" t="s">
        <v>514</v>
      </c>
      <c r="D314" s="16" t="s">
        <v>1347</v>
      </c>
      <c r="E314" s="1" t="s">
        <v>513</v>
      </c>
      <c r="F314" s="40" t="s">
        <v>512</v>
      </c>
      <c r="G314" s="1"/>
      <c r="H314" s="1" t="s">
        <v>266</v>
      </c>
      <c r="I314" s="1"/>
      <c r="J314" s="1"/>
      <c r="K314" s="1">
        <v>314</v>
      </c>
      <c r="L314" t="str">
        <f t="shared" si="5"/>
        <v>330 CO by CO2</v>
      </c>
      <c r="M314" s="1"/>
      <c r="N314" s="1"/>
      <c r="O314" s="1"/>
      <c r="P314" s="1"/>
      <c r="R314" s="1"/>
      <c r="S314" s="1"/>
      <c r="T314" s="1"/>
      <c r="U314" s="1"/>
      <c r="V314" s="1"/>
      <c r="W314" s="1"/>
      <c r="X314" s="1"/>
      <c r="Y314" s="1"/>
      <c r="Z314" s="1"/>
    </row>
    <row r="315" spans="1:26" ht="50" customHeight="1" x14ac:dyDescent="0.15">
      <c r="A315" s="1"/>
      <c r="B315" s="32">
        <v>330</v>
      </c>
      <c r="C315" s="11" t="s">
        <v>806</v>
      </c>
      <c r="D315" s="16" t="s">
        <v>1348</v>
      </c>
      <c r="E315" s="1" t="s">
        <v>516</v>
      </c>
      <c r="F315" s="40" t="s">
        <v>515</v>
      </c>
      <c r="G315" s="1"/>
      <c r="H315" s="1" t="s">
        <v>1490</v>
      </c>
      <c r="J315" s="1"/>
      <c r="K315" s="1">
        <v>315</v>
      </c>
      <c r="L315" t="e">
        <f>#REF!&amp;" "&amp;E315</f>
        <v>#REF!</v>
      </c>
      <c r="M315" s="1"/>
      <c r="N315" s="1"/>
      <c r="O315" s="1"/>
      <c r="P315" s="1"/>
      <c r="R315" s="1"/>
      <c r="S315" s="1"/>
      <c r="T315" s="1"/>
      <c r="U315" s="1"/>
      <c r="V315" s="1"/>
      <c r="W315" s="1"/>
      <c r="X315" s="1"/>
      <c r="Y315" s="1"/>
      <c r="Z315" s="1"/>
    </row>
    <row r="316" spans="1:26" ht="50" customHeight="1" x14ac:dyDescent="0.15">
      <c r="A316" s="1"/>
      <c r="B316" s="11">
        <v>287</v>
      </c>
      <c r="C316" s="11" t="s">
        <v>766</v>
      </c>
      <c r="D316" s="16" t="s">
        <v>1263</v>
      </c>
      <c r="E316" s="1" t="s">
        <v>765</v>
      </c>
      <c r="F316" s="40" t="s">
        <v>613</v>
      </c>
      <c r="G316" s="1"/>
      <c r="H316" s="1" t="s">
        <v>971</v>
      </c>
      <c r="I316" s="1" t="s">
        <v>907</v>
      </c>
      <c r="J316" s="1" t="s">
        <v>931</v>
      </c>
      <c r="K316" s="1">
        <v>316</v>
      </c>
      <c r="L316" t="str">
        <f t="shared" ref="L316:L328" si="6">B316&amp;" "&amp;E316</f>
        <v>287 NH3 by argon</v>
      </c>
      <c r="M316" s="1"/>
      <c r="N316" s="1"/>
      <c r="O316" s="1"/>
      <c r="P316" s="1"/>
      <c r="R316" s="1"/>
      <c r="S316" s="1"/>
      <c r="T316" s="1"/>
      <c r="U316" s="1"/>
      <c r="V316" s="1"/>
      <c r="W316" s="1"/>
      <c r="X316" s="1"/>
      <c r="Y316" s="1"/>
      <c r="Z316" s="1"/>
    </row>
    <row r="317" spans="1:26" ht="50" customHeight="1" x14ac:dyDescent="0.15">
      <c r="A317" s="1"/>
      <c r="B317" s="11">
        <v>288</v>
      </c>
      <c r="C317" s="11" t="s">
        <v>767</v>
      </c>
      <c r="D317" s="16" t="s">
        <v>1264</v>
      </c>
      <c r="E317" s="1" t="s">
        <v>477</v>
      </c>
      <c r="F317" s="40" t="s">
        <v>476</v>
      </c>
      <c r="G317" s="1"/>
      <c r="H317" s="1"/>
      <c r="I317" s="1" t="s">
        <v>915</v>
      </c>
      <c r="K317" s="1">
        <v>317</v>
      </c>
      <c r="L317" t="str">
        <f t="shared" si="6"/>
        <v>288 HCN by N2</v>
      </c>
      <c r="M317" s="1"/>
      <c r="N317" s="1"/>
      <c r="O317" s="1"/>
      <c r="P317" s="1"/>
      <c r="R317" s="1"/>
      <c r="S317" s="1"/>
      <c r="T317" s="1"/>
      <c r="U317" s="1"/>
      <c r="V317" s="1"/>
      <c r="W317" s="1"/>
      <c r="X317" s="1"/>
      <c r="Y317" s="1"/>
      <c r="Z317" s="1"/>
    </row>
    <row r="318" spans="1:26" ht="50" customHeight="1" x14ac:dyDescent="0.15">
      <c r="A318" s="1"/>
      <c r="B318" s="11">
        <v>291</v>
      </c>
      <c r="C318" s="11" t="s">
        <v>771</v>
      </c>
      <c r="D318" s="16" t="s">
        <v>1265</v>
      </c>
      <c r="E318" s="1" t="s">
        <v>769</v>
      </c>
      <c r="F318" s="40" t="s">
        <v>770</v>
      </c>
      <c r="G318" s="1"/>
      <c r="H318" s="1"/>
      <c r="I318" s="1" t="s">
        <v>923</v>
      </c>
      <c r="J318" s="1" t="s">
        <v>931</v>
      </c>
      <c r="K318" s="1">
        <v>318</v>
      </c>
      <c r="L318" t="str">
        <f t="shared" si="6"/>
        <v>291 CO by CO,N2,CO2</v>
      </c>
      <c r="M318" s="1"/>
      <c r="N318" s="1"/>
      <c r="O318" s="1"/>
      <c r="P318" s="1"/>
      <c r="R318" s="1"/>
      <c r="S318" s="1"/>
      <c r="T318" s="1"/>
      <c r="U318" s="1"/>
      <c r="V318" s="1"/>
      <c r="W318" s="1"/>
      <c r="X318" s="1"/>
      <c r="Y318" s="1"/>
      <c r="Z318" s="1"/>
    </row>
    <row r="319" spans="1:26" ht="50" customHeight="1" x14ac:dyDescent="0.15">
      <c r="A319" s="1"/>
      <c r="B319" s="11">
        <v>293</v>
      </c>
      <c r="C319" s="11" t="s">
        <v>774</v>
      </c>
      <c r="D319" s="16" t="s">
        <v>1266</v>
      </c>
      <c r="E319" s="1" t="s">
        <v>772</v>
      </c>
      <c r="F319" s="40" t="s">
        <v>773</v>
      </c>
      <c r="G319" s="1"/>
      <c r="H319" s="1"/>
      <c r="I319" s="1" t="s">
        <v>923</v>
      </c>
      <c r="J319" s="1"/>
      <c r="K319" s="1">
        <v>319</v>
      </c>
      <c r="L319" t="str">
        <f t="shared" si="6"/>
        <v>293 H2O by H2O, N2, O2, and CO2</v>
      </c>
      <c r="M319" s="1"/>
      <c r="N319" s="1"/>
      <c r="O319" s="1"/>
      <c r="P319" s="1"/>
      <c r="R319" s="1"/>
      <c r="S319" s="1"/>
      <c r="T319" s="1"/>
      <c r="U319" s="1"/>
      <c r="V319" s="1"/>
      <c r="W319" s="1"/>
      <c r="X319" s="1"/>
      <c r="Y319" s="1"/>
      <c r="Z319" s="1"/>
    </row>
    <row r="320" spans="1:26" ht="50" customHeight="1" x14ac:dyDescent="0.15">
      <c r="A320" s="1"/>
      <c r="B320" s="11">
        <v>294</v>
      </c>
      <c r="C320" s="11" t="s">
        <v>777</v>
      </c>
      <c r="D320" s="16" t="s">
        <v>1267</v>
      </c>
      <c r="E320" s="1" t="s">
        <v>775</v>
      </c>
      <c r="F320" s="40" t="s">
        <v>776</v>
      </c>
      <c r="G320" s="1"/>
      <c r="H320" s="1"/>
      <c r="I320" s="1" t="s">
        <v>927</v>
      </c>
      <c r="J320" s="1"/>
      <c r="K320" s="1">
        <v>320</v>
      </c>
      <c r="L320" t="str">
        <f t="shared" si="6"/>
        <v>294 HCl by HCl, HCl by DCI, DCI by HCl</v>
      </c>
      <c r="M320" s="1"/>
      <c r="N320" s="1"/>
      <c r="O320" s="1"/>
      <c r="P320" s="1"/>
      <c r="R320" s="1"/>
      <c r="S320" s="1"/>
      <c r="T320" s="1"/>
      <c r="U320" s="1"/>
      <c r="V320" s="1"/>
      <c r="W320" s="1"/>
      <c r="X320" s="1"/>
      <c r="Y320" s="1"/>
      <c r="Z320" s="1"/>
    </row>
    <row r="321" spans="1:26" ht="50" customHeight="1" x14ac:dyDescent="0.15">
      <c r="A321" s="1"/>
      <c r="B321" s="11">
        <v>295</v>
      </c>
      <c r="C321" s="11" t="s">
        <v>779</v>
      </c>
      <c r="D321" s="16" t="s">
        <v>1268</v>
      </c>
      <c r="E321" s="21" t="s">
        <v>778</v>
      </c>
      <c r="F321" s="40" t="s">
        <v>1441</v>
      </c>
      <c r="G321" s="1"/>
      <c r="H321" s="1" t="s">
        <v>903</v>
      </c>
      <c r="I321" s="1" t="s">
        <v>906</v>
      </c>
      <c r="J321" s="1"/>
      <c r="K321" s="1">
        <v>321</v>
      </c>
      <c r="L321" t="str">
        <f t="shared" si="6"/>
        <v>295 N2O by N2,O2,air</v>
      </c>
      <c r="M321" s="1"/>
      <c r="N321" s="1"/>
      <c r="O321" s="1"/>
      <c r="P321" s="1"/>
      <c r="R321" s="1"/>
      <c r="S321" s="1"/>
      <c r="T321" s="1"/>
      <c r="U321" s="1"/>
      <c r="V321" s="1"/>
      <c r="W321" s="1"/>
      <c r="X321" s="1"/>
      <c r="Y321" s="1"/>
      <c r="Z321" s="1"/>
    </row>
    <row r="322" spans="1:26" ht="50" customHeight="1" x14ac:dyDescent="0.15">
      <c r="A322" s="1"/>
      <c r="B322" s="11">
        <v>296</v>
      </c>
      <c r="C322" s="11" t="s">
        <v>1459</v>
      </c>
      <c r="D322" s="16" t="s">
        <v>1269</v>
      </c>
      <c r="E322" s="1" t="s">
        <v>780</v>
      </c>
      <c r="F322" s="40" t="s">
        <v>1442</v>
      </c>
      <c r="G322" s="1"/>
      <c r="H322" s="1" t="s">
        <v>903</v>
      </c>
      <c r="I322" s="1" t="s">
        <v>906</v>
      </c>
      <c r="J322" s="1"/>
      <c r="K322" s="1">
        <v>322</v>
      </c>
      <c r="L322" t="str">
        <f t="shared" si="6"/>
        <v>296 CH3CH by N2,O2,air</v>
      </c>
      <c r="M322" s="1"/>
      <c r="N322" s="1"/>
      <c r="O322" s="1"/>
      <c r="P322" s="1"/>
      <c r="R322" s="1"/>
      <c r="S322" s="1"/>
      <c r="T322" s="1"/>
      <c r="U322" s="1"/>
      <c r="V322" s="1"/>
      <c r="W322" s="1"/>
      <c r="X322" s="1"/>
      <c r="Y322" s="1"/>
      <c r="Z322" s="1"/>
    </row>
    <row r="323" spans="1:26" ht="50" customHeight="1" x14ac:dyDescent="0.15">
      <c r="A323" s="1"/>
      <c r="B323" s="11">
        <v>297</v>
      </c>
      <c r="C323" s="11" t="s">
        <v>782</v>
      </c>
      <c r="D323" s="16" t="s">
        <v>1270</v>
      </c>
      <c r="E323" s="1" t="s">
        <v>781</v>
      </c>
      <c r="F323" s="40" t="s">
        <v>1443</v>
      </c>
      <c r="G323" s="1"/>
      <c r="H323" s="1"/>
      <c r="I323" s="1" t="s">
        <v>906</v>
      </c>
      <c r="J323" s="1"/>
      <c r="K323" s="1">
        <v>323</v>
      </c>
      <c r="L323" t="str">
        <f t="shared" si="6"/>
        <v>297 H2O by CO2</v>
      </c>
      <c r="M323" s="1"/>
      <c r="N323" s="1"/>
      <c r="O323" s="1"/>
      <c r="P323" s="1"/>
      <c r="R323" s="1"/>
      <c r="S323" s="1"/>
      <c r="T323" s="1"/>
      <c r="U323" s="1"/>
      <c r="V323" s="1"/>
      <c r="W323" s="1"/>
      <c r="X323" s="1"/>
      <c r="Y323" s="1"/>
      <c r="Z323" s="1"/>
    </row>
    <row r="324" spans="1:26" ht="50" customHeight="1" x14ac:dyDescent="0.15">
      <c r="A324" s="1"/>
      <c r="B324" s="11">
        <v>298</v>
      </c>
      <c r="C324" s="11" t="s">
        <v>784</v>
      </c>
      <c r="D324" s="16" t="s">
        <v>1271</v>
      </c>
      <c r="E324" s="1" t="s">
        <v>783</v>
      </c>
      <c r="F324" s="40" t="s">
        <v>1444</v>
      </c>
      <c r="G324" s="1"/>
      <c r="H324" s="1"/>
      <c r="I324" s="1" t="s">
        <v>906</v>
      </c>
      <c r="J324" s="1"/>
      <c r="K324" s="1">
        <v>324</v>
      </c>
      <c r="L324" t="str">
        <f t="shared" si="6"/>
        <v>298 H2O by N2</v>
      </c>
      <c r="M324" s="1"/>
      <c r="N324" s="1"/>
      <c r="O324" s="1"/>
      <c r="P324" s="1"/>
      <c r="R324" s="1"/>
      <c r="S324" s="1"/>
      <c r="T324" s="1"/>
      <c r="U324" s="1"/>
      <c r="V324" s="1"/>
      <c r="W324" s="1"/>
      <c r="X324" s="1"/>
      <c r="Y324" s="1"/>
      <c r="Z324" s="1"/>
    </row>
    <row r="325" spans="1:26" ht="50" customHeight="1" x14ac:dyDescent="0.15">
      <c r="A325" s="1"/>
      <c r="B325" s="11">
        <v>299</v>
      </c>
      <c r="C325" s="11" t="s">
        <v>786</v>
      </c>
      <c r="D325" s="16" t="s">
        <v>1272</v>
      </c>
      <c r="E325" s="1" t="s">
        <v>785</v>
      </c>
      <c r="F325" s="40" t="s">
        <v>1445</v>
      </c>
      <c r="G325" s="1"/>
      <c r="H325" s="1"/>
      <c r="I325" s="1" t="s">
        <v>906</v>
      </c>
      <c r="J325" s="1"/>
      <c r="K325" s="1">
        <v>325</v>
      </c>
      <c r="L325" t="str">
        <f t="shared" si="6"/>
        <v>299 CO2 by air</v>
      </c>
      <c r="M325" s="1"/>
      <c r="N325" s="1"/>
      <c r="O325" s="1"/>
      <c r="P325" s="1"/>
      <c r="R325" s="1"/>
      <c r="S325" s="1"/>
      <c r="T325" s="1"/>
      <c r="U325" s="1"/>
      <c r="V325" s="1"/>
      <c r="W325" s="1"/>
      <c r="X325" s="1"/>
      <c r="Y325" s="1"/>
      <c r="Z325" s="1"/>
    </row>
    <row r="326" spans="1:26" ht="50" customHeight="1" x14ac:dyDescent="0.15">
      <c r="A326" s="1"/>
      <c r="B326" s="11">
        <v>300</v>
      </c>
      <c r="C326" s="11" t="s">
        <v>788</v>
      </c>
      <c r="D326" s="16" t="s">
        <v>1273</v>
      </c>
      <c r="E326" s="1" t="s">
        <v>787</v>
      </c>
      <c r="F326" s="40" t="s">
        <v>1446</v>
      </c>
      <c r="G326" s="1"/>
      <c r="H326" s="1"/>
      <c r="I326" s="1" t="s">
        <v>906</v>
      </c>
      <c r="J326" s="1"/>
      <c r="K326" s="1">
        <v>326</v>
      </c>
      <c r="L326" t="str">
        <f t="shared" si="6"/>
        <v>300 O2 by air</v>
      </c>
      <c r="M326" s="1"/>
      <c r="N326" s="1"/>
      <c r="O326" s="1"/>
      <c r="P326" s="1"/>
      <c r="R326" s="1"/>
      <c r="S326" s="1"/>
      <c r="T326" s="1"/>
      <c r="U326" s="1"/>
      <c r="V326" s="1"/>
      <c r="W326" s="1"/>
      <c r="X326" s="1"/>
      <c r="Y326" s="1"/>
      <c r="Z326" s="1"/>
    </row>
    <row r="327" spans="1:26" ht="50" customHeight="1" x14ac:dyDescent="0.15">
      <c r="A327" s="1"/>
      <c r="B327" s="11">
        <v>301</v>
      </c>
      <c r="C327" s="11" t="s">
        <v>790</v>
      </c>
      <c r="D327" s="16" t="s">
        <v>1274</v>
      </c>
      <c r="E327" s="1" t="s">
        <v>789</v>
      </c>
      <c r="F327" s="40" t="s">
        <v>1447</v>
      </c>
      <c r="G327" s="1"/>
      <c r="H327" s="1"/>
      <c r="I327" s="1" t="s">
        <v>906</v>
      </c>
      <c r="J327" s="1"/>
      <c r="K327" s="1">
        <v>327</v>
      </c>
      <c r="L327" t="str">
        <f t="shared" si="6"/>
        <v>301 K by CO2,O2</v>
      </c>
      <c r="M327" s="1"/>
      <c r="N327" s="1"/>
      <c r="O327" s="1"/>
      <c r="P327" s="1"/>
      <c r="R327" s="1"/>
      <c r="S327" s="1"/>
      <c r="T327" s="1"/>
      <c r="U327" s="1"/>
      <c r="V327" s="1"/>
      <c r="W327" s="1"/>
      <c r="X327" s="1"/>
      <c r="Y327" s="1"/>
      <c r="Z327" s="1"/>
    </row>
    <row r="328" spans="1:26" ht="50" customHeight="1" x14ac:dyDescent="0.15">
      <c r="A328" s="1"/>
      <c r="B328" s="11">
        <v>302</v>
      </c>
      <c r="C328" s="11" t="s">
        <v>792</v>
      </c>
      <c r="D328" s="16" t="s">
        <v>1275</v>
      </c>
      <c r="E328" s="1" t="s">
        <v>791</v>
      </c>
      <c r="F328" s="40" t="s">
        <v>1448</v>
      </c>
      <c r="G328" s="1"/>
      <c r="H328" s="1"/>
      <c r="I328" s="1" t="s">
        <v>906</v>
      </c>
      <c r="J328" s="1"/>
      <c r="K328" s="1">
        <v>328</v>
      </c>
      <c r="L328" t="str">
        <f t="shared" si="6"/>
        <v>302 K by Ar, H2,He, N2</v>
      </c>
      <c r="M328" s="1"/>
      <c r="N328" s="1"/>
      <c r="O328" s="1"/>
      <c r="P328" s="1"/>
      <c r="R328" s="1"/>
      <c r="S328" s="1"/>
      <c r="T328" s="1"/>
      <c r="U328" s="1"/>
      <c r="V328" s="1"/>
      <c r="W328" s="1"/>
      <c r="X328" s="1"/>
      <c r="Y328" s="1"/>
      <c r="Z328" s="1"/>
    </row>
    <row r="329" spans="1:26" ht="50" customHeight="1" x14ac:dyDescent="0.15">
      <c r="A329" s="1"/>
      <c r="B329" s="33">
        <v>333</v>
      </c>
      <c r="C329" s="11" t="s">
        <v>808</v>
      </c>
      <c r="D329" s="16" t="s">
        <v>1349</v>
      </c>
      <c r="E329" s="1" t="s">
        <v>809</v>
      </c>
      <c r="F329" s="40" t="s">
        <v>810</v>
      </c>
      <c r="G329" s="1"/>
      <c r="H329" s="1" t="s">
        <v>1482</v>
      </c>
      <c r="I329" s="1"/>
      <c r="J329" s="1"/>
      <c r="K329" s="1">
        <v>331</v>
      </c>
      <c r="L329" t="str">
        <f t="shared" ref="L329:L371" si="7">B329&amp;" "&amp;E329</f>
        <v>333 H2O by O2, N2, Ar</v>
      </c>
      <c r="M329" s="1"/>
      <c r="N329" s="1"/>
      <c r="O329" s="1"/>
      <c r="P329" s="1"/>
      <c r="R329" s="1"/>
      <c r="S329" s="1"/>
      <c r="T329" s="1"/>
      <c r="U329" s="1"/>
      <c r="V329" s="1"/>
      <c r="W329" s="1"/>
      <c r="X329" s="1"/>
      <c r="Y329" s="1"/>
      <c r="Z329" s="1"/>
    </row>
    <row r="330" spans="1:26" ht="50" customHeight="1" x14ac:dyDescent="0.15">
      <c r="A330" s="1"/>
      <c r="B330" s="33">
        <v>334</v>
      </c>
      <c r="C330" s="11" t="s">
        <v>1436</v>
      </c>
      <c r="D330" s="16" t="s">
        <v>1350</v>
      </c>
      <c r="E330" s="1" t="s">
        <v>811</v>
      </c>
      <c r="F330" s="40" t="s">
        <v>812</v>
      </c>
      <c r="G330" s="1"/>
      <c r="H330" s="1" t="s">
        <v>1482</v>
      </c>
      <c r="I330" s="1"/>
      <c r="J330" s="1"/>
      <c r="K330" s="1">
        <v>332</v>
      </c>
      <c r="L330" t="str">
        <f t="shared" si="7"/>
        <v>334 H2O by N2 and O2</v>
      </c>
      <c r="M330" s="1"/>
      <c r="N330" s="1"/>
      <c r="O330" s="1"/>
      <c r="P330" s="1"/>
      <c r="R330" s="1"/>
      <c r="S330" s="1"/>
      <c r="T330" s="1"/>
      <c r="U330" s="1"/>
      <c r="V330" s="1"/>
      <c r="W330" s="1"/>
      <c r="X330" s="1"/>
      <c r="Y330" s="1"/>
      <c r="Z330" s="1"/>
    </row>
    <row r="331" spans="1:26" ht="50" customHeight="1" x14ac:dyDescent="0.15">
      <c r="A331" s="1"/>
      <c r="B331" s="33">
        <v>335</v>
      </c>
      <c r="C331" s="11" t="s">
        <v>1431</v>
      </c>
      <c r="D331" s="16" t="s">
        <v>1351</v>
      </c>
      <c r="E331" s="1" t="s">
        <v>807</v>
      </c>
      <c r="F331" s="40" t="s">
        <v>1438</v>
      </c>
      <c r="G331" s="1"/>
      <c r="H331" s="1" t="s">
        <v>266</v>
      </c>
      <c r="I331" s="1"/>
      <c r="J331" s="1"/>
      <c r="K331" s="1">
        <v>333</v>
      </c>
      <c r="L331" t="str">
        <f t="shared" si="7"/>
        <v>335 H2O by O2</v>
      </c>
      <c r="M331" s="1"/>
      <c r="N331" s="1"/>
      <c r="O331" s="1"/>
      <c r="P331" s="1"/>
      <c r="R331" s="1"/>
      <c r="S331" s="1"/>
      <c r="T331" s="1"/>
      <c r="U331" s="1"/>
      <c r="V331" s="1"/>
      <c r="W331" s="1"/>
      <c r="X331" s="1"/>
      <c r="Y331" s="1"/>
      <c r="Z331" s="1"/>
    </row>
    <row r="332" spans="1:26" ht="50" customHeight="1" x14ac:dyDescent="0.15">
      <c r="A332" s="1"/>
      <c r="B332" s="33">
        <v>336</v>
      </c>
      <c r="C332" s="11" t="s">
        <v>813</v>
      </c>
      <c r="D332" s="16" t="s">
        <v>1352</v>
      </c>
      <c r="E332" s="1" t="s">
        <v>169</v>
      </c>
      <c r="F332" s="40" t="s">
        <v>814</v>
      </c>
      <c r="G332" s="1"/>
      <c r="H332" s="1" t="s">
        <v>266</v>
      </c>
      <c r="I332" s="1"/>
      <c r="J332" s="1"/>
      <c r="K332" s="1">
        <v>334</v>
      </c>
      <c r="L332" t="str">
        <f t="shared" si="7"/>
        <v>336 H2O by He</v>
      </c>
      <c r="M332" s="1"/>
      <c r="N332" s="1"/>
      <c r="O332" s="1"/>
      <c r="P332" s="1"/>
      <c r="R332" s="1"/>
      <c r="S332" s="1"/>
      <c r="T332" s="1"/>
      <c r="U332" s="1"/>
      <c r="V332" s="1"/>
      <c r="W332" s="1"/>
      <c r="X332" s="1"/>
      <c r="Y332" s="1"/>
      <c r="Z332" s="1"/>
    </row>
    <row r="333" spans="1:26" ht="50" customHeight="1" x14ac:dyDescent="0.15">
      <c r="A333" s="1"/>
      <c r="B333" s="33">
        <v>337</v>
      </c>
      <c r="C333" s="11" t="s">
        <v>1433</v>
      </c>
      <c r="D333" s="16" t="s">
        <v>1353</v>
      </c>
      <c r="E333" s="1" t="s">
        <v>3</v>
      </c>
      <c r="F333" s="40" t="s">
        <v>815</v>
      </c>
      <c r="G333" s="1"/>
      <c r="H333" s="1" t="s">
        <v>266</v>
      </c>
      <c r="I333" s="1"/>
      <c r="J333" s="1"/>
      <c r="K333" s="1">
        <v>335</v>
      </c>
      <c r="L333" t="str">
        <f t="shared" si="7"/>
        <v>337 H2O by CO2</v>
      </c>
      <c r="M333" s="1"/>
      <c r="N333" s="1"/>
      <c r="O333" s="1"/>
      <c r="P333" s="1"/>
      <c r="R333" s="1"/>
      <c r="S333" s="1"/>
      <c r="T333" s="1"/>
      <c r="U333" s="1"/>
      <c r="V333" s="1"/>
      <c r="W333" s="1"/>
      <c r="X333" s="1"/>
      <c r="Y333" s="1"/>
      <c r="Z333" s="1"/>
    </row>
    <row r="334" spans="1:26" ht="50" customHeight="1" x14ac:dyDescent="0.15">
      <c r="A334" s="1"/>
      <c r="B334" s="33">
        <v>338</v>
      </c>
      <c r="C334" s="11" t="s">
        <v>1432</v>
      </c>
      <c r="D334" s="16" t="s">
        <v>1354</v>
      </c>
      <c r="E334" s="1" t="s">
        <v>816</v>
      </c>
      <c r="F334" s="40" t="s">
        <v>817</v>
      </c>
      <c r="G334" s="1"/>
      <c r="H334" s="1" t="s">
        <v>1482</v>
      </c>
      <c r="I334" s="1"/>
      <c r="J334" s="1"/>
      <c r="K334" s="1">
        <v>336</v>
      </c>
      <c r="L334" t="str">
        <f t="shared" si="7"/>
        <v>338 HF and HCl by CO2</v>
      </c>
      <c r="M334" s="1"/>
      <c r="N334" s="1"/>
      <c r="O334" s="1"/>
      <c r="P334" s="1"/>
      <c r="R334" s="1"/>
      <c r="S334" s="1"/>
      <c r="T334" s="1"/>
      <c r="U334" s="1"/>
      <c r="V334" s="1"/>
      <c r="W334" s="1"/>
      <c r="X334" s="1"/>
      <c r="Y334" s="1"/>
      <c r="Z334" s="1"/>
    </row>
    <row r="335" spans="1:26" ht="50" customHeight="1" x14ac:dyDescent="0.15">
      <c r="A335" s="1"/>
      <c r="B335" s="33">
        <v>339</v>
      </c>
      <c r="C335" s="11" t="s">
        <v>818</v>
      </c>
      <c r="D335" s="16" t="s">
        <v>1355</v>
      </c>
      <c r="E335" s="1" t="s">
        <v>132</v>
      </c>
      <c r="F335" s="40" t="s">
        <v>819</v>
      </c>
      <c r="G335" s="1"/>
      <c r="H335" s="1" t="s">
        <v>266</v>
      </c>
      <c r="I335" s="1"/>
      <c r="J335" s="1"/>
      <c r="K335" s="1">
        <v>337</v>
      </c>
      <c r="L335" t="str">
        <f t="shared" si="7"/>
        <v>339 H2O by Ar</v>
      </c>
      <c r="M335" s="1"/>
      <c r="N335" s="1"/>
      <c r="O335" s="1"/>
      <c r="P335" s="1"/>
      <c r="R335" s="1"/>
      <c r="S335" s="1"/>
      <c r="T335" s="1"/>
      <c r="U335" s="1"/>
      <c r="V335" s="1"/>
      <c r="W335" s="1"/>
      <c r="X335" s="1"/>
      <c r="Y335" s="1"/>
      <c r="Z335" s="1"/>
    </row>
    <row r="336" spans="1:26" ht="50" customHeight="1" x14ac:dyDescent="0.15">
      <c r="A336" s="1"/>
      <c r="B336" s="33">
        <v>340</v>
      </c>
      <c r="C336" s="11" t="s">
        <v>820</v>
      </c>
      <c r="D336" s="16" t="s">
        <v>1356</v>
      </c>
      <c r="E336" s="1" t="s">
        <v>821</v>
      </c>
      <c r="F336" s="40" t="s">
        <v>822</v>
      </c>
      <c r="G336" s="1"/>
      <c r="H336" s="1" t="s">
        <v>266</v>
      </c>
      <c r="I336" s="1"/>
      <c r="J336" s="1"/>
      <c r="K336" s="1">
        <v>338</v>
      </c>
      <c r="L336" t="str">
        <f t="shared" si="7"/>
        <v>340 H2O by Ar, He, Ne, Kr</v>
      </c>
      <c r="M336" s="1"/>
      <c r="N336" s="1"/>
      <c r="O336" s="1"/>
      <c r="P336" s="1"/>
      <c r="R336" s="1"/>
      <c r="S336" s="1"/>
      <c r="T336" s="1"/>
      <c r="U336" s="1"/>
      <c r="V336" s="1"/>
      <c r="W336" s="1"/>
      <c r="X336" s="1"/>
      <c r="Y336" s="1"/>
      <c r="Z336" s="1"/>
    </row>
    <row r="337" spans="1:26" ht="50" customHeight="1" x14ac:dyDescent="0.15">
      <c r="A337" s="1"/>
      <c r="B337" s="33">
        <v>341</v>
      </c>
      <c r="C337" s="11" t="s">
        <v>823</v>
      </c>
      <c r="D337" s="16" t="s">
        <v>1357</v>
      </c>
      <c r="E337" s="1" t="s">
        <v>824</v>
      </c>
      <c r="F337" s="40" t="s">
        <v>825</v>
      </c>
      <c r="G337" s="1"/>
      <c r="H337" s="1" t="s">
        <v>1493</v>
      </c>
      <c r="I337" s="1"/>
      <c r="J337" s="1"/>
      <c r="K337" s="1">
        <v>339</v>
      </c>
      <c r="L337" t="str">
        <f t="shared" si="7"/>
        <v>341 H2S by self, H2O, N2, O2, H2, D2, CO2</v>
      </c>
      <c r="M337" s="1"/>
      <c r="N337" s="1"/>
      <c r="O337" s="1"/>
      <c r="P337" s="1"/>
      <c r="R337" s="1"/>
      <c r="S337" s="1"/>
      <c r="T337" s="1"/>
      <c r="U337" s="1"/>
      <c r="V337" s="1"/>
      <c r="W337" s="1"/>
      <c r="X337" s="1"/>
      <c r="Y337" s="1"/>
      <c r="Z337" s="1"/>
    </row>
    <row r="338" spans="1:26" ht="50" customHeight="1" x14ac:dyDescent="0.15">
      <c r="A338" s="1"/>
      <c r="B338" s="33">
        <v>342</v>
      </c>
      <c r="C338" s="11" t="s">
        <v>826</v>
      </c>
      <c r="D338" s="16" t="s">
        <v>1358</v>
      </c>
      <c r="E338" s="1" t="s">
        <v>827</v>
      </c>
      <c r="F338" s="40" t="s">
        <v>828</v>
      </c>
      <c r="G338" s="1"/>
      <c r="H338" s="1" t="s">
        <v>1482</v>
      </c>
      <c r="I338" s="1"/>
      <c r="J338" s="1"/>
      <c r="K338" s="1">
        <v>340</v>
      </c>
      <c r="L338" t="str">
        <f t="shared" si="7"/>
        <v>342 H2O by self, Ar, N2</v>
      </c>
      <c r="M338" s="1"/>
      <c r="N338" s="1"/>
      <c r="O338" s="1"/>
      <c r="P338" s="1"/>
      <c r="R338" s="1"/>
      <c r="S338" s="1"/>
      <c r="T338" s="1"/>
      <c r="U338" s="1"/>
      <c r="V338" s="1"/>
      <c r="W338" s="1"/>
      <c r="X338" s="1"/>
      <c r="Y338" s="1"/>
      <c r="Z338" s="1"/>
    </row>
    <row r="339" spans="1:26" ht="50" customHeight="1" x14ac:dyDescent="0.15">
      <c r="A339" s="1"/>
      <c r="B339" s="33">
        <v>343</v>
      </c>
      <c r="C339" s="11" t="s">
        <v>829</v>
      </c>
      <c r="D339" s="16" t="s">
        <v>1359</v>
      </c>
      <c r="E339" s="1" t="s">
        <v>169</v>
      </c>
      <c r="F339" s="40" t="s">
        <v>170</v>
      </c>
      <c r="G339" s="1"/>
      <c r="H339" s="1" t="s">
        <v>266</v>
      </c>
      <c r="I339" s="1"/>
      <c r="J339" s="1"/>
      <c r="K339" s="1">
        <v>341</v>
      </c>
      <c r="L339" t="str">
        <f t="shared" si="7"/>
        <v>343 H2O by He</v>
      </c>
      <c r="M339" s="1"/>
      <c r="N339" s="1"/>
      <c r="O339" s="1"/>
      <c r="P339" s="1"/>
      <c r="R339" s="1"/>
      <c r="S339" s="1"/>
      <c r="T339" s="1"/>
      <c r="U339" s="1"/>
      <c r="V339" s="1"/>
      <c r="W339" s="1"/>
      <c r="X339" s="1"/>
      <c r="Y339" s="1"/>
      <c r="Z339" s="1"/>
    </row>
    <row r="340" spans="1:26" ht="50" customHeight="1" x14ac:dyDescent="0.15">
      <c r="A340" s="1"/>
      <c r="B340" s="33">
        <v>344</v>
      </c>
      <c r="C340" s="11" t="s">
        <v>831</v>
      </c>
      <c r="D340" s="16" t="s">
        <v>1360</v>
      </c>
      <c r="E340" s="1" t="s">
        <v>830</v>
      </c>
      <c r="F340" s="40" t="s">
        <v>832</v>
      </c>
      <c r="G340" s="1"/>
      <c r="H340" s="1" t="s">
        <v>266</v>
      </c>
      <c r="I340" s="1"/>
      <c r="J340" s="1"/>
      <c r="K340" s="1">
        <v>342</v>
      </c>
      <c r="L340" t="str">
        <f t="shared" si="7"/>
        <v>344 H2O–H2O, NH3–NH3, DCl–HCl and CO–H2O</v>
      </c>
      <c r="M340" s="1"/>
      <c r="N340" s="1"/>
      <c r="O340" s="1"/>
      <c r="P340" s="1"/>
      <c r="R340" s="1"/>
      <c r="S340" s="1"/>
      <c r="T340" s="1"/>
      <c r="U340" s="1"/>
      <c r="V340" s="1"/>
      <c r="W340" s="1"/>
      <c r="X340" s="1"/>
      <c r="Y340" s="1"/>
      <c r="Z340" s="1"/>
    </row>
    <row r="341" spans="1:26" ht="50" customHeight="1" x14ac:dyDescent="0.15">
      <c r="A341" s="1"/>
      <c r="B341" s="33">
        <v>345</v>
      </c>
      <c r="C341" s="11" t="s">
        <v>834</v>
      </c>
      <c r="D341" s="16" t="s">
        <v>1361</v>
      </c>
      <c r="E341" s="1" t="s">
        <v>226</v>
      </c>
      <c r="F341" s="40" t="s">
        <v>833</v>
      </c>
      <c r="G341" s="1"/>
      <c r="H341" s="1" t="s">
        <v>266</v>
      </c>
      <c r="I341" s="1"/>
      <c r="J341" s="1"/>
      <c r="K341" s="1">
        <v>343</v>
      </c>
      <c r="L341" t="str">
        <f t="shared" si="7"/>
        <v>345 H2S by He, Ne, Ar, Kr, Xe</v>
      </c>
      <c r="M341" s="1"/>
      <c r="N341" s="1"/>
      <c r="O341" s="1"/>
      <c r="P341" s="1"/>
      <c r="R341" s="1"/>
      <c r="S341" s="1"/>
      <c r="T341" s="1"/>
      <c r="U341" s="1"/>
      <c r="V341" s="1"/>
      <c r="W341" s="1"/>
      <c r="X341" s="1"/>
      <c r="Y341" s="1"/>
      <c r="Z341" s="1"/>
    </row>
    <row r="342" spans="1:26" ht="50" customHeight="1" x14ac:dyDescent="0.15">
      <c r="A342" s="1"/>
      <c r="B342" s="33">
        <v>346</v>
      </c>
      <c r="C342" s="11" t="s">
        <v>835</v>
      </c>
      <c r="D342" s="16" t="s">
        <v>1362</v>
      </c>
      <c r="E342" s="1" t="s">
        <v>837</v>
      </c>
      <c r="F342" s="40" t="s">
        <v>836</v>
      </c>
      <c r="G342" s="1"/>
      <c r="H342" s="1" t="s">
        <v>266</v>
      </c>
      <c r="I342" s="1"/>
      <c r="J342" s="1"/>
      <c r="K342" s="1">
        <v>344</v>
      </c>
      <c r="L342" t="str">
        <f t="shared" si="7"/>
        <v>346 H2S by He</v>
      </c>
      <c r="M342" s="1"/>
      <c r="N342" s="1"/>
      <c r="O342" s="1"/>
      <c r="P342" s="1"/>
      <c r="R342" s="1"/>
      <c r="S342" s="1"/>
      <c r="T342" s="1"/>
      <c r="U342" s="1"/>
      <c r="V342" s="1"/>
      <c r="W342" s="1"/>
      <c r="X342" s="1"/>
      <c r="Y342" s="1"/>
      <c r="Z342" s="1"/>
    </row>
    <row r="343" spans="1:26" ht="50" customHeight="1" x14ac:dyDescent="0.15">
      <c r="A343" s="1"/>
      <c r="B343" s="33">
        <v>347</v>
      </c>
      <c r="C343" s="11" t="s">
        <v>838</v>
      </c>
      <c r="D343" s="16" t="s">
        <v>1363</v>
      </c>
      <c r="E343" s="1" t="s">
        <v>839</v>
      </c>
      <c r="F343" s="40" t="s">
        <v>840</v>
      </c>
      <c r="G343" s="1"/>
      <c r="H343" s="1" t="s">
        <v>266</v>
      </c>
      <c r="I343" s="1"/>
      <c r="J343" s="1"/>
      <c r="K343" s="1">
        <v>345</v>
      </c>
      <c r="L343" t="str">
        <f t="shared" si="7"/>
        <v>347 NH3 by Ar and He</v>
      </c>
      <c r="M343" s="1"/>
      <c r="N343" s="1"/>
      <c r="O343" s="1"/>
      <c r="P343" s="1"/>
      <c r="R343" s="1"/>
      <c r="S343" s="1"/>
      <c r="T343" s="1"/>
      <c r="U343" s="1"/>
      <c r="V343" s="1"/>
      <c r="W343" s="1"/>
      <c r="X343" s="1"/>
      <c r="Y343" s="1"/>
      <c r="Z343" s="1"/>
    </row>
    <row r="344" spans="1:26" ht="50" customHeight="1" x14ac:dyDescent="0.15">
      <c r="A344" s="1"/>
      <c r="B344" s="33">
        <v>348</v>
      </c>
      <c r="C344" s="11" t="s">
        <v>841</v>
      </c>
      <c r="D344" s="16" t="s">
        <v>1364</v>
      </c>
      <c r="E344" s="1" t="s">
        <v>226</v>
      </c>
      <c r="F344" s="40" t="s">
        <v>842</v>
      </c>
      <c r="G344" s="1"/>
      <c r="H344" s="1" t="s">
        <v>266</v>
      </c>
      <c r="I344" s="1"/>
      <c r="J344" s="1" t="s">
        <v>1503</v>
      </c>
      <c r="K344" s="1">
        <v>346</v>
      </c>
      <c r="L344" t="str">
        <f t="shared" si="7"/>
        <v>348 H2S by He, Ne, Ar, Kr, Xe</v>
      </c>
      <c r="M344" s="1"/>
      <c r="N344" s="1"/>
      <c r="O344" s="1"/>
      <c r="P344" s="1"/>
      <c r="R344" s="1"/>
      <c r="S344" s="1"/>
      <c r="T344" s="1"/>
      <c r="U344" s="1"/>
      <c r="V344" s="1"/>
      <c r="W344" s="1"/>
      <c r="X344" s="1"/>
      <c r="Y344" s="1"/>
      <c r="Z344" s="1"/>
    </row>
    <row r="345" spans="1:26" ht="50" customHeight="1" x14ac:dyDescent="0.15">
      <c r="A345" s="1"/>
      <c r="B345" s="33">
        <v>349</v>
      </c>
      <c r="C345" s="11" t="s">
        <v>843</v>
      </c>
      <c r="D345" s="16" t="s">
        <v>1365</v>
      </c>
      <c r="E345" s="1" t="s">
        <v>510</v>
      </c>
      <c r="F345" s="40" t="s">
        <v>844</v>
      </c>
      <c r="G345" s="1"/>
      <c r="H345" s="1" t="s">
        <v>266</v>
      </c>
      <c r="I345" s="1"/>
      <c r="J345" s="1"/>
      <c r="K345" s="1">
        <v>347</v>
      </c>
      <c r="L345" t="str">
        <f t="shared" si="7"/>
        <v>349 H2O by He, Ar, Kr</v>
      </c>
      <c r="M345" s="1"/>
      <c r="N345" s="1"/>
      <c r="O345" s="1"/>
      <c r="P345" s="1"/>
      <c r="R345" s="1"/>
      <c r="S345" s="1"/>
      <c r="T345" s="1"/>
      <c r="U345" s="1"/>
      <c r="V345" s="1"/>
      <c r="W345" s="1"/>
      <c r="X345" s="1"/>
      <c r="Y345" s="1"/>
      <c r="Z345" s="1"/>
    </row>
    <row r="346" spans="1:26" ht="50" customHeight="1" x14ac:dyDescent="0.15">
      <c r="A346" s="1"/>
      <c r="B346" s="33">
        <v>350</v>
      </c>
      <c r="C346" s="11" t="s">
        <v>845</v>
      </c>
      <c r="D346" s="16" t="s">
        <v>1366</v>
      </c>
      <c r="E346" s="1" t="s">
        <v>839</v>
      </c>
      <c r="F346" s="40" t="s">
        <v>846</v>
      </c>
      <c r="G346" s="1"/>
      <c r="H346" s="1" t="s">
        <v>266</v>
      </c>
      <c r="I346" s="1"/>
      <c r="J346" s="1"/>
      <c r="K346" s="1">
        <v>348</v>
      </c>
      <c r="L346" t="str">
        <f t="shared" si="7"/>
        <v>350 NH3 by Ar and He</v>
      </c>
      <c r="M346" s="1"/>
      <c r="N346" s="1"/>
      <c r="O346" s="1"/>
      <c r="P346" s="1"/>
      <c r="R346" s="1"/>
      <c r="S346" s="1"/>
      <c r="T346" s="1"/>
      <c r="U346" s="1"/>
      <c r="V346" s="1"/>
      <c r="W346" s="1"/>
      <c r="X346" s="1"/>
      <c r="Y346" s="1"/>
      <c r="Z346" s="1"/>
    </row>
    <row r="347" spans="1:26" ht="50" customHeight="1" x14ac:dyDescent="0.15">
      <c r="A347" s="1"/>
      <c r="B347" s="33">
        <v>351</v>
      </c>
      <c r="C347" s="11" t="s">
        <v>847</v>
      </c>
      <c r="D347" s="16" t="s">
        <v>1367</v>
      </c>
      <c r="E347" s="1" t="s">
        <v>848</v>
      </c>
      <c r="F347" s="40" t="s">
        <v>849</v>
      </c>
      <c r="G347" s="1"/>
      <c r="H347" s="1" t="s">
        <v>266</v>
      </c>
      <c r="I347" s="1"/>
      <c r="J347" s="1"/>
      <c r="K347" s="1">
        <v>349</v>
      </c>
      <c r="L347" t="str">
        <f t="shared" si="7"/>
        <v>351 H2O by N2, Ar and He</v>
      </c>
      <c r="M347" s="1"/>
      <c r="N347" s="1"/>
      <c r="O347" s="1"/>
      <c r="P347" s="1"/>
      <c r="R347" s="1"/>
      <c r="S347" s="1"/>
      <c r="T347" s="1"/>
      <c r="U347" s="1"/>
      <c r="V347" s="1"/>
      <c r="W347" s="1"/>
      <c r="X347" s="1"/>
      <c r="Y347" s="1"/>
      <c r="Z347" s="1"/>
    </row>
    <row r="348" spans="1:26" ht="50" customHeight="1" x14ac:dyDescent="0.15">
      <c r="A348" s="1"/>
      <c r="B348" s="33">
        <v>352</v>
      </c>
      <c r="C348" s="11" t="s">
        <v>850</v>
      </c>
      <c r="D348" s="16" t="s">
        <v>1368</v>
      </c>
      <c r="E348" s="1" t="s">
        <v>851</v>
      </c>
      <c r="F348" s="40" t="s">
        <v>852</v>
      </c>
      <c r="G348" s="1"/>
      <c r="H348" s="1" t="s">
        <v>266</v>
      </c>
      <c r="I348" s="1"/>
      <c r="J348" s="1"/>
      <c r="K348" s="1">
        <v>350</v>
      </c>
      <c r="L348" t="str">
        <f t="shared" si="7"/>
        <v>352 H2O by Ne, Kr and Xe</v>
      </c>
      <c r="M348" s="1"/>
      <c r="N348" s="1"/>
      <c r="O348" s="1"/>
      <c r="P348" s="1"/>
      <c r="R348" s="1"/>
      <c r="S348" s="1"/>
      <c r="T348" s="1"/>
      <c r="U348" s="1"/>
      <c r="V348" s="1"/>
      <c r="W348" s="1"/>
      <c r="X348" s="1"/>
      <c r="Y348" s="1"/>
      <c r="Z348" s="1"/>
    </row>
    <row r="349" spans="1:26" ht="50" customHeight="1" x14ac:dyDescent="0.15">
      <c r="A349" s="1"/>
      <c r="B349" s="33">
        <v>353</v>
      </c>
      <c r="C349" s="11" t="s">
        <v>853</v>
      </c>
      <c r="D349" s="16" t="s">
        <v>1369</v>
      </c>
      <c r="E349" s="1" t="s">
        <v>376</v>
      </c>
      <c r="F349" s="40" t="s">
        <v>854</v>
      </c>
      <c r="G349" s="1"/>
      <c r="H349" s="1" t="s">
        <v>1482</v>
      </c>
      <c r="I349" s="1"/>
      <c r="J349" s="1"/>
      <c r="K349" s="1">
        <v>351</v>
      </c>
      <c r="L349" t="str">
        <f t="shared" si="7"/>
        <v>353 CO by He and Ar</v>
      </c>
      <c r="M349" s="1"/>
      <c r="N349" s="1"/>
      <c r="O349" s="1"/>
      <c r="P349" s="1"/>
      <c r="R349" s="1"/>
      <c r="S349" s="1"/>
      <c r="T349" s="1"/>
      <c r="U349" s="1"/>
      <c r="V349" s="1"/>
      <c r="W349" s="1"/>
      <c r="X349" s="1"/>
      <c r="Y349" s="1"/>
      <c r="Z349" s="1"/>
    </row>
    <row r="350" spans="1:26" ht="50" customHeight="1" x14ac:dyDescent="0.15">
      <c r="A350" s="1"/>
      <c r="B350" s="33">
        <v>354</v>
      </c>
      <c r="C350" s="11" t="s">
        <v>855</v>
      </c>
      <c r="D350" s="16" t="s">
        <v>1370</v>
      </c>
      <c r="E350" s="1" t="s">
        <v>851</v>
      </c>
      <c r="F350" s="40" t="s">
        <v>856</v>
      </c>
      <c r="G350" s="1"/>
      <c r="H350" s="1" t="s">
        <v>266</v>
      </c>
      <c r="I350" s="1"/>
      <c r="J350" s="1"/>
      <c r="K350" s="1">
        <v>352</v>
      </c>
      <c r="L350" t="str">
        <f t="shared" si="7"/>
        <v>354 H2O by Ne, Kr and Xe</v>
      </c>
      <c r="M350" s="1"/>
      <c r="N350" s="1"/>
      <c r="O350" s="1"/>
      <c r="P350" s="1"/>
      <c r="R350" s="1"/>
      <c r="S350" s="1"/>
      <c r="T350" s="1"/>
      <c r="U350" s="1"/>
      <c r="V350" s="1"/>
      <c r="W350" s="1"/>
      <c r="X350" s="1"/>
      <c r="Y350" s="1"/>
      <c r="Z350" s="1"/>
    </row>
    <row r="351" spans="1:26" ht="50" customHeight="1" x14ac:dyDescent="0.15">
      <c r="A351" s="1"/>
      <c r="B351" s="33">
        <v>355</v>
      </c>
      <c r="C351" s="11" t="s">
        <v>857</v>
      </c>
      <c r="D351" s="16" t="s">
        <v>1371</v>
      </c>
      <c r="E351" s="1" t="s">
        <v>858</v>
      </c>
      <c r="F351" s="40" t="s">
        <v>859</v>
      </c>
      <c r="G351" s="1"/>
      <c r="H351" s="1" t="s">
        <v>266</v>
      </c>
      <c r="I351" s="1"/>
      <c r="J351" s="1"/>
      <c r="K351" s="1">
        <v>353</v>
      </c>
      <c r="L351" t="str">
        <f t="shared" si="7"/>
        <v>355 H2O by Ar, Kr, H2 and He</v>
      </c>
      <c r="M351" s="1"/>
      <c r="N351" s="1"/>
      <c r="O351" s="1"/>
      <c r="P351" s="1"/>
      <c r="R351" s="1"/>
      <c r="S351" s="1"/>
      <c r="T351" s="1"/>
      <c r="U351" s="1"/>
      <c r="V351" s="1"/>
      <c r="W351" s="1"/>
      <c r="X351" s="1"/>
      <c r="Y351" s="1"/>
      <c r="Z351" s="1"/>
    </row>
    <row r="352" spans="1:26" ht="50" customHeight="1" x14ac:dyDescent="0.15">
      <c r="A352" s="1"/>
      <c r="B352" s="33">
        <v>356</v>
      </c>
      <c r="C352" s="11" t="s">
        <v>860</v>
      </c>
      <c r="D352" s="16" t="s">
        <v>1372</v>
      </c>
      <c r="E352" s="1" t="s">
        <v>861</v>
      </c>
      <c r="F352" s="40" t="s">
        <v>862</v>
      </c>
      <c r="G352" s="1"/>
      <c r="H352" s="1" t="s">
        <v>1482</v>
      </c>
      <c r="I352" s="1"/>
      <c r="J352" s="1"/>
      <c r="K352" s="1">
        <v>354</v>
      </c>
      <c r="L352" t="str">
        <f t="shared" si="7"/>
        <v>356 H2O by N2, O2, air and Ar</v>
      </c>
      <c r="M352" s="1"/>
      <c r="N352" s="1"/>
      <c r="O352" s="1"/>
      <c r="P352" s="1"/>
      <c r="R352" s="1"/>
      <c r="S352" s="1"/>
      <c r="T352" s="1"/>
      <c r="U352" s="1"/>
      <c r="V352" s="1"/>
      <c r="W352" s="1"/>
      <c r="X352" s="1"/>
      <c r="Y352" s="1"/>
      <c r="Z352" s="1"/>
    </row>
    <row r="353" spans="1:26" ht="50" customHeight="1" x14ac:dyDescent="0.15">
      <c r="A353" s="1"/>
      <c r="B353" s="33">
        <v>357</v>
      </c>
      <c r="C353" s="11" t="s">
        <v>863</v>
      </c>
      <c r="D353" s="16" t="s">
        <v>1373</v>
      </c>
      <c r="E353" s="1" t="s">
        <v>3</v>
      </c>
      <c r="F353" s="40" t="s">
        <v>864</v>
      </c>
      <c r="G353" s="1"/>
      <c r="H353" s="1" t="s">
        <v>1490</v>
      </c>
      <c r="I353" s="1"/>
      <c r="J353" s="1" t="s">
        <v>1503</v>
      </c>
      <c r="K353" s="1">
        <v>355</v>
      </c>
      <c r="L353" t="str">
        <f t="shared" si="7"/>
        <v>357 H2O by CO2</v>
      </c>
      <c r="M353" s="1"/>
      <c r="N353" s="1"/>
      <c r="O353" s="1"/>
      <c r="P353" s="1"/>
      <c r="R353" s="1"/>
      <c r="S353" s="1"/>
      <c r="T353" s="1"/>
      <c r="U353" s="1"/>
      <c r="V353" s="1"/>
      <c r="W353" s="1"/>
      <c r="X353" s="1"/>
      <c r="Y353" s="1"/>
      <c r="Z353" s="1"/>
    </row>
    <row r="354" spans="1:26" ht="50" customHeight="1" x14ac:dyDescent="0.15">
      <c r="A354" s="1"/>
      <c r="B354" s="33">
        <v>358</v>
      </c>
      <c r="C354" s="11" t="s">
        <v>865</v>
      </c>
      <c r="D354" s="16" t="s">
        <v>1374</v>
      </c>
      <c r="E354" s="4" t="s">
        <v>866</v>
      </c>
      <c r="F354" s="40" t="s">
        <v>867</v>
      </c>
      <c r="G354" s="1"/>
      <c r="H354" s="1" t="s">
        <v>266</v>
      </c>
      <c r="I354" s="1"/>
      <c r="J354" s="1"/>
      <c r="K354" s="1">
        <v>356</v>
      </c>
      <c r="L354" t="str">
        <f t="shared" si="7"/>
        <v>358 H2O by He, Ar, Kr and Xe</v>
      </c>
      <c r="M354" s="1"/>
      <c r="N354" s="1"/>
      <c r="O354" s="1"/>
      <c r="P354" s="1"/>
      <c r="R354" s="1"/>
      <c r="S354" s="1"/>
      <c r="T354" s="1"/>
      <c r="U354" s="1"/>
      <c r="V354" s="1"/>
      <c r="W354" s="1"/>
      <c r="X354" s="1"/>
      <c r="Y354" s="1"/>
      <c r="Z354" s="1"/>
    </row>
    <row r="355" spans="1:26" ht="50" customHeight="1" x14ac:dyDescent="0.15">
      <c r="A355" s="1"/>
      <c r="B355" s="33">
        <v>359</v>
      </c>
      <c r="C355" s="11" t="s">
        <v>868</v>
      </c>
      <c r="D355" s="16" t="s">
        <v>1375</v>
      </c>
      <c r="E355" s="4" t="s">
        <v>169</v>
      </c>
      <c r="F355" s="40" t="s">
        <v>869</v>
      </c>
      <c r="G355" s="1"/>
      <c r="H355" s="1" t="s">
        <v>1482</v>
      </c>
      <c r="I355" s="1"/>
      <c r="J355" s="1"/>
      <c r="K355" s="1">
        <v>357</v>
      </c>
      <c r="L355" t="str">
        <f t="shared" si="7"/>
        <v>359 H2O by He</v>
      </c>
      <c r="M355" s="1"/>
      <c r="N355" s="1"/>
      <c r="O355" s="1"/>
      <c r="P355" s="1"/>
      <c r="R355" s="1"/>
      <c r="S355" s="1"/>
      <c r="T355" s="1"/>
      <c r="U355" s="1"/>
      <c r="V355" s="1"/>
      <c r="W355" s="1"/>
      <c r="X355" s="1"/>
      <c r="Y355" s="1"/>
      <c r="Z355" s="1"/>
    </row>
    <row r="356" spans="1:26" ht="50" customHeight="1" x14ac:dyDescent="0.15">
      <c r="A356" s="1"/>
      <c r="B356" s="33">
        <v>360</v>
      </c>
      <c r="C356" s="11" t="s">
        <v>870</v>
      </c>
      <c r="D356" s="16" t="s">
        <v>1376</v>
      </c>
      <c r="E356" s="4" t="s">
        <v>354</v>
      </c>
      <c r="F356" s="40" t="s">
        <v>871</v>
      </c>
      <c r="G356" s="1"/>
      <c r="H356" s="1" t="s">
        <v>1504</v>
      </c>
      <c r="I356" s="1"/>
      <c r="J356" s="1"/>
      <c r="K356" s="1">
        <v>358</v>
      </c>
      <c r="L356" t="str">
        <f t="shared" si="7"/>
        <v>360 H2O by H2</v>
      </c>
      <c r="M356" s="1"/>
      <c r="N356" s="1"/>
      <c r="O356" s="1"/>
      <c r="P356" s="1"/>
      <c r="R356" s="1"/>
      <c r="S356" s="1"/>
      <c r="T356" s="1"/>
      <c r="U356" s="1"/>
      <c r="V356" s="1"/>
      <c r="W356" s="1"/>
      <c r="X356" s="1"/>
      <c r="Y356" s="1"/>
      <c r="Z356" s="1"/>
    </row>
    <row r="357" spans="1:26" ht="50" customHeight="1" x14ac:dyDescent="0.15">
      <c r="A357" s="1"/>
      <c r="B357" s="33">
        <v>361</v>
      </c>
      <c r="C357" s="11" t="s">
        <v>872</v>
      </c>
      <c r="D357" s="16" t="s">
        <v>1377</v>
      </c>
      <c r="E357" s="4" t="s">
        <v>169</v>
      </c>
      <c r="F357" s="40" t="s">
        <v>873</v>
      </c>
      <c r="G357" s="1"/>
      <c r="H357" s="1" t="s">
        <v>266</v>
      </c>
      <c r="I357" s="1"/>
      <c r="J357" s="1"/>
      <c r="K357" s="1">
        <v>359</v>
      </c>
      <c r="L357" t="str">
        <f t="shared" si="7"/>
        <v>361 H2O by He</v>
      </c>
      <c r="M357" s="1"/>
      <c r="N357" s="1"/>
      <c r="O357" s="1"/>
      <c r="P357" s="1"/>
      <c r="R357" s="1"/>
      <c r="S357" s="1"/>
      <c r="T357" s="1"/>
      <c r="U357" s="1"/>
      <c r="V357" s="1"/>
      <c r="W357" s="1"/>
      <c r="X357" s="1"/>
      <c r="Y357" s="1"/>
      <c r="Z357" s="1"/>
    </row>
    <row r="358" spans="1:26" ht="50" customHeight="1" x14ac:dyDescent="0.15">
      <c r="A358" s="1"/>
      <c r="B358" s="33">
        <v>362</v>
      </c>
      <c r="C358" s="11" t="s">
        <v>874</v>
      </c>
      <c r="D358" s="16" t="s">
        <v>1378</v>
      </c>
      <c r="E358" s="4" t="s">
        <v>354</v>
      </c>
      <c r="F358" s="40" t="s">
        <v>878</v>
      </c>
      <c r="G358" s="1"/>
      <c r="H358" s="1" t="s">
        <v>1482</v>
      </c>
      <c r="I358" s="1"/>
      <c r="J358" s="1"/>
      <c r="K358" s="1">
        <v>360</v>
      </c>
      <c r="L358" t="str">
        <f t="shared" si="7"/>
        <v>362 H2O by H2</v>
      </c>
      <c r="M358" s="1"/>
      <c r="N358" s="1"/>
      <c r="O358" s="1"/>
      <c r="P358" s="1"/>
      <c r="R358" s="1"/>
      <c r="S358" s="1"/>
      <c r="T358" s="1"/>
      <c r="U358" s="1"/>
      <c r="V358" s="1"/>
      <c r="W358" s="1"/>
      <c r="X358" s="1"/>
      <c r="Y358" s="1"/>
      <c r="Z358" s="1"/>
    </row>
    <row r="359" spans="1:26" ht="50" customHeight="1" x14ac:dyDescent="0.15">
      <c r="A359" s="1"/>
      <c r="B359" s="33">
        <v>363</v>
      </c>
      <c r="C359" s="11" t="s">
        <v>875</v>
      </c>
      <c r="D359" s="16" t="s">
        <v>1379</v>
      </c>
      <c r="E359" s="4" t="s">
        <v>132</v>
      </c>
      <c r="F359" s="40" t="s">
        <v>879</v>
      </c>
      <c r="G359" s="1"/>
      <c r="H359" s="1" t="s">
        <v>266</v>
      </c>
      <c r="I359" s="1"/>
      <c r="J359" s="1"/>
      <c r="K359" s="1">
        <v>361</v>
      </c>
      <c r="L359" t="str">
        <f t="shared" si="7"/>
        <v>363 H2O by Ar</v>
      </c>
      <c r="M359" s="1"/>
      <c r="N359" s="1"/>
      <c r="O359" s="1"/>
      <c r="P359" s="1"/>
      <c r="R359" s="1"/>
      <c r="S359" s="1"/>
      <c r="T359" s="1"/>
      <c r="U359" s="1"/>
      <c r="V359" s="1"/>
      <c r="W359" s="1"/>
      <c r="X359" s="1"/>
      <c r="Y359" s="1"/>
      <c r="Z359" s="1"/>
    </row>
    <row r="360" spans="1:26" ht="50" customHeight="1" x14ac:dyDescent="0.15">
      <c r="A360" s="1"/>
      <c r="B360" s="33">
        <v>364</v>
      </c>
      <c r="C360" s="11" t="s">
        <v>876</v>
      </c>
      <c r="D360" s="16" t="s">
        <v>1380</v>
      </c>
      <c r="E360" s="4" t="s">
        <v>354</v>
      </c>
      <c r="F360" s="40" t="s">
        <v>880</v>
      </c>
      <c r="G360" s="1"/>
      <c r="H360" s="1" t="s">
        <v>1505</v>
      </c>
      <c r="I360" s="1"/>
      <c r="J360" s="1"/>
      <c r="K360" s="1">
        <v>362</v>
      </c>
      <c r="L360" t="str">
        <f t="shared" si="7"/>
        <v>364 H2O by H2</v>
      </c>
      <c r="M360" s="1"/>
      <c r="N360" s="1"/>
      <c r="O360" s="1"/>
      <c r="P360" s="1"/>
      <c r="R360" s="1"/>
      <c r="S360" s="1"/>
      <c r="T360" s="1"/>
      <c r="U360" s="1"/>
      <c r="V360" s="1"/>
      <c r="W360" s="1"/>
      <c r="X360" s="1"/>
      <c r="Y360" s="1"/>
      <c r="Z360" s="1"/>
    </row>
    <row r="361" spans="1:26" ht="50" customHeight="1" x14ac:dyDescent="0.15">
      <c r="A361" s="1"/>
      <c r="B361" s="33">
        <v>365</v>
      </c>
      <c r="C361" s="11" t="s">
        <v>877</v>
      </c>
      <c r="D361" s="16" t="s">
        <v>1381</v>
      </c>
      <c r="E361" s="4" t="s">
        <v>354</v>
      </c>
      <c r="F361" s="40" t="s">
        <v>881</v>
      </c>
      <c r="G361" s="1"/>
      <c r="H361" s="1" t="s">
        <v>266</v>
      </c>
      <c r="I361" s="1"/>
      <c r="J361" s="1"/>
      <c r="K361" s="1">
        <v>363</v>
      </c>
      <c r="L361" t="str">
        <f t="shared" si="7"/>
        <v>365 H2O by H2</v>
      </c>
      <c r="M361" s="1"/>
      <c r="N361" s="1"/>
      <c r="O361" s="1"/>
      <c r="P361" s="1"/>
      <c r="R361" s="1"/>
      <c r="S361" s="1"/>
      <c r="T361" s="1"/>
      <c r="U361" s="1"/>
      <c r="V361" s="1"/>
      <c r="W361" s="1"/>
      <c r="X361" s="1"/>
      <c r="Y361" s="1"/>
      <c r="Z361" s="1"/>
    </row>
    <row r="362" spans="1:26" ht="50" customHeight="1" x14ac:dyDescent="0.15">
      <c r="A362" s="1"/>
      <c r="B362" s="33">
        <v>366</v>
      </c>
      <c r="C362" s="11" t="s">
        <v>882</v>
      </c>
      <c r="D362" s="16" t="s">
        <v>1382</v>
      </c>
      <c r="E362" s="4" t="s">
        <v>221</v>
      </c>
      <c r="F362" s="40" t="s">
        <v>883</v>
      </c>
      <c r="G362" s="1"/>
      <c r="H362" s="1" t="s">
        <v>1490</v>
      </c>
      <c r="I362" s="1"/>
      <c r="J362" s="1"/>
      <c r="K362" s="1">
        <v>364</v>
      </c>
      <c r="L362" t="str">
        <f t="shared" si="7"/>
        <v>366 SO2 by CO2</v>
      </c>
      <c r="M362" s="1"/>
      <c r="N362" s="1"/>
      <c r="O362" s="1"/>
      <c r="P362" s="1"/>
      <c r="R362" s="1"/>
      <c r="S362" s="1"/>
      <c r="T362" s="1"/>
      <c r="U362" s="1"/>
      <c r="V362" s="1"/>
      <c r="W362" s="1"/>
      <c r="X362" s="1"/>
      <c r="Y362" s="1"/>
      <c r="Z362" s="1"/>
    </row>
    <row r="363" spans="1:26" ht="50" customHeight="1" x14ac:dyDescent="0.15">
      <c r="A363" s="1"/>
      <c r="B363" s="33">
        <v>367</v>
      </c>
      <c r="C363" s="11" t="s">
        <v>884</v>
      </c>
      <c r="D363" s="16" t="s">
        <v>1383</v>
      </c>
      <c r="E363" s="4" t="s">
        <v>885</v>
      </c>
      <c r="F363" s="40" t="s">
        <v>886</v>
      </c>
      <c r="G363" s="1"/>
      <c r="H363" s="1" t="s">
        <v>266</v>
      </c>
      <c r="I363" s="1"/>
      <c r="J363" s="1"/>
      <c r="K363" s="1">
        <v>365</v>
      </c>
      <c r="L363" t="str">
        <f t="shared" si="7"/>
        <v>367 H2O by Kr</v>
      </c>
      <c r="M363" s="1"/>
      <c r="N363" s="1"/>
      <c r="O363" s="1"/>
      <c r="P363" s="1"/>
      <c r="R363" s="1"/>
      <c r="S363" s="1"/>
      <c r="T363" s="1"/>
      <c r="U363" s="1"/>
      <c r="V363" s="1"/>
      <c r="W363" s="1"/>
      <c r="X363" s="1"/>
      <c r="Y363" s="1"/>
      <c r="Z363" s="1"/>
    </row>
    <row r="364" spans="1:26" ht="50" customHeight="1" x14ac:dyDescent="0.15">
      <c r="A364" s="1"/>
      <c r="B364" s="33">
        <v>368</v>
      </c>
      <c r="C364" s="11" t="s">
        <v>887</v>
      </c>
      <c r="D364" s="16" t="s">
        <v>1384</v>
      </c>
      <c r="E364" s="4" t="s">
        <v>885</v>
      </c>
      <c r="F364" s="40" t="s">
        <v>1439</v>
      </c>
      <c r="G364" s="1"/>
      <c r="H364" s="1" t="s">
        <v>1490</v>
      </c>
      <c r="I364" s="1"/>
      <c r="J364" s="1"/>
      <c r="K364" s="1">
        <v>366</v>
      </c>
      <c r="L364" t="str">
        <f t="shared" si="7"/>
        <v>368 H2O by Kr</v>
      </c>
      <c r="M364" s="1"/>
      <c r="N364" s="1"/>
      <c r="O364" s="1"/>
      <c r="P364" s="1"/>
      <c r="R364" s="1"/>
      <c r="S364" s="1"/>
      <c r="T364" s="1"/>
      <c r="U364" s="1"/>
      <c r="V364" s="1"/>
      <c r="W364" s="1"/>
      <c r="X364" s="1"/>
      <c r="Y364" s="1"/>
      <c r="Z364" s="1"/>
    </row>
    <row r="365" spans="1:26" ht="50" customHeight="1" x14ac:dyDescent="0.15">
      <c r="A365" s="1"/>
      <c r="B365" s="33">
        <v>369</v>
      </c>
      <c r="C365" s="11" t="s">
        <v>888</v>
      </c>
      <c r="D365" s="16" t="s">
        <v>1385</v>
      </c>
      <c r="E365" s="4" t="s">
        <v>132</v>
      </c>
      <c r="F365" s="40" t="s">
        <v>891</v>
      </c>
      <c r="G365" s="1"/>
      <c r="H365" s="1" t="s">
        <v>1506</v>
      </c>
      <c r="I365" s="1"/>
      <c r="J365" s="1"/>
      <c r="K365" s="1">
        <v>367</v>
      </c>
      <c r="L365" t="str">
        <f t="shared" si="7"/>
        <v>369 H2O by Ar</v>
      </c>
      <c r="M365" s="1"/>
      <c r="N365" s="1"/>
      <c r="O365" s="1"/>
      <c r="P365" s="1"/>
      <c r="R365" s="1"/>
      <c r="S365" s="1"/>
      <c r="T365" s="1"/>
      <c r="U365" s="1"/>
      <c r="V365" s="1"/>
      <c r="W365" s="1"/>
      <c r="X365" s="1"/>
      <c r="Y365" s="1"/>
      <c r="Z365" s="1"/>
    </row>
    <row r="366" spans="1:26" ht="50" customHeight="1" x14ac:dyDescent="0.15">
      <c r="A366" s="1"/>
      <c r="B366" s="33">
        <v>370</v>
      </c>
      <c r="C366" s="11" t="s">
        <v>889</v>
      </c>
      <c r="D366" s="16" t="s">
        <v>1386</v>
      </c>
      <c r="E366" s="4" t="s">
        <v>890</v>
      </c>
      <c r="F366" s="40" t="s">
        <v>892</v>
      </c>
      <c r="G366" s="1"/>
      <c r="H366" s="1" t="s">
        <v>266</v>
      </c>
      <c r="I366" s="1"/>
      <c r="J366" s="1"/>
      <c r="K366" s="1">
        <v>368</v>
      </c>
      <c r="L366" t="str">
        <f t="shared" si="7"/>
        <v>370 H2O by Xe</v>
      </c>
      <c r="M366" s="1"/>
      <c r="N366" s="1"/>
      <c r="O366" s="1"/>
      <c r="P366" s="1"/>
      <c r="R366" s="1"/>
      <c r="S366" s="1"/>
      <c r="T366" s="1"/>
      <c r="U366" s="1"/>
      <c r="V366" s="1"/>
      <c r="W366" s="1"/>
      <c r="X366" s="1"/>
      <c r="Y366" s="1"/>
      <c r="Z366" s="1"/>
    </row>
    <row r="367" spans="1:26" ht="50" customHeight="1" x14ac:dyDescent="0.15">
      <c r="A367" s="1"/>
      <c r="B367" s="33">
        <v>371</v>
      </c>
      <c r="C367" s="11" t="s">
        <v>893</v>
      </c>
      <c r="D367" s="16" t="s">
        <v>1387</v>
      </c>
      <c r="E367" s="4" t="s">
        <v>3</v>
      </c>
      <c r="F367" s="40" t="s">
        <v>894</v>
      </c>
      <c r="G367" s="1"/>
      <c r="H367" s="1" t="s">
        <v>266</v>
      </c>
      <c r="I367" s="1"/>
      <c r="J367" s="1"/>
      <c r="K367" s="1">
        <v>369</v>
      </c>
      <c r="L367" t="str">
        <f t="shared" si="7"/>
        <v>371 H2O by CO2</v>
      </c>
      <c r="M367" s="1"/>
      <c r="N367" s="1"/>
      <c r="O367" s="1"/>
      <c r="P367" s="1"/>
      <c r="R367" s="1"/>
      <c r="S367" s="1"/>
      <c r="T367" s="1"/>
      <c r="U367" s="1"/>
      <c r="V367" s="1"/>
      <c r="W367" s="1"/>
      <c r="X367" s="1"/>
      <c r="Y367" s="1"/>
      <c r="Z367" s="1"/>
    </row>
    <row r="368" spans="1:26" ht="50" customHeight="1" x14ac:dyDescent="0.15">
      <c r="A368" s="1"/>
      <c r="B368" s="33">
        <v>372</v>
      </c>
      <c r="C368" s="11" t="s">
        <v>895</v>
      </c>
      <c r="D368" s="16" t="s">
        <v>1388</v>
      </c>
      <c r="E368" s="4" t="s">
        <v>890</v>
      </c>
      <c r="F368" s="40" t="s">
        <v>1440</v>
      </c>
      <c r="G368" s="1"/>
      <c r="H368" s="1" t="s">
        <v>1490</v>
      </c>
      <c r="I368" s="1"/>
      <c r="J368" s="1"/>
      <c r="K368" s="1">
        <v>370</v>
      </c>
      <c r="L368" t="str">
        <f t="shared" si="7"/>
        <v>372 H2O by Xe</v>
      </c>
      <c r="M368" s="1"/>
      <c r="N368" s="1"/>
      <c r="O368" s="1"/>
      <c r="P368" s="1"/>
      <c r="R368" s="1"/>
      <c r="S368" s="1"/>
      <c r="T368" s="1"/>
      <c r="U368" s="1"/>
      <c r="V368" s="1"/>
      <c r="W368" s="1"/>
      <c r="X368" s="1"/>
      <c r="Y368" s="1"/>
      <c r="Z368" s="1"/>
    </row>
    <row r="369" spans="1:26" ht="50" customHeight="1" x14ac:dyDescent="0.15">
      <c r="A369" s="1"/>
      <c r="B369" s="33">
        <v>373</v>
      </c>
      <c r="C369" s="11" t="s">
        <v>896</v>
      </c>
      <c r="D369" s="16" t="s">
        <v>1389</v>
      </c>
      <c r="E369" s="4" t="s">
        <v>3</v>
      </c>
      <c r="F369" s="40" t="s">
        <v>897</v>
      </c>
      <c r="G369" s="1"/>
      <c r="H369" s="1" t="s">
        <v>1490</v>
      </c>
      <c r="I369" s="1"/>
      <c r="J369" s="1"/>
      <c r="K369" s="1">
        <v>371</v>
      </c>
      <c r="L369" t="str">
        <f t="shared" si="7"/>
        <v>373 H2O by CO2</v>
      </c>
      <c r="M369" s="1"/>
      <c r="N369" s="1"/>
      <c r="O369" s="1"/>
      <c r="P369" s="1"/>
      <c r="R369" s="1"/>
      <c r="S369" s="1"/>
      <c r="T369" s="1"/>
      <c r="U369" s="1"/>
      <c r="V369" s="1"/>
      <c r="W369" s="1"/>
      <c r="X369" s="1"/>
      <c r="Y369" s="1"/>
      <c r="Z369" s="1"/>
    </row>
    <row r="370" spans="1:26" ht="50" customHeight="1" x14ac:dyDescent="0.15">
      <c r="A370" s="1"/>
      <c r="B370" s="33">
        <v>374</v>
      </c>
      <c r="C370" s="11" t="s">
        <v>898</v>
      </c>
      <c r="D370" s="16" t="s">
        <v>1390</v>
      </c>
      <c r="E370" s="4" t="s">
        <v>3</v>
      </c>
      <c r="F370" s="40" t="s">
        <v>899</v>
      </c>
      <c r="G370" s="1"/>
      <c r="H370" s="1" t="s">
        <v>1507</v>
      </c>
      <c r="I370" s="1"/>
      <c r="J370" s="1"/>
      <c r="K370" s="1">
        <v>372</v>
      </c>
      <c r="L370" t="str">
        <f t="shared" si="7"/>
        <v>374 H2O by CO2</v>
      </c>
      <c r="M370" s="1"/>
      <c r="N370" s="1"/>
      <c r="O370" s="1"/>
      <c r="P370" s="1"/>
      <c r="R370" s="1"/>
      <c r="S370" s="1"/>
      <c r="T370" s="1"/>
      <c r="U370" s="1"/>
      <c r="V370" s="1"/>
      <c r="W370" s="1"/>
      <c r="X370" s="1"/>
      <c r="Y370" s="1"/>
      <c r="Z370" s="1"/>
    </row>
    <row r="371" spans="1:26" ht="50" customHeight="1" x14ac:dyDescent="0.15">
      <c r="A371" s="1"/>
      <c r="B371" s="33">
        <v>375</v>
      </c>
      <c r="C371" s="11" t="s">
        <v>900</v>
      </c>
      <c r="D371" s="16" t="s">
        <v>1391</v>
      </c>
      <c r="E371" s="4" t="s">
        <v>134</v>
      </c>
      <c r="F371" s="40" t="s">
        <v>901</v>
      </c>
      <c r="G371" s="1"/>
      <c r="H371" s="1" t="s">
        <v>266</v>
      </c>
      <c r="I371" s="1"/>
      <c r="J371" s="1"/>
      <c r="K371" s="1">
        <v>373</v>
      </c>
      <c r="L371" t="str">
        <f t="shared" si="7"/>
        <v>375 HDO by CO2</v>
      </c>
      <c r="M371" s="1"/>
      <c r="N371" s="1"/>
      <c r="O371" s="1"/>
      <c r="P371" s="1"/>
      <c r="R371" s="1"/>
      <c r="S371" s="1"/>
      <c r="T371" s="1"/>
      <c r="U371" s="1"/>
      <c r="V371" s="1"/>
      <c r="W371" s="1"/>
      <c r="X371" s="1"/>
      <c r="Y371" s="1"/>
      <c r="Z371" s="1"/>
    </row>
    <row r="372" spans="1:26" ht="50" customHeight="1" x14ac:dyDescent="0.15">
      <c r="A372" s="1"/>
      <c r="B372" s="33">
        <v>376</v>
      </c>
      <c r="C372" s="11" t="s">
        <v>558</v>
      </c>
      <c r="D372" s="16" t="s">
        <v>1032</v>
      </c>
      <c r="E372" s="1" t="s">
        <v>97</v>
      </c>
      <c r="F372" s="24" t="s">
        <v>98</v>
      </c>
      <c r="G372" s="1" t="s">
        <v>1460</v>
      </c>
      <c r="H372" s="1" t="s">
        <v>297</v>
      </c>
      <c r="I372" s="1" t="s">
        <v>907</v>
      </c>
      <c r="J372" s="1" t="s">
        <v>1508</v>
      </c>
      <c r="K372" s="1">
        <v>374</v>
      </c>
      <c r="L372" t="str">
        <f>B372&amp;" "&amp;E372</f>
        <v>376 NO by H2O, O2 and NO</v>
      </c>
      <c r="M372" s="1"/>
      <c r="N372" s="1"/>
      <c r="O372" s="1"/>
      <c r="P372" s="1"/>
      <c r="R372" s="1"/>
      <c r="S372" s="1"/>
      <c r="T372" s="1"/>
      <c r="U372" s="1"/>
      <c r="V372" s="1"/>
      <c r="W372" s="1"/>
      <c r="X372" s="1"/>
      <c r="Y372" s="1"/>
      <c r="Z372" s="1"/>
    </row>
    <row r="373" spans="1:26" ht="50" customHeight="1" x14ac:dyDescent="0.15">
      <c r="A373" s="1"/>
      <c r="B373" s="33">
        <v>377</v>
      </c>
      <c r="C373" s="11" t="s">
        <v>670</v>
      </c>
      <c r="D373" s="16" t="s">
        <v>1150</v>
      </c>
      <c r="E373" s="1" t="s">
        <v>268</v>
      </c>
      <c r="F373" s="24" t="s">
        <v>267</v>
      </c>
      <c r="G373" s="1" t="s">
        <v>1460</v>
      </c>
      <c r="H373" s="1" t="s">
        <v>297</v>
      </c>
      <c r="I373" s="1" t="s">
        <v>906</v>
      </c>
      <c r="J373" s="1" t="s">
        <v>1508</v>
      </c>
      <c r="K373" s="1">
        <v>375</v>
      </c>
      <c r="L373" t="str">
        <f>B373&amp;" "&amp;E373</f>
        <v>377 Br2 by Ar and self, HD by He, AlH by H2, H2CO by Ar, I2 by self, Cl2 by self</v>
      </c>
      <c r="M373" s="1"/>
      <c r="N373" s="1"/>
      <c r="O373" s="1"/>
      <c r="P373" s="1"/>
      <c r="R373" s="1"/>
      <c r="S373" s="1"/>
      <c r="T373" s="1"/>
      <c r="U373" s="1"/>
      <c r="V373" s="1"/>
      <c r="W373" s="1"/>
      <c r="X373" s="1"/>
      <c r="Y373" s="1"/>
      <c r="Z373" s="1"/>
    </row>
    <row r="374" spans="1:26" ht="50" customHeight="1" x14ac:dyDescent="0.15">
      <c r="A374" s="1"/>
      <c r="B374" s="33">
        <v>378</v>
      </c>
      <c r="C374" s="11" t="s">
        <v>1462</v>
      </c>
      <c r="D374" s="16" t="s">
        <v>1494</v>
      </c>
      <c r="E374" s="16" t="s">
        <v>1463</v>
      </c>
      <c r="F374" s="46" t="s">
        <v>1461</v>
      </c>
      <c r="G374" s="1"/>
      <c r="H374" s="1" t="s">
        <v>266</v>
      </c>
      <c r="I374" s="1"/>
      <c r="J374" s="1" t="s">
        <v>1503</v>
      </c>
      <c r="K374" s="1">
        <v>376</v>
      </c>
      <c r="L374" t="str">
        <f t="shared" ref="L374:L437" si="8">B374&amp;" "&amp;E374</f>
        <v>378 NH3 by N2, O2, H2, Ar, He</v>
      </c>
      <c r="M374" s="1"/>
      <c r="N374" s="1"/>
      <c r="O374" s="1"/>
      <c r="P374" s="1"/>
      <c r="R374" s="1"/>
      <c r="S374" s="1"/>
      <c r="T374" s="1"/>
      <c r="U374" s="1"/>
      <c r="V374" s="1"/>
      <c r="W374" s="1"/>
      <c r="X374" s="1"/>
      <c r="Y374" s="1"/>
      <c r="Z374" s="1"/>
    </row>
    <row r="375" spans="1:26" ht="50" customHeight="1" x14ac:dyDescent="0.15">
      <c r="A375" s="1"/>
      <c r="B375" s="33">
        <v>379</v>
      </c>
      <c r="C375" s="11" t="s">
        <v>1465</v>
      </c>
      <c r="D375" s="16" t="s">
        <v>1495</v>
      </c>
      <c r="E375" s="4" t="s">
        <v>134</v>
      </c>
      <c r="F375" s="46" t="s">
        <v>1464</v>
      </c>
      <c r="G375" s="1"/>
      <c r="H375" s="1" t="s">
        <v>266</v>
      </c>
      <c r="I375" s="1"/>
      <c r="J375" s="1"/>
      <c r="K375" s="1">
        <v>377</v>
      </c>
      <c r="L375" t="str">
        <f t="shared" si="8"/>
        <v>379 HDO by CO2</v>
      </c>
      <c r="M375" s="1"/>
      <c r="N375" s="1"/>
      <c r="O375" s="1"/>
      <c r="P375" s="1"/>
      <c r="R375" s="1"/>
      <c r="S375" s="1"/>
      <c r="T375" s="1"/>
      <c r="U375" s="1"/>
      <c r="V375" s="1"/>
      <c r="W375" s="1"/>
      <c r="X375" s="1"/>
      <c r="Y375" s="1"/>
      <c r="Z375" s="1"/>
    </row>
    <row r="376" spans="1:26" ht="50" customHeight="1" x14ac:dyDescent="0.15">
      <c r="A376" s="1"/>
      <c r="B376" s="33">
        <v>380</v>
      </c>
      <c r="C376" s="11" t="s">
        <v>1466</v>
      </c>
      <c r="D376" s="16" t="s">
        <v>1496</v>
      </c>
      <c r="E376" s="4" t="s">
        <v>1468</v>
      </c>
      <c r="F376" s="46" t="s">
        <v>1467</v>
      </c>
      <c r="G376" s="1"/>
      <c r="H376" s="1" t="s">
        <v>1482</v>
      </c>
      <c r="I376" s="1"/>
      <c r="J376" s="1"/>
      <c r="K376" s="1">
        <v>378</v>
      </c>
      <c r="L376" t="str">
        <f t="shared" si="8"/>
        <v>380 HCl, HF by Ar, N2, air. CO and CO2 by CO, CO2, N2, O2, and H2O.</v>
      </c>
      <c r="M376" s="1"/>
      <c r="N376" s="1"/>
      <c r="O376" s="1"/>
      <c r="P376" s="1"/>
      <c r="R376" s="1"/>
      <c r="S376" s="1"/>
      <c r="T376" s="1"/>
      <c r="U376" s="1"/>
      <c r="V376" s="1"/>
      <c r="W376" s="1"/>
      <c r="X376" s="1"/>
      <c r="Y376" s="1"/>
      <c r="Z376" s="1"/>
    </row>
    <row r="377" spans="1:26" ht="50" customHeight="1" x14ac:dyDescent="0.15">
      <c r="A377" s="1"/>
      <c r="B377" s="33">
        <v>381</v>
      </c>
      <c r="C377" s="11" t="s">
        <v>1469</v>
      </c>
      <c r="D377" s="16" t="s">
        <v>1497</v>
      </c>
      <c r="E377" s="4" t="s">
        <v>1471</v>
      </c>
      <c r="F377" s="46" t="s">
        <v>1470</v>
      </c>
      <c r="G377" s="1"/>
      <c r="H377" s="1" t="s">
        <v>1482</v>
      </c>
      <c r="I377" s="1"/>
      <c r="J377" s="1"/>
      <c r="K377" s="1">
        <v>379</v>
      </c>
      <c r="L377" t="str">
        <f t="shared" si="8"/>
        <v>381 N2 by N2, H2, CH4</v>
      </c>
      <c r="M377" s="1"/>
      <c r="N377" s="1"/>
      <c r="O377" s="1"/>
      <c r="P377" s="1"/>
      <c r="R377" s="1"/>
      <c r="S377" s="1"/>
      <c r="T377" s="1"/>
      <c r="U377" s="1"/>
      <c r="V377" s="1"/>
      <c r="W377" s="1"/>
      <c r="X377" s="1"/>
      <c r="Y377" s="1"/>
      <c r="Z377" s="1"/>
    </row>
    <row r="378" spans="1:26" ht="50" customHeight="1" x14ac:dyDescent="0.15">
      <c r="A378" s="1"/>
      <c r="B378" s="33">
        <v>382</v>
      </c>
      <c r="C378" s="11" t="s">
        <v>1473</v>
      </c>
      <c r="D378" s="16" t="s">
        <v>1498</v>
      </c>
      <c r="E378" s="4" t="s">
        <v>487</v>
      </c>
      <c r="F378" s="46" t="s">
        <v>1472</v>
      </c>
      <c r="G378" s="1"/>
      <c r="H378" s="1" t="s">
        <v>266</v>
      </c>
      <c r="I378" s="1"/>
      <c r="J378" s="1"/>
      <c r="K378" s="1">
        <v>380</v>
      </c>
      <c r="L378" t="str">
        <f t="shared" si="8"/>
        <v>382 CO by H2</v>
      </c>
      <c r="M378" s="1"/>
      <c r="N378" s="1"/>
      <c r="O378" s="1"/>
      <c r="P378" s="1"/>
      <c r="R378" s="1"/>
      <c r="S378" s="1"/>
      <c r="T378" s="1"/>
      <c r="U378" s="1"/>
      <c r="V378" s="1"/>
      <c r="W378" s="1"/>
      <c r="X378" s="1"/>
      <c r="Y378" s="1"/>
      <c r="Z378" s="1"/>
    </row>
    <row r="379" spans="1:26" ht="50" customHeight="1" x14ac:dyDescent="0.15">
      <c r="A379" s="1"/>
      <c r="B379" s="33">
        <v>383</v>
      </c>
      <c r="C379" s="11" t="s">
        <v>1476</v>
      </c>
      <c r="D379" s="16" t="s">
        <v>1499</v>
      </c>
      <c r="E379" s="4" t="s">
        <v>1475</v>
      </c>
      <c r="F379" s="46" t="s">
        <v>1474</v>
      </c>
      <c r="G379" s="1"/>
      <c r="H379" s="1" t="s">
        <v>266</v>
      </c>
      <c r="I379" s="1"/>
      <c r="J379" s="1"/>
      <c r="K379" s="1">
        <v>381</v>
      </c>
      <c r="L379" t="str">
        <f t="shared" si="8"/>
        <v>383 C2H2 by H2</v>
      </c>
      <c r="M379" s="1"/>
      <c r="N379" s="1"/>
      <c r="O379" s="1"/>
      <c r="P379" s="1"/>
      <c r="R379" s="1"/>
      <c r="S379" s="1"/>
      <c r="T379" s="1"/>
      <c r="U379" s="1"/>
      <c r="V379" s="1"/>
      <c r="W379" s="1"/>
      <c r="X379" s="1"/>
      <c r="Y379" s="1"/>
      <c r="Z379" s="1"/>
    </row>
    <row r="380" spans="1:26" ht="50" customHeight="1" x14ac:dyDescent="0.15">
      <c r="A380" s="1"/>
      <c r="B380" s="33">
        <v>384</v>
      </c>
      <c r="C380" s="11" t="s">
        <v>1481</v>
      </c>
      <c r="D380" s="16" t="s">
        <v>1500</v>
      </c>
      <c r="E380" s="4" t="s">
        <v>478</v>
      </c>
      <c r="F380" s="46" t="s">
        <v>1480</v>
      </c>
      <c r="G380" s="1"/>
      <c r="H380" s="1" t="s">
        <v>266</v>
      </c>
      <c r="I380" s="1"/>
      <c r="J380" s="1"/>
      <c r="K380" s="1">
        <v>382</v>
      </c>
      <c r="L380" t="str">
        <f t="shared" si="8"/>
        <v>384 CO2 by He</v>
      </c>
      <c r="M380" s="1"/>
      <c r="N380" s="1"/>
      <c r="O380" s="1"/>
      <c r="P380" s="1"/>
      <c r="R380" s="1"/>
      <c r="S380" s="1"/>
      <c r="T380" s="1"/>
      <c r="U380" s="1"/>
      <c r="V380" s="1"/>
      <c r="W380" s="1"/>
      <c r="X380" s="1"/>
      <c r="Y380" s="1"/>
      <c r="Z380" s="1"/>
    </row>
    <row r="381" spans="1:26" ht="50" customHeight="1" x14ac:dyDescent="0.15">
      <c r="A381" s="1"/>
      <c r="B381" s="33">
        <v>385</v>
      </c>
      <c r="C381" s="11" t="s">
        <v>1483</v>
      </c>
      <c r="D381" s="16" t="s">
        <v>1501</v>
      </c>
      <c r="E381" s="4" t="s">
        <v>1487</v>
      </c>
      <c r="F381" s="46" t="s">
        <v>1486</v>
      </c>
      <c r="G381" s="1"/>
      <c r="H381" s="1" t="s">
        <v>266</v>
      </c>
      <c r="I381" s="1"/>
      <c r="J381" s="1"/>
      <c r="K381" s="1">
        <v>383</v>
      </c>
      <c r="L381" t="str">
        <f t="shared" si="8"/>
        <v>385 N2 by Ar</v>
      </c>
      <c r="M381" s="1"/>
      <c r="N381" s="1"/>
      <c r="O381" s="1"/>
      <c r="P381" s="1"/>
      <c r="R381" s="1"/>
      <c r="S381" s="1"/>
      <c r="T381" s="1"/>
      <c r="U381" s="1"/>
      <c r="V381" s="1"/>
      <c r="W381" s="1"/>
      <c r="X381" s="1"/>
      <c r="Y381" s="1"/>
      <c r="Z381" s="1"/>
    </row>
    <row r="382" spans="1:26" ht="50" customHeight="1" x14ac:dyDescent="0.15">
      <c r="A382" s="1"/>
      <c r="B382" s="33">
        <v>386</v>
      </c>
      <c r="C382" s="11" t="s">
        <v>1484</v>
      </c>
      <c r="D382" s="16" t="s">
        <v>1502</v>
      </c>
      <c r="E382" s="4" t="s">
        <v>174</v>
      </c>
      <c r="F382" s="46" t="s">
        <v>1485</v>
      </c>
      <c r="G382" s="1"/>
      <c r="H382" s="1" t="s">
        <v>266</v>
      </c>
      <c r="I382" s="1"/>
      <c r="J382" s="1"/>
      <c r="K382" s="1">
        <v>384</v>
      </c>
      <c r="L382" t="str">
        <f t="shared" si="8"/>
        <v>386 N2 by H2</v>
      </c>
      <c r="M382" s="1"/>
      <c r="N382" s="1"/>
      <c r="O382" s="1"/>
      <c r="P382" s="1"/>
      <c r="R382" s="1"/>
      <c r="S382" s="1"/>
      <c r="T382" s="1"/>
      <c r="U382" s="1"/>
      <c r="V382" s="1"/>
      <c r="W382" s="1"/>
      <c r="X382" s="1"/>
      <c r="Y382" s="1"/>
      <c r="Z382" s="1"/>
    </row>
    <row r="383" spans="1:26" ht="50" customHeight="1" x14ac:dyDescent="0.15">
      <c r="A383" s="1"/>
      <c r="B383" s="33">
        <v>387</v>
      </c>
      <c r="C383" s="11" t="s">
        <v>1514</v>
      </c>
      <c r="D383" s="16" t="s">
        <v>1511</v>
      </c>
      <c r="E383" s="4" t="s">
        <v>154</v>
      </c>
      <c r="F383" s="46" t="s">
        <v>1509</v>
      </c>
      <c r="G383" s="1"/>
      <c r="H383" s="1" t="s">
        <v>266</v>
      </c>
      <c r="I383" s="1"/>
      <c r="J383" s="1"/>
      <c r="K383" s="1">
        <v>385</v>
      </c>
      <c r="L383" t="str">
        <f t="shared" si="8"/>
        <v>387 CO by Ar</v>
      </c>
      <c r="M383" s="1"/>
      <c r="N383" s="1"/>
      <c r="O383" s="1"/>
      <c r="P383" s="1"/>
      <c r="R383" s="1"/>
      <c r="S383" s="1"/>
      <c r="T383" s="1"/>
      <c r="U383" s="1"/>
      <c r="V383" s="1"/>
      <c r="W383" s="1"/>
      <c r="X383" s="1"/>
      <c r="Y383" s="1"/>
      <c r="Z383" s="1"/>
    </row>
    <row r="384" spans="1:26" ht="50" customHeight="1" x14ac:dyDescent="0.15">
      <c r="A384" s="1"/>
      <c r="B384" s="33">
        <v>388</v>
      </c>
      <c r="C384" s="11" t="s">
        <v>1513</v>
      </c>
      <c r="D384" s="16" t="s">
        <v>1512</v>
      </c>
      <c r="E384" s="4" t="s">
        <v>154</v>
      </c>
      <c r="F384" s="46" t="s">
        <v>1510</v>
      </c>
      <c r="G384" s="1"/>
      <c r="H384" s="1" t="s">
        <v>1515</v>
      </c>
      <c r="I384" s="1"/>
      <c r="J384" s="1"/>
      <c r="K384" s="1">
        <v>386</v>
      </c>
      <c r="L384" t="str">
        <f t="shared" si="8"/>
        <v>388 CO by Ar</v>
      </c>
      <c r="M384" s="1"/>
      <c r="N384" s="1"/>
      <c r="O384" s="1"/>
      <c r="P384" s="1"/>
      <c r="R384" s="1"/>
      <c r="S384" s="1"/>
      <c r="T384" s="1"/>
      <c r="U384" s="1"/>
      <c r="V384" s="1"/>
      <c r="W384" s="1"/>
      <c r="X384" s="1"/>
      <c r="Y384" s="1"/>
      <c r="Z384" s="1"/>
    </row>
    <row r="385" spans="1:26" ht="50" customHeight="1" x14ac:dyDescent="0.15">
      <c r="A385" s="1"/>
      <c r="B385" s="33">
        <v>389</v>
      </c>
      <c r="C385" s="11" t="s">
        <v>1516</v>
      </c>
      <c r="D385" s="16" t="s">
        <v>1519</v>
      </c>
      <c r="E385" s="4" t="s">
        <v>1518</v>
      </c>
      <c r="F385" s="46" t="s">
        <v>1517</v>
      </c>
      <c r="G385" s="1"/>
      <c r="H385" s="1" t="s">
        <v>266</v>
      </c>
      <c r="I385" s="1"/>
      <c r="J385" s="1"/>
      <c r="K385" s="1">
        <v>387</v>
      </c>
      <c r="L385" t="str">
        <f t="shared" si="8"/>
        <v>389 CO by CO, N2, Ar</v>
      </c>
      <c r="M385" s="1"/>
      <c r="N385" s="1"/>
      <c r="O385" s="1"/>
      <c r="P385" s="1"/>
      <c r="R385" s="1"/>
      <c r="S385" s="1"/>
      <c r="T385" s="1"/>
      <c r="U385" s="1"/>
      <c r="V385" s="1"/>
      <c r="W385" s="1"/>
      <c r="X385" s="1"/>
      <c r="Y385" s="1"/>
      <c r="Z385" s="1"/>
    </row>
    <row r="386" spans="1:26" ht="50" customHeight="1" x14ac:dyDescent="0.15">
      <c r="A386" s="1"/>
      <c r="B386" s="33">
        <v>390</v>
      </c>
      <c r="C386" s="11"/>
      <c r="E386" s="4"/>
      <c r="F386" s="46"/>
      <c r="G386" s="1"/>
      <c r="H386" s="1"/>
      <c r="I386" s="1"/>
      <c r="J386" s="1"/>
      <c r="K386" s="1">
        <v>388</v>
      </c>
      <c r="L386" t="str">
        <f t="shared" si="8"/>
        <v xml:space="preserve">390 </v>
      </c>
      <c r="M386" s="1"/>
      <c r="N386" s="1"/>
      <c r="O386" s="1"/>
      <c r="P386" s="1"/>
      <c r="R386" s="1"/>
      <c r="S386" s="1"/>
      <c r="T386" s="1"/>
      <c r="U386" s="1"/>
      <c r="V386" s="1"/>
      <c r="W386" s="1"/>
      <c r="X386" s="1"/>
      <c r="Y386" s="1"/>
      <c r="Z386" s="1"/>
    </row>
    <row r="387" spans="1:26" ht="50" customHeight="1" x14ac:dyDescent="0.15">
      <c r="A387" s="1"/>
      <c r="B387" s="33">
        <v>391</v>
      </c>
      <c r="C387" s="11"/>
      <c r="E387" s="4"/>
      <c r="F387" s="46"/>
      <c r="G387" s="1"/>
      <c r="H387" s="1"/>
      <c r="I387" s="1"/>
      <c r="J387" s="1"/>
      <c r="K387" s="1">
        <v>389</v>
      </c>
      <c r="L387" t="str">
        <f t="shared" si="8"/>
        <v xml:space="preserve">391 </v>
      </c>
      <c r="M387" s="1"/>
      <c r="N387" s="1"/>
      <c r="O387" s="1"/>
      <c r="P387" s="1"/>
      <c r="R387" s="1"/>
      <c r="S387" s="1"/>
      <c r="T387" s="1"/>
      <c r="U387" s="1"/>
      <c r="V387" s="1"/>
      <c r="W387" s="1"/>
      <c r="X387" s="1"/>
      <c r="Y387" s="1"/>
      <c r="Z387" s="1"/>
    </row>
    <row r="388" spans="1:26" ht="50" customHeight="1" x14ac:dyDescent="0.15">
      <c r="A388" s="1"/>
      <c r="B388" s="33">
        <v>392</v>
      </c>
      <c r="C388" s="11"/>
      <c r="E388" s="4"/>
      <c r="F388" s="46"/>
      <c r="G388" s="1"/>
      <c r="H388" s="1"/>
      <c r="I388" s="1"/>
      <c r="J388" s="1"/>
      <c r="K388" s="1">
        <v>390</v>
      </c>
      <c r="L388" t="str">
        <f t="shared" si="8"/>
        <v xml:space="preserve">392 </v>
      </c>
      <c r="M388" s="1"/>
      <c r="N388" s="1"/>
      <c r="O388" s="1"/>
      <c r="P388" s="1"/>
      <c r="R388" s="1"/>
      <c r="S388" s="1"/>
      <c r="T388" s="1"/>
      <c r="U388" s="1"/>
      <c r="V388" s="1"/>
      <c r="W388" s="1"/>
      <c r="X388" s="1"/>
      <c r="Y388" s="1"/>
      <c r="Z388" s="1"/>
    </row>
    <row r="389" spans="1:26" ht="50" customHeight="1" x14ac:dyDescent="0.15">
      <c r="A389" s="1"/>
      <c r="B389" s="33">
        <v>393</v>
      </c>
      <c r="C389" s="11"/>
      <c r="E389" s="4"/>
      <c r="F389" s="46"/>
      <c r="G389" s="1"/>
      <c r="H389" s="1"/>
      <c r="I389" s="1"/>
      <c r="J389" s="1"/>
      <c r="K389" s="1">
        <v>391</v>
      </c>
      <c r="L389" t="str">
        <f t="shared" si="8"/>
        <v xml:space="preserve">393 </v>
      </c>
      <c r="M389" s="1"/>
      <c r="N389" s="1"/>
      <c r="O389" s="1"/>
      <c r="P389" s="1"/>
      <c r="R389" s="1"/>
      <c r="S389" s="1"/>
      <c r="T389" s="1"/>
      <c r="U389" s="1"/>
      <c r="V389" s="1"/>
      <c r="W389" s="1"/>
      <c r="X389" s="1"/>
      <c r="Y389" s="1"/>
      <c r="Z389" s="1"/>
    </row>
    <row r="390" spans="1:26" ht="50" customHeight="1" x14ac:dyDescent="0.15">
      <c r="A390" s="1"/>
      <c r="B390" s="33">
        <v>394</v>
      </c>
      <c r="C390" s="11"/>
      <c r="E390" s="4"/>
      <c r="F390" s="46"/>
      <c r="G390" s="1"/>
      <c r="H390" s="1"/>
      <c r="I390" s="1"/>
      <c r="J390" s="1"/>
      <c r="K390" s="1">
        <v>392</v>
      </c>
      <c r="L390" t="str">
        <f t="shared" si="8"/>
        <v xml:space="preserve">394 </v>
      </c>
      <c r="M390" s="1"/>
      <c r="N390" s="1"/>
      <c r="O390" s="1"/>
      <c r="P390" s="1"/>
      <c r="R390" s="1"/>
      <c r="S390" s="1"/>
      <c r="T390" s="1"/>
      <c r="U390" s="1"/>
      <c r="V390" s="1"/>
      <c r="W390" s="1"/>
      <c r="X390" s="1"/>
      <c r="Y390" s="1"/>
      <c r="Z390" s="1"/>
    </row>
    <row r="391" spans="1:26" ht="50" customHeight="1" x14ac:dyDescent="0.15">
      <c r="A391" s="1"/>
      <c r="B391" s="33">
        <v>395</v>
      </c>
      <c r="C391" s="11"/>
      <c r="E391" s="4"/>
      <c r="F391" s="1"/>
      <c r="G391" s="1"/>
      <c r="H391" s="1"/>
      <c r="I391" s="1"/>
      <c r="J391" s="1"/>
      <c r="K391" s="1">
        <v>393</v>
      </c>
      <c r="L391" t="str">
        <f t="shared" si="8"/>
        <v xml:space="preserve">395 </v>
      </c>
      <c r="M391" s="1"/>
      <c r="N391" s="1"/>
      <c r="O391" s="1"/>
      <c r="P391" s="1"/>
      <c r="R391" s="1"/>
      <c r="S391" s="1"/>
      <c r="T391" s="1"/>
      <c r="U391" s="1"/>
      <c r="V391" s="1"/>
      <c r="W391" s="1"/>
      <c r="X391" s="1"/>
      <c r="Y391" s="1"/>
      <c r="Z391" s="1"/>
    </row>
    <row r="392" spans="1:26" ht="50" customHeight="1" x14ac:dyDescent="0.15">
      <c r="A392" s="1"/>
      <c r="B392" s="33">
        <v>396</v>
      </c>
      <c r="C392" s="11"/>
      <c r="E392" s="4"/>
      <c r="F392" s="1"/>
      <c r="G392" s="1"/>
      <c r="H392" s="1"/>
      <c r="I392" s="1"/>
      <c r="J392" s="1"/>
      <c r="K392" s="1">
        <v>394</v>
      </c>
      <c r="L392" t="str">
        <f t="shared" si="8"/>
        <v xml:space="preserve">396 </v>
      </c>
      <c r="M392" s="1"/>
      <c r="N392" s="1"/>
      <c r="O392" s="1"/>
      <c r="P392" s="1"/>
      <c r="R392" s="1"/>
      <c r="S392" s="1"/>
      <c r="T392" s="1"/>
      <c r="U392" s="1"/>
      <c r="V392" s="1"/>
      <c r="W392" s="1"/>
      <c r="X392" s="1"/>
      <c r="Y392" s="1"/>
      <c r="Z392" s="1"/>
    </row>
    <row r="393" spans="1:26" ht="50" customHeight="1" x14ac:dyDescent="0.15">
      <c r="A393" s="1"/>
      <c r="B393" s="33">
        <v>397</v>
      </c>
      <c r="C393" s="11"/>
      <c r="E393" s="4"/>
      <c r="F393" s="1"/>
      <c r="G393" s="1"/>
      <c r="H393" s="1"/>
      <c r="I393" s="1"/>
      <c r="J393" s="1"/>
      <c r="K393" s="1">
        <v>395</v>
      </c>
      <c r="L393" t="str">
        <f t="shared" si="8"/>
        <v xml:space="preserve">397 </v>
      </c>
      <c r="M393" s="1"/>
      <c r="N393" s="1"/>
      <c r="O393" s="1"/>
      <c r="P393" s="1"/>
      <c r="R393" s="1"/>
      <c r="S393" s="1"/>
      <c r="T393" s="1"/>
      <c r="U393" s="1"/>
      <c r="V393" s="1"/>
      <c r="W393" s="1"/>
      <c r="X393" s="1"/>
      <c r="Y393" s="1"/>
      <c r="Z393" s="1"/>
    </row>
    <row r="394" spans="1:26" ht="50" customHeight="1" x14ac:dyDescent="0.15">
      <c r="A394" s="1"/>
      <c r="B394" s="33">
        <v>398</v>
      </c>
      <c r="C394" s="11"/>
      <c r="E394" s="4"/>
      <c r="F394" s="1"/>
      <c r="G394" s="1"/>
      <c r="H394" s="1"/>
      <c r="I394" s="1"/>
      <c r="J394" s="1"/>
      <c r="K394" s="1">
        <v>396</v>
      </c>
      <c r="L394" t="str">
        <f t="shared" si="8"/>
        <v xml:space="preserve">398 </v>
      </c>
      <c r="M394" s="1"/>
      <c r="N394" s="1"/>
      <c r="O394" s="1"/>
      <c r="P394" s="1"/>
      <c r="R394" s="1"/>
      <c r="S394" s="1"/>
      <c r="T394" s="1"/>
      <c r="U394" s="1"/>
      <c r="V394" s="1"/>
      <c r="W394" s="1"/>
      <c r="X394" s="1"/>
      <c r="Y394" s="1"/>
      <c r="Z394" s="1"/>
    </row>
    <row r="395" spans="1:26" ht="50" customHeight="1" x14ac:dyDescent="0.15">
      <c r="A395" s="1"/>
      <c r="B395" s="33">
        <v>399</v>
      </c>
      <c r="C395" s="11"/>
      <c r="E395" s="4"/>
      <c r="F395" s="1"/>
      <c r="G395" s="1"/>
      <c r="H395" s="1"/>
      <c r="I395" s="1"/>
      <c r="J395" s="1"/>
      <c r="K395" s="1">
        <v>397</v>
      </c>
      <c r="L395" t="str">
        <f t="shared" si="8"/>
        <v xml:space="preserve">399 </v>
      </c>
      <c r="M395" s="1"/>
      <c r="N395" s="1"/>
      <c r="O395" s="1"/>
      <c r="P395" s="1"/>
      <c r="R395" s="1"/>
      <c r="S395" s="1"/>
      <c r="T395" s="1"/>
      <c r="U395" s="1"/>
      <c r="V395" s="1"/>
      <c r="W395" s="1"/>
      <c r="X395" s="1"/>
      <c r="Y395" s="1"/>
      <c r="Z395" s="1"/>
    </row>
    <row r="396" spans="1:26" ht="50" customHeight="1" x14ac:dyDescent="0.15">
      <c r="A396" s="1"/>
      <c r="B396" s="33">
        <v>400</v>
      </c>
      <c r="C396" s="11"/>
      <c r="E396" s="4"/>
      <c r="F396" s="1"/>
      <c r="G396" s="1"/>
      <c r="H396" s="1"/>
      <c r="I396" s="1"/>
      <c r="J396" s="1"/>
      <c r="K396" s="1">
        <v>398</v>
      </c>
      <c r="L396" t="str">
        <f t="shared" si="8"/>
        <v xml:space="preserve">400 </v>
      </c>
      <c r="M396" s="1"/>
      <c r="N396" s="1"/>
      <c r="O396" s="1"/>
      <c r="P396" s="1"/>
      <c r="R396" s="1"/>
      <c r="S396" s="1"/>
      <c r="T396" s="1"/>
      <c r="U396" s="1"/>
      <c r="V396" s="1"/>
      <c r="W396" s="1"/>
      <c r="X396" s="1"/>
      <c r="Y396" s="1"/>
      <c r="Z396" s="1"/>
    </row>
    <row r="397" spans="1:26" ht="50" customHeight="1" x14ac:dyDescent="0.15">
      <c r="A397" s="1"/>
      <c r="B397" s="33">
        <v>401</v>
      </c>
      <c r="C397" s="11"/>
      <c r="E397" s="4"/>
      <c r="F397" s="1"/>
      <c r="G397" s="1"/>
      <c r="H397" s="1"/>
      <c r="I397" s="1"/>
      <c r="J397" s="1"/>
      <c r="K397" s="1">
        <v>399</v>
      </c>
      <c r="L397" t="str">
        <f t="shared" si="8"/>
        <v xml:space="preserve">401 </v>
      </c>
      <c r="M397" s="1"/>
      <c r="N397" s="1"/>
      <c r="O397" s="1"/>
      <c r="P397" s="1"/>
      <c r="R397" s="1"/>
      <c r="S397" s="1"/>
      <c r="T397" s="1"/>
      <c r="U397" s="1"/>
      <c r="V397" s="1"/>
      <c r="W397" s="1"/>
      <c r="X397" s="1"/>
      <c r="Y397" s="1"/>
      <c r="Z397" s="1"/>
    </row>
    <row r="398" spans="1:26" ht="50" customHeight="1" x14ac:dyDescent="0.15">
      <c r="A398" s="1"/>
      <c r="B398" s="33">
        <v>402</v>
      </c>
      <c r="C398" s="11"/>
      <c r="E398" s="4"/>
      <c r="F398" s="1"/>
      <c r="G398" s="1"/>
      <c r="H398" s="1"/>
      <c r="I398" s="1"/>
      <c r="J398" s="1"/>
      <c r="K398" s="1">
        <v>400</v>
      </c>
      <c r="L398" t="str">
        <f t="shared" si="8"/>
        <v xml:space="preserve">402 </v>
      </c>
      <c r="M398" s="1"/>
      <c r="N398" s="1"/>
      <c r="O398" s="1"/>
      <c r="P398" s="1"/>
      <c r="R398" s="1"/>
      <c r="S398" s="1"/>
      <c r="T398" s="1"/>
      <c r="U398" s="1"/>
      <c r="V398" s="1"/>
      <c r="W398" s="1"/>
      <c r="X398" s="1"/>
      <c r="Y398" s="1"/>
      <c r="Z398" s="1"/>
    </row>
    <row r="399" spans="1:26" ht="50" customHeight="1" x14ac:dyDescent="0.15">
      <c r="A399" s="1"/>
      <c r="B399" s="33">
        <v>403</v>
      </c>
      <c r="C399" s="11"/>
      <c r="E399" s="4"/>
      <c r="F399" s="1"/>
      <c r="G399" s="1"/>
      <c r="H399" s="1"/>
      <c r="I399" s="1"/>
      <c r="J399" s="1"/>
      <c r="K399" s="1">
        <v>401</v>
      </c>
      <c r="L399" t="str">
        <f t="shared" si="8"/>
        <v xml:space="preserve">403 </v>
      </c>
      <c r="M399" s="1"/>
      <c r="N399" s="1"/>
      <c r="O399" s="1"/>
      <c r="P399" s="1"/>
      <c r="R399" s="1"/>
      <c r="S399" s="1"/>
      <c r="T399" s="1"/>
      <c r="U399" s="1"/>
      <c r="V399" s="1"/>
      <c r="W399" s="1"/>
      <c r="X399" s="1"/>
      <c r="Y399" s="1"/>
      <c r="Z399" s="1"/>
    </row>
    <row r="400" spans="1:26" ht="50" customHeight="1" x14ac:dyDescent="0.15">
      <c r="A400" s="1"/>
      <c r="B400" s="33">
        <v>404</v>
      </c>
      <c r="C400" s="11"/>
      <c r="E400" s="4"/>
      <c r="F400" s="1"/>
      <c r="G400" s="1"/>
      <c r="H400" s="1"/>
      <c r="I400" s="1"/>
      <c r="J400" s="1"/>
      <c r="K400" s="1">
        <v>402</v>
      </c>
      <c r="L400" t="str">
        <f t="shared" si="8"/>
        <v xml:space="preserve">404 </v>
      </c>
      <c r="M400" s="1"/>
      <c r="N400" s="1"/>
      <c r="O400" s="1"/>
      <c r="P400" s="1"/>
      <c r="R400" s="1"/>
      <c r="S400" s="1"/>
      <c r="T400" s="1"/>
      <c r="U400" s="1"/>
      <c r="V400" s="1"/>
      <c r="W400" s="1"/>
      <c r="X400" s="1"/>
      <c r="Y400" s="1"/>
      <c r="Z400" s="1"/>
    </row>
    <row r="401" spans="1:26" ht="50" customHeight="1" x14ac:dyDescent="0.15">
      <c r="A401" s="1"/>
      <c r="B401" s="33">
        <v>405</v>
      </c>
      <c r="C401" s="11"/>
      <c r="E401" s="4"/>
      <c r="F401" s="1"/>
      <c r="G401" s="1"/>
      <c r="H401" s="1"/>
      <c r="I401" s="1"/>
      <c r="J401" s="1"/>
      <c r="K401" s="1">
        <v>403</v>
      </c>
      <c r="L401" t="str">
        <f t="shared" si="8"/>
        <v xml:space="preserve">405 </v>
      </c>
      <c r="M401" s="1"/>
      <c r="N401" s="1"/>
      <c r="O401" s="1"/>
      <c r="P401" s="1"/>
      <c r="R401" s="1"/>
      <c r="S401" s="1"/>
      <c r="T401" s="1"/>
      <c r="U401" s="1"/>
      <c r="V401" s="1"/>
      <c r="W401" s="1"/>
      <c r="X401" s="1"/>
      <c r="Y401" s="1"/>
      <c r="Z401" s="1"/>
    </row>
    <row r="402" spans="1:26" ht="50" customHeight="1" x14ac:dyDescent="0.15">
      <c r="A402" s="1"/>
      <c r="B402" s="33">
        <v>406</v>
      </c>
      <c r="C402" s="11"/>
      <c r="E402" s="4"/>
      <c r="F402" s="1"/>
      <c r="G402" s="1"/>
      <c r="H402" s="1"/>
      <c r="I402" s="1"/>
      <c r="J402" s="1"/>
      <c r="K402" s="1">
        <v>404</v>
      </c>
      <c r="L402" t="str">
        <f t="shared" si="8"/>
        <v xml:space="preserve">406 </v>
      </c>
      <c r="M402" s="1"/>
      <c r="N402" s="1"/>
      <c r="O402" s="1"/>
      <c r="P402" s="1"/>
      <c r="R402" s="1"/>
      <c r="S402" s="1"/>
      <c r="T402" s="1"/>
      <c r="U402" s="1"/>
      <c r="V402" s="1"/>
      <c r="W402" s="1"/>
      <c r="X402" s="1"/>
      <c r="Y402" s="1"/>
      <c r="Z402" s="1"/>
    </row>
    <row r="403" spans="1:26" ht="50" customHeight="1" x14ac:dyDescent="0.15">
      <c r="A403" s="1"/>
      <c r="B403" s="33">
        <v>407</v>
      </c>
      <c r="C403" s="11"/>
      <c r="E403" s="4"/>
      <c r="F403" s="1"/>
      <c r="G403" s="1"/>
      <c r="H403" s="1"/>
      <c r="I403" s="1"/>
      <c r="J403" s="1"/>
      <c r="K403" s="1">
        <v>405</v>
      </c>
      <c r="L403" t="str">
        <f t="shared" si="8"/>
        <v xml:space="preserve">407 </v>
      </c>
      <c r="M403" s="1"/>
      <c r="N403" s="1"/>
      <c r="O403" s="1"/>
      <c r="P403" s="1"/>
      <c r="R403" s="1"/>
      <c r="S403" s="1"/>
      <c r="T403" s="1"/>
      <c r="U403" s="1"/>
      <c r="V403" s="1"/>
      <c r="W403" s="1"/>
      <c r="X403" s="1"/>
      <c r="Y403" s="1"/>
      <c r="Z403" s="1"/>
    </row>
    <row r="404" spans="1:26" ht="50" customHeight="1" x14ac:dyDescent="0.15">
      <c r="A404" s="1"/>
      <c r="B404" s="33">
        <v>408</v>
      </c>
      <c r="C404" s="11"/>
      <c r="E404" s="4"/>
      <c r="F404" s="1"/>
      <c r="G404" s="1"/>
      <c r="H404" s="1"/>
      <c r="I404" s="1"/>
      <c r="J404" s="1"/>
      <c r="K404" s="1">
        <v>406</v>
      </c>
      <c r="L404" t="str">
        <f t="shared" si="8"/>
        <v xml:space="preserve">408 </v>
      </c>
      <c r="M404" s="1"/>
      <c r="N404" s="1"/>
      <c r="O404" s="1"/>
      <c r="P404" s="1"/>
      <c r="R404" s="1"/>
      <c r="S404" s="1"/>
      <c r="T404" s="1"/>
      <c r="U404" s="1"/>
      <c r="V404" s="1"/>
      <c r="W404" s="1"/>
      <c r="X404" s="1"/>
      <c r="Y404" s="1"/>
      <c r="Z404" s="1"/>
    </row>
    <row r="405" spans="1:26" ht="50" customHeight="1" x14ac:dyDescent="0.15">
      <c r="A405" s="1"/>
      <c r="B405" s="33">
        <v>409</v>
      </c>
      <c r="C405" s="11"/>
      <c r="E405" s="4"/>
      <c r="F405" s="1"/>
      <c r="G405" s="1"/>
      <c r="H405" s="1"/>
      <c r="I405" s="1"/>
      <c r="J405" s="1"/>
      <c r="K405" s="1">
        <v>407</v>
      </c>
      <c r="L405" t="str">
        <f t="shared" si="8"/>
        <v xml:space="preserve">409 </v>
      </c>
      <c r="M405" s="1"/>
      <c r="N405" s="1"/>
      <c r="O405" s="1"/>
      <c r="P405" s="1"/>
      <c r="R405" s="1"/>
      <c r="S405" s="1"/>
      <c r="T405" s="1"/>
      <c r="U405" s="1"/>
      <c r="V405" s="1"/>
      <c r="W405" s="1"/>
      <c r="X405" s="1"/>
      <c r="Y405" s="1"/>
      <c r="Z405" s="1"/>
    </row>
    <row r="406" spans="1:26" ht="50" customHeight="1" x14ac:dyDescent="0.15">
      <c r="A406" s="1"/>
      <c r="B406" s="33">
        <v>410</v>
      </c>
      <c r="C406" s="11"/>
      <c r="E406" s="4"/>
      <c r="F406" s="1"/>
      <c r="G406" s="1"/>
      <c r="H406" s="1"/>
      <c r="I406" s="1"/>
      <c r="J406" s="1"/>
      <c r="K406" s="1">
        <v>408</v>
      </c>
      <c r="L406" t="str">
        <f t="shared" si="8"/>
        <v xml:space="preserve">410 </v>
      </c>
      <c r="M406" s="1"/>
      <c r="N406" s="1"/>
      <c r="O406" s="1"/>
      <c r="P406" s="1"/>
      <c r="R406" s="1"/>
      <c r="S406" s="1"/>
      <c r="T406" s="1"/>
      <c r="U406" s="1"/>
      <c r="V406" s="1"/>
      <c r="W406" s="1"/>
      <c r="X406" s="1"/>
      <c r="Y406" s="1"/>
      <c r="Z406" s="1"/>
    </row>
    <row r="407" spans="1:26" ht="50" customHeight="1" x14ac:dyDescent="0.15">
      <c r="A407" s="1"/>
      <c r="B407" s="33">
        <v>411</v>
      </c>
      <c r="C407" s="11"/>
      <c r="E407" s="4"/>
      <c r="F407" s="1"/>
      <c r="G407" s="1"/>
      <c r="H407" s="1"/>
      <c r="I407" s="1"/>
      <c r="J407" s="1"/>
      <c r="K407" s="1">
        <v>409</v>
      </c>
      <c r="L407" t="str">
        <f t="shared" si="8"/>
        <v xml:space="preserve">411 </v>
      </c>
      <c r="M407" s="1"/>
      <c r="N407" s="1"/>
      <c r="O407" s="1"/>
      <c r="P407" s="1"/>
      <c r="R407" s="1"/>
      <c r="S407" s="1"/>
      <c r="T407" s="1"/>
      <c r="U407" s="1"/>
      <c r="V407" s="1"/>
      <c r="W407" s="1"/>
      <c r="X407" s="1"/>
      <c r="Y407" s="1"/>
      <c r="Z407" s="1"/>
    </row>
    <row r="408" spans="1:26" ht="50" customHeight="1" x14ac:dyDescent="0.15">
      <c r="A408" s="1"/>
      <c r="B408" s="33">
        <v>412</v>
      </c>
      <c r="C408" s="11"/>
      <c r="E408" s="4"/>
      <c r="F408" s="1"/>
      <c r="G408" s="1"/>
      <c r="H408" s="1"/>
      <c r="I408" s="1"/>
      <c r="J408" s="1"/>
      <c r="K408" s="1">
        <v>410</v>
      </c>
      <c r="L408" t="str">
        <f t="shared" si="8"/>
        <v xml:space="preserve">412 </v>
      </c>
      <c r="M408" s="1"/>
      <c r="N408" s="1"/>
      <c r="O408" s="1"/>
      <c r="P408" s="1"/>
      <c r="R408" s="1"/>
      <c r="S408" s="1"/>
      <c r="T408" s="1"/>
      <c r="U408" s="1"/>
      <c r="V408" s="1"/>
      <c r="W408" s="1"/>
      <c r="X408" s="1"/>
      <c r="Y408" s="1"/>
      <c r="Z408" s="1"/>
    </row>
    <row r="409" spans="1:26" ht="50" customHeight="1" x14ac:dyDescent="0.15">
      <c r="A409" s="1"/>
      <c r="B409" s="33">
        <v>413</v>
      </c>
      <c r="C409" s="11"/>
      <c r="E409" s="4"/>
      <c r="F409" s="1"/>
      <c r="G409" s="1"/>
      <c r="H409" s="1"/>
      <c r="I409" s="1"/>
      <c r="J409" s="1"/>
      <c r="K409" s="1">
        <v>411</v>
      </c>
      <c r="L409" t="str">
        <f t="shared" si="8"/>
        <v xml:space="preserve">413 </v>
      </c>
      <c r="M409" s="1"/>
      <c r="N409" s="1"/>
      <c r="O409" s="1"/>
      <c r="P409" s="1"/>
      <c r="R409" s="1"/>
      <c r="S409" s="1"/>
      <c r="T409" s="1"/>
      <c r="U409" s="1"/>
      <c r="V409" s="1"/>
      <c r="W409" s="1"/>
      <c r="X409" s="1"/>
      <c r="Y409" s="1"/>
      <c r="Z409" s="1"/>
    </row>
    <row r="410" spans="1:26" ht="50" customHeight="1" x14ac:dyDescent="0.15">
      <c r="A410" s="1"/>
      <c r="B410" s="33">
        <v>414</v>
      </c>
      <c r="C410" s="11"/>
      <c r="E410" s="4"/>
      <c r="F410" s="1"/>
      <c r="G410" s="1"/>
      <c r="H410" s="1"/>
      <c r="I410" s="1"/>
      <c r="J410" s="1"/>
      <c r="K410" s="1">
        <v>412</v>
      </c>
      <c r="L410" t="str">
        <f t="shared" si="8"/>
        <v xml:space="preserve">414 </v>
      </c>
      <c r="M410" s="1"/>
      <c r="N410" s="1"/>
      <c r="O410" s="1"/>
      <c r="P410" s="1"/>
      <c r="R410" s="1"/>
      <c r="S410" s="1"/>
      <c r="T410" s="1"/>
      <c r="U410" s="1"/>
      <c r="V410" s="1"/>
      <c r="W410" s="1"/>
      <c r="X410" s="1"/>
      <c r="Y410" s="1"/>
      <c r="Z410" s="1"/>
    </row>
    <row r="411" spans="1:26" ht="50" customHeight="1" x14ac:dyDescent="0.15">
      <c r="A411" s="1"/>
      <c r="B411" s="33">
        <v>415</v>
      </c>
      <c r="C411" s="11"/>
      <c r="E411" s="4"/>
      <c r="F411" s="1"/>
      <c r="G411" s="1"/>
      <c r="H411" s="1"/>
      <c r="I411" s="1"/>
      <c r="J411" s="1"/>
      <c r="K411" s="1">
        <v>413</v>
      </c>
      <c r="L411" t="str">
        <f t="shared" si="8"/>
        <v xml:space="preserve">415 </v>
      </c>
      <c r="M411" s="1"/>
      <c r="N411" s="1"/>
      <c r="O411" s="1"/>
      <c r="P411" s="1"/>
      <c r="R411" s="1"/>
      <c r="S411" s="1"/>
      <c r="T411" s="1"/>
      <c r="U411" s="1"/>
      <c r="V411" s="1"/>
      <c r="W411" s="1"/>
      <c r="X411" s="1"/>
      <c r="Y411" s="1"/>
      <c r="Z411" s="1"/>
    </row>
    <row r="412" spans="1:26" ht="50" customHeight="1" x14ac:dyDescent="0.15">
      <c r="A412" s="1"/>
      <c r="B412" s="33">
        <v>416</v>
      </c>
      <c r="C412" s="11"/>
      <c r="E412" s="4"/>
      <c r="F412" s="1"/>
      <c r="G412" s="1"/>
      <c r="H412" s="1"/>
      <c r="I412" s="1"/>
      <c r="J412" s="1"/>
      <c r="K412" s="1">
        <v>414</v>
      </c>
      <c r="L412" t="str">
        <f t="shared" si="8"/>
        <v xml:space="preserve">416 </v>
      </c>
      <c r="M412" s="1"/>
      <c r="N412" s="1"/>
      <c r="O412" s="1"/>
      <c r="P412" s="1"/>
      <c r="R412" s="1"/>
      <c r="S412" s="1"/>
      <c r="T412" s="1"/>
      <c r="U412" s="1"/>
      <c r="V412" s="1"/>
      <c r="W412" s="1"/>
      <c r="X412" s="1"/>
      <c r="Y412" s="1"/>
      <c r="Z412" s="1"/>
    </row>
    <row r="413" spans="1:26" ht="50" customHeight="1" x14ac:dyDescent="0.15">
      <c r="A413" s="1"/>
      <c r="B413" s="33">
        <v>417</v>
      </c>
      <c r="C413" s="11"/>
      <c r="E413" s="4"/>
      <c r="F413" s="1"/>
      <c r="G413" s="1"/>
      <c r="H413" s="1"/>
      <c r="I413" s="1"/>
      <c r="J413" s="1"/>
      <c r="K413" s="1">
        <v>415</v>
      </c>
      <c r="L413" t="str">
        <f t="shared" si="8"/>
        <v xml:space="preserve">417 </v>
      </c>
      <c r="M413" s="1"/>
      <c r="N413" s="1"/>
      <c r="O413" s="1"/>
      <c r="P413" s="1"/>
      <c r="R413" s="1"/>
      <c r="S413" s="1"/>
      <c r="T413" s="1"/>
      <c r="U413" s="1"/>
      <c r="V413" s="1"/>
      <c r="W413" s="1"/>
      <c r="X413" s="1"/>
      <c r="Y413" s="1"/>
      <c r="Z413" s="1"/>
    </row>
    <row r="414" spans="1:26" ht="50" customHeight="1" x14ac:dyDescent="0.15">
      <c r="A414" s="1"/>
      <c r="B414" s="33">
        <v>418</v>
      </c>
      <c r="C414" s="11"/>
      <c r="E414" s="4"/>
      <c r="F414" s="1"/>
      <c r="G414" s="1"/>
      <c r="H414" s="1"/>
      <c r="I414" s="1"/>
      <c r="J414" s="1"/>
      <c r="K414" s="1">
        <v>416</v>
      </c>
      <c r="L414" t="str">
        <f t="shared" si="8"/>
        <v xml:space="preserve">418 </v>
      </c>
      <c r="M414" s="1"/>
      <c r="N414" s="1"/>
      <c r="O414" s="1"/>
      <c r="P414" s="1"/>
      <c r="R414" s="1"/>
      <c r="S414" s="1"/>
      <c r="T414" s="1"/>
      <c r="U414" s="1"/>
      <c r="V414" s="1"/>
      <c r="W414" s="1"/>
      <c r="X414" s="1"/>
      <c r="Y414" s="1"/>
      <c r="Z414" s="1"/>
    </row>
    <row r="415" spans="1:26" ht="50" customHeight="1" x14ac:dyDescent="0.15">
      <c r="A415" s="1"/>
      <c r="B415" s="33">
        <v>419</v>
      </c>
      <c r="C415" s="11"/>
      <c r="E415" s="4"/>
      <c r="F415" s="1"/>
      <c r="G415" s="1"/>
      <c r="H415" s="1"/>
      <c r="I415" s="1"/>
      <c r="J415" s="1"/>
      <c r="K415" s="1">
        <v>417</v>
      </c>
      <c r="L415" t="str">
        <f t="shared" si="8"/>
        <v xml:space="preserve">419 </v>
      </c>
      <c r="M415" s="1"/>
      <c r="N415" s="1"/>
      <c r="O415" s="1"/>
      <c r="P415" s="1"/>
      <c r="R415" s="1"/>
      <c r="S415" s="1"/>
      <c r="T415" s="1"/>
      <c r="U415" s="1"/>
      <c r="V415" s="1"/>
      <c r="W415" s="1"/>
      <c r="X415" s="1"/>
      <c r="Y415" s="1"/>
      <c r="Z415" s="1"/>
    </row>
    <row r="416" spans="1:26" ht="50" customHeight="1" x14ac:dyDescent="0.15">
      <c r="A416" s="1"/>
      <c r="B416" s="33">
        <v>420</v>
      </c>
      <c r="C416" s="11"/>
      <c r="E416" s="4"/>
      <c r="F416" s="1"/>
      <c r="G416" s="1"/>
      <c r="H416" s="1"/>
      <c r="I416" s="1"/>
      <c r="J416" s="1"/>
      <c r="K416" s="1">
        <v>418</v>
      </c>
      <c r="L416" t="str">
        <f t="shared" si="8"/>
        <v xml:space="preserve">420 </v>
      </c>
      <c r="M416" s="1"/>
      <c r="N416" s="1"/>
      <c r="O416" s="1"/>
      <c r="P416" s="1"/>
      <c r="R416" s="1"/>
      <c r="S416" s="1"/>
      <c r="T416" s="1"/>
      <c r="U416" s="1"/>
      <c r="V416" s="1"/>
      <c r="W416" s="1"/>
      <c r="X416" s="1"/>
      <c r="Y416" s="1"/>
      <c r="Z416" s="1"/>
    </row>
    <row r="417" spans="1:26" ht="50" customHeight="1" x14ac:dyDescent="0.15">
      <c r="A417" s="1"/>
      <c r="B417" s="33">
        <v>421</v>
      </c>
      <c r="C417" s="11"/>
      <c r="E417" s="4"/>
      <c r="F417" s="1"/>
      <c r="G417" s="1"/>
      <c r="H417" s="1"/>
      <c r="I417" s="1"/>
      <c r="J417" s="1"/>
      <c r="K417" s="1">
        <v>419</v>
      </c>
      <c r="L417" t="str">
        <f t="shared" si="8"/>
        <v xml:space="preserve">421 </v>
      </c>
      <c r="M417" s="1"/>
      <c r="N417" s="1"/>
      <c r="O417" s="1"/>
      <c r="P417" s="1"/>
      <c r="R417" s="1"/>
      <c r="S417" s="1"/>
      <c r="T417" s="1"/>
      <c r="U417" s="1"/>
      <c r="V417" s="1"/>
      <c r="W417" s="1"/>
      <c r="X417" s="1"/>
      <c r="Y417" s="1"/>
      <c r="Z417" s="1"/>
    </row>
    <row r="418" spans="1:26" ht="50" customHeight="1" x14ac:dyDescent="0.15">
      <c r="A418" s="1"/>
      <c r="B418" s="33">
        <v>422</v>
      </c>
      <c r="C418" s="11"/>
      <c r="E418" s="4"/>
      <c r="F418" s="1"/>
      <c r="G418" s="1"/>
      <c r="H418" s="1"/>
      <c r="I418" s="1"/>
      <c r="J418" s="1"/>
      <c r="K418" s="1">
        <v>420</v>
      </c>
      <c r="L418" t="str">
        <f t="shared" si="8"/>
        <v xml:space="preserve">422 </v>
      </c>
      <c r="M418" s="1"/>
      <c r="N418" s="1"/>
      <c r="O418" s="1"/>
      <c r="P418" s="1"/>
      <c r="R418" s="1"/>
      <c r="S418" s="1"/>
      <c r="T418" s="1"/>
      <c r="U418" s="1"/>
      <c r="V418" s="1"/>
      <c r="W418" s="1"/>
      <c r="X418" s="1"/>
      <c r="Y418" s="1"/>
      <c r="Z418" s="1"/>
    </row>
    <row r="419" spans="1:26" ht="50" customHeight="1" x14ac:dyDescent="0.15">
      <c r="A419" s="1"/>
      <c r="B419" s="33">
        <v>423</v>
      </c>
      <c r="C419" s="11"/>
      <c r="E419" s="4"/>
      <c r="F419" s="1"/>
      <c r="G419" s="1"/>
      <c r="H419" s="1"/>
      <c r="I419" s="1"/>
      <c r="J419" s="1"/>
      <c r="K419" s="1">
        <v>421</v>
      </c>
      <c r="L419" t="str">
        <f t="shared" si="8"/>
        <v xml:space="preserve">423 </v>
      </c>
      <c r="M419" s="1"/>
      <c r="N419" s="1"/>
      <c r="O419" s="1"/>
      <c r="P419" s="1"/>
      <c r="R419" s="1"/>
      <c r="S419" s="1"/>
      <c r="T419" s="1"/>
      <c r="U419" s="1"/>
      <c r="V419" s="1"/>
      <c r="W419" s="1"/>
      <c r="X419" s="1"/>
      <c r="Y419" s="1"/>
      <c r="Z419" s="1"/>
    </row>
    <row r="420" spans="1:26" ht="50" customHeight="1" x14ac:dyDescent="0.15">
      <c r="A420" s="1"/>
      <c r="B420" s="33">
        <v>424</v>
      </c>
      <c r="C420" s="11"/>
      <c r="E420" s="4"/>
      <c r="F420" s="1"/>
      <c r="G420" s="1"/>
      <c r="H420" s="1"/>
      <c r="I420" s="1"/>
      <c r="J420" s="1"/>
      <c r="K420" s="1">
        <v>422</v>
      </c>
      <c r="L420" t="str">
        <f t="shared" si="8"/>
        <v xml:space="preserve">424 </v>
      </c>
      <c r="M420" s="1"/>
      <c r="N420" s="1"/>
      <c r="O420" s="1"/>
      <c r="P420" s="1"/>
      <c r="R420" s="1"/>
      <c r="S420" s="1"/>
      <c r="T420" s="1"/>
      <c r="U420" s="1"/>
      <c r="V420" s="1"/>
      <c r="W420" s="1"/>
      <c r="X420" s="1"/>
      <c r="Y420" s="1"/>
      <c r="Z420" s="1"/>
    </row>
    <row r="421" spans="1:26" ht="50" customHeight="1" x14ac:dyDescent="0.15">
      <c r="A421" s="1"/>
      <c r="B421" s="33">
        <v>425</v>
      </c>
      <c r="C421" s="11"/>
      <c r="E421" s="4"/>
      <c r="F421" s="1"/>
      <c r="G421" s="1"/>
      <c r="H421" s="1"/>
      <c r="I421" s="1"/>
      <c r="J421" s="1"/>
      <c r="K421" s="1">
        <v>423</v>
      </c>
      <c r="L421" t="str">
        <f t="shared" si="8"/>
        <v xml:space="preserve">425 </v>
      </c>
      <c r="M421" s="1"/>
      <c r="N421" s="1"/>
      <c r="O421" s="1"/>
      <c r="P421" s="1"/>
      <c r="R421" s="1"/>
      <c r="S421" s="1"/>
      <c r="T421" s="1"/>
      <c r="U421" s="1"/>
      <c r="V421" s="1"/>
      <c r="W421" s="1"/>
      <c r="X421" s="1"/>
      <c r="Y421" s="1"/>
      <c r="Z421" s="1"/>
    </row>
    <row r="422" spans="1:26" ht="50" customHeight="1" x14ac:dyDescent="0.15">
      <c r="A422" s="1"/>
      <c r="B422" s="33">
        <v>426</v>
      </c>
      <c r="C422" s="11"/>
      <c r="E422" s="4"/>
      <c r="F422" s="1"/>
      <c r="G422" s="1"/>
      <c r="H422" s="1"/>
      <c r="I422" s="1"/>
      <c r="J422" s="1"/>
      <c r="K422" s="1">
        <v>424</v>
      </c>
      <c r="L422" t="str">
        <f t="shared" si="8"/>
        <v xml:space="preserve">426 </v>
      </c>
      <c r="M422" s="1"/>
      <c r="N422" s="1"/>
      <c r="O422" s="1"/>
      <c r="P422" s="1"/>
      <c r="R422" s="1"/>
      <c r="S422" s="1"/>
      <c r="T422" s="1"/>
      <c r="U422" s="1"/>
      <c r="V422" s="1"/>
      <c r="W422" s="1"/>
      <c r="X422" s="1"/>
      <c r="Y422" s="1"/>
      <c r="Z422" s="1"/>
    </row>
    <row r="423" spans="1:26" ht="50" customHeight="1" x14ac:dyDescent="0.15">
      <c r="A423" s="1"/>
      <c r="B423" s="33">
        <v>427</v>
      </c>
      <c r="C423" s="11"/>
      <c r="E423" s="4"/>
      <c r="F423" s="1"/>
      <c r="G423" s="1"/>
      <c r="H423" s="1"/>
      <c r="I423" s="1"/>
      <c r="J423" s="1"/>
      <c r="K423" s="1">
        <v>425</v>
      </c>
      <c r="L423" t="str">
        <f t="shared" si="8"/>
        <v xml:space="preserve">427 </v>
      </c>
      <c r="M423" s="1"/>
      <c r="N423" s="1"/>
      <c r="O423" s="1"/>
      <c r="P423" s="1"/>
      <c r="R423" s="1"/>
      <c r="S423" s="1"/>
      <c r="T423" s="1"/>
      <c r="U423" s="1"/>
      <c r="V423" s="1"/>
      <c r="W423" s="1"/>
      <c r="X423" s="1"/>
      <c r="Y423" s="1"/>
      <c r="Z423" s="1"/>
    </row>
    <row r="424" spans="1:26" ht="50" customHeight="1" x14ac:dyDescent="0.15">
      <c r="A424" s="1"/>
      <c r="B424" s="33">
        <v>428</v>
      </c>
      <c r="C424" s="11"/>
      <c r="E424" s="4"/>
      <c r="F424" s="1"/>
      <c r="G424" s="1"/>
      <c r="H424" s="1"/>
      <c r="I424" s="1"/>
      <c r="J424" s="1"/>
      <c r="K424" s="1">
        <v>426</v>
      </c>
      <c r="L424" t="str">
        <f t="shared" si="8"/>
        <v xml:space="preserve">428 </v>
      </c>
      <c r="M424" s="1"/>
      <c r="N424" s="1"/>
      <c r="O424" s="1"/>
      <c r="P424" s="1"/>
      <c r="R424" s="1"/>
      <c r="S424" s="1"/>
      <c r="T424" s="1"/>
      <c r="U424" s="1"/>
      <c r="V424" s="1"/>
      <c r="W424" s="1"/>
      <c r="X424" s="1"/>
      <c r="Y424" s="1"/>
      <c r="Z424" s="1"/>
    </row>
    <row r="425" spans="1:26" ht="50" customHeight="1" x14ac:dyDescent="0.15">
      <c r="A425" s="1"/>
      <c r="B425" s="33">
        <v>429</v>
      </c>
      <c r="C425" s="11"/>
      <c r="E425" s="4"/>
      <c r="F425" s="1"/>
      <c r="G425" s="1"/>
      <c r="H425" s="1"/>
      <c r="I425" s="1"/>
      <c r="J425" s="1"/>
      <c r="K425" s="1">
        <v>427</v>
      </c>
      <c r="L425" t="str">
        <f t="shared" si="8"/>
        <v xml:space="preserve">429 </v>
      </c>
      <c r="M425" s="1"/>
      <c r="N425" s="1"/>
      <c r="O425" s="1"/>
      <c r="P425" s="1"/>
      <c r="R425" s="1"/>
      <c r="S425" s="1"/>
      <c r="T425" s="1"/>
      <c r="U425" s="1"/>
      <c r="V425" s="1"/>
      <c r="W425" s="1"/>
      <c r="X425" s="1"/>
      <c r="Y425" s="1"/>
      <c r="Z425" s="1"/>
    </row>
    <row r="426" spans="1:26" ht="50" customHeight="1" x14ac:dyDescent="0.15">
      <c r="A426" s="1"/>
      <c r="B426" s="33">
        <v>430</v>
      </c>
      <c r="C426" s="11"/>
      <c r="E426" s="4"/>
      <c r="F426" s="1"/>
      <c r="G426" s="1"/>
      <c r="H426" s="1"/>
      <c r="I426" s="1"/>
      <c r="J426" s="1"/>
      <c r="K426" s="1">
        <v>428</v>
      </c>
      <c r="L426" t="str">
        <f t="shared" si="8"/>
        <v xml:space="preserve">430 </v>
      </c>
      <c r="M426" s="1"/>
      <c r="N426" s="1"/>
      <c r="O426" s="1"/>
      <c r="P426" s="1"/>
      <c r="R426" s="1"/>
      <c r="S426" s="1"/>
      <c r="T426" s="1"/>
      <c r="U426" s="1"/>
      <c r="V426" s="1"/>
      <c r="W426" s="1"/>
      <c r="X426" s="1"/>
      <c r="Y426" s="1"/>
      <c r="Z426" s="1"/>
    </row>
    <row r="427" spans="1:26" ht="50" customHeight="1" x14ac:dyDescent="0.15">
      <c r="A427" s="1"/>
      <c r="B427" s="33">
        <v>431</v>
      </c>
      <c r="C427" s="11"/>
      <c r="E427" s="4"/>
      <c r="F427" s="1"/>
      <c r="G427" s="1"/>
      <c r="H427" s="1"/>
      <c r="I427" s="1"/>
      <c r="J427" s="1"/>
      <c r="K427" s="1">
        <v>429</v>
      </c>
      <c r="L427" t="str">
        <f t="shared" si="8"/>
        <v xml:space="preserve">431 </v>
      </c>
      <c r="M427" s="1"/>
      <c r="N427" s="1"/>
      <c r="O427" s="1"/>
      <c r="P427" s="1"/>
      <c r="R427" s="1"/>
      <c r="S427" s="1"/>
      <c r="T427" s="1"/>
      <c r="U427" s="1"/>
      <c r="V427" s="1"/>
      <c r="W427" s="1"/>
      <c r="X427" s="1"/>
      <c r="Y427" s="1"/>
      <c r="Z427" s="1"/>
    </row>
    <row r="428" spans="1:26" ht="50" customHeight="1" x14ac:dyDescent="0.15">
      <c r="A428" s="1"/>
      <c r="B428" s="33">
        <v>432</v>
      </c>
      <c r="C428" s="11"/>
      <c r="E428" s="4"/>
      <c r="F428" s="1"/>
      <c r="G428" s="1"/>
      <c r="H428" s="1"/>
      <c r="I428" s="1"/>
      <c r="J428" s="1"/>
      <c r="K428" s="1">
        <v>430</v>
      </c>
      <c r="L428" t="str">
        <f t="shared" si="8"/>
        <v xml:space="preserve">432 </v>
      </c>
      <c r="M428" s="1"/>
      <c r="N428" s="1"/>
      <c r="O428" s="1"/>
      <c r="P428" s="1"/>
      <c r="R428" s="1"/>
      <c r="S428" s="1"/>
      <c r="T428" s="1"/>
      <c r="U428" s="1"/>
      <c r="V428" s="1"/>
      <c r="W428" s="1"/>
      <c r="X428" s="1"/>
      <c r="Y428" s="1"/>
      <c r="Z428" s="1"/>
    </row>
    <row r="429" spans="1:26" ht="50" customHeight="1" x14ac:dyDescent="0.15">
      <c r="A429" s="1"/>
      <c r="B429" s="33">
        <v>433</v>
      </c>
      <c r="C429" s="11"/>
      <c r="E429" s="4"/>
      <c r="F429" s="1"/>
      <c r="G429" s="1"/>
      <c r="H429" s="1"/>
      <c r="I429" s="1"/>
      <c r="J429" s="1"/>
      <c r="K429" s="1">
        <v>431</v>
      </c>
      <c r="L429" t="str">
        <f t="shared" si="8"/>
        <v xml:space="preserve">433 </v>
      </c>
      <c r="M429" s="1"/>
      <c r="N429" s="1"/>
      <c r="O429" s="1"/>
      <c r="P429" s="1"/>
      <c r="R429" s="1"/>
      <c r="S429" s="1"/>
      <c r="T429" s="1"/>
      <c r="U429" s="1"/>
      <c r="V429" s="1"/>
      <c r="W429" s="1"/>
      <c r="X429" s="1"/>
      <c r="Y429" s="1"/>
      <c r="Z429" s="1"/>
    </row>
    <row r="430" spans="1:26" ht="50" customHeight="1" x14ac:dyDescent="0.15">
      <c r="A430" s="1"/>
      <c r="B430" s="33">
        <v>434</v>
      </c>
      <c r="C430" s="11"/>
      <c r="E430" s="4"/>
      <c r="F430" s="1"/>
      <c r="G430" s="1"/>
      <c r="H430" s="1"/>
      <c r="I430" s="1"/>
      <c r="J430" s="1"/>
      <c r="K430" s="1">
        <v>432</v>
      </c>
      <c r="L430" t="str">
        <f t="shared" si="8"/>
        <v xml:space="preserve">434 </v>
      </c>
      <c r="M430" s="1"/>
      <c r="N430" s="1"/>
      <c r="O430" s="1"/>
      <c r="P430" s="1"/>
      <c r="R430" s="1"/>
      <c r="S430" s="1"/>
      <c r="T430" s="1"/>
      <c r="U430" s="1"/>
      <c r="V430" s="1"/>
      <c r="W430" s="1"/>
      <c r="X430" s="1"/>
      <c r="Y430" s="1"/>
      <c r="Z430" s="1"/>
    </row>
    <row r="431" spans="1:26" ht="50" customHeight="1" x14ac:dyDescent="0.15">
      <c r="A431" s="1"/>
      <c r="B431" s="33">
        <v>435</v>
      </c>
      <c r="C431" s="11"/>
      <c r="E431" s="4"/>
      <c r="F431" s="1"/>
      <c r="G431" s="1"/>
      <c r="H431" s="1"/>
      <c r="I431" s="1"/>
      <c r="J431" s="1"/>
      <c r="K431" s="1">
        <v>433</v>
      </c>
      <c r="L431" t="str">
        <f t="shared" si="8"/>
        <v xml:space="preserve">435 </v>
      </c>
      <c r="M431" s="1"/>
      <c r="N431" s="1"/>
      <c r="O431" s="1"/>
      <c r="P431" s="1"/>
      <c r="R431" s="1"/>
      <c r="S431" s="1"/>
      <c r="T431" s="1"/>
      <c r="U431" s="1"/>
      <c r="V431" s="1"/>
      <c r="W431" s="1"/>
      <c r="X431" s="1"/>
      <c r="Y431" s="1"/>
      <c r="Z431" s="1"/>
    </row>
    <row r="432" spans="1:26" ht="50" customHeight="1" x14ac:dyDescent="0.15">
      <c r="A432" s="1"/>
      <c r="B432" s="33">
        <v>436</v>
      </c>
      <c r="C432" s="11"/>
      <c r="E432" s="4"/>
      <c r="F432" s="1"/>
      <c r="G432" s="1"/>
      <c r="H432" s="1"/>
      <c r="I432" s="1"/>
      <c r="J432" s="1"/>
      <c r="K432" s="1">
        <v>434</v>
      </c>
      <c r="L432" t="str">
        <f t="shared" si="8"/>
        <v xml:space="preserve">436 </v>
      </c>
      <c r="M432" s="1"/>
      <c r="N432" s="1"/>
      <c r="O432" s="1"/>
      <c r="P432" s="1"/>
      <c r="R432" s="1"/>
      <c r="S432" s="1"/>
      <c r="T432" s="1"/>
      <c r="U432" s="1"/>
      <c r="V432" s="1"/>
      <c r="W432" s="1"/>
      <c r="X432" s="1"/>
      <c r="Y432" s="1"/>
      <c r="Z432" s="1"/>
    </row>
    <row r="433" spans="1:26" ht="50" customHeight="1" x14ac:dyDescent="0.15">
      <c r="A433" s="1"/>
      <c r="B433" s="33">
        <v>437</v>
      </c>
      <c r="C433" s="11"/>
      <c r="E433" s="4"/>
      <c r="F433" s="1"/>
      <c r="G433" s="1"/>
      <c r="H433" s="1"/>
      <c r="I433" s="1"/>
      <c r="J433" s="1"/>
      <c r="K433" s="1">
        <v>435</v>
      </c>
      <c r="L433" t="str">
        <f t="shared" si="8"/>
        <v xml:space="preserve">437 </v>
      </c>
      <c r="M433" s="1"/>
      <c r="N433" s="1"/>
      <c r="O433" s="1"/>
      <c r="P433" s="1"/>
      <c r="R433" s="1"/>
      <c r="S433" s="1"/>
      <c r="T433" s="1"/>
      <c r="U433" s="1"/>
      <c r="V433" s="1"/>
      <c r="W433" s="1"/>
      <c r="X433" s="1"/>
      <c r="Y433" s="1"/>
      <c r="Z433" s="1"/>
    </row>
    <row r="434" spans="1:26" ht="50" customHeight="1" x14ac:dyDescent="0.15">
      <c r="A434" s="1"/>
      <c r="B434" s="33">
        <v>438</v>
      </c>
      <c r="C434" s="11"/>
      <c r="E434" s="4"/>
      <c r="F434" s="1"/>
      <c r="G434" s="1"/>
      <c r="H434" s="1"/>
      <c r="I434" s="1"/>
      <c r="J434" s="1"/>
      <c r="K434" s="1">
        <v>436</v>
      </c>
      <c r="L434" t="str">
        <f t="shared" si="8"/>
        <v xml:space="preserve">438 </v>
      </c>
      <c r="M434" s="1"/>
      <c r="N434" s="1"/>
      <c r="O434" s="1"/>
      <c r="P434" s="1"/>
      <c r="R434" s="1"/>
      <c r="S434" s="1"/>
      <c r="T434" s="1"/>
      <c r="U434" s="1"/>
      <c r="V434" s="1"/>
      <c r="W434" s="1"/>
      <c r="X434" s="1"/>
      <c r="Y434" s="1"/>
      <c r="Z434" s="1"/>
    </row>
    <row r="435" spans="1:26" ht="50" customHeight="1" x14ac:dyDescent="0.15">
      <c r="A435" s="1"/>
      <c r="B435" s="33">
        <v>439</v>
      </c>
      <c r="C435" s="11"/>
      <c r="E435" s="4"/>
      <c r="F435" s="1"/>
      <c r="G435" s="1"/>
      <c r="H435" s="1"/>
      <c r="I435" s="1"/>
      <c r="J435" s="1"/>
      <c r="K435" s="1">
        <v>437</v>
      </c>
      <c r="L435" t="str">
        <f t="shared" si="8"/>
        <v xml:space="preserve">439 </v>
      </c>
      <c r="M435" s="1"/>
      <c r="N435" s="1"/>
      <c r="O435" s="1"/>
      <c r="P435" s="1"/>
      <c r="R435" s="1"/>
      <c r="S435" s="1"/>
      <c r="T435" s="1"/>
      <c r="U435" s="1"/>
      <c r="V435" s="1"/>
      <c r="W435" s="1"/>
      <c r="X435" s="1"/>
      <c r="Y435" s="1"/>
      <c r="Z435" s="1"/>
    </row>
    <row r="436" spans="1:26" ht="50" customHeight="1" x14ac:dyDescent="0.15">
      <c r="A436" s="1"/>
      <c r="B436" s="33">
        <v>440</v>
      </c>
      <c r="C436" s="11"/>
      <c r="E436" s="4"/>
      <c r="F436" s="1"/>
      <c r="G436" s="1"/>
      <c r="H436" s="1"/>
      <c r="I436" s="1"/>
      <c r="J436" s="1"/>
      <c r="K436" s="1">
        <v>438</v>
      </c>
      <c r="L436" t="str">
        <f t="shared" si="8"/>
        <v xml:space="preserve">440 </v>
      </c>
      <c r="M436" s="1"/>
      <c r="N436" s="1"/>
      <c r="O436" s="1"/>
      <c r="P436" s="1"/>
      <c r="R436" s="1"/>
      <c r="S436" s="1"/>
      <c r="T436" s="1"/>
      <c r="U436" s="1"/>
      <c r="V436" s="1"/>
      <c r="W436" s="1"/>
      <c r="X436" s="1"/>
      <c r="Y436" s="1"/>
      <c r="Z436" s="1"/>
    </row>
    <row r="437" spans="1:26" ht="50" customHeight="1" x14ac:dyDescent="0.15">
      <c r="A437" s="1"/>
      <c r="B437" s="33">
        <v>441</v>
      </c>
      <c r="C437" s="11"/>
      <c r="E437" s="4"/>
      <c r="F437" s="1"/>
      <c r="G437" s="1"/>
      <c r="H437" s="1"/>
      <c r="I437" s="1"/>
      <c r="J437" s="1"/>
      <c r="K437" s="1">
        <v>439</v>
      </c>
      <c r="L437" t="str">
        <f t="shared" si="8"/>
        <v xml:space="preserve">441 </v>
      </c>
      <c r="M437" s="1"/>
      <c r="N437" s="1"/>
      <c r="O437" s="1"/>
      <c r="P437" s="1"/>
      <c r="R437" s="1"/>
      <c r="S437" s="1"/>
      <c r="T437" s="1"/>
      <c r="U437" s="1"/>
      <c r="V437" s="1"/>
      <c r="W437" s="1"/>
      <c r="X437" s="1"/>
      <c r="Y437" s="1"/>
      <c r="Z437" s="1"/>
    </row>
    <row r="438" spans="1:26" ht="50" customHeight="1" x14ac:dyDescent="0.15">
      <c r="A438" s="1"/>
      <c r="B438" s="33">
        <v>442</v>
      </c>
      <c r="C438" s="11"/>
      <c r="E438" s="4"/>
      <c r="F438" s="1"/>
      <c r="G438" s="1"/>
      <c r="H438" s="1"/>
      <c r="I438" s="1"/>
      <c r="J438" s="1"/>
      <c r="K438" s="1">
        <v>440</v>
      </c>
      <c r="L438" t="str">
        <f t="shared" ref="L438:L501" si="9">B438&amp;" "&amp;E438</f>
        <v xml:space="preserve">442 </v>
      </c>
      <c r="M438" s="1"/>
      <c r="N438" s="1"/>
      <c r="O438" s="1"/>
      <c r="P438" s="1"/>
      <c r="R438" s="1"/>
      <c r="S438" s="1"/>
      <c r="T438" s="1"/>
      <c r="U438" s="1"/>
      <c r="V438" s="1"/>
      <c r="W438" s="1"/>
      <c r="X438" s="1"/>
      <c r="Y438" s="1"/>
      <c r="Z438" s="1"/>
    </row>
    <row r="439" spans="1:26" ht="50" customHeight="1" x14ac:dyDescent="0.15">
      <c r="A439" s="1"/>
      <c r="B439" s="33">
        <v>443</v>
      </c>
      <c r="C439" s="11"/>
      <c r="E439" s="4"/>
      <c r="F439" s="1"/>
      <c r="G439" s="1"/>
      <c r="H439" s="1"/>
      <c r="I439" s="1"/>
      <c r="J439" s="1"/>
      <c r="K439" s="1">
        <v>441</v>
      </c>
      <c r="L439" t="str">
        <f t="shared" si="9"/>
        <v xml:space="preserve">443 </v>
      </c>
      <c r="M439" s="1"/>
      <c r="N439" s="1"/>
      <c r="O439" s="1"/>
      <c r="P439" s="1"/>
      <c r="R439" s="1"/>
      <c r="S439" s="1"/>
      <c r="T439" s="1"/>
      <c r="U439" s="1"/>
      <c r="V439" s="1"/>
      <c r="W439" s="1"/>
      <c r="X439" s="1"/>
      <c r="Y439" s="1"/>
      <c r="Z439" s="1"/>
    </row>
    <row r="440" spans="1:26" ht="50" customHeight="1" x14ac:dyDescent="0.15">
      <c r="A440" s="1"/>
      <c r="B440" s="33">
        <v>444</v>
      </c>
      <c r="C440" s="11"/>
      <c r="E440" s="4"/>
      <c r="F440" s="1"/>
      <c r="G440" s="1"/>
      <c r="H440" s="1"/>
      <c r="I440" s="1"/>
      <c r="J440" s="1"/>
      <c r="K440" s="1">
        <v>442</v>
      </c>
      <c r="L440" t="str">
        <f t="shared" si="9"/>
        <v xml:space="preserve">444 </v>
      </c>
      <c r="M440" s="1"/>
      <c r="N440" s="1"/>
      <c r="O440" s="1"/>
      <c r="P440" s="1"/>
      <c r="R440" s="1"/>
      <c r="S440" s="1"/>
      <c r="T440" s="1"/>
      <c r="U440" s="1"/>
      <c r="V440" s="1"/>
      <c r="W440" s="1"/>
      <c r="X440" s="1"/>
      <c r="Y440" s="1"/>
      <c r="Z440" s="1"/>
    </row>
    <row r="441" spans="1:26" ht="50" customHeight="1" x14ac:dyDescent="0.15">
      <c r="A441" s="1"/>
      <c r="B441" s="33">
        <v>445</v>
      </c>
      <c r="C441" s="11"/>
      <c r="E441" s="4"/>
      <c r="F441" s="1"/>
      <c r="G441" s="1"/>
      <c r="H441" s="1"/>
      <c r="I441" s="1"/>
      <c r="J441" s="1"/>
      <c r="K441" s="1">
        <v>443</v>
      </c>
      <c r="L441" t="str">
        <f t="shared" si="9"/>
        <v xml:space="preserve">445 </v>
      </c>
      <c r="M441" s="1"/>
      <c r="N441" s="1"/>
      <c r="O441" s="1"/>
      <c r="P441" s="1"/>
      <c r="R441" s="1"/>
      <c r="S441" s="1"/>
      <c r="T441" s="1"/>
      <c r="U441" s="1"/>
      <c r="V441" s="1"/>
      <c r="W441" s="1"/>
      <c r="X441" s="1"/>
      <c r="Y441" s="1"/>
      <c r="Z441" s="1"/>
    </row>
    <row r="442" spans="1:26" ht="50" customHeight="1" x14ac:dyDescent="0.15">
      <c r="A442" s="1"/>
      <c r="B442" s="33">
        <v>446</v>
      </c>
      <c r="C442" s="11"/>
      <c r="E442" s="4"/>
      <c r="F442" s="1"/>
      <c r="G442" s="1"/>
      <c r="H442" s="1"/>
      <c r="I442" s="1"/>
      <c r="J442" s="1"/>
      <c r="K442" s="1">
        <v>444</v>
      </c>
      <c r="L442" t="str">
        <f t="shared" si="9"/>
        <v xml:space="preserve">446 </v>
      </c>
      <c r="M442" s="1"/>
      <c r="N442" s="1"/>
      <c r="O442" s="1"/>
      <c r="P442" s="1"/>
      <c r="R442" s="1"/>
      <c r="S442" s="1"/>
      <c r="T442" s="1"/>
      <c r="U442" s="1"/>
      <c r="V442" s="1"/>
      <c r="W442" s="1"/>
      <c r="X442" s="1"/>
      <c r="Y442" s="1"/>
      <c r="Z442" s="1"/>
    </row>
    <row r="443" spans="1:26" ht="50" customHeight="1" x14ac:dyDescent="0.15">
      <c r="A443" s="1"/>
      <c r="B443" s="33">
        <v>447</v>
      </c>
      <c r="C443" s="11"/>
      <c r="E443" s="4"/>
      <c r="F443" s="1"/>
      <c r="G443" s="1"/>
      <c r="H443" s="1"/>
      <c r="I443" s="1"/>
      <c r="J443" s="1"/>
      <c r="K443" s="1">
        <v>445</v>
      </c>
      <c r="L443" t="str">
        <f t="shared" si="9"/>
        <v xml:space="preserve">447 </v>
      </c>
      <c r="M443" s="1"/>
      <c r="N443" s="1"/>
      <c r="O443" s="1"/>
      <c r="P443" s="1"/>
      <c r="R443" s="1"/>
      <c r="S443" s="1"/>
      <c r="T443" s="1"/>
      <c r="U443" s="1"/>
      <c r="V443" s="1"/>
      <c r="W443" s="1"/>
      <c r="X443" s="1"/>
      <c r="Y443" s="1"/>
      <c r="Z443" s="1"/>
    </row>
    <row r="444" spans="1:26" ht="50" customHeight="1" x14ac:dyDescent="0.15">
      <c r="A444" s="1"/>
      <c r="B444" s="33">
        <v>448</v>
      </c>
      <c r="C444" s="11"/>
      <c r="E444" s="4"/>
      <c r="F444" s="1"/>
      <c r="G444" s="1"/>
      <c r="H444" s="1"/>
      <c r="I444" s="1"/>
      <c r="J444" s="1"/>
      <c r="K444" s="1">
        <v>446</v>
      </c>
      <c r="L444" t="str">
        <f t="shared" si="9"/>
        <v xml:space="preserve">448 </v>
      </c>
      <c r="M444" s="1"/>
      <c r="N444" s="1"/>
      <c r="O444" s="1"/>
      <c r="P444" s="1"/>
      <c r="R444" s="1"/>
      <c r="S444" s="1"/>
      <c r="T444" s="1"/>
      <c r="U444" s="1"/>
      <c r="V444" s="1"/>
      <c r="W444" s="1"/>
      <c r="X444" s="1"/>
      <c r="Y444" s="1"/>
      <c r="Z444" s="1"/>
    </row>
    <row r="445" spans="1:26" ht="50" customHeight="1" x14ac:dyDescent="0.15">
      <c r="A445" s="1"/>
      <c r="B445" s="33">
        <v>449</v>
      </c>
      <c r="C445" s="11"/>
      <c r="E445" s="4"/>
      <c r="F445" s="1"/>
      <c r="G445" s="1"/>
      <c r="H445" s="1"/>
      <c r="I445" s="1"/>
      <c r="J445" s="1"/>
      <c r="K445" s="1">
        <v>447</v>
      </c>
      <c r="L445" t="str">
        <f t="shared" si="9"/>
        <v xml:space="preserve">449 </v>
      </c>
      <c r="M445" s="1"/>
      <c r="N445" s="1"/>
      <c r="O445" s="1"/>
      <c r="P445" s="1"/>
      <c r="R445" s="1"/>
      <c r="S445" s="1"/>
      <c r="T445" s="1"/>
      <c r="U445" s="1"/>
      <c r="V445" s="1"/>
      <c r="W445" s="1"/>
      <c r="X445" s="1"/>
      <c r="Y445" s="1"/>
      <c r="Z445" s="1"/>
    </row>
    <row r="446" spans="1:26" ht="50" customHeight="1" x14ac:dyDescent="0.15">
      <c r="A446" s="1"/>
      <c r="B446" s="33">
        <v>450</v>
      </c>
      <c r="C446" s="11"/>
      <c r="E446" s="4"/>
      <c r="F446" s="1"/>
      <c r="G446" s="1"/>
      <c r="H446" s="1"/>
      <c r="I446" s="1"/>
      <c r="J446" s="1"/>
      <c r="K446" s="1">
        <v>448</v>
      </c>
      <c r="L446" t="str">
        <f t="shared" si="9"/>
        <v xml:space="preserve">450 </v>
      </c>
      <c r="M446" s="1"/>
      <c r="N446" s="1"/>
      <c r="O446" s="1"/>
      <c r="P446" s="1"/>
      <c r="R446" s="1"/>
      <c r="S446" s="1"/>
      <c r="T446" s="1"/>
      <c r="U446" s="1"/>
      <c r="V446" s="1"/>
      <c r="W446" s="1"/>
      <c r="X446" s="1"/>
      <c r="Y446" s="1"/>
      <c r="Z446" s="1"/>
    </row>
    <row r="447" spans="1:26" ht="50" customHeight="1" x14ac:dyDescent="0.15">
      <c r="A447" s="1"/>
      <c r="B447" s="33">
        <v>451</v>
      </c>
      <c r="C447" s="11"/>
      <c r="E447" s="4"/>
      <c r="F447" s="1"/>
      <c r="G447" s="1"/>
      <c r="H447" s="1"/>
      <c r="I447" s="1"/>
      <c r="J447" s="1"/>
      <c r="K447" s="1">
        <v>449</v>
      </c>
      <c r="L447" t="str">
        <f t="shared" si="9"/>
        <v xml:space="preserve">451 </v>
      </c>
      <c r="M447" s="1"/>
      <c r="N447" s="1"/>
      <c r="O447" s="1"/>
      <c r="P447" s="1"/>
      <c r="R447" s="1"/>
      <c r="S447" s="1"/>
      <c r="T447" s="1"/>
      <c r="U447" s="1"/>
      <c r="V447" s="1"/>
      <c r="W447" s="1"/>
      <c r="X447" s="1"/>
      <c r="Y447" s="1"/>
      <c r="Z447" s="1"/>
    </row>
    <row r="448" spans="1:26" ht="50" customHeight="1" x14ac:dyDescent="0.15">
      <c r="A448" s="1"/>
      <c r="B448" s="33">
        <v>452</v>
      </c>
      <c r="C448" s="11"/>
      <c r="E448" s="4"/>
      <c r="F448" s="1"/>
      <c r="G448" s="1"/>
      <c r="H448" s="1"/>
      <c r="I448" s="1"/>
      <c r="J448" s="1"/>
      <c r="K448" s="1">
        <v>450</v>
      </c>
      <c r="L448" t="str">
        <f t="shared" si="9"/>
        <v xml:space="preserve">452 </v>
      </c>
      <c r="M448" s="1"/>
      <c r="N448" s="1"/>
      <c r="O448" s="1"/>
      <c r="P448" s="1"/>
      <c r="R448" s="1"/>
      <c r="S448" s="1"/>
      <c r="T448" s="1"/>
      <c r="U448" s="1"/>
      <c r="V448" s="1"/>
      <c r="W448" s="1"/>
      <c r="X448" s="1"/>
      <c r="Y448" s="1"/>
      <c r="Z448" s="1"/>
    </row>
    <row r="449" spans="1:26" ht="50" customHeight="1" x14ac:dyDescent="0.15">
      <c r="A449" s="1"/>
      <c r="B449" s="33">
        <v>453</v>
      </c>
      <c r="C449" s="11"/>
      <c r="E449" s="4"/>
      <c r="F449" s="1"/>
      <c r="G449" s="1"/>
      <c r="H449" s="1"/>
      <c r="I449" s="1"/>
      <c r="J449" s="1"/>
      <c r="K449" s="1">
        <v>451</v>
      </c>
      <c r="L449" t="str">
        <f t="shared" si="9"/>
        <v xml:space="preserve">453 </v>
      </c>
      <c r="M449" s="1"/>
      <c r="N449" s="1"/>
      <c r="O449" s="1"/>
      <c r="P449" s="1"/>
      <c r="R449" s="1"/>
      <c r="S449" s="1"/>
      <c r="T449" s="1"/>
      <c r="U449" s="1"/>
      <c r="V449" s="1"/>
      <c r="W449" s="1"/>
      <c r="X449" s="1"/>
      <c r="Y449" s="1"/>
      <c r="Z449" s="1"/>
    </row>
    <row r="450" spans="1:26" ht="50" customHeight="1" x14ac:dyDescent="0.15">
      <c r="A450" s="1"/>
      <c r="B450" s="33">
        <v>454</v>
      </c>
      <c r="C450" s="11"/>
      <c r="E450" s="4"/>
      <c r="F450" s="1"/>
      <c r="G450" s="1"/>
      <c r="H450" s="1"/>
      <c r="I450" s="1"/>
      <c r="J450" s="1"/>
      <c r="K450" s="1">
        <v>452</v>
      </c>
      <c r="L450" t="str">
        <f t="shared" si="9"/>
        <v xml:space="preserve">454 </v>
      </c>
      <c r="M450" s="1"/>
      <c r="N450" s="1"/>
      <c r="O450" s="1"/>
      <c r="P450" s="1"/>
      <c r="R450" s="1"/>
      <c r="S450" s="1"/>
      <c r="T450" s="1"/>
      <c r="U450" s="1"/>
      <c r="V450" s="1"/>
      <c r="W450" s="1"/>
      <c r="X450" s="1"/>
      <c r="Y450" s="1"/>
      <c r="Z450" s="1"/>
    </row>
    <row r="451" spans="1:26" ht="50" customHeight="1" x14ac:dyDescent="0.15">
      <c r="A451" s="1"/>
      <c r="B451" s="33">
        <v>455</v>
      </c>
      <c r="C451" s="11"/>
      <c r="E451" s="4"/>
      <c r="F451" s="1"/>
      <c r="G451" s="1"/>
      <c r="H451" s="1"/>
      <c r="I451" s="1"/>
      <c r="J451" s="1"/>
      <c r="K451" s="1">
        <v>453</v>
      </c>
      <c r="L451" t="str">
        <f t="shared" si="9"/>
        <v xml:space="preserve">455 </v>
      </c>
      <c r="M451" s="1"/>
      <c r="N451" s="1"/>
      <c r="O451" s="1"/>
      <c r="P451" s="1"/>
      <c r="R451" s="1"/>
      <c r="S451" s="1"/>
      <c r="T451" s="1"/>
      <c r="U451" s="1"/>
      <c r="V451" s="1"/>
      <c r="W451" s="1"/>
      <c r="X451" s="1"/>
      <c r="Y451" s="1"/>
      <c r="Z451" s="1"/>
    </row>
    <row r="452" spans="1:26" ht="50" customHeight="1" x14ac:dyDescent="0.15">
      <c r="A452" s="1"/>
      <c r="B452" s="33">
        <v>456</v>
      </c>
      <c r="C452" s="11"/>
      <c r="E452" s="4"/>
      <c r="F452" s="1"/>
      <c r="G452" s="1"/>
      <c r="H452" s="1"/>
      <c r="I452" s="1"/>
      <c r="J452" s="1"/>
      <c r="K452" s="1">
        <v>454</v>
      </c>
      <c r="L452" t="str">
        <f t="shared" si="9"/>
        <v xml:space="preserve">456 </v>
      </c>
      <c r="M452" s="1"/>
      <c r="N452" s="1"/>
      <c r="O452" s="1"/>
      <c r="P452" s="1"/>
      <c r="R452" s="1"/>
      <c r="S452" s="1"/>
      <c r="T452" s="1"/>
      <c r="U452" s="1"/>
      <c r="V452" s="1"/>
      <c r="W452" s="1"/>
      <c r="X452" s="1"/>
      <c r="Y452" s="1"/>
      <c r="Z452" s="1"/>
    </row>
    <row r="453" spans="1:26" ht="50" customHeight="1" x14ac:dyDescent="0.15">
      <c r="A453" s="1"/>
      <c r="B453" s="33">
        <v>457</v>
      </c>
      <c r="C453" s="11"/>
      <c r="E453" s="4"/>
      <c r="F453" s="1"/>
      <c r="G453" s="1"/>
      <c r="H453" s="1"/>
      <c r="I453" s="1"/>
      <c r="J453" s="1"/>
      <c r="K453" s="1">
        <v>455</v>
      </c>
      <c r="L453" t="str">
        <f t="shared" si="9"/>
        <v xml:space="preserve">457 </v>
      </c>
      <c r="M453" s="1"/>
      <c r="N453" s="1"/>
      <c r="O453" s="1"/>
      <c r="P453" s="1"/>
      <c r="R453" s="1"/>
      <c r="S453" s="1"/>
      <c r="T453" s="1"/>
      <c r="U453" s="1"/>
      <c r="V453" s="1"/>
      <c r="W453" s="1"/>
      <c r="X453" s="1"/>
      <c r="Y453" s="1"/>
      <c r="Z453" s="1"/>
    </row>
    <row r="454" spans="1:26" ht="50" customHeight="1" x14ac:dyDescent="0.15">
      <c r="A454" s="1"/>
      <c r="B454" s="33">
        <v>458</v>
      </c>
      <c r="C454" s="11"/>
      <c r="E454" s="4"/>
      <c r="F454" s="1"/>
      <c r="G454" s="1"/>
      <c r="H454" s="1"/>
      <c r="I454" s="1"/>
      <c r="J454" s="1"/>
      <c r="K454" s="1">
        <v>456</v>
      </c>
      <c r="L454" t="str">
        <f t="shared" si="9"/>
        <v xml:space="preserve">458 </v>
      </c>
      <c r="M454" s="1"/>
      <c r="N454" s="1"/>
      <c r="O454" s="1"/>
      <c r="P454" s="1"/>
      <c r="R454" s="1"/>
      <c r="S454" s="1"/>
      <c r="T454" s="1"/>
      <c r="U454" s="1"/>
      <c r="V454" s="1"/>
      <c r="W454" s="1"/>
      <c r="X454" s="1"/>
      <c r="Y454" s="1"/>
      <c r="Z454" s="1"/>
    </row>
    <row r="455" spans="1:26" ht="50" customHeight="1" x14ac:dyDescent="0.15">
      <c r="A455" s="1"/>
      <c r="B455" s="33">
        <v>459</v>
      </c>
      <c r="C455" s="11"/>
      <c r="E455" s="4"/>
      <c r="F455" s="1"/>
      <c r="G455" s="1"/>
      <c r="H455" s="1"/>
      <c r="I455" s="1"/>
      <c r="J455" s="1"/>
      <c r="K455" s="1">
        <v>457</v>
      </c>
      <c r="L455" t="str">
        <f t="shared" si="9"/>
        <v xml:space="preserve">459 </v>
      </c>
      <c r="M455" s="1"/>
      <c r="N455" s="1"/>
      <c r="O455" s="1"/>
      <c r="P455" s="1"/>
      <c r="R455" s="1"/>
      <c r="S455" s="1"/>
      <c r="T455" s="1"/>
      <c r="U455" s="1"/>
      <c r="V455" s="1"/>
      <c r="W455" s="1"/>
      <c r="X455" s="1"/>
      <c r="Y455" s="1"/>
      <c r="Z455" s="1"/>
    </row>
    <row r="456" spans="1:26" ht="50" customHeight="1" x14ac:dyDescent="0.15">
      <c r="A456" s="1"/>
      <c r="B456" s="33">
        <v>460</v>
      </c>
      <c r="C456" s="11"/>
      <c r="E456" s="4"/>
      <c r="F456" s="1"/>
      <c r="G456" s="1"/>
      <c r="H456" s="1"/>
      <c r="I456" s="1"/>
      <c r="J456" s="1"/>
      <c r="K456" s="1">
        <v>458</v>
      </c>
      <c r="L456" t="str">
        <f t="shared" si="9"/>
        <v xml:space="preserve">460 </v>
      </c>
      <c r="M456" s="1"/>
      <c r="N456" s="1"/>
      <c r="O456" s="1"/>
      <c r="P456" s="1"/>
      <c r="R456" s="1"/>
      <c r="S456" s="1"/>
      <c r="T456" s="1"/>
      <c r="U456" s="1"/>
      <c r="V456" s="1"/>
      <c r="W456" s="1"/>
      <c r="X456" s="1"/>
      <c r="Y456" s="1"/>
      <c r="Z456" s="1"/>
    </row>
    <row r="457" spans="1:26" ht="50" customHeight="1" x14ac:dyDescent="0.15">
      <c r="A457" s="1"/>
      <c r="B457" s="33">
        <v>461</v>
      </c>
      <c r="C457" s="11"/>
      <c r="E457" s="4"/>
      <c r="F457" s="1"/>
      <c r="G457" s="1"/>
      <c r="H457" s="1"/>
      <c r="I457" s="1"/>
      <c r="J457" s="1"/>
      <c r="K457" s="1">
        <v>459</v>
      </c>
      <c r="L457" t="str">
        <f t="shared" si="9"/>
        <v xml:space="preserve">461 </v>
      </c>
      <c r="M457" s="1"/>
      <c r="N457" s="1"/>
      <c r="O457" s="1"/>
      <c r="P457" s="1"/>
      <c r="R457" s="1"/>
      <c r="S457" s="1"/>
      <c r="T457" s="1"/>
      <c r="U457" s="1"/>
      <c r="V457" s="1"/>
      <c r="W457" s="1"/>
      <c r="X457" s="1"/>
      <c r="Y457" s="1"/>
      <c r="Z457" s="1"/>
    </row>
    <row r="458" spans="1:26" ht="50" customHeight="1" x14ac:dyDescent="0.15">
      <c r="A458" s="1"/>
      <c r="B458" s="33">
        <v>462</v>
      </c>
      <c r="C458" s="11"/>
      <c r="E458" s="4"/>
      <c r="F458" s="1"/>
      <c r="G458" s="1"/>
      <c r="H458" s="1"/>
      <c r="I458" s="1"/>
      <c r="J458" s="1"/>
      <c r="K458" s="1">
        <v>460</v>
      </c>
      <c r="L458" t="str">
        <f t="shared" si="9"/>
        <v xml:space="preserve">462 </v>
      </c>
      <c r="M458" s="1"/>
      <c r="N458" s="1"/>
      <c r="O458" s="1"/>
      <c r="P458" s="1"/>
      <c r="R458" s="1"/>
      <c r="S458" s="1"/>
      <c r="T458" s="1"/>
      <c r="U458" s="1"/>
      <c r="V458" s="1"/>
      <c r="W458" s="1"/>
      <c r="X458" s="1"/>
      <c r="Y458" s="1"/>
      <c r="Z458" s="1"/>
    </row>
    <row r="459" spans="1:26" ht="50" customHeight="1" x14ac:dyDescent="0.15">
      <c r="A459" s="1"/>
      <c r="B459" s="33">
        <v>463</v>
      </c>
      <c r="C459" s="11"/>
      <c r="E459" s="4"/>
      <c r="F459" s="1"/>
      <c r="G459" s="1"/>
      <c r="H459" s="1"/>
      <c r="I459" s="1"/>
      <c r="J459" s="1"/>
      <c r="K459" s="1">
        <v>461</v>
      </c>
      <c r="L459" t="str">
        <f t="shared" si="9"/>
        <v xml:space="preserve">463 </v>
      </c>
      <c r="M459" s="1"/>
      <c r="N459" s="1"/>
      <c r="O459" s="1"/>
      <c r="P459" s="1"/>
      <c r="R459" s="1"/>
      <c r="S459" s="1"/>
      <c r="T459" s="1"/>
      <c r="U459" s="1"/>
      <c r="V459" s="1"/>
      <c r="W459" s="1"/>
      <c r="X459" s="1"/>
      <c r="Y459" s="1"/>
      <c r="Z459" s="1"/>
    </row>
    <row r="460" spans="1:26" ht="50" customHeight="1" x14ac:dyDescent="0.15">
      <c r="A460" s="1"/>
      <c r="B460" s="33">
        <v>464</v>
      </c>
      <c r="C460" s="11"/>
      <c r="E460" s="4"/>
      <c r="F460" s="1"/>
      <c r="G460" s="1"/>
      <c r="H460" s="1"/>
      <c r="I460" s="1"/>
      <c r="J460" s="1"/>
      <c r="K460" s="1">
        <v>462</v>
      </c>
      <c r="L460" t="str">
        <f t="shared" si="9"/>
        <v xml:space="preserve">464 </v>
      </c>
      <c r="M460" s="1"/>
      <c r="N460" s="1"/>
      <c r="O460" s="1"/>
      <c r="P460" s="1"/>
      <c r="R460" s="1"/>
      <c r="S460" s="1"/>
      <c r="T460" s="1"/>
      <c r="U460" s="1"/>
      <c r="V460" s="1"/>
      <c r="W460" s="1"/>
      <c r="X460" s="1"/>
      <c r="Y460" s="1"/>
      <c r="Z460" s="1"/>
    </row>
    <row r="461" spans="1:26" ht="50" customHeight="1" x14ac:dyDescent="0.15">
      <c r="A461" s="1"/>
      <c r="B461" s="33">
        <v>465</v>
      </c>
      <c r="C461" s="11"/>
      <c r="E461" s="4"/>
      <c r="F461" s="1"/>
      <c r="G461" s="1"/>
      <c r="H461" s="1"/>
      <c r="I461" s="1"/>
      <c r="J461" s="1"/>
      <c r="K461" s="1">
        <v>463</v>
      </c>
      <c r="L461" t="str">
        <f t="shared" si="9"/>
        <v xml:space="preserve">465 </v>
      </c>
      <c r="M461" s="1"/>
      <c r="N461" s="1"/>
      <c r="O461" s="1"/>
      <c r="P461" s="1"/>
      <c r="R461" s="1"/>
      <c r="S461" s="1"/>
      <c r="T461" s="1"/>
      <c r="U461" s="1"/>
      <c r="V461" s="1"/>
      <c r="W461" s="1"/>
      <c r="X461" s="1"/>
      <c r="Y461" s="1"/>
      <c r="Z461" s="1"/>
    </row>
    <row r="462" spans="1:26" ht="50" customHeight="1" x14ac:dyDescent="0.15">
      <c r="A462" s="1"/>
      <c r="B462" s="33">
        <v>466</v>
      </c>
      <c r="C462" s="11"/>
      <c r="E462" s="4"/>
      <c r="F462" s="1"/>
      <c r="G462" s="1"/>
      <c r="H462" s="1"/>
      <c r="I462" s="1"/>
      <c r="J462" s="1"/>
      <c r="K462" s="1">
        <v>464</v>
      </c>
      <c r="L462" t="str">
        <f t="shared" si="9"/>
        <v xml:space="preserve">466 </v>
      </c>
      <c r="M462" s="1"/>
      <c r="N462" s="1"/>
      <c r="O462" s="1"/>
      <c r="P462" s="1"/>
      <c r="R462" s="1"/>
      <c r="S462" s="1"/>
      <c r="T462" s="1"/>
      <c r="U462" s="1"/>
      <c r="V462" s="1"/>
      <c r="W462" s="1"/>
      <c r="X462" s="1"/>
      <c r="Y462" s="1"/>
      <c r="Z462" s="1"/>
    </row>
    <row r="463" spans="1:26" ht="50" customHeight="1" x14ac:dyDescent="0.15">
      <c r="A463" s="1"/>
      <c r="B463" s="33">
        <v>467</v>
      </c>
      <c r="C463" s="11"/>
      <c r="E463" s="4"/>
      <c r="F463" s="1"/>
      <c r="G463" s="1"/>
      <c r="H463" s="1"/>
      <c r="I463" s="1"/>
      <c r="J463" s="1"/>
      <c r="K463" s="1">
        <v>465</v>
      </c>
      <c r="L463" t="str">
        <f t="shared" si="9"/>
        <v xml:space="preserve">467 </v>
      </c>
      <c r="M463" s="1"/>
      <c r="N463" s="1"/>
      <c r="O463" s="1"/>
      <c r="P463" s="1"/>
      <c r="R463" s="1"/>
      <c r="S463" s="1"/>
      <c r="T463" s="1"/>
      <c r="U463" s="1"/>
      <c r="V463" s="1"/>
      <c r="W463" s="1"/>
      <c r="X463" s="1"/>
      <c r="Y463" s="1"/>
      <c r="Z463" s="1"/>
    </row>
    <row r="464" spans="1:26" ht="50" customHeight="1" x14ac:dyDescent="0.15">
      <c r="A464" s="1"/>
      <c r="B464" s="33">
        <v>468</v>
      </c>
      <c r="C464" s="11"/>
      <c r="E464" s="4"/>
      <c r="F464" s="1"/>
      <c r="G464" s="1"/>
      <c r="H464" s="1"/>
      <c r="I464" s="1"/>
      <c r="J464" s="1"/>
      <c r="K464" s="1">
        <v>466</v>
      </c>
      <c r="L464" t="str">
        <f t="shared" si="9"/>
        <v xml:space="preserve">468 </v>
      </c>
      <c r="M464" s="1"/>
      <c r="N464" s="1"/>
      <c r="O464" s="1"/>
      <c r="P464" s="1"/>
      <c r="R464" s="1"/>
      <c r="S464" s="1"/>
      <c r="T464" s="1"/>
      <c r="U464" s="1"/>
      <c r="V464" s="1"/>
      <c r="W464" s="1"/>
      <c r="X464" s="1"/>
      <c r="Y464" s="1"/>
      <c r="Z464" s="1"/>
    </row>
    <row r="465" spans="1:26" ht="50" customHeight="1" x14ac:dyDescent="0.15">
      <c r="A465" s="1"/>
      <c r="B465" s="33">
        <v>469</v>
      </c>
      <c r="C465" s="11"/>
      <c r="E465" s="4"/>
      <c r="F465" s="1"/>
      <c r="G465" s="1"/>
      <c r="H465" s="1"/>
      <c r="I465" s="1"/>
      <c r="J465" s="1"/>
      <c r="K465" s="1">
        <v>467</v>
      </c>
      <c r="L465" t="str">
        <f t="shared" si="9"/>
        <v xml:space="preserve">469 </v>
      </c>
      <c r="M465" s="1"/>
      <c r="N465" s="1"/>
      <c r="O465" s="1"/>
      <c r="P465" s="1"/>
      <c r="R465" s="1"/>
      <c r="S465" s="1"/>
      <c r="T465" s="1"/>
      <c r="U465" s="1"/>
      <c r="V465" s="1"/>
      <c r="W465" s="1"/>
      <c r="X465" s="1"/>
      <c r="Y465" s="1"/>
      <c r="Z465" s="1"/>
    </row>
    <row r="466" spans="1:26" ht="50" customHeight="1" x14ac:dyDescent="0.15">
      <c r="A466" s="1"/>
      <c r="B466" s="33">
        <v>470</v>
      </c>
      <c r="C466" s="11"/>
      <c r="E466" s="4"/>
      <c r="F466" s="1"/>
      <c r="G466" s="1"/>
      <c r="H466" s="1"/>
      <c r="I466" s="1"/>
      <c r="J466" s="1"/>
      <c r="K466" s="1">
        <v>468</v>
      </c>
      <c r="L466" t="str">
        <f t="shared" si="9"/>
        <v xml:space="preserve">470 </v>
      </c>
      <c r="M466" s="1"/>
      <c r="N466" s="1"/>
      <c r="O466" s="1"/>
      <c r="P466" s="1"/>
      <c r="R466" s="1"/>
      <c r="S466" s="1"/>
      <c r="T466" s="1"/>
      <c r="U466" s="1"/>
      <c r="V466" s="1"/>
      <c r="W466" s="1"/>
      <c r="X466" s="1"/>
      <c r="Y466" s="1"/>
      <c r="Z466" s="1"/>
    </row>
    <row r="467" spans="1:26" ht="50" customHeight="1" x14ac:dyDescent="0.15">
      <c r="A467" s="1"/>
      <c r="B467" s="33">
        <v>471</v>
      </c>
      <c r="C467" s="11"/>
      <c r="E467" s="4"/>
      <c r="F467" s="1"/>
      <c r="G467" s="1"/>
      <c r="H467" s="1"/>
      <c r="I467" s="1"/>
      <c r="J467" s="1"/>
      <c r="K467" s="1">
        <v>469</v>
      </c>
      <c r="L467" t="str">
        <f t="shared" si="9"/>
        <v xml:space="preserve">471 </v>
      </c>
      <c r="M467" s="1"/>
      <c r="N467" s="1"/>
      <c r="O467" s="1"/>
      <c r="P467" s="1"/>
      <c r="R467" s="1"/>
      <c r="S467" s="1"/>
      <c r="T467" s="1"/>
      <c r="U467" s="1"/>
      <c r="V467" s="1"/>
      <c r="W467" s="1"/>
      <c r="X467" s="1"/>
      <c r="Y467" s="1"/>
      <c r="Z467" s="1"/>
    </row>
    <row r="468" spans="1:26" ht="50" customHeight="1" x14ac:dyDescent="0.15">
      <c r="A468" s="1"/>
      <c r="B468" s="33">
        <v>472</v>
      </c>
      <c r="C468" s="11"/>
      <c r="E468" s="4"/>
      <c r="F468" s="1"/>
      <c r="G468" s="1"/>
      <c r="H468" s="1"/>
      <c r="I468" s="1"/>
      <c r="J468" s="1"/>
      <c r="K468" s="1">
        <v>470</v>
      </c>
      <c r="L468" t="str">
        <f t="shared" si="9"/>
        <v xml:space="preserve">472 </v>
      </c>
      <c r="M468" s="1"/>
      <c r="N468" s="1"/>
      <c r="O468" s="1"/>
      <c r="P468" s="1"/>
      <c r="R468" s="1"/>
      <c r="S468" s="1"/>
      <c r="T468" s="1"/>
      <c r="U468" s="1"/>
      <c r="V468" s="1"/>
      <c r="W468" s="1"/>
      <c r="X468" s="1"/>
      <c r="Y468" s="1"/>
      <c r="Z468" s="1"/>
    </row>
    <row r="469" spans="1:26" ht="50" customHeight="1" x14ac:dyDescent="0.15">
      <c r="A469" s="1"/>
      <c r="B469" s="33">
        <v>473</v>
      </c>
      <c r="C469" s="11"/>
      <c r="E469" s="4"/>
      <c r="F469" s="1"/>
      <c r="G469" s="1"/>
      <c r="H469" s="1"/>
      <c r="I469" s="1"/>
      <c r="J469" s="1"/>
      <c r="K469" s="1">
        <v>471</v>
      </c>
      <c r="L469" t="str">
        <f t="shared" si="9"/>
        <v xml:space="preserve">473 </v>
      </c>
      <c r="M469" s="1"/>
      <c r="N469" s="1"/>
      <c r="O469" s="1"/>
      <c r="P469" s="1"/>
      <c r="R469" s="1"/>
      <c r="S469" s="1"/>
      <c r="T469" s="1"/>
      <c r="U469" s="1"/>
      <c r="V469" s="1"/>
      <c r="W469" s="1"/>
      <c r="X469" s="1"/>
      <c r="Y469" s="1"/>
      <c r="Z469" s="1"/>
    </row>
    <row r="470" spans="1:26" ht="50" customHeight="1" x14ac:dyDescent="0.15">
      <c r="A470" s="1"/>
      <c r="B470" s="33">
        <v>474</v>
      </c>
      <c r="C470" s="11"/>
      <c r="E470" s="4"/>
      <c r="F470" s="1"/>
      <c r="G470" s="1"/>
      <c r="H470" s="1"/>
      <c r="I470" s="1"/>
      <c r="J470" s="1"/>
      <c r="K470" s="1">
        <v>472</v>
      </c>
      <c r="L470" t="str">
        <f t="shared" si="9"/>
        <v xml:space="preserve">474 </v>
      </c>
      <c r="M470" s="1"/>
      <c r="N470" s="1"/>
      <c r="O470" s="1"/>
      <c r="P470" s="1"/>
      <c r="R470" s="1"/>
      <c r="S470" s="1"/>
      <c r="T470" s="1"/>
      <c r="U470" s="1"/>
      <c r="V470" s="1"/>
      <c r="W470" s="1"/>
      <c r="X470" s="1"/>
      <c r="Y470" s="1"/>
      <c r="Z470" s="1"/>
    </row>
    <row r="471" spans="1:26" ht="50" customHeight="1" x14ac:dyDescent="0.15">
      <c r="A471" s="1"/>
      <c r="B471" s="33">
        <v>475</v>
      </c>
      <c r="C471" s="11"/>
      <c r="E471" s="4"/>
      <c r="F471" s="1"/>
      <c r="G471" s="1"/>
      <c r="H471" s="1"/>
      <c r="I471" s="1"/>
      <c r="J471" s="1"/>
      <c r="K471" s="1">
        <v>473</v>
      </c>
      <c r="L471" t="str">
        <f t="shared" si="9"/>
        <v xml:space="preserve">475 </v>
      </c>
      <c r="M471" s="1"/>
      <c r="N471" s="1"/>
      <c r="O471" s="1"/>
      <c r="P471" s="1"/>
      <c r="R471" s="1"/>
      <c r="S471" s="1"/>
      <c r="T471" s="1"/>
      <c r="U471" s="1"/>
      <c r="V471" s="1"/>
      <c r="W471" s="1"/>
      <c r="X471" s="1"/>
      <c r="Y471" s="1"/>
      <c r="Z471" s="1"/>
    </row>
    <row r="472" spans="1:26" ht="50" customHeight="1" x14ac:dyDescent="0.15">
      <c r="A472" s="1"/>
      <c r="B472" s="33">
        <v>476</v>
      </c>
      <c r="C472" s="11"/>
      <c r="E472" s="4"/>
      <c r="F472" s="1"/>
      <c r="G472" s="1"/>
      <c r="H472" s="1"/>
      <c r="I472" s="1"/>
      <c r="J472" s="1"/>
      <c r="K472" s="1">
        <v>474</v>
      </c>
      <c r="L472" t="str">
        <f t="shared" si="9"/>
        <v xml:space="preserve">476 </v>
      </c>
      <c r="M472" s="1"/>
      <c r="N472" s="1"/>
      <c r="O472" s="1"/>
      <c r="P472" s="1"/>
      <c r="R472" s="1"/>
      <c r="S472" s="1"/>
      <c r="T472" s="1"/>
      <c r="U472" s="1"/>
      <c r="V472" s="1"/>
      <c r="W472" s="1"/>
      <c r="X472" s="1"/>
      <c r="Y472" s="1"/>
      <c r="Z472" s="1"/>
    </row>
    <row r="473" spans="1:26" ht="50" customHeight="1" x14ac:dyDescent="0.15">
      <c r="A473" s="1"/>
      <c r="B473" s="33">
        <v>477</v>
      </c>
      <c r="C473" s="11"/>
      <c r="E473" s="4"/>
      <c r="F473" s="1"/>
      <c r="G473" s="1"/>
      <c r="H473" s="1"/>
      <c r="I473" s="1"/>
      <c r="J473" s="1"/>
      <c r="K473" s="1">
        <v>475</v>
      </c>
      <c r="L473" t="str">
        <f t="shared" si="9"/>
        <v xml:space="preserve">477 </v>
      </c>
      <c r="M473" s="1"/>
      <c r="N473" s="1"/>
      <c r="O473" s="1"/>
      <c r="P473" s="1"/>
      <c r="R473" s="1"/>
      <c r="S473" s="1"/>
      <c r="T473" s="1"/>
      <c r="U473" s="1"/>
      <c r="V473" s="1"/>
      <c r="W473" s="1"/>
      <c r="X473" s="1"/>
      <c r="Y473" s="1"/>
      <c r="Z473" s="1"/>
    </row>
    <row r="474" spans="1:26" ht="50" customHeight="1" x14ac:dyDescent="0.15">
      <c r="A474" s="1"/>
      <c r="B474" s="33">
        <v>478</v>
      </c>
      <c r="C474" s="11"/>
      <c r="E474" s="4"/>
      <c r="F474" s="1"/>
      <c r="G474" s="1"/>
      <c r="H474" s="1"/>
      <c r="I474" s="1"/>
      <c r="J474" s="1"/>
      <c r="K474" s="1">
        <v>476</v>
      </c>
      <c r="L474" t="str">
        <f t="shared" si="9"/>
        <v xml:space="preserve">478 </v>
      </c>
      <c r="M474" s="1"/>
      <c r="N474" s="1"/>
      <c r="O474" s="1"/>
      <c r="P474" s="1"/>
      <c r="R474" s="1"/>
      <c r="S474" s="1"/>
      <c r="T474" s="1"/>
      <c r="U474" s="1"/>
      <c r="V474" s="1"/>
      <c r="W474" s="1"/>
      <c r="X474" s="1"/>
      <c r="Y474" s="1"/>
      <c r="Z474" s="1"/>
    </row>
    <row r="475" spans="1:26" ht="50" customHeight="1" x14ac:dyDescent="0.15">
      <c r="A475" s="1"/>
      <c r="B475" s="33">
        <v>479</v>
      </c>
      <c r="C475" s="11"/>
      <c r="E475" s="4"/>
      <c r="F475" s="1"/>
      <c r="G475" s="1"/>
      <c r="H475" s="1"/>
      <c r="I475" s="1"/>
      <c r="J475" s="1"/>
      <c r="K475" s="1">
        <v>477</v>
      </c>
      <c r="L475" t="str">
        <f t="shared" si="9"/>
        <v xml:space="preserve">479 </v>
      </c>
      <c r="M475" s="1"/>
      <c r="N475" s="1"/>
      <c r="O475" s="1"/>
      <c r="P475" s="1"/>
      <c r="R475" s="1"/>
      <c r="S475" s="1"/>
      <c r="T475" s="1"/>
      <c r="U475" s="1"/>
      <c r="V475" s="1"/>
      <c r="W475" s="1"/>
      <c r="X475" s="1"/>
      <c r="Y475" s="1"/>
      <c r="Z475" s="1"/>
    </row>
    <row r="476" spans="1:26" ht="50" customHeight="1" x14ac:dyDescent="0.15">
      <c r="A476" s="1"/>
      <c r="B476" s="33">
        <v>480</v>
      </c>
      <c r="C476" s="11"/>
      <c r="E476" s="4"/>
      <c r="F476" s="1"/>
      <c r="G476" s="1"/>
      <c r="H476" s="1"/>
      <c r="I476" s="1"/>
      <c r="J476" s="1"/>
      <c r="K476" s="1">
        <v>478</v>
      </c>
      <c r="L476" t="str">
        <f t="shared" si="9"/>
        <v xml:space="preserve">480 </v>
      </c>
      <c r="M476" s="1"/>
      <c r="N476" s="1"/>
      <c r="O476" s="1"/>
      <c r="P476" s="1"/>
      <c r="R476" s="1"/>
      <c r="S476" s="1"/>
      <c r="T476" s="1"/>
      <c r="U476" s="1"/>
      <c r="V476" s="1"/>
      <c r="W476" s="1"/>
      <c r="X476" s="1"/>
      <c r="Y476" s="1"/>
      <c r="Z476" s="1"/>
    </row>
    <row r="477" spans="1:26" ht="50" customHeight="1" x14ac:dyDescent="0.15">
      <c r="A477" s="1"/>
      <c r="B477" s="33">
        <v>481</v>
      </c>
      <c r="C477" s="11"/>
      <c r="E477" s="4"/>
      <c r="F477" s="1"/>
      <c r="G477" s="1"/>
      <c r="H477" s="1"/>
      <c r="I477" s="1"/>
      <c r="J477" s="1"/>
      <c r="K477" s="1">
        <v>479</v>
      </c>
      <c r="L477" t="str">
        <f t="shared" si="9"/>
        <v xml:space="preserve">481 </v>
      </c>
      <c r="M477" s="1"/>
      <c r="N477" s="1"/>
      <c r="O477" s="1"/>
      <c r="P477" s="1"/>
      <c r="R477" s="1"/>
      <c r="S477" s="1"/>
      <c r="T477" s="1"/>
      <c r="U477" s="1"/>
      <c r="V477" s="1"/>
      <c r="W477" s="1"/>
      <c r="X477" s="1"/>
      <c r="Y477" s="1"/>
      <c r="Z477" s="1"/>
    </row>
    <row r="478" spans="1:26" ht="50" customHeight="1" x14ac:dyDescent="0.15">
      <c r="A478" s="1"/>
      <c r="B478" s="33">
        <v>482</v>
      </c>
      <c r="C478" s="11"/>
      <c r="E478" s="4"/>
      <c r="F478" s="1"/>
      <c r="G478" s="1"/>
      <c r="H478" s="1"/>
      <c r="I478" s="1"/>
      <c r="J478" s="1"/>
      <c r="K478" s="1">
        <v>480</v>
      </c>
      <c r="L478" t="str">
        <f t="shared" si="9"/>
        <v xml:space="preserve">482 </v>
      </c>
      <c r="M478" s="1"/>
      <c r="N478" s="1"/>
      <c r="O478" s="1"/>
      <c r="P478" s="1"/>
      <c r="R478" s="1"/>
      <c r="S478" s="1"/>
      <c r="T478" s="1"/>
      <c r="U478" s="1"/>
      <c r="V478" s="1"/>
      <c r="W478" s="1"/>
      <c r="X478" s="1"/>
      <c r="Y478" s="1"/>
      <c r="Z478" s="1"/>
    </row>
    <row r="479" spans="1:26" ht="50" customHeight="1" x14ac:dyDescent="0.15">
      <c r="A479" s="1"/>
      <c r="B479" s="33">
        <v>483</v>
      </c>
      <c r="C479" s="11"/>
      <c r="E479" s="4"/>
      <c r="F479" s="1"/>
      <c r="G479" s="1"/>
      <c r="H479" s="1"/>
      <c r="I479" s="1"/>
      <c r="J479" s="1"/>
      <c r="K479" s="1">
        <v>481</v>
      </c>
      <c r="L479" t="str">
        <f t="shared" si="9"/>
        <v xml:space="preserve">483 </v>
      </c>
      <c r="M479" s="1"/>
      <c r="N479" s="1"/>
      <c r="O479" s="1"/>
      <c r="P479" s="1"/>
      <c r="R479" s="1"/>
      <c r="S479" s="1"/>
      <c r="T479" s="1"/>
      <c r="U479" s="1"/>
      <c r="V479" s="1"/>
      <c r="W479" s="1"/>
      <c r="X479" s="1"/>
      <c r="Y479" s="1"/>
      <c r="Z479" s="1"/>
    </row>
    <row r="480" spans="1:26" ht="50" customHeight="1" x14ac:dyDescent="0.15">
      <c r="A480" s="1"/>
      <c r="B480" s="33">
        <v>484</v>
      </c>
      <c r="C480" s="11"/>
      <c r="E480" s="4"/>
      <c r="F480" s="1"/>
      <c r="G480" s="1"/>
      <c r="H480" s="1"/>
      <c r="I480" s="1"/>
      <c r="J480" s="1"/>
      <c r="K480" s="1">
        <v>482</v>
      </c>
      <c r="L480" t="str">
        <f t="shared" si="9"/>
        <v xml:space="preserve">484 </v>
      </c>
      <c r="M480" s="1"/>
      <c r="N480" s="1"/>
      <c r="O480" s="1"/>
      <c r="P480" s="1"/>
      <c r="R480" s="1"/>
      <c r="S480" s="1"/>
      <c r="T480" s="1"/>
      <c r="U480" s="1"/>
      <c r="V480" s="1"/>
      <c r="W480" s="1"/>
      <c r="X480" s="1"/>
      <c r="Y480" s="1"/>
      <c r="Z480" s="1"/>
    </row>
    <row r="481" spans="1:26" ht="50" customHeight="1" x14ac:dyDescent="0.15">
      <c r="A481" s="1"/>
      <c r="B481" s="33">
        <v>485</v>
      </c>
      <c r="C481" s="11"/>
      <c r="E481" s="4"/>
      <c r="F481" s="1"/>
      <c r="G481" s="1"/>
      <c r="H481" s="1"/>
      <c r="I481" s="1"/>
      <c r="J481" s="1"/>
      <c r="K481" s="1">
        <v>483</v>
      </c>
      <c r="L481" t="str">
        <f t="shared" si="9"/>
        <v xml:space="preserve">485 </v>
      </c>
      <c r="M481" s="1"/>
      <c r="N481" s="1"/>
      <c r="O481" s="1"/>
      <c r="P481" s="1"/>
      <c r="R481" s="1"/>
      <c r="S481" s="1"/>
      <c r="T481" s="1"/>
      <c r="U481" s="1"/>
      <c r="V481" s="1"/>
      <c r="W481" s="1"/>
      <c r="X481" s="1"/>
      <c r="Y481" s="1"/>
      <c r="Z481" s="1"/>
    </row>
    <row r="482" spans="1:26" ht="50" customHeight="1" x14ac:dyDescent="0.15">
      <c r="A482" s="1"/>
      <c r="B482" s="33">
        <v>486</v>
      </c>
      <c r="C482" s="11"/>
      <c r="E482" s="4"/>
      <c r="F482" s="1"/>
      <c r="G482" s="1"/>
      <c r="H482" s="1"/>
      <c r="I482" s="1"/>
      <c r="J482" s="1"/>
      <c r="K482" s="1">
        <v>484</v>
      </c>
      <c r="L482" t="str">
        <f t="shared" si="9"/>
        <v xml:space="preserve">486 </v>
      </c>
      <c r="M482" s="1"/>
      <c r="N482" s="1"/>
      <c r="O482" s="1"/>
      <c r="P482" s="1"/>
      <c r="R482" s="1"/>
      <c r="S482" s="1"/>
      <c r="T482" s="1"/>
      <c r="U482" s="1"/>
      <c r="V482" s="1"/>
      <c r="W482" s="1"/>
      <c r="X482" s="1"/>
      <c r="Y482" s="1"/>
      <c r="Z482" s="1"/>
    </row>
    <row r="483" spans="1:26" ht="50" customHeight="1" x14ac:dyDescent="0.15">
      <c r="A483" s="1"/>
      <c r="B483" s="33">
        <v>487</v>
      </c>
      <c r="C483" s="11"/>
      <c r="E483" s="4"/>
      <c r="F483" s="1"/>
      <c r="G483" s="1"/>
      <c r="H483" s="1"/>
      <c r="I483" s="1"/>
      <c r="J483" s="1"/>
      <c r="K483" s="1">
        <v>485</v>
      </c>
      <c r="L483" t="str">
        <f t="shared" si="9"/>
        <v xml:space="preserve">487 </v>
      </c>
      <c r="M483" s="1"/>
      <c r="N483" s="1"/>
      <c r="O483" s="1"/>
      <c r="P483" s="1"/>
      <c r="R483" s="1"/>
      <c r="S483" s="1"/>
      <c r="T483" s="1"/>
      <c r="U483" s="1"/>
      <c r="V483" s="1"/>
      <c r="W483" s="1"/>
      <c r="X483" s="1"/>
      <c r="Y483" s="1"/>
      <c r="Z483" s="1"/>
    </row>
    <row r="484" spans="1:26" ht="50" customHeight="1" x14ac:dyDescent="0.15">
      <c r="A484" s="1"/>
      <c r="B484" s="33">
        <v>488</v>
      </c>
      <c r="C484" s="11"/>
      <c r="E484" s="4"/>
      <c r="F484" s="1"/>
      <c r="G484" s="1"/>
      <c r="H484" s="1"/>
      <c r="I484" s="1"/>
      <c r="J484" s="1"/>
      <c r="K484" s="1">
        <v>486</v>
      </c>
      <c r="L484" t="str">
        <f t="shared" si="9"/>
        <v xml:space="preserve">488 </v>
      </c>
      <c r="M484" s="1"/>
      <c r="N484" s="1"/>
      <c r="O484" s="1"/>
      <c r="P484" s="1"/>
      <c r="R484" s="1"/>
      <c r="S484" s="1"/>
      <c r="T484" s="1"/>
      <c r="U484" s="1"/>
      <c r="V484" s="1"/>
      <c r="W484" s="1"/>
      <c r="X484" s="1"/>
      <c r="Y484" s="1"/>
      <c r="Z484" s="1"/>
    </row>
    <row r="485" spans="1:26" ht="50" customHeight="1" x14ac:dyDescent="0.15">
      <c r="A485" s="1"/>
      <c r="B485" s="33">
        <v>489</v>
      </c>
      <c r="C485" s="11"/>
      <c r="E485" s="4"/>
      <c r="F485" s="1"/>
      <c r="G485" s="1"/>
      <c r="H485" s="1"/>
      <c r="I485" s="1"/>
      <c r="J485" s="1"/>
      <c r="K485" s="1">
        <v>487</v>
      </c>
      <c r="L485" t="str">
        <f t="shared" si="9"/>
        <v xml:space="preserve">489 </v>
      </c>
      <c r="M485" s="1"/>
      <c r="N485" s="1"/>
      <c r="O485" s="1"/>
      <c r="P485" s="1"/>
      <c r="R485" s="1"/>
      <c r="S485" s="1"/>
      <c r="T485" s="1"/>
      <c r="U485" s="1"/>
      <c r="V485" s="1"/>
      <c r="W485" s="1"/>
      <c r="X485" s="1"/>
      <c r="Y485" s="1"/>
      <c r="Z485" s="1"/>
    </row>
    <row r="486" spans="1:26" ht="50" customHeight="1" x14ac:dyDescent="0.15">
      <c r="A486" s="1"/>
      <c r="B486" s="33">
        <v>490</v>
      </c>
      <c r="C486" s="11"/>
      <c r="E486" s="4"/>
      <c r="F486" s="1"/>
      <c r="G486" s="1"/>
      <c r="H486" s="1"/>
      <c r="I486" s="1"/>
      <c r="J486" s="1"/>
      <c r="K486" s="1">
        <v>488</v>
      </c>
      <c r="L486" t="str">
        <f t="shared" si="9"/>
        <v xml:space="preserve">490 </v>
      </c>
      <c r="M486" s="1"/>
      <c r="N486" s="1"/>
      <c r="O486" s="1"/>
      <c r="P486" s="1"/>
      <c r="R486" s="1"/>
      <c r="S486" s="1"/>
      <c r="T486" s="1"/>
      <c r="U486" s="1"/>
      <c r="V486" s="1"/>
      <c r="W486" s="1"/>
      <c r="X486" s="1"/>
      <c r="Y486" s="1"/>
      <c r="Z486" s="1"/>
    </row>
    <row r="487" spans="1:26" ht="50" customHeight="1" x14ac:dyDescent="0.15">
      <c r="A487" s="1"/>
      <c r="B487" s="33">
        <v>491</v>
      </c>
      <c r="C487" s="11"/>
      <c r="E487" s="4"/>
      <c r="F487" s="1"/>
      <c r="G487" s="1"/>
      <c r="H487" s="1"/>
      <c r="I487" s="1"/>
      <c r="J487" s="1"/>
      <c r="K487" s="1">
        <v>489</v>
      </c>
      <c r="L487" t="str">
        <f t="shared" si="9"/>
        <v xml:space="preserve">491 </v>
      </c>
      <c r="M487" s="1"/>
      <c r="N487" s="1"/>
      <c r="O487" s="1"/>
      <c r="P487" s="1"/>
      <c r="R487" s="1"/>
      <c r="S487" s="1"/>
      <c r="T487" s="1"/>
      <c r="U487" s="1"/>
      <c r="V487" s="1"/>
      <c r="W487" s="1"/>
      <c r="X487" s="1"/>
      <c r="Y487" s="1"/>
      <c r="Z487" s="1"/>
    </row>
    <row r="488" spans="1:26" ht="50" customHeight="1" x14ac:dyDescent="0.15">
      <c r="A488" s="1"/>
      <c r="B488" s="33">
        <v>492</v>
      </c>
      <c r="C488" s="11"/>
      <c r="E488" s="4"/>
      <c r="F488" s="1"/>
      <c r="G488" s="1"/>
      <c r="H488" s="1"/>
      <c r="I488" s="1"/>
      <c r="J488" s="1"/>
      <c r="K488" s="1">
        <v>490</v>
      </c>
      <c r="L488" t="str">
        <f t="shared" si="9"/>
        <v xml:space="preserve">492 </v>
      </c>
      <c r="M488" s="1"/>
      <c r="N488" s="1"/>
      <c r="O488" s="1"/>
      <c r="P488" s="1"/>
      <c r="R488" s="1"/>
      <c r="S488" s="1"/>
      <c r="T488" s="1"/>
      <c r="U488" s="1"/>
      <c r="V488" s="1"/>
      <c r="W488" s="1"/>
      <c r="X488" s="1"/>
      <c r="Y488" s="1"/>
      <c r="Z488" s="1"/>
    </row>
    <row r="489" spans="1:26" ht="50" customHeight="1" x14ac:dyDescent="0.15">
      <c r="A489" s="1"/>
      <c r="B489" s="33">
        <v>493</v>
      </c>
      <c r="C489" s="11"/>
      <c r="E489" s="4"/>
      <c r="F489" s="1"/>
      <c r="G489" s="1"/>
      <c r="H489" s="1"/>
      <c r="I489" s="1"/>
      <c r="J489" s="1"/>
      <c r="K489" s="1">
        <v>491</v>
      </c>
      <c r="L489" t="str">
        <f t="shared" si="9"/>
        <v xml:space="preserve">493 </v>
      </c>
      <c r="M489" s="1"/>
      <c r="N489" s="1"/>
      <c r="O489" s="1"/>
      <c r="P489" s="1"/>
      <c r="R489" s="1"/>
      <c r="S489" s="1"/>
      <c r="T489" s="1"/>
      <c r="U489" s="1"/>
      <c r="V489" s="1"/>
      <c r="W489" s="1"/>
      <c r="X489" s="1"/>
      <c r="Y489" s="1"/>
      <c r="Z489" s="1"/>
    </row>
    <row r="490" spans="1:26" ht="50" customHeight="1" x14ac:dyDescent="0.15">
      <c r="A490" s="1"/>
      <c r="B490" s="33">
        <v>494</v>
      </c>
      <c r="C490" s="11"/>
      <c r="E490" s="4"/>
      <c r="F490" s="1"/>
      <c r="G490" s="1"/>
      <c r="H490" s="1"/>
      <c r="I490" s="1"/>
      <c r="J490" s="1"/>
      <c r="K490" s="1">
        <v>492</v>
      </c>
      <c r="L490" t="str">
        <f t="shared" si="9"/>
        <v xml:space="preserve">494 </v>
      </c>
      <c r="M490" s="1"/>
      <c r="N490" s="1"/>
      <c r="O490" s="1"/>
      <c r="P490" s="1"/>
      <c r="R490" s="1"/>
      <c r="S490" s="1"/>
      <c r="T490" s="1"/>
      <c r="U490" s="1"/>
      <c r="V490" s="1"/>
      <c r="W490" s="1"/>
      <c r="X490" s="1"/>
      <c r="Y490" s="1"/>
      <c r="Z490" s="1"/>
    </row>
    <row r="491" spans="1:26" ht="50" customHeight="1" x14ac:dyDescent="0.15">
      <c r="A491" s="1"/>
      <c r="B491" s="33">
        <v>495</v>
      </c>
      <c r="C491" s="11"/>
      <c r="E491" s="4"/>
      <c r="F491" s="1"/>
      <c r="G491" s="1"/>
      <c r="H491" s="1"/>
      <c r="I491" s="1"/>
      <c r="J491" s="1"/>
      <c r="K491" s="1">
        <v>493</v>
      </c>
      <c r="L491" t="str">
        <f t="shared" si="9"/>
        <v xml:space="preserve">495 </v>
      </c>
      <c r="M491" s="1"/>
      <c r="N491" s="1"/>
      <c r="O491" s="1"/>
      <c r="P491" s="1"/>
      <c r="R491" s="1"/>
      <c r="S491" s="1"/>
      <c r="T491" s="1"/>
      <c r="U491" s="1"/>
      <c r="V491" s="1"/>
      <c r="W491" s="1"/>
      <c r="X491" s="1"/>
      <c r="Y491" s="1"/>
      <c r="Z491" s="1"/>
    </row>
    <row r="492" spans="1:26" ht="50" customHeight="1" x14ac:dyDescent="0.15">
      <c r="A492" s="1"/>
      <c r="B492" s="33">
        <v>496</v>
      </c>
      <c r="C492" s="11"/>
      <c r="E492" s="4"/>
      <c r="F492" s="1"/>
      <c r="G492" s="1"/>
      <c r="H492" s="1"/>
      <c r="I492" s="1"/>
      <c r="J492" s="1"/>
      <c r="K492" s="1">
        <v>494</v>
      </c>
      <c r="L492" t="str">
        <f t="shared" si="9"/>
        <v xml:space="preserve">496 </v>
      </c>
      <c r="M492" s="1"/>
      <c r="N492" s="1"/>
      <c r="O492" s="1"/>
      <c r="P492" s="1"/>
      <c r="R492" s="1"/>
      <c r="S492" s="1"/>
      <c r="T492" s="1"/>
      <c r="U492" s="1"/>
      <c r="V492" s="1"/>
      <c r="W492" s="1"/>
      <c r="X492" s="1"/>
      <c r="Y492" s="1"/>
      <c r="Z492" s="1"/>
    </row>
    <row r="493" spans="1:26" ht="50" customHeight="1" x14ac:dyDescent="0.15">
      <c r="A493" s="1"/>
      <c r="B493" s="33">
        <v>497</v>
      </c>
      <c r="C493" s="11"/>
      <c r="E493" s="4"/>
      <c r="F493" s="1"/>
      <c r="G493" s="1"/>
      <c r="H493" s="1"/>
      <c r="I493" s="1"/>
      <c r="J493" s="1"/>
      <c r="K493" s="1">
        <v>495</v>
      </c>
      <c r="L493" t="str">
        <f t="shared" si="9"/>
        <v xml:space="preserve">497 </v>
      </c>
      <c r="M493" s="1"/>
      <c r="N493" s="1"/>
      <c r="O493" s="1"/>
      <c r="P493" s="1"/>
      <c r="R493" s="1"/>
      <c r="S493" s="1"/>
      <c r="T493" s="1"/>
      <c r="U493" s="1"/>
      <c r="V493" s="1"/>
      <c r="W493" s="1"/>
      <c r="X493" s="1"/>
      <c r="Y493" s="1"/>
      <c r="Z493" s="1"/>
    </row>
    <row r="494" spans="1:26" ht="50" customHeight="1" x14ac:dyDescent="0.15">
      <c r="A494" s="1"/>
      <c r="B494" s="33">
        <v>498</v>
      </c>
      <c r="C494" s="11"/>
      <c r="E494" s="4"/>
      <c r="F494" s="1"/>
      <c r="G494" s="1"/>
      <c r="H494" s="1"/>
      <c r="I494" s="1"/>
      <c r="J494" s="1"/>
      <c r="K494" s="1">
        <v>496</v>
      </c>
      <c r="L494" t="str">
        <f t="shared" si="9"/>
        <v xml:space="preserve">498 </v>
      </c>
      <c r="M494" s="1"/>
      <c r="N494" s="1"/>
      <c r="O494" s="1"/>
      <c r="P494" s="1"/>
      <c r="R494" s="1"/>
      <c r="S494" s="1"/>
      <c r="T494" s="1"/>
      <c r="U494" s="1"/>
      <c r="V494" s="1"/>
      <c r="W494" s="1"/>
      <c r="X494" s="1"/>
      <c r="Y494" s="1"/>
      <c r="Z494" s="1"/>
    </row>
    <row r="495" spans="1:26" ht="50" customHeight="1" x14ac:dyDescent="0.15">
      <c r="A495" s="1"/>
      <c r="B495" s="33">
        <v>499</v>
      </c>
      <c r="C495" s="11"/>
      <c r="E495" s="4"/>
      <c r="F495" s="1"/>
      <c r="G495" s="1"/>
      <c r="H495" s="1"/>
      <c r="I495" s="1"/>
      <c r="J495" s="1"/>
      <c r="K495" s="1">
        <v>497</v>
      </c>
      <c r="L495" t="str">
        <f t="shared" si="9"/>
        <v xml:space="preserve">499 </v>
      </c>
      <c r="M495" s="1"/>
      <c r="N495" s="1"/>
      <c r="O495" s="1"/>
      <c r="P495" s="1"/>
      <c r="R495" s="1"/>
      <c r="S495" s="1"/>
      <c r="T495" s="1"/>
      <c r="U495" s="1"/>
      <c r="V495" s="1"/>
      <c r="W495" s="1"/>
      <c r="X495" s="1"/>
      <c r="Y495" s="1"/>
      <c r="Z495" s="1"/>
    </row>
    <row r="496" spans="1:26" ht="50" customHeight="1" x14ac:dyDescent="0.15">
      <c r="A496" s="1"/>
      <c r="B496" s="33">
        <v>500</v>
      </c>
      <c r="C496" s="11"/>
      <c r="E496" s="4"/>
      <c r="F496" s="1"/>
      <c r="G496" s="1"/>
      <c r="H496" s="1"/>
      <c r="I496" s="1"/>
      <c r="J496" s="1"/>
      <c r="K496" s="1">
        <v>498</v>
      </c>
      <c r="L496" t="str">
        <f t="shared" si="9"/>
        <v xml:space="preserve">500 </v>
      </c>
      <c r="M496" s="1"/>
      <c r="N496" s="1"/>
      <c r="O496" s="1"/>
      <c r="P496" s="1"/>
      <c r="R496" s="1"/>
      <c r="S496" s="1"/>
      <c r="T496" s="1"/>
      <c r="U496" s="1"/>
      <c r="V496" s="1"/>
      <c r="W496" s="1"/>
      <c r="X496" s="1"/>
      <c r="Y496" s="1"/>
      <c r="Z496" s="1"/>
    </row>
    <row r="497" spans="1:26" ht="50" customHeight="1" x14ac:dyDescent="0.15">
      <c r="A497" s="1"/>
      <c r="B497" s="33">
        <v>501</v>
      </c>
      <c r="C497" s="11"/>
      <c r="E497" s="4"/>
      <c r="F497" s="1"/>
      <c r="G497" s="1"/>
      <c r="H497" s="1"/>
      <c r="I497" s="1"/>
      <c r="J497" s="1"/>
      <c r="K497" s="1">
        <v>499</v>
      </c>
      <c r="L497" t="str">
        <f t="shared" si="9"/>
        <v xml:space="preserve">501 </v>
      </c>
      <c r="M497" s="1"/>
      <c r="N497" s="1"/>
      <c r="O497" s="1"/>
      <c r="P497" s="1"/>
      <c r="R497" s="1"/>
      <c r="S497" s="1"/>
      <c r="T497" s="1"/>
      <c r="U497" s="1"/>
      <c r="V497" s="1"/>
      <c r="W497" s="1"/>
      <c r="X497" s="1"/>
      <c r="Y497" s="1"/>
      <c r="Z497" s="1"/>
    </row>
    <row r="498" spans="1:26" ht="50" customHeight="1" x14ac:dyDescent="0.15">
      <c r="A498" s="1"/>
      <c r="B498" s="33">
        <v>502</v>
      </c>
      <c r="C498" s="11"/>
      <c r="E498" s="4"/>
      <c r="F498" s="1"/>
      <c r="G498" s="1"/>
      <c r="H498" s="1"/>
      <c r="I498" s="1"/>
      <c r="J498" s="1"/>
      <c r="K498" s="1">
        <v>500</v>
      </c>
      <c r="L498" t="str">
        <f t="shared" si="9"/>
        <v xml:space="preserve">502 </v>
      </c>
      <c r="M498" s="1"/>
      <c r="N498" s="1"/>
      <c r="O498" s="1"/>
      <c r="P498" s="1"/>
      <c r="R498" s="1"/>
      <c r="S498" s="1"/>
      <c r="T498" s="1"/>
      <c r="U498" s="1"/>
      <c r="V498" s="1"/>
      <c r="W498" s="1"/>
      <c r="X498" s="1"/>
      <c r="Y498" s="1"/>
      <c r="Z498" s="1"/>
    </row>
    <row r="499" spans="1:26" ht="50" customHeight="1" x14ac:dyDescent="0.15">
      <c r="A499" s="1"/>
      <c r="B499" s="33">
        <v>503</v>
      </c>
      <c r="C499" s="11"/>
      <c r="E499" s="4"/>
      <c r="F499" s="1"/>
      <c r="G499" s="1"/>
      <c r="H499" s="1"/>
      <c r="I499" s="1"/>
      <c r="J499" s="1"/>
      <c r="K499" s="1">
        <v>501</v>
      </c>
      <c r="L499" t="str">
        <f t="shared" si="9"/>
        <v xml:space="preserve">503 </v>
      </c>
      <c r="M499" s="1"/>
      <c r="N499" s="1"/>
      <c r="O499" s="1"/>
      <c r="P499" s="1"/>
      <c r="R499" s="1"/>
      <c r="S499" s="1"/>
      <c r="T499" s="1"/>
      <c r="U499" s="1"/>
      <c r="V499" s="1"/>
      <c r="W499" s="1"/>
      <c r="X499" s="1"/>
      <c r="Y499" s="1"/>
      <c r="Z499" s="1"/>
    </row>
    <row r="500" spans="1:26" ht="50" customHeight="1" x14ac:dyDescent="0.15">
      <c r="A500" s="1"/>
      <c r="B500" s="33">
        <v>504</v>
      </c>
      <c r="C500" s="11"/>
      <c r="E500" s="4"/>
      <c r="F500" s="1"/>
      <c r="G500" s="1"/>
      <c r="H500" s="1"/>
      <c r="I500" s="1"/>
      <c r="J500" s="1"/>
      <c r="K500" s="1">
        <v>502</v>
      </c>
      <c r="L500" t="str">
        <f t="shared" si="9"/>
        <v xml:space="preserve">504 </v>
      </c>
      <c r="M500" s="1"/>
      <c r="N500" s="1"/>
      <c r="O500" s="1"/>
      <c r="P500" s="1"/>
      <c r="R500" s="1"/>
      <c r="S500" s="1"/>
      <c r="T500" s="1"/>
      <c r="U500" s="1"/>
      <c r="V500" s="1"/>
      <c r="W500" s="1"/>
      <c r="X500" s="1"/>
      <c r="Y500" s="1"/>
      <c r="Z500" s="1"/>
    </row>
    <row r="501" spans="1:26" ht="50" customHeight="1" x14ac:dyDescent="0.15">
      <c r="A501" s="1"/>
      <c r="B501" s="33">
        <v>505</v>
      </c>
      <c r="C501" s="11"/>
      <c r="E501" s="4"/>
      <c r="F501" s="1"/>
      <c r="G501" s="1"/>
      <c r="H501" s="1"/>
      <c r="I501" s="1"/>
      <c r="J501" s="1"/>
      <c r="K501" s="1">
        <v>503</v>
      </c>
      <c r="L501" t="str">
        <f t="shared" si="9"/>
        <v xml:space="preserve">505 </v>
      </c>
      <c r="M501" s="1"/>
      <c r="N501" s="1"/>
      <c r="O501" s="1"/>
      <c r="P501" s="1"/>
      <c r="R501" s="1"/>
      <c r="S501" s="1"/>
      <c r="T501" s="1"/>
      <c r="U501" s="1"/>
      <c r="V501" s="1"/>
      <c r="W501" s="1"/>
      <c r="X501" s="1"/>
      <c r="Y501" s="1"/>
      <c r="Z501" s="1"/>
    </row>
    <row r="502" spans="1:26" ht="50" customHeight="1" x14ac:dyDescent="0.15">
      <c r="A502" s="1"/>
      <c r="B502" s="33">
        <v>506</v>
      </c>
      <c r="C502" s="11"/>
      <c r="E502" s="4"/>
      <c r="F502" s="1"/>
      <c r="G502" s="1"/>
      <c r="H502" s="1"/>
      <c r="I502" s="1"/>
      <c r="J502" s="1"/>
      <c r="K502" s="1">
        <v>504</v>
      </c>
      <c r="L502" t="str">
        <f t="shared" ref="L502:L543" si="10">B502&amp;" "&amp;E502</f>
        <v xml:space="preserve">506 </v>
      </c>
      <c r="M502" s="1"/>
      <c r="N502" s="1"/>
      <c r="O502" s="1"/>
      <c r="P502" s="1"/>
      <c r="R502" s="1"/>
      <c r="S502" s="1"/>
      <c r="T502" s="1"/>
      <c r="U502" s="1"/>
      <c r="V502" s="1"/>
      <c r="W502" s="1"/>
      <c r="X502" s="1"/>
      <c r="Y502" s="1"/>
      <c r="Z502" s="1"/>
    </row>
    <row r="503" spans="1:26" ht="50" customHeight="1" x14ac:dyDescent="0.15">
      <c r="A503" s="1"/>
      <c r="B503" s="33">
        <v>507</v>
      </c>
      <c r="C503" s="11"/>
      <c r="E503" s="4"/>
      <c r="F503" s="1"/>
      <c r="G503" s="1"/>
      <c r="H503" s="1"/>
      <c r="I503" s="1"/>
      <c r="J503" s="1"/>
      <c r="K503" s="1">
        <v>505</v>
      </c>
      <c r="L503" t="str">
        <f t="shared" si="10"/>
        <v xml:space="preserve">507 </v>
      </c>
      <c r="M503" s="1"/>
      <c r="N503" s="1"/>
      <c r="O503" s="1"/>
      <c r="P503" s="1"/>
      <c r="R503" s="1"/>
      <c r="S503" s="1"/>
      <c r="T503" s="1"/>
      <c r="U503" s="1"/>
      <c r="V503" s="1"/>
      <c r="W503" s="1"/>
      <c r="X503" s="1"/>
      <c r="Y503" s="1"/>
      <c r="Z503" s="1"/>
    </row>
    <row r="504" spans="1:26" ht="50" customHeight="1" x14ac:dyDescent="0.15">
      <c r="A504" s="1"/>
      <c r="B504" s="33">
        <v>508</v>
      </c>
      <c r="C504" s="11"/>
      <c r="E504" s="4"/>
      <c r="F504" s="1"/>
      <c r="G504" s="1"/>
      <c r="H504" s="1"/>
      <c r="I504" s="1"/>
      <c r="J504" s="1"/>
      <c r="K504" s="1">
        <v>506</v>
      </c>
      <c r="L504" t="str">
        <f t="shared" si="10"/>
        <v xml:space="preserve">508 </v>
      </c>
      <c r="M504" s="1"/>
      <c r="N504" s="1"/>
      <c r="O504" s="1"/>
      <c r="P504" s="1"/>
      <c r="R504" s="1"/>
      <c r="S504" s="1"/>
      <c r="T504" s="1"/>
      <c r="U504" s="1"/>
      <c r="V504" s="1"/>
      <c r="W504" s="1"/>
      <c r="X504" s="1"/>
      <c r="Y504" s="1"/>
      <c r="Z504" s="1"/>
    </row>
    <row r="505" spans="1:26" ht="50" customHeight="1" x14ac:dyDescent="0.15">
      <c r="A505" s="1"/>
      <c r="B505" s="33">
        <v>509</v>
      </c>
      <c r="C505" s="11"/>
      <c r="E505" s="4"/>
      <c r="F505" s="1"/>
      <c r="G505" s="1"/>
      <c r="H505" s="1"/>
      <c r="I505" s="1"/>
      <c r="J505" s="1"/>
      <c r="K505" s="1">
        <v>507</v>
      </c>
      <c r="L505" t="str">
        <f t="shared" si="10"/>
        <v xml:space="preserve">509 </v>
      </c>
      <c r="M505" s="1"/>
      <c r="N505" s="1"/>
      <c r="O505" s="1"/>
      <c r="P505" s="1"/>
      <c r="R505" s="1"/>
      <c r="S505" s="1"/>
      <c r="T505" s="1"/>
      <c r="U505" s="1"/>
      <c r="V505" s="1"/>
      <c r="W505" s="1"/>
      <c r="X505" s="1"/>
      <c r="Y505" s="1"/>
      <c r="Z505" s="1"/>
    </row>
    <row r="506" spans="1:26" ht="50" customHeight="1" x14ac:dyDescent="0.15">
      <c r="A506" s="1"/>
      <c r="B506" s="33">
        <v>510</v>
      </c>
      <c r="C506" s="11"/>
      <c r="E506" s="4"/>
      <c r="F506" s="1"/>
      <c r="G506" s="1"/>
      <c r="H506" s="1"/>
      <c r="I506" s="1"/>
      <c r="J506" s="1"/>
      <c r="K506" s="1">
        <v>508</v>
      </c>
      <c r="L506" t="str">
        <f t="shared" si="10"/>
        <v xml:space="preserve">510 </v>
      </c>
      <c r="M506" s="1"/>
      <c r="N506" s="1"/>
      <c r="O506" s="1"/>
      <c r="P506" s="1"/>
      <c r="R506" s="1"/>
      <c r="S506" s="1"/>
      <c r="T506" s="1"/>
      <c r="U506" s="1"/>
      <c r="V506" s="1"/>
      <c r="W506" s="1"/>
      <c r="X506" s="1"/>
      <c r="Y506" s="1"/>
      <c r="Z506" s="1"/>
    </row>
    <row r="507" spans="1:26" ht="50" customHeight="1" x14ac:dyDescent="0.15">
      <c r="A507" s="1"/>
      <c r="B507" s="33">
        <v>511</v>
      </c>
      <c r="C507" s="11"/>
      <c r="E507" s="4"/>
      <c r="F507" s="1"/>
      <c r="G507" s="1"/>
      <c r="H507" s="1"/>
      <c r="I507" s="1"/>
      <c r="J507" s="1"/>
      <c r="K507" s="1">
        <v>509</v>
      </c>
      <c r="L507" t="str">
        <f t="shared" si="10"/>
        <v xml:space="preserve">511 </v>
      </c>
      <c r="M507" s="1"/>
      <c r="N507" s="1"/>
      <c r="O507" s="1"/>
      <c r="P507" s="1"/>
      <c r="R507" s="1"/>
      <c r="S507" s="1"/>
      <c r="T507" s="1"/>
      <c r="U507" s="1"/>
      <c r="V507" s="1"/>
      <c r="W507" s="1"/>
      <c r="X507" s="1"/>
      <c r="Y507" s="1"/>
      <c r="Z507" s="1"/>
    </row>
    <row r="508" spans="1:26" ht="50" customHeight="1" x14ac:dyDescent="0.15">
      <c r="A508" s="1"/>
      <c r="B508" s="33">
        <v>512</v>
      </c>
      <c r="C508" s="11"/>
      <c r="E508" s="4"/>
      <c r="F508" s="1"/>
      <c r="G508" s="1"/>
      <c r="H508" s="1"/>
      <c r="I508" s="1"/>
      <c r="J508" s="1"/>
      <c r="K508" s="1">
        <v>510</v>
      </c>
      <c r="L508" t="str">
        <f t="shared" si="10"/>
        <v xml:space="preserve">512 </v>
      </c>
      <c r="M508" s="1"/>
      <c r="N508" s="1"/>
      <c r="O508" s="1"/>
      <c r="P508" s="1"/>
      <c r="R508" s="1"/>
      <c r="S508" s="1"/>
      <c r="T508" s="1"/>
      <c r="U508" s="1"/>
      <c r="V508" s="1"/>
      <c r="W508" s="1"/>
      <c r="X508" s="1"/>
      <c r="Y508" s="1"/>
      <c r="Z508" s="1"/>
    </row>
    <row r="509" spans="1:26" ht="50" customHeight="1" x14ac:dyDescent="0.15">
      <c r="A509" s="1"/>
      <c r="B509" s="33">
        <v>513</v>
      </c>
      <c r="C509" s="11"/>
      <c r="E509" s="4"/>
      <c r="F509" s="1"/>
      <c r="G509" s="1"/>
      <c r="H509" s="1"/>
      <c r="I509" s="1"/>
      <c r="J509" s="1"/>
      <c r="K509" s="1">
        <v>511</v>
      </c>
      <c r="L509" t="str">
        <f t="shared" si="10"/>
        <v xml:space="preserve">513 </v>
      </c>
      <c r="M509" s="1"/>
      <c r="N509" s="1"/>
      <c r="O509" s="1"/>
      <c r="P509" s="1"/>
      <c r="R509" s="1"/>
      <c r="S509" s="1"/>
      <c r="T509" s="1"/>
      <c r="U509" s="1"/>
      <c r="V509" s="1"/>
      <c r="W509" s="1"/>
      <c r="X509" s="1"/>
      <c r="Y509" s="1"/>
      <c r="Z509" s="1"/>
    </row>
    <row r="510" spans="1:26" ht="50" customHeight="1" x14ac:dyDescent="0.15">
      <c r="A510" s="1"/>
      <c r="B510" s="33">
        <v>514</v>
      </c>
      <c r="C510" s="11"/>
      <c r="E510" s="4"/>
      <c r="F510" s="1"/>
      <c r="G510" s="1"/>
      <c r="H510" s="1"/>
      <c r="I510" s="1"/>
      <c r="J510" s="1"/>
      <c r="K510" s="1">
        <v>512</v>
      </c>
      <c r="L510" t="str">
        <f t="shared" si="10"/>
        <v xml:space="preserve">514 </v>
      </c>
      <c r="M510" s="1"/>
      <c r="N510" s="1"/>
      <c r="O510" s="1"/>
      <c r="P510" s="1"/>
      <c r="R510" s="1"/>
      <c r="S510" s="1"/>
      <c r="T510" s="1"/>
      <c r="U510" s="1"/>
      <c r="V510" s="1"/>
      <c r="W510" s="1"/>
      <c r="X510" s="1"/>
      <c r="Y510" s="1"/>
      <c r="Z510" s="1"/>
    </row>
    <row r="511" spans="1:26" ht="50" customHeight="1" x14ac:dyDescent="0.15">
      <c r="A511" s="1"/>
      <c r="B511" s="33">
        <v>515</v>
      </c>
      <c r="C511" s="11"/>
      <c r="E511" s="4"/>
      <c r="F511" s="1"/>
      <c r="G511" s="1"/>
      <c r="H511" s="1"/>
      <c r="I511" s="1"/>
      <c r="J511" s="1"/>
      <c r="K511" s="1">
        <v>513</v>
      </c>
      <c r="L511" t="str">
        <f t="shared" si="10"/>
        <v xml:space="preserve">515 </v>
      </c>
      <c r="M511" s="1"/>
      <c r="N511" s="1"/>
      <c r="O511" s="1"/>
      <c r="P511" s="1"/>
      <c r="R511" s="1"/>
      <c r="S511" s="1"/>
      <c r="T511" s="1"/>
      <c r="U511" s="1"/>
      <c r="V511" s="1"/>
      <c r="W511" s="1"/>
      <c r="X511" s="1"/>
      <c r="Y511" s="1"/>
      <c r="Z511" s="1"/>
    </row>
    <row r="512" spans="1:26" ht="50" customHeight="1" x14ac:dyDescent="0.15">
      <c r="A512" s="1"/>
      <c r="B512" s="33">
        <v>516</v>
      </c>
      <c r="C512" s="11"/>
      <c r="E512" s="4"/>
      <c r="F512" s="1"/>
      <c r="G512" s="1"/>
      <c r="H512" s="1"/>
      <c r="I512" s="1"/>
      <c r="J512" s="1"/>
      <c r="K512" s="1">
        <v>514</v>
      </c>
      <c r="L512" t="str">
        <f t="shared" si="10"/>
        <v xml:space="preserve">516 </v>
      </c>
      <c r="M512" s="1"/>
      <c r="N512" s="1"/>
      <c r="O512" s="1"/>
      <c r="P512" s="1"/>
      <c r="R512" s="1"/>
      <c r="S512" s="1"/>
      <c r="T512" s="1"/>
      <c r="U512" s="1"/>
      <c r="V512" s="1"/>
      <c r="W512" s="1"/>
      <c r="X512" s="1"/>
      <c r="Y512" s="1"/>
      <c r="Z512" s="1"/>
    </row>
    <row r="513" spans="1:26" ht="50" customHeight="1" x14ac:dyDescent="0.15">
      <c r="A513" s="1"/>
      <c r="B513" s="33">
        <v>517</v>
      </c>
      <c r="C513" s="11"/>
      <c r="E513" s="4"/>
      <c r="F513" s="1"/>
      <c r="G513" s="1"/>
      <c r="H513" s="1"/>
      <c r="I513" s="1"/>
      <c r="J513" s="1"/>
      <c r="K513" s="1">
        <v>515</v>
      </c>
      <c r="L513" t="str">
        <f t="shared" si="10"/>
        <v xml:space="preserve">517 </v>
      </c>
      <c r="M513" s="1"/>
      <c r="N513" s="1"/>
      <c r="O513" s="1"/>
      <c r="P513" s="1"/>
      <c r="R513" s="1"/>
      <c r="S513" s="1"/>
      <c r="T513" s="1"/>
      <c r="U513" s="1"/>
      <c r="V513" s="1"/>
      <c r="W513" s="1"/>
      <c r="X513" s="1"/>
      <c r="Y513" s="1"/>
      <c r="Z513" s="1"/>
    </row>
    <row r="514" spans="1:26" ht="50" customHeight="1" x14ac:dyDescent="0.15">
      <c r="A514" s="1"/>
      <c r="B514" s="33">
        <v>518</v>
      </c>
      <c r="C514" s="11"/>
      <c r="E514" s="4"/>
      <c r="F514" s="1"/>
      <c r="G514" s="1"/>
      <c r="H514" s="1"/>
      <c r="I514" s="1"/>
      <c r="J514" s="1"/>
      <c r="K514" s="1">
        <v>516</v>
      </c>
      <c r="L514" t="str">
        <f t="shared" si="10"/>
        <v xml:space="preserve">518 </v>
      </c>
      <c r="M514" s="1"/>
      <c r="N514" s="1"/>
      <c r="O514" s="1"/>
      <c r="P514" s="1"/>
      <c r="R514" s="1"/>
      <c r="S514" s="1"/>
      <c r="T514" s="1"/>
      <c r="U514" s="1"/>
      <c r="V514" s="1"/>
      <c r="W514" s="1"/>
      <c r="X514" s="1"/>
      <c r="Y514" s="1"/>
      <c r="Z514" s="1"/>
    </row>
    <row r="515" spans="1:26" ht="50" customHeight="1" x14ac:dyDescent="0.15">
      <c r="A515" s="1"/>
      <c r="B515" s="33">
        <v>519</v>
      </c>
      <c r="C515" s="11"/>
      <c r="E515" s="4"/>
      <c r="F515" s="1"/>
      <c r="G515" s="1"/>
      <c r="H515" s="1"/>
      <c r="I515" s="1"/>
      <c r="J515" s="1"/>
      <c r="K515" s="1">
        <v>517</v>
      </c>
      <c r="L515" t="str">
        <f t="shared" si="10"/>
        <v xml:space="preserve">519 </v>
      </c>
      <c r="M515" s="1"/>
      <c r="N515" s="1"/>
      <c r="O515" s="1"/>
      <c r="P515" s="1"/>
      <c r="R515" s="1"/>
      <c r="S515" s="1"/>
      <c r="T515" s="1"/>
      <c r="U515" s="1"/>
      <c r="V515" s="1"/>
      <c r="W515" s="1"/>
      <c r="X515" s="1"/>
      <c r="Y515" s="1"/>
      <c r="Z515" s="1"/>
    </row>
    <row r="516" spans="1:26" ht="50" customHeight="1" x14ac:dyDescent="0.15">
      <c r="A516" s="1"/>
      <c r="B516" s="33">
        <v>520</v>
      </c>
      <c r="C516" s="11"/>
      <c r="E516" s="4"/>
      <c r="F516" s="1"/>
      <c r="G516" s="1"/>
      <c r="H516" s="1"/>
      <c r="I516" s="1"/>
      <c r="J516" s="1"/>
      <c r="K516" s="1">
        <v>518</v>
      </c>
      <c r="L516" t="str">
        <f t="shared" si="10"/>
        <v xml:space="preserve">520 </v>
      </c>
      <c r="M516" s="1"/>
      <c r="N516" s="1"/>
      <c r="O516" s="1"/>
      <c r="P516" s="1"/>
      <c r="R516" s="1"/>
      <c r="S516" s="1"/>
      <c r="T516" s="1"/>
      <c r="U516" s="1"/>
      <c r="V516" s="1"/>
      <c r="W516" s="1"/>
      <c r="X516" s="1"/>
      <c r="Y516" s="1"/>
      <c r="Z516" s="1"/>
    </row>
    <row r="517" spans="1:26" ht="50" customHeight="1" x14ac:dyDescent="0.15">
      <c r="A517" s="1"/>
      <c r="B517" s="33">
        <v>521</v>
      </c>
      <c r="C517" s="11"/>
      <c r="E517" s="4"/>
      <c r="F517" s="1"/>
      <c r="G517" s="1"/>
      <c r="H517" s="1"/>
      <c r="I517" s="1"/>
      <c r="J517" s="1"/>
      <c r="K517" s="1">
        <v>519</v>
      </c>
      <c r="L517" t="str">
        <f t="shared" si="10"/>
        <v xml:space="preserve">521 </v>
      </c>
      <c r="M517" s="1"/>
      <c r="N517" s="1"/>
      <c r="O517" s="1"/>
      <c r="P517" s="1"/>
      <c r="R517" s="1"/>
      <c r="S517" s="1"/>
      <c r="T517" s="1"/>
      <c r="U517" s="1"/>
      <c r="V517" s="1"/>
      <c r="W517" s="1"/>
      <c r="X517" s="1"/>
      <c r="Y517" s="1"/>
      <c r="Z517" s="1"/>
    </row>
    <row r="518" spans="1:26" ht="50" customHeight="1" x14ac:dyDescent="0.15">
      <c r="A518" s="1"/>
      <c r="B518" s="33">
        <v>522</v>
      </c>
      <c r="C518" s="11"/>
      <c r="E518" s="4"/>
      <c r="F518" s="1"/>
      <c r="G518" s="1"/>
      <c r="H518" s="1"/>
      <c r="I518" s="1"/>
      <c r="J518" s="1"/>
      <c r="K518" s="1">
        <v>520</v>
      </c>
      <c r="L518" t="str">
        <f t="shared" si="10"/>
        <v xml:space="preserve">522 </v>
      </c>
      <c r="M518" s="1"/>
      <c r="N518" s="1"/>
      <c r="O518" s="1"/>
      <c r="P518" s="1"/>
      <c r="R518" s="1"/>
      <c r="S518" s="1"/>
      <c r="T518" s="1"/>
      <c r="U518" s="1"/>
      <c r="V518" s="1"/>
      <c r="W518" s="1"/>
      <c r="X518" s="1"/>
      <c r="Y518" s="1"/>
      <c r="Z518" s="1"/>
    </row>
    <row r="519" spans="1:26" ht="50" customHeight="1" x14ac:dyDescent="0.15">
      <c r="A519" s="1"/>
      <c r="B519" s="33">
        <v>523</v>
      </c>
      <c r="C519" s="11"/>
      <c r="E519" s="4"/>
      <c r="F519" s="1"/>
      <c r="G519" s="1"/>
      <c r="H519" s="1"/>
      <c r="I519" s="1"/>
      <c r="J519" s="1"/>
      <c r="K519" s="1">
        <v>521</v>
      </c>
      <c r="L519" t="str">
        <f t="shared" si="10"/>
        <v xml:space="preserve">523 </v>
      </c>
      <c r="M519" s="1"/>
      <c r="N519" s="1"/>
      <c r="O519" s="1"/>
      <c r="P519" s="1"/>
      <c r="R519" s="1"/>
      <c r="S519" s="1"/>
      <c r="T519" s="1"/>
      <c r="U519" s="1"/>
      <c r="V519" s="1"/>
      <c r="W519" s="1"/>
      <c r="X519" s="1"/>
      <c r="Y519" s="1"/>
      <c r="Z519" s="1"/>
    </row>
    <row r="520" spans="1:26" ht="50" customHeight="1" x14ac:dyDescent="0.15">
      <c r="A520" s="1"/>
      <c r="B520" s="33">
        <v>524</v>
      </c>
      <c r="C520" s="11"/>
      <c r="E520" s="4"/>
      <c r="F520" s="1"/>
      <c r="G520" s="1"/>
      <c r="H520" s="1"/>
      <c r="I520" s="1"/>
      <c r="J520" s="1"/>
      <c r="K520" s="1">
        <v>522</v>
      </c>
      <c r="L520" t="str">
        <f t="shared" si="10"/>
        <v xml:space="preserve">524 </v>
      </c>
      <c r="M520" s="1"/>
      <c r="N520" s="1"/>
      <c r="O520" s="1"/>
      <c r="P520" s="1"/>
      <c r="R520" s="1"/>
      <c r="S520" s="1"/>
      <c r="T520" s="1"/>
      <c r="U520" s="1"/>
      <c r="V520" s="1"/>
      <c r="W520" s="1"/>
      <c r="X520" s="1"/>
      <c r="Y520" s="1"/>
      <c r="Z520" s="1"/>
    </row>
    <row r="521" spans="1:26" ht="50" customHeight="1" x14ac:dyDescent="0.15">
      <c r="A521" s="1"/>
      <c r="B521" s="33">
        <v>525</v>
      </c>
      <c r="C521" s="11"/>
      <c r="E521" s="4"/>
      <c r="F521" s="1"/>
      <c r="G521" s="1"/>
      <c r="H521" s="1"/>
      <c r="I521" s="1"/>
      <c r="J521" s="1"/>
      <c r="K521" s="1">
        <v>523</v>
      </c>
      <c r="L521" t="str">
        <f t="shared" si="10"/>
        <v xml:space="preserve">525 </v>
      </c>
      <c r="M521" s="1"/>
      <c r="N521" s="1"/>
      <c r="O521" s="1"/>
      <c r="P521" s="1"/>
      <c r="R521" s="1"/>
      <c r="S521" s="1"/>
      <c r="T521" s="1"/>
      <c r="U521" s="1"/>
      <c r="V521" s="1"/>
      <c r="W521" s="1"/>
      <c r="X521" s="1"/>
      <c r="Y521" s="1"/>
      <c r="Z521" s="1"/>
    </row>
    <row r="522" spans="1:26" ht="50" customHeight="1" x14ac:dyDescent="0.15">
      <c r="A522" s="1"/>
      <c r="B522" s="33">
        <v>526</v>
      </c>
      <c r="C522" s="11"/>
      <c r="E522" s="4"/>
      <c r="F522" s="1"/>
      <c r="G522" s="1"/>
      <c r="H522" s="1"/>
      <c r="I522" s="1"/>
      <c r="J522" s="1"/>
      <c r="K522" s="1">
        <v>524</v>
      </c>
      <c r="L522" t="str">
        <f t="shared" si="10"/>
        <v xml:space="preserve">526 </v>
      </c>
      <c r="M522" s="1"/>
      <c r="N522" s="1"/>
      <c r="O522" s="1"/>
      <c r="P522" s="1"/>
      <c r="R522" s="1"/>
      <c r="S522" s="1"/>
      <c r="T522" s="1"/>
      <c r="U522" s="1"/>
      <c r="V522" s="1"/>
      <c r="W522" s="1"/>
      <c r="X522" s="1"/>
      <c r="Y522" s="1"/>
      <c r="Z522" s="1"/>
    </row>
    <row r="523" spans="1:26" ht="50" customHeight="1" x14ac:dyDescent="0.15">
      <c r="A523" s="1"/>
      <c r="B523" s="33">
        <v>527</v>
      </c>
      <c r="C523" s="11"/>
      <c r="E523" s="4"/>
      <c r="F523" s="1"/>
      <c r="G523" s="1"/>
      <c r="H523" s="1"/>
      <c r="I523" s="1"/>
      <c r="J523" s="1"/>
      <c r="K523" s="1">
        <v>525</v>
      </c>
      <c r="L523" t="str">
        <f t="shared" si="10"/>
        <v xml:space="preserve">527 </v>
      </c>
      <c r="M523" s="1"/>
      <c r="N523" s="1"/>
      <c r="O523" s="1"/>
      <c r="P523" s="1"/>
      <c r="R523" s="1"/>
      <c r="S523" s="1"/>
      <c r="T523" s="1"/>
      <c r="U523" s="1"/>
      <c r="V523" s="1"/>
      <c r="W523" s="1"/>
      <c r="X523" s="1"/>
      <c r="Y523" s="1"/>
      <c r="Z523" s="1"/>
    </row>
    <row r="524" spans="1:26" ht="50" customHeight="1" x14ac:dyDescent="0.15">
      <c r="A524" s="1"/>
      <c r="B524" s="11"/>
      <c r="C524" s="11"/>
      <c r="E524" s="4"/>
      <c r="F524" s="1"/>
      <c r="G524" s="1"/>
      <c r="H524" s="1"/>
      <c r="I524" s="1"/>
      <c r="J524" s="1"/>
      <c r="K524" s="1">
        <v>526</v>
      </c>
      <c r="L524" t="str">
        <f t="shared" si="10"/>
        <v xml:space="preserve"> </v>
      </c>
      <c r="M524" s="1"/>
      <c r="N524" s="1"/>
      <c r="O524" s="1"/>
      <c r="P524" s="1"/>
      <c r="R524" s="1"/>
      <c r="S524" s="1"/>
      <c r="T524" s="1"/>
      <c r="U524" s="1"/>
      <c r="V524" s="1"/>
      <c r="W524" s="1"/>
      <c r="X524" s="1"/>
      <c r="Y524" s="1"/>
      <c r="Z524" s="1"/>
    </row>
    <row r="525" spans="1:26" ht="50" customHeight="1" x14ac:dyDescent="0.15">
      <c r="A525" s="1"/>
      <c r="B525" s="11"/>
      <c r="C525" s="11"/>
      <c r="E525" s="4"/>
      <c r="F525" s="1"/>
      <c r="G525" s="1"/>
      <c r="H525" s="1"/>
      <c r="I525" s="1"/>
      <c r="J525" s="1"/>
      <c r="K525" s="1">
        <v>527</v>
      </c>
      <c r="L525" t="str">
        <f t="shared" si="10"/>
        <v xml:space="preserve"> </v>
      </c>
      <c r="M525" s="1"/>
      <c r="N525" s="1"/>
      <c r="O525" s="1"/>
      <c r="P525" s="1"/>
      <c r="R525" s="1"/>
      <c r="S525" s="1"/>
      <c r="T525" s="1"/>
      <c r="U525" s="1"/>
      <c r="V525" s="1"/>
      <c r="W525" s="1"/>
      <c r="X525" s="1"/>
      <c r="Y525" s="1"/>
      <c r="Z525" s="1"/>
    </row>
    <row r="526" spans="1:26" ht="50" customHeight="1" x14ac:dyDescent="0.15">
      <c r="A526" s="1"/>
      <c r="B526" s="11"/>
      <c r="C526" s="11"/>
      <c r="E526" s="4"/>
      <c r="F526" s="1"/>
      <c r="G526" s="1"/>
      <c r="H526" s="1"/>
      <c r="I526" s="1"/>
      <c r="J526" s="1"/>
      <c r="K526" s="1">
        <v>528</v>
      </c>
      <c r="L526" t="str">
        <f t="shared" si="10"/>
        <v xml:space="preserve"> </v>
      </c>
      <c r="M526" s="1"/>
      <c r="N526" s="1"/>
      <c r="O526" s="1"/>
      <c r="P526" s="1"/>
      <c r="R526" s="1"/>
      <c r="S526" s="1"/>
      <c r="T526" s="1"/>
      <c r="U526" s="1"/>
      <c r="V526" s="1"/>
      <c r="W526" s="1"/>
      <c r="X526" s="1"/>
      <c r="Y526" s="1"/>
      <c r="Z526" s="1"/>
    </row>
    <row r="527" spans="1:26" ht="50" customHeight="1" x14ac:dyDescent="0.15">
      <c r="A527" s="1"/>
      <c r="B527" s="11"/>
      <c r="C527" s="11"/>
      <c r="E527" s="4"/>
      <c r="F527" s="1"/>
      <c r="G527" s="1"/>
      <c r="H527" s="1"/>
      <c r="I527" s="1"/>
      <c r="J527" s="1"/>
      <c r="K527" s="1">
        <v>529</v>
      </c>
      <c r="L527" t="str">
        <f t="shared" si="10"/>
        <v xml:space="preserve"> </v>
      </c>
      <c r="M527" s="1"/>
      <c r="N527" s="1"/>
      <c r="O527" s="1"/>
      <c r="P527" s="1"/>
      <c r="R527" s="1"/>
      <c r="S527" s="1"/>
      <c r="T527" s="1"/>
      <c r="U527" s="1"/>
      <c r="V527" s="1"/>
      <c r="W527" s="1"/>
      <c r="X527" s="1"/>
      <c r="Y527" s="1"/>
      <c r="Z527" s="1"/>
    </row>
    <row r="528" spans="1:26" ht="50" customHeight="1" x14ac:dyDescent="0.15">
      <c r="A528" s="1"/>
      <c r="B528" s="11"/>
      <c r="C528" s="11"/>
      <c r="E528" s="4"/>
      <c r="F528" s="1"/>
      <c r="G528" s="1"/>
      <c r="H528" s="1"/>
      <c r="I528" s="1"/>
      <c r="J528" s="1"/>
      <c r="K528" s="1">
        <v>530</v>
      </c>
      <c r="L528" t="str">
        <f t="shared" si="10"/>
        <v xml:space="preserve"> </v>
      </c>
      <c r="M528" s="1"/>
      <c r="N528" s="1"/>
      <c r="O528" s="1"/>
      <c r="P528" s="1"/>
      <c r="R528" s="1"/>
      <c r="S528" s="1"/>
      <c r="T528" s="1"/>
      <c r="U528" s="1"/>
      <c r="V528" s="1"/>
      <c r="W528" s="1"/>
      <c r="X528" s="1"/>
      <c r="Y528" s="1"/>
      <c r="Z528" s="1"/>
    </row>
    <row r="529" spans="1:26" ht="50" customHeight="1" x14ac:dyDescent="0.15">
      <c r="A529" s="1"/>
      <c r="B529" s="11"/>
      <c r="C529" s="11"/>
      <c r="E529" s="4"/>
      <c r="F529" s="1"/>
      <c r="G529" s="1"/>
      <c r="H529" s="1"/>
      <c r="I529" s="1"/>
      <c r="J529" s="1"/>
      <c r="K529" s="1">
        <v>531</v>
      </c>
      <c r="L529" t="str">
        <f t="shared" si="10"/>
        <v xml:space="preserve"> </v>
      </c>
      <c r="M529" s="1"/>
      <c r="N529" s="1"/>
      <c r="O529" s="1"/>
      <c r="P529" s="1"/>
      <c r="R529" s="1"/>
      <c r="S529" s="1"/>
      <c r="T529" s="1"/>
      <c r="U529" s="1"/>
      <c r="V529" s="1"/>
      <c r="W529" s="1"/>
      <c r="X529" s="1"/>
      <c r="Y529" s="1"/>
      <c r="Z529" s="1"/>
    </row>
    <row r="530" spans="1:26" ht="50" customHeight="1" x14ac:dyDescent="0.15">
      <c r="A530" s="1"/>
      <c r="B530" s="11"/>
      <c r="C530" s="11"/>
      <c r="E530" s="4"/>
      <c r="F530" s="1"/>
      <c r="G530" s="1"/>
      <c r="H530" s="1"/>
      <c r="I530" s="1"/>
      <c r="J530" s="1"/>
      <c r="K530" s="1">
        <v>532</v>
      </c>
      <c r="L530" t="str">
        <f t="shared" si="10"/>
        <v xml:space="preserve"> </v>
      </c>
      <c r="M530" s="1"/>
      <c r="N530" s="1"/>
      <c r="O530" s="1"/>
      <c r="P530" s="1"/>
      <c r="R530" s="1"/>
      <c r="S530" s="1"/>
      <c r="T530" s="1"/>
      <c r="U530" s="1"/>
      <c r="V530" s="1"/>
      <c r="W530" s="1"/>
      <c r="X530" s="1"/>
      <c r="Y530" s="1"/>
      <c r="Z530" s="1"/>
    </row>
    <row r="531" spans="1:26" ht="50" customHeight="1" x14ac:dyDescent="0.15">
      <c r="A531" s="1"/>
      <c r="B531" s="11"/>
      <c r="C531" s="11"/>
      <c r="E531" s="4"/>
      <c r="F531" s="1"/>
      <c r="G531" s="1"/>
      <c r="H531" s="1"/>
      <c r="I531" s="1"/>
      <c r="J531" s="1"/>
      <c r="K531" s="1">
        <v>533</v>
      </c>
      <c r="L531" t="str">
        <f t="shared" si="10"/>
        <v xml:space="preserve"> </v>
      </c>
      <c r="M531" s="1"/>
      <c r="N531" s="1"/>
      <c r="O531" s="1"/>
      <c r="P531" s="1"/>
      <c r="R531" s="1"/>
      <c r="S531" s="1"/>
      <c r="T531" s="1"/>
      <c r="U531" s="1"/>
      <c r="V531" s="1"/>
      <c r="W531" s="1"/>
      <c r="X531" s="1"/>
      <c r="Y531" s="1"/>
      <c r="Z531" s="1"/>
    </row>
    <row r="532" spans="1:26" ht="50" customHeight="1" x14ac:dyDescent="0.15">
      <c r="A532" s="1"/>
      <c r="B532" s="11"/>
      <c r="C532" s="11"/>
      <c r="E532" s="4"/>
      <c r="F532" s="1"/>
      <c r="G532" s="1"/>
      <c r="H532" s="1"/>
      <c r="I532" s="1"/>
      <c r="J532" s="1"/>
      <c r="K532" s="1">
        <v>534</v>
      </c>
      <c r="L532" t="str">
        <f t="shared" si="10"/>
        <v xml:space="preserve"> </v>
      </c>
      <c r="M532" s="1"/>
      <c r="N532" s="1"/>
      <c r="O532" s="1"/>
      <c r="P532" s="1"/>
      <c r="R532" s="1"/>
      <c r="S532" s="1"/>
      <c r="T532" s="1"/>
      <c r="U532" s="1"/>
      <c r="V532" s="1"/>
      <c r="W532" s="1"/>
      <c r="X532" s="1"/>
      <c r="Y532" s="1"/>
      <c r="Z532" s="1"/>
    </row>
    <row r="533" spans="1:26" ht="50" customHeight="1" x14ac:dyDescent="0.15">
      <c r="A533" s="1"/>
      <c r="B533" s="11"/>
      <c r="C533" s="11"/>
      <c r="E533" s="4"/>
      <c r="F533" s="1"/>
      <c r="G533" s="1"/>
      <c r="H533" s="1"/>
      <c r="I533" s="1"/>
      <c r="J533" s="1"/>
      <c r="K533" s="1">
        <v>535</v>
      </c>
      <c r="L533" t="str">
        <f t="shared" si="10"/>
        <v xml:space="preserve"> </v>
      </c>
      <c r="M533" s="1"/>
      <c r="N533" s="1"/>
      <c r="O533" s="1"/>
      <c r="P533" s="1"/>
      <c r="R533" s="1"/>
      <c r="S533" s="1"/>
      <c r="T533" s="1"/>
      <c r="U533" s="1"/>
      <c r="V533" s="1"/>
      <c r="W533" s="1"/>
      <c r="X533" s="1"/>
      <c r="Y533" s="1"/>
      <c r="Z533" s="1"/>
    </row>
    <row r="534" spans="1:26" ht="50" customHeight="1" x14ac:dyDescent="0.15">
      <c r="A534" s="1"/>
      <c r="B534" s="11"/>
      <c r="C534" s="11"/>
      <c r="E534" s="4"/>
      <c r="F534" s="1"/>
      <c r="G534" s="1"/>
      <c r="H534" s="1"/>
      <c r="I534" s="1"/>
      <c r="J534" s="1"/>
      <c r="K534" s="1">
        <v>536</v>
      </c>
      <c r="L534" t="str">
        <f t="shared" si="10"/>
        <v xml:space="preserve"> </v>
      </c>
      <c r="M534" s="1"/>
      <c r="N534" s="1"/>
      <c r="O534" s="1"/>
      <c r="P534" s="1"/>
      <c r="R534" s="1"/>
      <c r="S534" s="1"/>
      <c r="T534" s="1"/>
      <c r="U534" s="1"/>
      <c r="V534" s="1"/>
      <c r="W534" s="1"/>
      <c r="X534" s="1"/>
      <c r="Y534" s="1"/>
      <c r="Z534" s="1"/>
    </row>
    <row r="535" spans="1:26" ht="50" customHeight="1" x14ac:dyDescent="0.15">
      <c r="A535" s="1"/>
      <c r="B535" s="11"/>
      <c r="C535" s="11"/>
      <c r="E535" s="4"/>
      <c r="F535" s="1"/>
      <c r="G535" s="1"/>
      <c r="H535" s="1"/>
      <c r="I535" s="1"/>
      <c r="J535" s="1"/>
      <c r="K535" s="1">
        <v>537</v>
      </c>
      <c r="L535" t="str">
        <f t="shared" si="10"/>
        <v xml:space="preserve"> </v>
      </c>
      <c r="M535" s="1"/>
      <c r="N535" s="1"/>
      <c r="O535" s="1"/>
      <c r="P535" s="1"/>
      <c r="R535" s="1"/>
      <c r="S535" s="1"/>
      <c r="T535" s="1"/>
      <c r="U535" s="1"/>
      <c r="V535" s="1"/>
      <c r="W535" s="1"/>
      <c r="X535" s="1"/>
      <c r="Y535" s="1"/>
      <c r="Z535" s="1"/>
    </row>
    <row r="536" spans="1:26" ht="50" customHeight="1" x14ac:dyDescent="0.15">
      <c r="A536" s="1"/>
      <c r="B536" s="11"/>
      <c r="C536" s="11"/>
      <c r="E536" s="4"/>
      <c r="F536" s="1"/>
      <c r="G536" s="1"/>
      <c r="H536" s="1"/>
      <c r="I536" s="1"/>
      <c r="J536" s="1"/>
      <c r="K536" s="1">
        <v>538</v>
      </c>
      <c r="L536" t="str">
        <f t="shared" si="10"/>
        <v xml:space="preserve"> </v>
      </c>
      <c r="M536" s="1"/>
      <c r="N536" s="1"/>
      <c r="O536" s="1"/>
      <c r="P536" s="1"/>
      <c r="R536" s="1"/>
      <c r="S536" s="1"/>
      <c r="T536" s="1"/>
      <c r="U536" s="1"/>
      <c r="V536" s="1"/>
      <c r="W536" s="1"/>
      <c r="X536" s="1"/>
      <c r="Y536" s="1"/>
      <c r="Z536" s="1"/>
    </row>
    <row r="537" spans="1:26" ht="50" customHeight="1" x14ac:dyDescent="0.15">
      <c r="A537" s="1"/>
      <c r="B537" s="11"/>
      <c r="C537" s="11"/>
      <c r="E537" s="4"/>
      <c r="F537" s="1"/>
      <c r="G537" s="1"/>
      <c r="H537" s="1"/>
      <c r="I537" s="1"/>
      <c r="J537" s="1"/>
      <c r="K537" s="1">
        <v>539</v>
      </c>
      <c r="L537" t="str">
        <f t="shared" si="10"/>
        <v xml:space="preserve"> </v>
      </c>
      <c r="M537" s="1"/>
      <c r="N537" s="1"/>
      <c r="O537" s="1"/>
      <c r="P537" s="1"/>
      <c r="R537" s="1"/>
      <c r="S537" s="1"/>
      <c r="T537" s="1"/>
      <c r="U537" s="1"/>
      <c r="V537" s="1"/>
      <c r="W537" s="1"/>
      <c r="X537" s="1"/>
      <c r="Y537" s="1"/>
      <c r="Z537" s="1"/>
    </row>
    <row r="538" spans="1:26" ht="50" customHeight="1" x14ac:dyDescent="0.15">
      <c r="A538" s="1"/>
      <c r="B538" s="11"/>
      <c r="C538" s="11"/>
      <c r="E538" s="4"/>
      <c r="F538" s="1"/>
      <c r="G538" s="1"/>
      <c r="H538" s="1"/>
      <c r="I538" s="1"/>
      <c r="J538" s="1"/>
      <c r="K538" s="1">
        <v>540</v>
      </c>
      <c r="L538" t="str">
        <f t="shared" si="10"/>
        <v xml:space="preserve"> </v>
      </c>
      <c r="M538" s="1"/>
      <c r="N538" s="1"/>
      <c r="O538" s="1"/>
      <c r="P538" s="1"/>
      <c r="R538" s="1"/>
      <c r="S538" s="1"/>
      <c r="T538" s="1"/>
      <c r="U538" s="1"/>
      <c r="V538" s="1"/>
      <c r="W538" s="1"/>
      <c r="X538" s="1"/>
      <c r="Y538" s="1"/>
      <c r="Z538" s="1"/>
    </row>
    <row r="539" spans="1:26" ht="50" customHeight="1" x14ac:dyDescent="0.15">
      <c r="A539" s="1"/>
      <c r="B539" s="11"/>
      <c r="C539" s="11"/>
      <c r="E539" s="4"/>
      <c r="F539" s="1"/>
      <c r="G539" s="1"/>
      <c r="H539" s="1"/>
      <c r="I539" s="1"/>
      <c r="J539" s="1"/>
      <c r="K539" s="1">
        <v>541</v>
      </c>
      <c r="L539" t="str">
        <f t="shared" si="10"/>
        <v xml:space="preserve"> </v>
      </c>
      <c r="M539" s="1"/>
      <c r="N539" s="1"/>
      <c r="O539" s="1"/>
      <c r="P539" s="1"/>
      <c r="R539" s="1"/>
      <c r="S539" s="1"/>
      <c r="T539" s="1"/>
      <c r="U539" s="1"/>
      <c r="V539" s="1"/>
      <c r="W539" s="1"/>
      <c r="X539" s="1"/>
      <c r="Y539" s="1"/>
      <c r="Z539" s="1"/>
    </row>
    <row r="540" spans="1:26" ht="50" customHeight="1" x14ac:dyDescent="0.15">
      <c r="A540" s="1"/>
      <c r="B540" s="11"/>
      <c r="C540" s="11"/>
      <c r="E540" s="4"/>
      <c r="F540" s="1"/>
      <c r="G540" s="1"/>
      <c r="H540" s="1"/>
      <c r="I540" s="1"/>
      <c r="J540" s="1"/>
      <c r="K540" s="1">
        <v>542</v>
      </c>
      <c r="L540" t="str">
        <f t="shared" si="10"/>
        <v xml:space="preserve"> </v>
      </c>
      <c r="M540" s="1"/>
      <c r="N540" s="1"/>
      <c r="O540" s="1"/>
      <c r="P540" s="1"/>
      <c r="R540" s="1"/>
      <c r="S540" s="1"/>
      <c r="T540" s="1"/>
      <c r="U540" s="1"/>
      <c r="V540" s="1"/>
      <c r="W540" s="1"/>
      <c r="X540" s="1"/>
      <c r="Y540" s="1"/>
      <c r="Z540" s="1"/>
    </row>
    <row r="541" spans="1:26" ht="50" customHeight="1" x14ac:dyDescent="0.15">
      <c r="A541" s="1"/>
      <c r="B541" s="11"/>
      <c r="C541" s="11"/>
      <c r="E541" s="4"/>
      <c r="F541" s="1"/>
      <c r="G541" s="1"/>
      <c r="H541" s="1"/>
      <c r="I541" s="1"/>
      <c r="J541" s="1"/>
      <c r="K541" s="1">
        <v>543</v>
      </c>
      <c r="L541" t="str">
        <f t="shared" si="10"/>
        <v xml:space="preserve"> </v>
      </c>
      <c r="M541" s="1"/>
      <c r="N541" s="1"/>
      <c r="O541" s="1"/>
      <c r="P541" s="1"/>
      <c r="R541" s="1"/>
      <c r="S541" s="1"/>
      <c r="T541" s="1"/>
      <c r="U541" s="1"/>
      <c r="V541" s="1"/>
      <c r="W541" s="1"/>
      <c r="X541" s="1"/>
      <c r="Y541" s="1"/>
      <c r="Z541" s="1"/>
    </row>
    <row r="542" spans="1:26" ht="50" customHeight="1" x14ac:dyDescent="0.15">
      <c r="A542" s="1"/>
      <c r="B542" s="11"/>
      <c r="C542" s="11"/>
      <c r="E542" s="4"/>
      <c r="F542" s="1"/>
      <c r="G542" s="1"/>
      <c r="H542" s="1"/>
      <c r="I542" s="1"/>
      <c r="J542" s="1"/>
      <c r="K542" s="1">
        <v>544</v>
      </c>
      <c r="L542" t="str">
        <f t="shared" si="10"/>
        <v xml:space="preserve"> </v>
      </c>
      <c r="M542" s="1"/>
      <c r="N542" s="1"/>
      <c r="O542" s="1"/>
      <c r="P542" s="1"/>
      <c r="R542" s="1"/>
      <c r="S542" s="1"/>
      <c r="T542" s="1"/>
      <c r="U542" s="1"/>
      <c r="V542" s="1"/>
      <c r="W542" s="1"/>
      <c r="X542" s="1"/>
      <c r="Y542" s="1"/>
      <c r="Z542" s="1"/>
    </row>
    <row r="543" spans="1:26" ht="50" customHeight="1" x14ac:dyDescent="0.15">
      <c r="A543" s="1"/>
      <c r="B543" s="11"/>
      <c r="C543" s="11"/>
      <c r="E543" s="4"/>
      <c r="F543" s="1"/>
      <c r="G543" s="1"/>
      <c r="H543" s="1"/>
      <c r="I543" s="1"/>
      <c r="J543" s="1"/>
      <c r="K543" s="1">
        <v>545</v>
      </c>
      <c r="L543" t="str">
        <f t="shared" si="10"/>
        <v xml:space="preserve"> </v>
      </c>
      <c r="M543" s="1"/>
      <c r="N543" s="1"/>
      <c r="O543" s="1"/>
      <c r="P543" s="1"/>
      <c r="R543" s="1"/>
      <c r="S543" s="1"/>
      <c r="T543" s="1"/>
      <c r="U543" s="1"/>
      <c r="V543" s="1"/>
      <c r="W543" s="1"/>
      <c r="X543" s="1"/>
      <c r="Y543" s="1"/>
      <c r="Z543" s="1"/>
    </row>
    <row r="544" spans="1:26" ht="50" customHeight="1" x14ac:dyDescent="0.15">
      <c r="A544" s="1"/>
      <c r="B544" s="11"/>
      <c r="C544" s="11"/>
      <c r="E544" s="4"/>
      <c r="F544" s="1"/>
      <c r="G544" s="1"/>
      <c r="H544" s="1"/>
      <c r="I544" s="1"/>
      <c r="J544" s="1"/>
      <c r="K544" s="1">
        <v>546</v>
      </c>
      <c r="M544" s="1"/>
      <c r="N544" s="1"/>
      <c r="O544" s="1"/>
      <c r="P544" s="1"/>
      <c r="R544" s="1"/>
      <c r="S544" s="1"/>
      <c r="T544" s="1"/>
      <c r="U544" s="1"/>
      <c r="V544" s="1"/>
      <c r="W544" s="1"/>
      <c r="X544" s="1"/>
      <c r="Y544" s="1"/>
      <c r="Z544" s="1"/>
    </row>
    <row r="545" spans="1:26" ht="50" customHeight="1" x14ac:dyDescent="0.15">
      <c r="A545" s="1"/>
      <c r="B545" s="11"/>
      <c r="C545" s="11"/>
      <c r="E545" s="4"/>
      <c r="F545" s="1"/>
      <c r="G545" s="1"/>
      <c r="H545" s="1"/>
      <c r="I545" s="1"/>
      <c r="J545" s="1"/>
      <c r="K545" s="1">
        <v>547</v>
      </c>
      <c r="M545" s="1"/>
      <c r="N545" s="1"/>
      <c r="O545" s="1"/>
      <c r="P545" s="1"/>
      <c r="R545" s="1"/>
      <c r="S545" s="1"/>
      <c r="T545" s="1"/>
      <c r="U545" s="1"/>
      <c r="V545" s="1"/>
      <c r="W545" s="1"/>
      <c r="X545" s="1"/>
      <c r="Y545" s="1"/>
      <c r="Z545" s="1"/>
    </row>
    <row r="546" spans="1:26" ht="50" customHeight="1" x14ac:dyDescent="0.15">
      <c r="A546" s="1"/>
      <c r="B546" s="11"/>
      <c r="C546" s="11"/>
      <c r="E546" s="4"/>
      <c r="F546" s="1"/>
      <c r="G546" s="1"/>
      <c r="H546" s="1"/>
      <c r="I546" s="1"/>
      <c r="J546" s="1"/>
      <c r="K546" s="1">
        <v>548</v>
      </c>
      <c r="M546" s="1"/>
      <c r="N546" s="1"/>
      <c r="O546" s="1"/>
      <c r="P546" s="1"/>
      <c r="R546" s="1"/>
      <c r="S546" s="1"/>
      <c r="T546" s="1"/>
      <c r="U546" s="1"/>
      <c r="V546" s="1"/>
      <c r="W546" s="1"/>
      <c r="X546" s="1"/>
      <c r="Y546" s="1"/>
      <c r="Z546" s="1"/>
    </row>
    <row r="547" spans="1:26" ht="50" customHeight="1" x14ac:dyDescent="0.15">
      <c r="A547" s="1"/>
      <c r="B547" s="11"/>
      <c r="C547" s="11"/>
      <c r="E547" s="4"/>
      <c r="F547" s="1"/>
      <c r="G547" s="1"/>
      <c r="H547" s="1"/>
      <c r="I547" s="1"/>
      <c r="J547" s="1"/>
      <c r="K547" s="1">
        <v>549</v>
      </c>
      <c r="M547" s="1"/>
      <c r="N547" s="1"/>
      <c r="O547" s="1"/>
      <c r="P547" s="1"/>
      <c r="R547" s="1"/>
      <c r="S547" s="1"/>
      <c r="T547" s="1"/>
      <c r="U547" s="1"/>
      <c r="V547" s="1"/>
      <c r="W547" s="1"/>
      <c r="X547" s="1"/>
      <c r="Y547" s="1"/>
      <c r="Z547" s="1"/>
    </row>
    <row r="548" spans="1:26" ht="50" customHeight="1" x14ac:dyDescent="0.15">
      <c r="A548" s="1"/>
      <c r="B548" s="11"/>
      <c r="C548" s="11"/>
      <c r="E548" s="4"/>
      <c r="F548" s="1"/>
      <c r="G548" s="1"/>
      <c r="H548" s="1"/>
      <c r="I548" s="1"/>
      <c r="J548" s="1"/>
      <c r="K548" s="1">
        <v>550</v>
      </c>
      <c r="M548" s="1"/>
      <c r="N548" s="1"/>
      <c r="O548" s="1"/>
      <c r="P548" s="1"/>
      <c r="R548" s="1"/>
      <c r="S548" s="1"/>
      <c r="T548" s="1"/>
      <c r="U548" s="1"/>
      <c r="V548" s="1"/>
      <c r="W548" s="1"/>
      <c r="X548" s="1"/>
      <c r="Y548" s="1"/>
      <c r="Z548" s="1"/>
    </row>
    <row r="549" spans="1:26" ht="50" customHeight="1" x14ac:dyDescent="0.15">
      <c r="A549" s="1"/>
      <c r="B549" s="11"/>
      <c r="C549" s="11"/>
      <c r="E549" s="4"/>
      <c r="F549" s="1"/>
      <c r="G549" s="1"/>
      <c r="H549" s="1"/>
      <c r="I549" s="1"/>
      <c r="J549" s="1"/>
      <c r="K549" s="1">
        <v>551</v>
      </c>
      <c r="M549" s="1"/>
      <c r="N549" s="1"/>
      <c r="O549" s="1"/>
      <c r="P549" s="1"/>
      <c r="R549" s="1"/>
      <c r="S549" s="1"/>
      <c r="T549" s="1"/>
      <c r="U549" s="1"/>
      <c r="V549" s="1"/>
      <c r="W549" s="1"/>
      <c r="X549" s="1"/>
      <c r="Y549" s="1"/>
      <c r="Z549" s="1"/>
    </row>
    <row r="550" spans="1:26" ht="50" customHeight="1" x14ac:dyDescent="0.15">
      <c r="A550" s="1"/>
      <c r="B550" s="11"/>
      <c r="C550" s="11"/>
      <c r="E550" s="4"/>
      <c r="F550" s="1"/>
      <c r="G550" s="1"/>
      <c r="H550" s="1"/>
      <c r="I550" s="1"/>
      <c r="J550" s="1"/>
      <c r="K550" s="1">
        <v>552</v>
      </c>
      <c r="M550" s="1"/>
      <c r="N550" s="1"/>
      <c r="O550" s="1"/>
      <c r="P550" s="1"/>
      <c r="R550" s="1"/>
      <c r="S550" s="1"/>
      <c r="T550" s="1"/>
      <c r="U550" s="1"/>
      <c r="V550" s="1"/>
      <c r="W550" s="1"/>
      <c r="X550" s="1"/>
      <c r="Y550" s="1"/>
      <c r="Z550" s="1"/>
    </row>
    <row r="551" spans="1:26" ht="50" customHeight="1" x14ac:dyDescent="0.15">
      <c r="A551" s="1"/>
      <c r="B551" s="11"/>
      <c r="C551" s="11"/>
      <c r="E551" s="4"/>
      <c r="F551" s="1"/>
      <c r="G551" s="1"/>
      <c r="H551" s="1"/>
      <c r="I551" s="1"/>
      <c r="J551" s="1"/>
      <c r="K551" s="1">
        <v>553</v>
      </c>
      <c r="M551" s="1"/>
      <c r="N551" s="1"/>
      <c r="O551" s="1"/>
      <c r="P551" s="1"/>
      <c r="R551" s="1"/>
      <c r="S551" s="1"/>
      <c r="T551" s="1"/>
      <c r="U551" s="1"/>
      <c r="V551" s="1"/>
      <c r="W551" s="1"/>
      <c r="X551" s="1"/>
      <c r="Y551" s="1"/>
      <c r="Z551" s="1"/>
    </row>
    <row r="552" spans="1:26" ht="50" customHeight="1" x14ac:dyDescent="0.15">
      <c r="A552" s="1"/>
      <c r="B552" s="11"/>
      <c r="C552" s="11"/>
      <c r="E552" s="4"/>
      <c r="F552" s="1"/>
      <c r="G552" s="1"/>
      <c r="H552" s="1"/>
      <c r="I552" s="1"/>
      <c r="J552" s="1"/>
      <c r="K552" s="1">
        <v>554</v>
      </c>
      <c r="M552" s="1"/>
      <c r="N552" s="1"/>
      <c r="O552" s="1"/>
      <c r="P552" s="1"/>
      <c r="R552" s="1"/>
      <c r="S552" s="1"/>
      <c r="T552" s="1"/>
      <c r="U552" s="1"/>
      <c r="V552" s="1"/>
      <c r="W552" s="1"/>
      <c r="X552" s="1"/>
      <c r="Y552" s="1"/>
      <c r="Z552" s="1"/>
    </row>
    <row r="553" spans="1:26" ht="50" customHeight="1" x14ac:dyDescent="0.15">
      <c r="A553" s="1"/>
      <c r="B553" s="11"/>
      <c r="C553" s="11"/>
      <c r="E553" s="4"/>
      <c r="F553" s="1"/>
      <c r="G553" s="1"/>
      <c r="H553" s="1"/>
      <c r="I553" s="1"/>
      <c r="J553" s="1"/>
      <c r="K553" s="1">
        <v>555</v>
      </c>
      <c r="M553" s="1"/>
      <c r="N553" s="1"/>
      <c r="O553" s="1"/>
      <c r="P553" s="1"/>
      <c r="R553" s="1"/>
      <c r="S553" s="1"/>
      <c r="T553" s="1"/>
      <c r="U553" s="1"/>
      <c r="V553" s="1"/>
      <c r="W553" s="1"/>
      <c r="X553" s="1"/>
      <c r="Y553" s="1"/>
      <c r="Z553" s="1"/>
    </row>
    <row r="554" spans="1:26" ht="50" customHeight="1" x14ac:dyDescent="0.15">
      <c r="A554" s="1"/>
      <c r="B554" s="11"/>
      <c r="C554" s="11"/>
      <c r="E554" s="4"/>
      <c r="F554" s="1"/>
      <c r="G554" s="1"/>
      <c r="H554" s="1"/>
      <c r="I554" s="1"/>
      <c r="J554" s="1"/>
      <c r="K554" s="1">
        <v>556</v>
      </c>
      <c r="M554" s="1"/>
      <c r="N554" s="1"/>
      <c r="O554" s="1"/>
      <c r="P554" s="1"/>
      <c r="R554" s="1"/>
      <c r="S554" s="1"/>
      <c r="T554" s="1"/>
      <c r="U554" s="1"/>
      <c r="V554" s="1"/>
      <c r="W554" s="1"/>
      <c r="X554" s="1"/>
      <c r="Y554" s="1"/>
      <c r="Z554" s="1"/>
    </row>
    <row r="555" spans="1:26" ht="50" customHeight="1" x14ac:dyDescent="0.15">
      <c r="A555" s="1"/>
      <c r="B555" s="11"/>
      <c r="C555" s="11"/>
      <c r="E555" s="4"/>
      <c r="F555" s="1"/>
      <c r="G555" s="1"/>
      <c r="H555" s="1"/>
      <c r="I555" s="1"/>
      <c r="J555" s="1"/>
      <c r="K555" s="1">
        <v>557</v>
      </c>
      <c r="M555" s="1"/>
      <c r="N555" s="1"/>
      <c r="O555" s="1"/>
      <c r="P555" s="1"/>
      <c r="R555" s="1"/>
      <c r="S555" s="1"/>
      <c r="T555" s="1"/>
      <c r="U555" s="1"/>
      <c r="V555" s="1"/>
      <c r="W555" s="1"/>
      <c r="X555" s="1"/>
      <c r="Y555" s="1"/>
      <c r="Z555" s="1"/>
    </row>
    <row r="556" spans="1:26" ht="50" customHeight="1" x14ac:dyDescent="0.15">
      <c r="A556" s="1"/>
      <c r="B556" s="11"/>
      <c r="C556" s="11"/>
      <c r="E556" s="4"/>
      <c r="F556" s="1"/>
      <c r="G556" s="1"/>
      <c r="H556" s="1"/>
      <c r="I556" s="1"/>
      <c r="J556" s="1"/>
      <c r="K556" s="1">
        <v>558</v>
      </c>
      <c r="M556" s="1"/>
      <c r="N556" s="1"/>
      <c r="O556" s="1"/>
      <c r="P556" s="1"/>
      <c r="R556" s="1"/>
      <c r="S556" s="1"/>
      <c r="T556" s="1"/>
      <c r="U556" s="1"/>
      <c r="V556" s="1"/>
      <c r="W556" s="1"/>
      <c r="X556" s="1"/>
      <c r="Y556" s="1"/>
      <c r="Z556" s="1"/>
    </row>
    <row r="557" spans="1:26" ht="50" customHeight="1" x14ac:dyDescent="0.15">
      <c r="A557" s="1"/>
      <c r="B557" s="11"/>
      <c r="C557" s="11"/>
      <c r="E557" s="4"/>
      <c r="F557" s="1"/>
      <c r="G557" s="1"/>
      <c r="H557" s="1"/>
      <c r="I557" s="1"/>
      <c r="J557" s="1"/>
      <c r="K557" s="1">
        <v>559</v>
      </c>
      <c r="M557" s="1"/>
      <c r="N557" s="1"/>
      <c r="O557" s="1"/>
      <c r="P557" s="1"/>
      <c r="R557" s="1"/>
      <c r="S557" s="1"/>
      <c r="T557" s="1"/>
      <c r="U557" s="1"/>
      <c r="V557" s="1"/>
      <c r="W557" s="1"/>
      <c r="X557" s="1"/>
      <c r="Y557" s="1"/>
      <c r="Z557" s="1"/>
    </row>
    <row r="558" spans="1:26" ht="50" customHeight="1" x14ac:dyDescent="0.15">
      <c r="A558" s="1"/>
      <c r="B558" s="11"/>
      <c r="C558" s="11"/>
      <c r="E558" s="4"/>
      <c r="F558" s="1"/>
      <c r="G558" s="1"/>
      <c r="H558" s="1"/>
      <c r="I558" s="1"/>
      <c r="J558" s="1"/>
      <c r="K558" s="1">
        <v>560</v>
      </c>
      <c r="M558" s="1"/>
      <c r="N558" s="1"/>
      <c r="O558" s="1"/>
      <c r="P558" s="1"/>
      <c r="R558" s="1"/>
      <c r="S558" s="1"/>
      <c r="T558" s="1"/>
      <c r="U558" s="1"/>
      <c r="V558" s="1"/>
      <c r="W558" s="1"/>
      <c r="X558" s="1"/>
      <c r="Y558" s="1"/>
      <c r="Z558" s="1"/>
    </row>
    <row r="559" spans="1:26" ht="50" customHeight="1" x14ac:dyDescent="0.15">
      <c r="A559" s="1"/>
      <c r="B559" s="11"/>
      <c r="C559" s="11"/>
      <c r="E559" s="4"/>
      <c r="F559" s="1"/>
      <c r="G559" s="1"/>
      <c r="H559" s="1"/>
      <c r="I559" s="1"/>
      <c r="J559" s="1"/>
      <c r="K559" s="1">
        <v>561</v>
      </c>
      <c r="M559" s="1"/>
      <c r="N559" s="1"/>
      <c r="O559" s="1"/>
      <c r="P559" s="1"/>
      <c r="R559" s="1"/>
      <c r="S559" s="1"/>
      <c r="T559" s="1"/>
      <c r="U559" s="1"/>
      <c r="V559" s="1"/>
      <c r="W559" s="1"/>
      <c r="X559" s="1"/>
      <c r="Y559" s="1"/>
      <c r="Z559" s="1"/>
    </row>
    <row r="560" spans="1:26" ht="50" customHeight="1" x14ac:dyDescent="0.15">
      <c r="A560" s="1"/>
      <c r="B560" s="11"/>
      <c r="C560" s="11"/>
      <c r="E560" s="4"/>
      <c r="F560" s="1"/>
      <c r="G560" s="1"/>
      <c r="H560" s="1"/>
      <c r="I560" s="1"/>
      <c r="J560" s="1"/>
      <c r="K560" s="1">
        <v>562</v>
      </c>
      <c r="M560" s="1"/>
      <c r="N560" s="1"/>
      <c r="O560" s="1"/>
      <c r="P560" s="1"/>
      <c r="R560" s="1"/>
      <c r="S560" s="1"/>
      <c r="T560" s="1"/>
      <c r="U560" s="1"/>
      <c r="V560" s="1"/>
      <c r="W560" s="1"/>
      <c r="X560" s="1"/>
      <c r="Y560" s="1"/>
      <c r="Z560" s="1"/>
    </row>
    <row r="561" spans="1:26" ht="50" customHeight="1" x14ac:dyDescent="0.15">
      <c r="A561" s="1"/>
      <c r="B561" s="11"/>
      <c r="C561" s="11"/>
      <c r="E561" s="4"/>
      <c r="F561" s="1"/>
      <c r="G561" s="1"/>
      <c r="H561" s="1"/>
      <c r="I561" s="1"/>
      <c r="J561" s="1"/>
      <c r="K561" s="1">
        <v>563</v>
      </c>
      <c r="M561" s="1"/>
      <c r="N561" s="1"/>
      <c r="O561" s="1"/>
      <c r="P561" s="1"/>
      <c r="R561" s="1"/>
      <c r="S561" s="1"/>
      <c r="T561" s="1"/>
      <c r="U561" s="1"/>
      <c r="V561" s="1"/>
      <c r="W561" s="1"/>
      <c r="X561" s="1"/>
      <c r="Y561" s="1"/>
      <c r="Z561" s="1"/>
    </row>
    <row r="562" spans="1:26" ht="50" customHeight="1" x14ac:dyDescent="0.15">
      <c r="A562" s="1"/>
      <c r="K562" s="1">
        <v>564</v>
      </c>
      <c r="R562" s="1"/>
      <c r="S562" s="1"/>
      <c r="T562" s="1"/>
      <c r="U562" s="1"/>
      <c r="V562" s="1"/>
      <c r="W562" s="1"/>
      <c r="X562" s="1"/>
      <c r="Y562" s="1"/>
      <c r="Z562" s="1"/>
    </row>
    <row r="563" spans="1:26" ht="50" customHeight="1" x14ac:dyDescent="0.15">
      <c r="A563" s="1"/>
      <c r="K563" s="1">
        <v>565</v>
      </c>
      <c r="R563" s="1"/>
      <c r="S563" s="1"/>
      <c r="T563" s="1"/>
      <c r="U563" s="1"/>
      <c r="V563" s="1"/>
      <c r="W563" s="1"/>
      <c r="X563" s="1"/>
      <c r="Y563" s="1"/>
      <c r="Z563" s="1"/>
    </row>
    <row r="564" spans="1:26" ht="50" customHeight="1" x14ac:dyDescent="0.15">
      <c r="A564" s="1"/>
      <c r="K564" s="1">
        <v>566</v>
      </c>
      <c r="R564" s="1"/>
      <c r="S564" s="1"/>
      <c r="T564" s="1"/>
      <c r="U564" s="1"/>
      <c r="V564" s="1"/>
      <c r="W564" s="1"/>
      <c r="X564" s="1"/>
      <c r="Y564" s="1"/>
      <c r="Z564" s="1"/>
    </row>
    <row r="565" spans="1:26" ht="50" customHeight="1" x14ac:dyDescent="0.15">
      <c r="A565" s="1"/>
      <c r="B565" s="11"/>
      <c r="C565" s="11"/>
      <c r="E565" s="4"/>
      <c r="F565" s="1"/>
      <c r="G565" s="1"/>
      <c r="H565" s="1"/>
      <c r="I565" s="1"/>
      <c r="J565" s="1"/>
      <c r="K565" s="1">
        <v>567</v>
      </c>
      <c r="M565" s="1"/>
      <c r="N565" s="1"/>
      <c r="O565" s="1"/>
      <c r="P565" s="1"/>
      <c r="R565" s="1"/>
      <c r="S565" s="1"/>
      <c r="T565" s="1"/>
      <c r="U565" s="1"/>
      <c r="V565" s="1"/>
      <c r="W565" s="1"/>
      <c r="X565" s="1"/>
      <c r="Y565" s="1"/>
      <c r="Z565" s="1"/>
    </row>
    <row r="566" spans="1:26" ht="50" customHeight="1" x14ac:dyDescent="0.15">
      <c r="A566" s="1"/>
      <c r="B566" s="11"/>
      <c r="C566" s="11"/>
      <c r="E566" s="4"/>
      <c r="F566" s="1"/>
      <c r="G566" s="1"/>
      <c r="H566" s="1"/>
      <c r="I566" s="1"/>
      <c r="J566" s="1"/>
      <c r="K566" s="1">
        <v>568</v>
      </c>
      <c r="M566" s="1"/>
      <c r="N566" s="1"/>
      <c r="O566" s="1"/>
      <c r="P566" s="1"/>
      <c r="R566" s="1"/>
      <c r="S566" s="1"/>
      <c r="T566" s="1"/>
      <c r="U566" s="1"/>
      <c r="V566" s="1"/>
      <c r="W566" s="1"/>
      <c r="X566" s="1"/>
      <c r="Y566" s="1"/>
      <c r="Z566" s="1"/>
    </row>
    <row r="567" spans="1:26" ht="50" customHeight="1" x14ac:dyDescent="0.15">
      <c r="A567" s="1"/>
      <c r="B567" s="11"/>
      <c r="C567" s="11"/>
      <c r="E567" s="4"/>
      <c r="F567" s="1"/>
      <c r="G567" s="1"/>
      <c r="H567" s="1"/>
      <c r="I567" s="1"/>
      <c r="J567" s="1"/>
      <c r="K567" s="1">
        <v>569</v>
      </c>
      <c r="M567" s="1"/>
      <c r="N567" s="1"/>
      <c r="O567" s="1"/>
      <c r="P567" s="1"/>
      <c r="R567" s="1"/>
      <c r="S567" s="1"/>
      <c r="T567" s="1"/>
      <c r="U567" s="1"/>
      <c r="V567" s="1"/>
      <c r="W567" s="1"/>
      <c r="X567" s="1"/>
      <c r="Y567" s="1"/>
      <c r="Z567" s="1"/>
    </row>
    <row r="568" spans="1:26" ht="50" customHeight="1" x14ac:dyDescent="0.15">
      <c r="A568" s="1"/>
      <c r="B568" s="11"/>
      <c r="C568" s="11"/>
      <c r="E568" s="4"/>
      <c r="F568" s="1"/>
      <c r="G568" s="1"/>
      <c r="H568" s="1"/>
      <c r="I568" s="1"/>
      <c r="J568" s="1"/>
      <c r="K568" s="1">
        <v>570</v>
      </c>
      <c r="M568" s="1"/>
      <c r="N568" s="1"/>
      <c r="O568" s="1"/>
      <c r="P568" s="1"/>
      <c r="R568" s="1"/>
      <c r="S568" s="1"/>
      <c r="T568" s="1"/>
      <c r="U568" s="1"/>
      <c r="V568" s="1"/>
      <c r="W568" s="1"/>
      <c r="X568" s="1"/>
      <c r="Y568" s="1"/>
      <c r="Z568" s="1"/>
    </row>
    <row r="569" spans="1:26" ht="50" customHeight="1" x14ac:dyDescent="0.15">
      <c r="A569" s="1"/>
      <c r="B569" s="11"/>
      <c r="C569" s="11"/>
      <c r="E569" s="4"/>
      <c r="F569" s="1"/>
      <c r="G569" s="1"/>
      <c r="H569" s="1"/>
      <c r="I569" s="1"/>
      <c r="J569" s="1"/>
      <c r="K569" s="1">
        <v>571</v>
      </c>
      <c r="M569" s="1"/>
      <c r="N569" s="1"/>
      <c r="O569" s="1"/>
      <c r="P569" s="1"/>
      <c r="R569" s="1"/>
      <c r="S569" s="1"/>
      <c r="T569" s="1"/>
      <c r="U569" s="1"/>
      <c r="V569" s="1"/>
      <c r="W569" s="1"/>
      <c r="X569" s="1"/>
      <c r="Y569" s="1"/>
      <c r="Z569" s="1"/>
    </row>
    <row r="570" spans="1:26" ht="50" customHeight="1" x14ac:dyDescent="0.15">
      <c r="A570" s="1"/>
      <c r="B570" s="11"/>
      <c r="C570" s="11"/>
      <c r="E570" s="4"/>
      <c r="F570" s="1"/>
      <c r="G570" s="1"/>
      <c r="H570" s="1"/>
      <c r="I570" s="1"/>
      <c r="J570" s="1"/>
      <c r="K570" s="1">
        <v>572</v>
      </c>
      <c r="M570" s="1"/>
      <c r="N570" s="1"/>
      <c r="O570" s="1"/>
      <c r="P570" s="1"/>
      <c r="R570" s="1"/>
      <c r="S570" s="1"/>
      <c r="T570" s="1"/>
      <c r="U570" s="1"/>
      <c r="V570" s="1"/>
      <c r="W570" s="1"/>
      <c r="X570" s="1"/>
      <c r="Y570" s="1"/>
      <c r="Z570" s="1"/>
    </row>
    <row r="571" spans="1:26" ht="50" customHeight="1" x14ac:dyDescent="0.15">
      <c r="A571" s="1"/>
      <c r="B571" s="11"/>
      <c r="C571" s="11"/>
      <c r="E571" s="4"/>
      <c r="F571" s="1"/>
      <c r="G571" s="1"/>
      <c r="H571" s="1"/>
      <c r="I571" s="1"/>
      <c r="J571" s="1"/>
      <c r="K571" s="1">
        <v>573</v>
      </c>
      <c r="M571" s="1"/>
      <c r="N571" s="1"/>
      <c r="O571" s="1"/>
      <c r="P571" s="1"/>
      <c r="R571" s="1"/>
      <c r="S571" s="1"/>
      <c r="T571" s="1"/>
      <c r="U571" s="1"/>
      <c r="V571" s="1"/>
      <c r="W571" s="1"/>
      <c r="X571" s="1"/>
      <c r="Y571" s="1"/>
      <c r="Z571" s="1"/>
    </row>
    <row r="572" spans="1:26" ht="50" customHeight="1" x14ac:dyDescent="0.15">
      <c r="A572" s="1"/>
      <c r="B572" s="11"/>
      <c r="C572" s="11"/>
      <c r="E572" s="4"/>
      <c r="F572" s="1"/>
      <c r="G572" s="1"/>
      <c r="H572" s="1"/>
      <c r="I572" s="1"/>
      <c r="J572" s="1"/>
      <c r="K572" s="1">
        <v>574</v>
      </c>
      <c r="M572" s="1"/>
      <c r="N572" s="1"/>
      <c r="O572" s="1"/>
      <c r="P572" s="1"/>
      <c r="R572" s="1"/>
      <c r="S572" s="1"/>
      <c r="T572" s="1"/>
      <c r="U572" s="1"/>
      <c r="V572" s="1"/>
      <c r="W572" s="1"/>
      <c r="X572" s="1"/>
      <c r="Y572" s="1"/>
      <c r="Z572" s="1"/>
    </row>
    <row r="573" spans="1:26" ht="50" customHeight="1" x14ac:dyDescent="0.15">
      <c r="A573" s="1"/>
      <c r="B573" s="11"/>
      <c r="C573" s="11"/>
      <c r="E573" s="4"/>
      <c r="F573" s="1"/>
      <c r="G573" s="1"/>
      <c r="H573" s="1"/>
      <c r="I573" s="1"/>
      <c r="J573" s="1"/>
      <c r="K573" s="1">
        <v>575</v>
      </c>
      <c r="M573" s="1"/>
      <c r="N573" s="1"/>
      <c r="O573" s="1"/>
      <c r="P573" s="1"/>
      <c r="R573" s="1"/>
      <c r="S573" s="1"/>
      <c r="T573" s="1"/>
      <c r="U573" s="1"/>
      <c r="V573" s="1"/>
      <c r="W573" s="1"/>
      <c r="X573" s="1"/>
      <c r="Y573" s="1"/>
      <c r="Z573" s="1"/>
    </row>
    <row r="574" spans="1:26" ht="50" customHeight="1" x14ac:dyDescent="0.15">
      <c r="A574" s="1"/>
      <c r="B574" s="11"/>
      <c r="C574" s="11"/>
      <c r="E574" s="4"/>
      <c r="F574" s="1"/>
      <c r="G574" s="1"/>
      <c r="H574" s="1"/>
      <c r="I574" s="1"/>
      <c r="J574" s="1"/>
      <c r="K574" s="1">
        <v>576</v>
      </c>
      <c r="M574" s="1"/>
      <c r="N574" s="1"/>
      <c r="O574" s="1"/>
      <c r="P574" s="1"/>
      <c r="R574" s="1"/>
      <c r="S574" s="1"/>
      <c r="T574" s="1"/>
      <c r="U574" s="1"/>
      <c r="V574" s="1"/>
      <c r="W574" s="1"/>
      <c r="X574" s="1"/>
      <c r="Y574" s="1"/>
      <c r="Z574" s="1"/>
    </row>
    <row r="575" spans="1:26" ht="50" customHeight="1" x14ac:dyDescent="0.15">
      <c r="A575" s="1"/>
      <c r="B575" s="11"/>
      <c r="C575" s="11"/>
      <c r="E575" s="4"/>
      <c r="F575" s="1"/>
      <c r="G575" s="1"/>
      <c r="H575" s="1"/>
      <c r="I575" s="1"/>
      <c r="J575" s="1"/>
      <c r="K575" s="1">
        <v>577</v>
      </c>
      <c r="M575" s="1"/>
      <c r="N575" s="1"/>
      <c r="O575" s="1"/>
      <c r="P575" s="1"/>
      <c r="R575" s="1"/>
      <c r="S575" s="1"/>
      <c r="T575" s="1"/>
      <c r="U575" s="1"/>
      <c r="V575" s="1"/>
      <c r="W575" s="1"/>
      <c r="X575" s="1"/>
      <c r="Y575" s="1"/>
      <c r="Z575" s="1"/>
    </row>
    <row r="576" spans="1:26" ht="50" customHeight="1" x14ac:dyDescent="0.15">
      <c r="A576" s="1"/>
      <c r="B576" s="11"/>
      <c r="C576" s="11"/>
      <c r="E576" s="4"/>
      <c r="F576" s="1"/>
      <c r="G576" s="1"/>
      <c r="H576" s="1"/>
      <c r="I576" s="1"/>
      <c r="J576" s="1"/>
      <c r="K576" s="1">
        <v>578</v>
      </c>
      <c r="M576" s="1"/>
      <c r="N576" s="1"/>
      <c r="O576" s="1"/>
      <c r="P576" s="1"/>
      <c r="R576" s="1"/>
      <c r="S576" s="1"/>
      <c r="T576" s="1"/>
      <c r="U576" s="1"/>
      <c r="V576" s="1"/>
      <c r="W576" s="1"/>
      <c r="X576" s="1"/>
      <c r="Y576" s="1"/>
      <c r="Z576" s="1"/>
    </row>
    <row r="577" spans="1:26" ht="50" customHeight="1" x14ac:dyDescent="0.15">
      <c r="A577" s="1"/>
      <c r="B577" s="11"/>
      <c r="C577" s="11"/>
      <c r="E577" s="4"/>
      <c r="F577" s="1"/>
      <c r="G577" s="1"/>
      <c r="H577" s="1"/>
      <c r="I577" s="1"/>
      <c r="J577" s="1"/>
      <c r="K577" s="1">
        <v>579</v>
      </c>
      <c r="M577" s="1"/>
      <c r="N577" s="1"/>
      <c r="O577" s="1"/>
      <c r="P577" s="1"/>
      <c r="R577" s="1"/>
      <c r="S577" s="1"/>
      <c r="T577" s="1"/>
      <c r="U577" s="1"/>
      <c r="V577" s="1"/>
      <c r="W577" s="1"/>
      <c r="X577" s="1"/>
      <c r="Y577" s="1"/>
      <c r="Z577" s="1"/>
    </row>
    <row r="578" spans="1:26" ht="50" customHeight="1" x14ac:dyDescent="0.15">
      <c r="A578" s="1"/>
      <c r="B578" s="11"/>
      <c r="C578" s="11"/>
      <c r="E578" s="4"/>
      <c r="F578" s="1"/>
      <c r="G578" s="1"/>
      <c r="H578" s="1"/>
      <c r="I578" s="1"/>
      <c r="J578" s="1"/>
      <c r="K578" s="1">
        <v>580</v>
      </c>
      <c r="M578" s="1"/>
      <c r="N578" s="1"/>
      <c r="O578" s="1"/>
      <c r="P578" s="1"/>
      <c r="R578" s="1"/>
      <c r="S578" s="1"/>
      <c r="T578" s="1"/>
      <c r="U578" s="1"/>
      <c r="V578" s="1"/>
      <c r="W578" s="1"/>
      <c r="X578" s="1"/>
      <c r="Y578" s="1"/>
      <c r="Z578" s="1"/>
    </row>
    <row r="579" spans="1:26" ht="50" customHeight="1" x14ac:dyDescent="0.15">
      <c r="A579" s="1"/>
      <c r="B579" s="11"/>
      <c r="C579" s="11"/>
      <c r="E579" s="4"/>
      <c r="F579" s="1"/>
      <c r="G579" s="1"/>
      <c r="H579" s="1"/>
      <c r="I579" s="1"/>
      <c r="J579" s="1"/>
      <c r="K579" s="1">
        <v>581</v>
      </c>
      <c r="M579" s="1"/>
      <c r="N579" s="1"/>
      <c r="O579" s="1"/>
      <c r="P579" s="1"/>
      <c r="R579" s="1"/>
      <c r="S579" s="1"/>
      <c r="T579" s="1"/>
      <c r="U579" s="1"/>
      <c r="V579" s="1"/>
      <c r="W579" s="1"/>
      <c r="X579" s="1"/>
      <c r="Y579" s="1"/>
      <c r="Z579" s="1"/>
    </row>
    <row r="580" spans="1:26" ht="50" customHeight="1" x14ac:dyDescent="0.15">
      <c r="A580" s="1"/>
      <c r="B580" s="11"/>
      <c r="C580" s="11"/>
      <c r="E580" s="4"/>
      <c r="F580" s="1"/>
      <c r="G580" s="1"/>
      <c r="H580" s="1"/>
      <c r="I580" s="1"/>
      <c r="J580" s="1"/>
      <c r="K580" s="1">
        <v>582</v>
      </c>
      <c r="M580" s="1"/>
      <c r="N580" s="1"/>
      <c r="O580" s="1"/>
      <c r="P580" s="1"/>
      <c r="R580" s="1"/>
      <c r="S580" s="1"/>
      <c r="T580" s="1"/>
      <c r="U580" s="1"/>
      <c r="V580" s="1"/>
      <c r="W580" s="1"/>
      <c r="X580" s="1"/>
      <c r="Y580" s="1"/>
      <c r="Z580" s="1"/>
    </row>
    <row r="581" spans="1:26" ht="50" customHeight="1" x14ac:dyDescent="0.15">
      <c r="A581" s="1"/>
      <c r="B581" s="11"/>
      <c r="C581" s="11"/>
      <c r="E581" s="4"/>
      <c r="F581" s="1"/>
      <c r="G581" s="1"/>
      <c r="H581" s="1"/>
      <c r="I581" s="1"/>
      <c r="J581" s="1"/>
      <c r="K581" s="1">
        <v>583</v>
      </c>
      <c r="M581" s="1"/>
      <c r="N581" s="1"/>
      <c r="O581" s="1"/>
      <c r="P581" s="1"/>
      <c r="R581" s="1"/>
      <c r="S581" s="1"/>
      <c r="T581" s="1"/>
      <c r="U581" s="1"/>
      <c r="V581" s="1"/>
      <c r="W581" s="1"/>
      <c r="X581" s="1"/>
      <c r="Y581" s="1"/>
      <c r="Z581" s="1"/>
    </row>
    <row r="582" spans="1:26" ht="50" customHeight="1" x14ac:dyDescent="0.15">
      <c r="A582" s="1"/>
      <c r="B582" s="11"/>
      <c r="C582" s="11"/>
      <c r="E582" s="4"/>
      <c r="F582" s="1"/>
      <c r="G582" s="1"/>
      <c r="H582" s="1"/>
      <c r="I582" s="1"/>
      <c r="J582" s="1"/>
      <c r="K582" s="1">
        <v>584</v>
      </c>
      <c r="M582" s="1"/>
      <c r="N582" s="1"/>
      <c r="O582" s="1"/>
      <c r="P582" s="1"/>
      <c r="R582" s="1"/>
      <c r="S582" s="1"/>
      <c r="T582" s="1"/>
      <c r="U582" s="1"/>
      <c r="V582" s="1"/>
      <c r="W582" s="1"/>
      <c r="X582" s="1"/>
      <c r="Y582" s="1"/>
      <c r="Z582" s="1"/>
    </row>
    <row r="583" spans="1:26" ht="50" customHeight="1" x14ac:dyDescent="0.15">
      <c r="A583" s="1"/>
      <c r="B583" s="11"/>
      <c r="C583" s="11"/>
      <c r="E583" s="4"/>
      <c r="F583" s="1"/>
      <c r="G583" s="1"/>
      <c r="H583" s="1"/>
      <c r="I583" s="1"/>
      <c r="J583" s="1"/>
      <c r="K583" s="1">
        <v>585</v>
      </c>
      <c r="M583" s="1"/>
      <c r="N583" s="1"/>
      <c r="O583" s="1"/>
      <c r="P583" s="1"/>
      <c r="R583" s="1"/>
      <c r="S583" s="1"/>
      <c r="T583" s="1"/>
      <c r="U583" s="1"/>
      <c r="V583" s="1"/>
      <c r="W583" s="1"/>
      <c r="X583" s="1"/>
      <c r="Y583" s="1"/>
      <c r="Z583" s="1"/>
    </row>
    <row r="584" spans="1:26" ht="50" customHeight="1" x14ac:dyDescent="0.15">
      <c r="A584" s="1"/>
      <c r="B584" s="11"/>
      <c r="C584" s="11"/>
      <c r="E584" s="4"/>
      <c r="F584" s="1"/>
      <c r="G584" s="1"/>
      <c r="H584" s="1"/>
      <c r="I584" s="1"/>
      <c r="J584" s="1"/>
      <c r="K584" s="1">
        <v>586</v>
      </c>
      <c r="M584" s="1"/>
      <c r="N584" s="1"/>
      <c r="O584" s="1"/>
      <c r="P584" s="1"/>
      <c r="R584" s="1"/>
      <c r="S584" s="1"/>
      <c r="T584" s="1"/>
      <c r="U584" s="1"/>
      <c r="V584" s="1"/>
      <c r="W584" s="1"/>
      <c r="X584" s="1"/>
      <c r="Y584" s="1"/>
      <c r="Z584" s="1"/>
    </row>
    <row r="585" spans="1:26" ht="50" customHeight="1" x14ac:dyDescent="0.15">
      <c r="A585" s="1"/>
      <c r="B585" s="11"/>
      <c r="C585" s="11"/>
      <c r="E585" s="4"/>
      <c r="F585" s="1"/>
      <c r="G585" s="1"/>
      <c r="H585" s="1"/>
      <c r="I585" s="1"/>
      <c r="J585" s="1"/>
      <c r="K585" s="1">
        <v>587</v>
      </c>
      <c r="M585" s="1"/>
      <c r="N585" s="1"/>
      <c r="O585" s="1"/>
      <c r="P585" s="1"/>
      <c r="R585" s="1"/>
      <c r="S585" s="1"/>
      <c r="T585" s="1"/>
      <c r="U585" s="1"/>
      <c r="V585" s="1"/>
      <c r="W585" s="1"/>
      <c r="X585" s="1"/>
      <c r="Y585" s="1"/>
      <c r="Z585" s="1"/>
    </row>
    <row r="586" spans="1:26" ht="50" customHeight="1" x14ac:dyDescent="0.15">
      <c r="A586" s="1"/>
      <c r="B586" s="11"/>
      <c r="C586" s="11"/>
      <c r="E586" s="4"/>
      <c r="F586" s="1"/>
      <c r="G586" s="1"/>
      <c r="H586" s="1"/>
      <c r="I586" s="1"/>
      <c r="J586" s="1"/>
      <c r="K586" s="1">
        <v>588</v>
      </c>
      <c r="M586" s="1"/>
      <c r="N586" s="1"/>
      <c r="O586" s="1"/>
      <c r="P586" s="1"/>
      <c r="R586" s="1"/>
      <c r="S586" s="1"/>
      <c r="T586" s="1"/>
      <c r="U586" s="1"/>
      <c r="V586" s="1"/>
      <c r="W586" s="1"/>
      <c r="X586" s="1"/>
      <c r="Y586" s="1"/>
      <c r="Z586" s="1"/>
    </row>
    <row r="587" spans="1:26" ht="50" customHeight="1" x14ac:dyDescent="0.15">
      <c r="A587" s="1"/>
      <c r="B587" s="11"/>
      <c r="C587" s="11"/>
      <c r="E587" s="4"/>
      <c r="F587" s="1"/>
      <c r="G587" s="1"/>
      <c r="H587" s="1"/>
      <c r="I587" s="1"/>
      <c r="J587" s="1"/>
      <c r="K587" s="1">
        <v>589</v>
      </c>
      <c r="M587" s="1"/>
      <c r="N587" s="1"/>
      <c r="O587" s="1"/>
      <c r="P587" s="1"/>
      <c r="R587" s="1"/>
      <c r="S587" s="1"/>
      <c r="T587" s="1"/>
      <c r="U587" s="1"/>
      <c r="V587" s="1"/>
      <c r="W587" s="1"/>
      <c r="X587" s="1"/>
      <c r="Y587" s="1"/>
      <c r="Z587" s="1"/>
    </row>
    <row r="588" spans="1:26" ht="50" customHeight="1" x14ac:dyDescent="0.15">
      <c r="A588" s="1"/>
      <c r="B588" s="11"/>
      <c r="C588" s="11"/>
      <c r="E588" s="4"/>
      <c r="F588" s="1"/>
      <c r="G588" s="1"/>
      <c r="H588" s="1"/>
      <c r="I588" s="1"/>
      <c r="J588" s="1"/>
      <c r="K588" s="1">
        <v>590</v>
      </c>
      <c r="M588" s="1"/>
      <c r="N588" s="1"/>
      <c r="O588" s="1"/>
      <c r="P588" s="1"/>
      <c r="R588" s="1"/>
      <c r="S588" s="1"/>
      <c r="T588" s="1"/>
      <c r="U588" s="1"/>
      <c r="V588" s="1"/>
      <c r="W588" s="1"/>
      <c r="X588" s="1"/>
      <c r="Y588" s="1"/>
      <c r="Z588" s="1"/>
    </row>
    <row r="589" spans="1:26" ht="50" customHeight="1" x14ac:dyDescent="0.15">
      <c r="A589" s="1"/>
      <c r="B589" s="11"/>
      <c r="C589" s="11"/>
      <c r="E589" s="4"/>
      <c r="F589" s="1"/>
      <c r="G589" s="1"/>
      <c r="H589" s="1"/>
      <c r="I589" s="1"/>
      <c r="J589" s="1"/>
      <c r="K589" s="1">
        <v>591</v>
      </c>
      <c r="M589" s="1"/>
      <c r="N589" s="1"/>
      <c r="O589" s="1"/>
      <c r="P589" s="1"/>
      <c r="R589" s="1"/>
      <c r="S589" s="1"/>
      <c r="T589" s="1"/>
      <c r="U589" s="1"/>
      <c r="V589" s="1"/>
      <c r="W589" s="1"/>
      <c r="X589" s="1"/>
      <c r="Y589" s="1"/>
      <c r="Z589" s="1"/>
    </row>
    <row r="590" spans="1:26" ht="50" customHeight="1" x14ac:dyDescent="0.15">
      <c r="A590" s="1"/>
      <c r="B590" s="11"/>
      <c r="C590" s="11"/>
      <c r="E590" s="4"/>
      <c r="F590" s="1"/>
      <c r="G590" s="1"/>
      <c r="H590" s="1"/>
      <c r="I590" s="1"/>
      <c r="J590" s="1"/>
      <c r="K590" s="1">
        <v>592</v>
      </c>
      <c r="M590" s="1"/>
      <c r="N590" s="1"/>
      <c r="O590" s="1"/>
      <c r="P590" s="1"/>
      <c r="R590" s="1"/>
      <c r="S590" s="1"/>
      <c r="T590" s="1"/>
      <c r="U590" s="1"/>
      <c r="V590" s="1"/>
      <c r="W590" s="1"/>
      <c r="X590" s="1"/>
      <c r="Y590" s="1"/>
      <c r="Z590" s="1"/>
    </row>
    <row r="591" spans="1:26" ht="50" customHeight="1" x14ac:dyDescent="0.15">
      <c r="A591" s="1"/>
      <c r="B591" s="11"/>
      <c r="C591" s="11"/>
      <c r="E591" s="4"/>
      <c r="F591" s="1"/>
      <c r="G591" s="1"/>
      <c r="H591" s="1"/>
      <c r="I591" s="1"/>
      <c r="J591" s="1"/>
      <c r="K591" s="1">
        <v>593</v>
      </c>
      <c r="M591" s="1"/>
      <c r="N591" s="1"/>
      <c r="O591" s="1"/>
      <c r="P591" s="1"/>
      <c r="R591" s="1"/>
      <c r="S591" s="1"/>
      <c r="T591" s="1"/>
      <c r="U591" s="1"/>
      <c r="V591" s="1"/>
      <c r="W591" s="1"/>
      <c r="X591" s="1"/>
      <c r="Y591" s="1"/>
      <c r="Z591" s="1"/>
    </row>
    <row r="592" spans="1:26" ht="50" customHeight="1" x14ac:dyDescent="0.15">
      <c r="A592" s="1"/>
      <c r="B592" s="11"/>
      <c r="C592" s="11"/>
      <c r="E592" s="4"/>
      <c r="F592" s="1"/>
      <c r="G592" s="1"/>
      <c r="H592" s="1"/>
      <c r="I592" s="1"/>
      <c r="J592" s="1"/>
      <c r="K592" s="1">
        <v>594</v>
      </c>
      <c r="M592" s="1"/>
      <c r="N592" s="1"/>
      <c r="O592" s="1"/>
      <c r="P592" s="1"/>
      <c r="R592" s="1"/>
      <c r="S592" s="1"/>
      <c r="T592" s="1"/>
      <c r="U592" s="1"/>
      <c r="V592" s="1"/>
      <c r="W592" s="1"/>
      <c r="X592" s="1"/>
      <c r="Y592" s="1"/>
      <c r="Z592" s="1"/>
    </row>
    <row r="593" spans="1:26" ht="50" customHeight="1" x14ac:dyDescent="0.15">
      <c r="A593" s="1"/>
      <c r="B593" s="11"/>
      <c r="C593" s="11"/>
      <c r="E593" s="4"/>
      <c r="F593" s="1"/>
      <c r="G593" s="1"/>
      <c r="H593" s="1"/>
      <c r="I593" s="1"/>
      <c r="J593" s="1"/>
      <c r="K593" s="1">
        <v>595</v>
      </c>
      <c r="M593" s="1"/>
      <c r="N593" s="1"/>
      <c r="O593" s="1"/>
      <c r="P593" s="1"/>
      <c r="R593" s="1"/>
      <c r="S593" s="1"/>
      <c r="T593" s="1"/>
      <c r="U593" s="1"/>
      <c r="V593" s="1"/>
      <c r="W593" s="1"/>
      <c r="X593" s="1"/>
      <c r="Y593" s="1"/>
      <c r="Z593" s="1"/>
    </row>
    <row r="594" spans="1:26" ht="50" customHeight="1" x14ac:dyDescent="0.15">
      <c r="A594" s="1"/>
      <c r="B594" s="11"/>
      <c r="C594" s="11"/>
      <c r="E594" s="4"/>
      <c r="F594" s="1"/>
      <c r="G594" s="1"/>
      <c r="H594" s="1"/>
      <c r="I594" s="1"/>
      <c r="J594" s="1"/>
      <c r="K594" s="1">
        <v>596</v>
      </c>
      <c r="M594" s="1"/>
      <c r="N594" s="1"/>
      <c r="O594" s="1"/>
      <c r="P594" s="1"/>
      <c r="R594" s="1"/>
      <c r="S594" s="1"/>
      <c r="T594" s="1"/>
      <c r="U594" s="1"/>
      <c r="V594" s="1"/>
      <c r="W594" s="1"/>
      <c r="X594" s="1"/>
      <c r="Y594" s="1"/>
      <c r="Z594" s="1"/>
    </row>
    <row r="595" spans="1:26" ht="50" customHeight="1" x14ac:dyDescent="0.15">
      <c r="A595" s="1"/>
      <c r="B595" s="11"/>
      <c r="C595" s="11"/>
      <c r="E595" s="4"/>
      <c r="F595" s="1"/>
      <c r="G595" s="1"/>
      <c r="H595" s="1"/>
      <c r="I595" s="1"/>
      <c r="J595" s="1"/>
      <c r="K595" s="1">
        <v>597</v>
      </c>
      <c r="M595" s="1"/>
      <c r="N595" s="1"/>
      <c r="O595" s="1"/>
      <c r="P595" s="1"/>
      <c r="R595" s="1"/>
      <c r="S595" s="1"/>
      <c r="T595" s="1"/>
      <c r="U595" s="1"/>
      <c r="V595" s="1"/>
      <c r="W595" s="1"/>
      <c r="X595" s="1"/>
      <c r="Y595" s="1"/>
      <c r="Z595" s="1"/>
    </row>
    <row r="596" spans="1:26" ht="50" customHeight="1" x14ac:dyDescent="0.15">
      <c r="A596" s="1"/>
      <c r="B596" s="11"/>
      <c r="C596" s="11"/>
      <c r="E596" s="4"/>
      <c r="F596" s="1"/>
      <c r="G596" s="1"/>
      <c r="H596" s="1"/>
      <c r="I596" s="1"/>
      <c r="J596" s="1"/>
      <c r="K596" s="1">
        <v>598</v>
      </c>
      <c r="M596" s="1"/>
      <c r="N596" s="1"/>
      <c r="O596" s="1"/>
      <c r="P596" s="1"/>
      <c r="R596" s="1"/>
      <c r="S596" s="1"/>
      <c r="T596" s="1"/>
      <c r="U596" s="1"/>
      <c r="V596" s="1"/>
      <c r="W596" s="1"/>
      <c r="X596" s="1"/>
      <c r="Y596" s="1"/>
      <c r="Z596" s="1"/>
    </row>
    <row r="597" spans="1:26" ht="50" customHeight="1" x14ac:dyDescent="0.15">
      <c r="A597" s="1"/>
      <c r="B597" s="11"/>
      <c r="C597" s="11"/>
      <c r="E597" s="4"/>
      <c r="F597" s="1"/>
      <c r="G597" s="1"/>
      <c r="H597" s="1"/>
      <c r="I597" s="1"/>
      <c r="J597" s="1"/>
      <c r="K597" s="1">
        <v>599</v>
      </c>
      <c r="M597" s="1"/>
      <c r="N597" s="1"/>
      <c r="O597" s="1"/>
      <c r="P597" s="1"/>
      <c r="R597" s="1"/>
      <c r="S597" s="1"/>
      <c r="T597" s="1"/>
      <c r="U597" s="1"/>
      <c r="V597" s="1"/>
      <c r="W597" s="1"/>
      <c r="X597" s="1"/>
      <c r="Y597" s="1"/>
      <c r="Z597" s="1"/>
    </row>
    <row r="598" spans="1:26" ht="50" customHeight="1" x14ac:dyDescent="0.15">
      <c r="A598" s="1"/>
      <c r="B598" s="11"/>
      <c r="C598" s="11"/>
      <c r="E598" s="4"/>
      <c r="F598" s="1"/>
      <c r="G598" s="1"/>
      <c r="H598" s="1"/>
      <c r="I598" s="1"/>
      <c r="J598" s="1"/>
      <c r="K598" s="1">
        <v>600</v>
      </c>
      <c r="M598" s="1"/>
      <c r="N598" s="1"/>
      <c r="O598" s="1"/>
      <c r="P598" s="1"/>
      <c r="R598" s="1"/>
      <c r="S598" s="1"/>
      <c r="T598" s="1"/>
      <c r="U598" s="1"/>
      <c r="V598" s="1"/>
      <c r="W598" s="1"/>
      <c r="X598" s="1"/>
      <c r="Y598" s="1"/>
      <c r="Z598" s="1"/>
    </row>
    <row r="599" spans="1:26" ht="50" customHeight="1" x14ac:dyDescent="0.15">
      <c r="A599" s="1"/>
      <c r="B599" s="11"/>
      <c r="C599" s="11"/>
      <c r="E599" s="4"/>
      <c r="F599" s="1"/>
      <c r="G599" s="1"/>
      <c r="H599" s="1"/>
      <c r="I599" s="1"/>
      <c r="J599" s="1"/>
      <c r="K599" s="1">
        <v>601</v>
      </c>
      <c r="M599" s="1"/>
      <c r="N599" s="1"/>
      <c r="O599" s="1"/>
      <c r="P599" s="1"/>
      <c r="R599" s="1"/>
      <c r="S599" s="1"/>
      <c r="T599" s="1"/>
      <c r="U599" s="1"/>
      <c r="V599" s="1"/>
      <c r="W599" s="1"/>
      <c r="X599" s="1"/>
      <c r="Y599" s="1"/>
      <c r="Z599" s="1"/>
    </row>
    <row r="600" spans="1:26" ht="50" customHeight="1" x14ac:dyDescent="0.15">
      <c r="A600" s="1"/>
      <c r="B600" s="11"/>
      <c r="C600" s="11"/>
      <c r="E600" s="4"/>
      <c r="F600" s="1"/>
      <c r="G600" s="1"/>
      <c r="H600" s="1"/>
      <c r="I600" s="1"/>
      <c r="J600" s="1"/>
      <c r="K600" s="1">
        <v>602</v>
      </c>
      <c r="M600" s="1"/>
      <c r="N600" s="1"/>
      <c r="O600" s="1"/>
      <c r="P600" s="1"/>
      <c r="R600" s="1"/>
      <c r="S600" s="1"/>
      <c r="T600" s="1"/>
      <c r="U600" s="1"/>
      <c r="V600" s="1"/>
      <c r="W600" s="1"/>
      <c r="X600" s="1"/>
      <c r="Y600" s="1"/>
      <c r="Z600" s="1"/>
    </row>
    <row r="601" spans="1:26" ht="50" customHeight="1" x14ac:dyDescent="0.15">
      <c r="A601" s="1"/>
      <c r="B601" s="11"/>
      <c r="C601" s="11"/>
      <c r="E601" s="4"/>
      <c r="F601" s="1"/>
      <c r="G601" s="1"/>
      <c r="H601" s="1"/>
      <c r="I601" s="1"/>
      <c r="J601" s="1"/>
      <c r="K601" s="1">
        <v>603</v>
      </c>
      <c r="M601" s="1"/>
      <c r="N601" s="1"/>
      <c r="O601" s="1"/>
      <c r="P601" s="1"/>
      <c r="R601" s="1"/>
      <c r="S601" s="1"/>
      <c r="T601" s="1"/>
      <c r="U601" s="1"/>
      <c r="V601" s="1"/>
      <c r="W601" s="1"/>
      <c r="X601" s="1"/>
      <c r="Y601" s="1"/>
      <c r="Z601" s="1"/>
    </row>
    <row r="602" spans="1:26" ht="50" customHeight="1" x14ac:dyDescent="0.15">
      <c r="A602" s="1"/>
      <c r="B602" s="11"/>
      <c r="C602" s="11"/>
      <c r="E602" s="4"/>
      <c r="F602" s="1"/>
      <c r="G602" s="1"/>
      <c r="H602" s="1"/>
      <c r="I602" s="1"/>
      <c r="J602" s="1"/>
      <c r="K602" s="1">
        <v>604</v>
      </c>
      <c r="M602" s="1"/>
      <c r="N602" s="1"/>
      <c r="O602" s="1"/>
      <c r="P602" s="1"/>
      <c r="R602" s="1"/>
      <c r="S602" s="1"/>
      <c r="T602" s="1"/>
      <c r="U602" s="1"/>
      <c r="V602" s="1"/>
      <c r="W602" s="1"/>
      <c r="X602" s="1"/>
      <c r="Y602" s="1"/>
      <c r="Z602" s="1"/>
    </row>
    <row r="603" spans="1:26" ht="50" customHeight="1" x14ac:dyDescent="0.15">
      <c r="A603" s="1"/>
      <c r="B603" s="11"/>
      <c r="C603" s="11"/>
      <c r="E603" s="4"/>
      <c r="F603" s="1"/>
      <c r="G603" s="1"/>
      <c r="H603" s="1"/>
      <c r="I603" s="1"/>
      <c r="J603" s="1"/>
      <c r="K603" s="1">
        <v>605</v>
      </c>
      <c r="M603" s="1"/>
      <c r="N603" s="1"/>
      <c r="O603" s="1"/>
      <c r="P603" s="1"/>
      <c r="R603" s="1"/>
      <c r="S603" s="1"/>
      <c r="T603" s="1"/>
      <c r="U603" s="1"/>
      <c r="V603" s="1"/>
      <c r="W603" s="1"/>
      <c r="X603" s="1"/>
      <c r="Y603" s="1"/>
      <c r="Z603" s="1"/>
    </row>
    <row r="604" spans="1:26" ht="50" customHeight="1" x14ac:dyDescent="0.15">
      <c r="A604" s="1"/>
      <c r="B604" s="11"/>
      <c r="C604" s="11"/>
      <c r="E604" s="4"/>
      <c r="F604" s="1"/>
      <c r="G604" s="1"/>
      <c r="H604" s="1"/>
      <c r="I604" s="1"/>
      <c r="J604" s="1"/>
      <c r="K604" s="1">
        <v>606</v>
      </c>
      <c r="M604" s="1"/>
      <c r="N604" s="1"/>
      <c r="O604" s="1"/>
      <c r="P604" s="1"/>
      <c r="R604" s="1"/>
      <c r="S604" s="1"/>
      <c r="T604" s="1"/>
      <c r="U604" s="1"/>
      <c r="V604" s="1"/>
      <c r="W604" s="1"/>
      <c r="X604" s="1"/>
      <c r="Y604" s="1"/>
      <c r="Z604" s="1"/>
    </row>
    <row r="605" spans="1:26" ht="50" customHeight="1" x14ac:dyDescent="0.15">
      <c r="A605" s="1"/>
      <c r="B605" s="11"/>
      <c r="C605" s="11"/>
      <c r="E605" s="4"/>
      <c r="F605" s="1"/>
      <c r="G605" s="1"/>
      <c r="H605" s="1"/>
      <c r="I605" s="1"/>
      <c r="J605" s="1"/>
      <c r="K605" s="1">
        <v>607</v>
      </c>
      <c r="M605" s="1"/>
      <c r="N605" s="1"/>
      <c r="O605" s="1"/>
      <c r="P605" s="1"/>
      <c r="R605" s="1"/>
      <c r="S605" s="1"/>
      <c r="T605" s="1"/>
      <c r="U605" s="1"/>
      <c r="V605" s="1"/>
      <c r="W605" s="1"/>
      <c r="X605" s="1"/>
      <c r="Y605" s="1"/>
      <c r="Z605" s="1"/>
    </row>
    <row r="606" spans="1:26" ht="50" customHeight="1" x14ac:dyDescent="0.15">
      <c r="A606" s="1"/>
      <c r="B606" s="11"/>
      <c r="C606" s="11"/>
      <c r="E606" s="4"/>
      <c r="F606" s="1"/>
      <c r="G606" s="1"/>
      <c r="H606" s="1"/>
      <c r="I606" s="1"/>
      <c r="J606" s="1"/>
      <c r="K606" s="1">
        <v>608</v>
      </c>
      <c r="M606" s="1"/>
      <c r="N606" s="1"/>
      <c r="O606" s="1"/>
      <c r="P606" s="1"/>
      <c r="R606" s="1"/>
      <c r="S606" s="1"/>
      <c r="T606" s="1"/>
      <c r="U606" s="1"/>
      <c r="V606" s="1"/>
      <c r="W606" s="1"/>
      <c r="X606" s="1"/>
      <c r="Y606" s="1"/>
      <c r="Z606" s="1"/>
    </row>
    <row r="607" spans="1:26" ht="50" customHeight="1" x14ac:dyDescent="0.15">
      <c r="A607" s="1"/>
      <c r="B607" s="11"/>
      <c r="C607" s="11"/>
      <c r="E607" s="4"/>
      <c r="F607" s="1"/>
      <c r="G607" s="1"/>
      <c r="H607" s="1"/>
      <c r="I607" s="1"/>
      <c r="J607" s="1"/>
      <c r="K607" s="1">
        <v>609</v>
      </c>
      <c r="M607" s="1"/>
      <c r="N607" s="1"/>
      <c r="O607" s="1"/>
      <c r="P607" s="1"/>
      <c r="R607" s="1"/>
      <c r="S607" s="1"/>
      <c r="T607" s="1"/>
      <c r="U607" s="1"/>
      <c r="V607" s="1"/>
      <c r="W607" s="1"/>
      <c r="X607" s="1"/>
      <c r="Y607" s="1"/>
      <c r="Z607" s="1"/>
    </row>
    <row r="608" spans="1:26" ht="50" customHeight="1" x14ac:dyDescent="0.15">
      <c r="A608" s="1"/>
      <c r="B608" s="11"/>
      <c r="C608" s="11"/>
      <c r="E608" s="4"/>
      <c r="F608" s="1"/>
      <c r="G608" s="1"/>
      <c r="H608" s="1"/>
      <c r="I608" s="1"/>
      <c r="J608" s="1"/>
      <c r="K608" s="1">
        <v>610</v>
      </c>
      <c r="M608" s="1"/>
      <c r="N608" s="1"/>
      <c r="O608" s="1"/>
      <c r="P608" s="1"/>
      <c r="R608" s="1"/>
      <c r="S608" s="1"/>
      <c r="T608" s="1"/>
      <c r="U608" s="1"/>
      <c r="V608" s="1"/>
      <c r="W608" s="1"/>
      <c r="X608" s="1"/>
      <c r="Y608" s="1"/>
      <c r="Z608" s="1"/>
    </row>
    <row r="609" spans="1:26" ht="50" customHeight="1" x14ac:dyDescent="0.15">
      <c r="A609" s="1"/>
      <c r="B609" s="11"/>
      <c r="C609" s="11"/>
      <c r="E609" s="4"/>
      <c r="F609" s="1"/>
      <c r="G609" s="1"/>
      <c r="H609" s="1"/>
      <c r="I609" s="1"/>
      <c r="J609" s="1"/>
      <c r="K609" s="1">
        <v>611</v>
      </c>
      <c r="M609" s="1"/>
      <c r="N609" s="1"/>
      <c r="O609" s="1"/>
      <c r="P609" s="1"/>
      <c r="R609" s="1"/>
      <c r="S609" s="1"/>
      <c r="T609" s="1"/>
      <c r="U609" s="1"/>
      <c r="V609" s="1"/>
      <c r="W609" s="1"/>
      <c r="X609" s="1"/>
      <c r="Y609" s="1"/>
      <c r="Z609" s="1"/>
    </row>
    <row r="610" spans="1:26" ht="50" customHeight="1" x14ac:dyDescent="0.15">
      <c r="A610" s="1"/>
      <c r="B610" s="11"/>
      <c r="C610" s="11"/>
      <c r="E610" s="4"/>
      <c r="F610" s="1"/>
      <c r="G610" s="1"/>
      <c r="H610" s="1"/>
      <c r="I610" s="1"/>
      <c r="J610" s="1"/>
      <c r="K610" s="1">
        <v>612</v>
      </c>
      <c r="M610" s="1"/>
      <c r="N610" s="1"/>
      <c r="O610" s="1"/>
      <c r="P610" s="1"/>
      <c r="R610" s="1"/>
      <c r="S610" s="1"/>
      <c r="T610" s="1"/>
      <c r="U610" s="1"/>
      <c r="V610" s="1"/>
      <c r="W610" s="1"/>
      <c r="X610" s="1"/>
      <c r="Y610" s="1"/>
      <c r="Z610" s="1"/>
    </row>
    <row r="611" spans="1:26" ht="50" customHeight="1" x14ac:dyDescent="0.15">
      <c r="A611" s="1"/>
      <c r="B611" s="11"/>
      <c r="C611" s="11"/>
      <c r="E611" s="4"/>
      <c r="F611" s="1"/>
      <c r="G611" s="1"/>
      <c r="H611" s="1"/>
      <c r="I611" s="1"/>
      <c r="J611" s="1"/>
      <c r="K611" s="1">
        <v>613</v>
      </c>
      <c r="M611" s="1"/>
      <c r="N611" s="1"/>
      <c r="O611" s="1"/>
      <c r="P611" s="1"/>
      <c r="R611" s="1"/>
      <c r="S611" s="1"/>
      <c r="T611" s="1"/>
      <c r="U611" s="1"/>
      <c r="V611" s="1"/>
      <c r="W611" s="1"/>
      <c r="X611" s="1"/>
      <c r="Y611" s="1"/>
      <c r="Z611" s="1"/>
    </row>
    <row r="612" spans="1:26" ht="50" customHeight="1" x14ac:dyDescent="0.15">
      <c r="A612" s="1"/>
      <c r="B612" s="11"/>
      <c r="C612" s="11"/>
      <c r="E612" s="4"/>
      <c r="F612" s="1"/>
      <c r="G612" s="1"/>
      <c r="H612" s="1"/>
      <c r="I612" s="1"/>
      <c r="J612" s="1"/>
      <c r="K612" s="1">
        <v>614</v>
      </c>
      <c r="M612" s="1"/>
      <c r="N612" s="1"/>
      <c r="O612" s="1"/>
      <c r="P612" s="1"/>
      <c r="R612" s="1"/>
      <c r="S612" s="1"/>
      <c r="T612" s="1"/>
      <c r="U612" s="1"/>
      <c r="V612" s="1"/>
      <c r="W612" s="1"/>
      <c r="X612" s="1"/>
      <c r="Y612" s="1"/>
      <c r="Z612" s="1"/>
    </row>
    <row r="613" spans="1:26" ht="50" customHeight="1" x14ac:dyDescent="0.15">
      <c r="A613" s="1"/>
      <c r="B613" s="11"/>
      <c r="C613" s="11"/>
      <c r="E613" s="4"/>
      <c r="F613" s="1"/>
      <c r="G613" s="1"/>
      <c r="H613" s="1"/>
      <c r="I613" s="1"/>
      <c r="J613" s="1"/>
      <c r="K613" s="1">
        <v>615</v>
      </c>
      <c r="M613" s="1"/>
      <c r="N613" s="1"/>
      <c r="O613" s="1"/>
      <c r="P613" s="1"/>
      <c r="R613" s="1"/>
      <c r="S613" s="1"/>
      <c r="T613" s="1"/>
      <c r="U613" s="1"/>
      <c r="V613" s="1"/>
      <c r="W613" s="1"/>
      <c r="X613" s="1"/>
      <c r="Y613" s="1"/>
      <c r="Z613" s="1"/>
    </row>
    <row r="614" spans="1:26" ht="50" customHeight="1" x14ac:dyDescent="0.15">
      <c r="A614" s="1"/>
      <c r="B614" s="11"/>
      <c r="C614" s="11"/>
      <c r="E614" s="4"/>
      <c r="F614" s="1"/>
      <c r="G614" s="1"/>
      <c r="H614" s="1"/>
      <c r="I614" s="1"/>
      <c r="J614" s="1"/>
      <c r="K614" s="1">
        <v>616</v>
      </c>
      <c r="M614" s="1"/>
      <c r="N614" s="1"/>
      <c r="O614" s="1"/>
      <c r="P614" s="1"/>
      <c r="R614" s="1"/>
      <c r="S614" s="1"/>
      <c r="T614" s="1"/>
      <c r="U614" s="1"/>
      <c r="V614" s="1"/>
      <c r="W614" s="1"/>
      <c r="X614" s="1"/>
      <c r="Y614" s="1"/>
      <c r="Z614" s="1"/>
    </row>
    <row r="615" spans="1:26" ht="50" customHeight="1" x14ac:dyDescent="0.15">
      <c r="A615" s="1"/>
      <c r="B615" s="11"/>
      <c r="C615" s="11"/>
      <c r="E615" s="4"/>
      <c r="F615" s="1"/>
      <c r="G615" s="1"/>
      <c r="H615" s="1"/>
      <c r="I615" s="1"/>
      <c r="J615" s="1"/>
      <c r="K615" s="1">
        <v>617</v>
      </c>
      <c r="M615" s="1"/>
      <c r="N615" s="1"/>
      <c r="O615" s="1"/>
      <c r="P615" s="1"/>
      <c r="R615" s="1"/>
      <c r="S615" s="1"/>
      <c r="T615" s="1"/>
      <c r="U615" s="1"/>
      <c r="V615" s="1"/>
      <c r="W615" s="1"/>
      <c r="X615" s="1"/>
      <c r="Y615" s="1"/>
      <c r="Z615" s="1"/>
    </row>
    <row r="616" spans="1:26" ht="50" customHeight="1" x14ac:dyDescent="0.15">
      <c r="A616" s="1"/>
      <c r="B616" s="11"/>
      <c r="C616" s="11"/>
      <c r="E616" s="4"/>
      <c r="F616" s="1"/>
      <c r="G616" s="1"/>
      <c r="H616" s="1"/>
      <c r="I616" s="1"/>
      <c r="J616" s="1"/>
      <c r="K616" s="1">
        <v>618</v>
      </c>
      <c r="M616" s="1"/>
      <c r="N616" s="1"/>
      <c r="O616" s="1"/>
      <c r="P616" s="1"/>
      <c r="R616" s="1"/>
      <c r="S616" s="1"/>
      <c r="T616" s="1"/>
      <c r="U616" s="1"/>
      <c r="V616" s="1"/>
      <c r="W616" s="1"/>
      <c r="X616" s="1"/>
      <c r="Y616" s="1"/>
      <c r="Z616" s="1"/>
    </row>
    <row r="617" spans="1:26" ht="50" customHeight="1" x14ac:dyDescent="0.15">
      <c r="A617" s="1"/>
      <c r="B617" s="11"/>
      <c r="C617" s="11"/>
      <c r="E617" s="4"/>
      <c r="F617" s="1"/>
      <c r="G617" s="1"/>
      <c r="H617" s="1"/>
      <c r="I617" s="1"/>
      <c r="J617" s="1"/>
      <c r="K617" s="1">
        <v>619</v>
      </c>
      <c r="M617" s="1"/>
      <c r="N617" s="1"/>
      <c r="O617" s="1"/>
      <c r="P617" s="1"/>
      <c r="R617" s="1"/>
      <c r="S617" s="1"/>
      <c r="T617" s="1"/>
      <c r="U617" s="1"/>
      <c r="V617" s="1"/>
      <c r="W617" s="1"/>
      <c r="X617" s="1"/>
      <c r="Y617" s="1"/>
      <c r="Z617" s="1"/>
    </row>
    <row r="618" spans="1:26" ht="50" customHeight="1" x14ac:dyDescent="0.15">
      <c r="A618" s="1"/>
      <c r="B618" s="11"/>
      <c r="C618" s="11"/>
      <c r="E618" s="4"/>
      <c r="F618" s="1"/>
      <c r="G618" s="1"/>
      <c r="H618" s="1"/>
      <c r="I618" s="1"/>
      <c r="J618" s="1"/>
      <c r="K618" s="1">
        <v>620</v>
      </c>
      <c r="M618" s="1"/>
      <c r="N618" s="1"/>
      <c r="O618" s="1"/>
      <c r="P618" s="1"/>
      <c r="R618" s="1"/>
      <c r="S618" s="1"/>
      <c r="T618" s="1"/>
      <c r="U618" s="1"/>
      <c r="V618" s="1"/>
      <c r="W618" s="1"/>
      <c r="X618" s="1"/>
      <c r="Y618" s="1"/>
      <c r="Z618" s="1"/>
    </row>
    <row r="619" spans="1:26" ht="50" customHeight="1" x14ac:dyDescent="0.15">
      <c r="A619" s="1"/>
      <c r="B619" s="11"/>
      <c r="C619" s="11"/>
      <c r="E619" s="4"/>
      <c r="F619" s="1"/>
      <c r="G619" s="1"/>
      <c r="H619" s="1"/>
      <c r="I619" s="1"/>
      <c r="J619" s="1"/>
      <c r="K619" s="1">
        <v>621</v>
      </c>
      <c r="M619" s="1"/>
      <c r="N619" s="1"/>
      <c r="O619" s="1"/>
      <c r="P619" s="1"/>
      <c r="R619" s="1"/>
      <c r="S619" s="1"/>
      <c r="T619" s="1"/>
      <c r="U619" s="1"/>
      <c r="V619" s="1"/>
      <c r="W619" s="1"/>
      <c r="X619" s="1"/>
      <c r="Y619" s="1"/>
      <c r="Z619" s="1"/>
    </row>
    <row r="620" spans="1:26" ht="50" customHeight="1" x14ac:dyDescent="0.15">
      <c r="A620" s="1"/>
      <c r="B620" s="11"/>
      <c r="C620" s="11"/>
      <c r="E620" s="4"/>
      <c r="F620" s="1"/>
      <c r="G620" s="1"/>
      <c r="H620" s="1"/>
      <c r="I620" s="1"/>
      <c r="J620" s="1"/>
      <c r="K620" s="1">
        <v>622</v>
      </c>
      <c r="M620" s="1"/>
      <c r="N620" s="1"/>
      <c r="O620" s="1"/>
      <c r="P620" s="1"/>
      <c r="R620" s="1"/>
      <c r="S620" s="1"/>
      <c r="T620" s="1"/>
      <c r="U620" s="1"/>
      <c r="V620" s="1"/>
      <c r="W620" s="1"/>
      <c r="X620" s="1"/>
      <c r="Y620" s="1"/>
      <c r="Z620" s="1"/>
    </row>
    <row r="621" spans="1:26" ht="50" customHeight="1" x14ac:dyDescent="0.15">
      <c r="A621" s="1"/>
      <c r="B621" s="11"/>
      <c r="C621" s="11"/>
      <c r="E621" s="4"/>
      <c r="F621" s="1"/>
      <c r="G621" s="1"/>
      <c r="H621" s="1"/>
      <c r="I621" s="1"/>
      <c r="J621" s="1"/>
      <c r="K621" s="1">
        <v>623</v>
      </c>
      <c r="M621" s="1"/>
      <c r="N621" s="1"/>
      <c r="O621" s="1"/>
      <c r="P621" s="1"/>
      <c r="R621" s="1"/>
      <c r="S621" s="1"/>
      <c r="T621" s="1"/>
      <c r="U621" s="1"/>
      <c r="V621" s="1"/>
      <c r="W621" s="1"/>
      <c r="X621" s="1"/>
      <c r="Y621" s="1"/>
      <c r="Z621" s="1"/>
    </row>
    <row r="622" spans="1:26" ht="50" customHeight="1" x14ac:dyDescent="0.15">
      <c r="A622" s="1"/>
      <c r="B622" s="11"/>
      <c r="C622" s="11"/>
      <c r="E622" s="4"/>
      <c r="F622" s="1"/>
      <c r="G622" s="1"/>
      <c r="H622" s="1"/>
      <c r="I622" s="1"/>
      <c r="J622" s="1"/>
      <c r="K622" s="1">
        <v>624</v>
      </c>
      <c r="M622" s="1"/>
      <c r="N622" s="1"/>
      <c r="O622" s="1"/>
      <c r="P622" s="1"/>
      <c r="R622" s="1"/>
      <c r="S622" s="1"/>
      <c r="T622" s="1"/>
      <c r="U622" s="1"/>
      <c r="V622" s="1"/>
      <c r="W622" s="1"/>
      <c r="X622" s="1"/>
      <c r="Y622" s="1"/>
      <c r="Z622" s="1"/>
    </row>
    <row r="623" spans="1:26" ht="50" customHeight="1" x14ac:dyDescent="0.15">
      <c r="A623" s="1"/>
      <c r="B623" s="11"/>
      <c r="C623" s="11"/>
      <c r="E623" s="4"/>
      <c r="F623" s="1"/>
      <c r="G623" s="1"/>
      <c r="H623" s="1"/>
      <c r="I623" s="1"/>
      <c r="J623" s="1"/>
      <c r="K623" s="1">
        <v>625</v>
      </c>
      <c r="M623" s="1"/>
      <c r="N623" s="1"/>
      <c r="O623" s="1"/>
      <c r="P623" s="1"/>
      <c r="R623" s="1"/>
      <c r="S623" s="1"/>
      <c r="T623" s="1"/>
      <c r="U623" s="1"/>
      <c r="V623" s="1"/>
      <c r="W623" s="1"/>
      <c r="X623" s="1"/>
      <c r="Y623" s="1"/>
      <c r="Z623" s="1"/>
    </row>
    <row r="624" spans="1:26" ht="50" customHeight="1" x14ac:dyDescent="0.15">
      <c r="A624" s="1"/>
      <c r="B624" s="11"/>
      <c r="C624" s="11"/>
      <c r="E624" s="4"/>
      <c r="F624" s="1"/>
      <c r="G624" s="1"/>
      <c r="H624" s="1"/>
      <c r="I624" s="1"/>
      <c r="J624" s="1"/>
      <c r="K624" s="1">
        <v>626</v>
      </c>
      <c r="M624" s="1"/>
      <c r="N624" s="1"/>
      <c r="O624" s="1"/>
      <c r="P624" s="1"/>
      <c r="R624" s="1"/>
      <c r="S624" s="1"/>
      <c r="T624" s="1"/>
      <c r="U624" s="1"/>
      <c r="V624" s="1"/>
      <c r="W624" s="1"/>
      <c r="X624" s="1"/>
      <c r="Y624" s="1"/>
      <c r="Z624" s="1"/>
    </row>
    <row r="625" spans="1:26" ht="50" customHeight="1" x14ac:dyDescent="0.15">
      <c r="A625" s="1"/>
      <c r="B625" s="11"/>
      <c r="C625" s="11"/>
      <c r="E625" s="4"/>
      <c r="F625" s="1"/>
      <c r="G625" s="1"/>
      <c r="H625" s="1"/>
      <c r="I625" s="1"/>
      <c r="J625" s="1"/>
      <c r="K625" s="1">
        <v>627</v>
      </c>
      <c r="M625" s="1"/>
      <c r="N625" s="1"/>
      <c r="O625" s="1"/>
      <c r="P625" s="1"/>
      <c r="R625" s="1"/>
      <c r="S625" s="1"/>
      <c r="T625" s="1"/>
      <c r="U625" s="1"/>
      <c r="V625" s="1"/>
      <c r="W625" s="1"/>
      <c r="X625" s="1"/>
      <c r="Y625" s="1"/>
      <c r="Z625" s="1"/>
    </row>
    <row r="626" spans="1:26" ht="50" customHeight="1" x14ac:dyDescent="0.15">
      <c r="A626" s="1"/>
      <c r="B626" s="11"/>
      <c r="C626" s="11"/>
      <c r="E626" s="4"/>
      <c r="F626" s="1"/>
      <c r="G626" s="1"/>
      <c r="H626" s="1"/>
      <c r="I626" s="1"/>
      <c r="J626" s="1"/>
      <c r="K626" s="1">
        <v>628</v>
      </c>
      <c r="M626" s="1"/>
      <c r="N626" s="1"/>
      <c r="O626" s="1"/>
      <c r="P626" s="1"/>
      <c r="R626" s="1"/>
      <c r="S626" s="1"/>
      <c r="T626" s="1"/>
      <c r="U626" s="1"/>
      <c r="V626" s="1"/>
      <c r="W626" s="1"/>
      <c r="X626" s="1"/>
      <c r="Y626" s="1"/>
      <c r="Z626" s="1"/>
    </row>
    <row r="627" spans="1:26" ht="50" customHeight="1" x14ac:dyDescent="0.15">
      <c r="A627" s="1"/>
      <c r="B627" s="11"/>
      <c r="C627" s="11"/>
      <c r="E627" s="4"/>
      <c r="F627" s="1"/>
      <c r="G627" s="1"/>
      <c r="H627" s="1"/>
      <c r="I627" s="1"/>
      <c r="J627" s="1"/>
      <c r="K627" s="1">
        <v>629</v>
      </c>
      <c r="M627" s="1"/>
      <c r="N627" s="1"/>
      <c r="O627" s="1"/>
      <c r="P627" s="1"/>
      <c r="R627" s="1"/>
      <c r="S627" s="1"/>
      <c r="T627" s="1"/>
      <c r="U627" s="1"/>
      <c r="V627" s="1"/>
      <c r="W627" s="1"/>
      <c r="X627" s="1"/>
      <c r="Y627" s="1"/>
      <c r="Z627" s="1"/>
    </row>
    <row r="628" spans="1:26" ht="50" customHeight="1" x14ac:dyDescent="0.15">
      <c r="A628" s="1"/>
      <c r="B628" s="11"/>
      <c r="C628" s="11"/>
      <c r="E628" s="4"/>
      <c r="F628" s="1"/>
      <c r="G628" s="1"/>
      <c r="H628" s="1"/>
      <c r="I628" s="1"/>
      <c r="J628" s="1"/>
      <c r="K628" s="1">
        <v>630</v>
      </c>
      <c r="M628" s="1"/>
      <c r="N628" s="1"/>
      <c r="O628" s="1"/>
      <c r="P628" s="1"/>
      <c r="R628" s="1"/>
      <c r="S628" s="1"/>
      <c r="T628" s="1"/>
      <c r="U628" s="1"/>
      <c r="V628" s="1"/>
      <c r="W628" s="1"/>
      <c r="X628" s="1"/>
      <c r="Y628" s="1"/>
      <c r="Z628" s="1"/>
    </row>
    <row r="629" spans="1:26" ht="50" customHeight="1" x14ac:dyDescent="0.15">
      <c r="A629" s="1"/>
      <c r="B629" s="11"/>
      <c r="C629" s="11"/>
      <c r="E629" s="4"/>
      <c r="F629" s="1"/>
      <c r="G629" s="1"/>
      <c r="H629" s="1"/>
      <c r="I629" s="1"/>
      <c r="J629" s="1"/>
      <c r="K629" s="1">
        <v>631</v>
      </c>
      <c r="M629" s="1"/>
      <c r="N629" s="1"/>
      <c r="O629" s="1"/>
      <c r="P629" s="1"/>
      <c r="R629" s="1"/>
      <c r="S629" s="1"/>
      <c r="T629" s="1"/>
      <c r="U629" s="1"/>
      <c r="V629" s="1"/>
      <c r="W629" s="1"/>
      <c r="X629" s="1"/>
      <c r="Y629" s="1"/>
      <c r="Z629" s="1"/>
    </row>
    <row r="630" spans="1:26" ht="50" customHeight="1" x14ac:dyDescent="0.15">
      <c r="A630" s="1"/>
      <c r="B630" s="11"/>
      <c r="C630" s="11"/>
      <c r="E630" s="4"/>
      <c r="F630" s="1"/>
      <c r="G630" s="1"/>
      <c r="H630" s="1"/>
      <c r="I630" s="1"/>
      <c r="J630" s="1"/>
      <c r="K630" s="1">
        <v>632</v>
      </c>
      <c r="M630" s="1"/>
      <c r="N630" s="1"/>
      <c r="O630" s="1"/>
      <c r="P630" s="1"/>
      <c r="R630" s="1"/>
      <c r="S630" s="1"/>
      <c r="T630" s="1"/>
      <c r="U630" s="1"/>
      <c r="V630" s="1"/>
      <c r="W630" s="1"/>
      <c r="X630" s="1"/>
      <c r="Y630" s="1"/>
      <c r="Z630" s="1"/>
    </row>
    <row r="631" spans="1:26" ht="50" customHeight="1" x14ac:dyDescent="0.15">
      <c r="A631" s="1"/>
      <c r="B631" s="11"/>
      <c r="C631" s="11"/>
      <c r="E631" s="4"/>
      <c r="F631" s="1"/>
      <c r="G631" s="1"/>
      <c r="H631" s="1"/>
      <c r="I631" s="1"/>
      <c r="J631" s="1"/>
      <c r="K631" s="1">
        <v>633</v>
      </c>
      <c r="M631" s="1"/>
      <c r="N631" s="1"/>
      <c r="O631" s="1"/>
      <c r="P631" s="1"/>
      <c r="R631" s="1"/>
      <c r="S631" s="1"/>
      <c r="T631" s="1"/>
      <c r="U631" s="1"/>
      <c r="V631" s="1"/>
      <c r="W631" s="1"/>
      <c r="X631" s="1"/>
      <c r="Y631" s="1"/>
      <c r="Z631" s="1"/>
    </row>
    <row r="632" spans="1:26" ht="50" customHeight="1" x14ac:dyDescent="0.15">
      <c r="A632" s="1"/>
      <c r="B632" s="11"/>
      <c r="C632" s="11"/>
      <c r="E632" s="4"/>
      <c r="F632" s="1"/>
      <c r="G632" s="1"/>
      <c r="H632" s="1"/>
      <c r="I632" s="1"/>
      <c r="J632" s="1"/>
      <c r="K632" s="1">
        <v>634</v>
      </c>
      <c r="M632" s="1"/>
      <c r="N632" s="1"/>
      <c r="O632" s="1"/>
      <c r="P632" s="1"/>
      <c r="R632" s="1"/>
      <c r="S632" s="1"/>
      <c r="T632" s="1"/>
      <c r="U632" s="1"/>
      <c r="V632" s="1"/>
      <c r="W632" s="1"/>
      <c r="X632" s="1"/>
      <c r="Y632" s="1"/>
      <c r="Z632" s="1"/>
    </row>
    <row r="633" spans="1:26" ht="50" customHeight="1" x14ac:dyDescent="0.15">
      <c r="A633" s="1"/>
      <c r="B633" s="11"/>
      <c r="C633" s="11"/>
      <c r="E633" s="4"/>
      <c r="F633" s="1"/>
      <c r="G633" s="1"/>
      <c r="H633" s="1"/>
      <c r="I633" s="1"/>
      <c r="J633" s="1"/>
      <c r="K633" s="1">
        <v>635</v>
      </c>
      <c r="M633" s="1"/>
      <c r="N633" s="1"/>
      <c r="O633" s="1"/>
      <c r="P633" s="1"/>
      <c r="R633" s="1"/>
      <c r="S633" s="1"/>
      <c r="T633" s="1"/>
      <c r="U633" s="1"/>
      <c r="V633" s="1"/>
      <c r="W633" s="1"/>
      <c r="X633" s="1"/>
      <c r="Y633" s="1"/>
      <c r="Z633" s="1"/>
    </row>
    <row r="634" spans="1:26" ht="50" customHeight="1" x14ac:dyDescent="0.15">
      <c r="A634" s="1"/>
      <c r="B634" s="11"/>
      <c r="C634" s="11"/>
      <c r="E634" s="4"/>
      <c r="F634" s="1"/>
      <c r="G634" s="1"/>
      <c r="H634" s="1"/>
      <c r="I634" s="1"/>
      <c r="J634" s="1"/>
      <c r="K634" s="1">
        <v>636</v>
      </c>
      <c r="M634" s="1"/>
      <c r="N634" s="1"/>
      <c r="O634" s="1"/>
      <c r="P634" s="1"/>
      <c r="R634" s="1"/>
      <c r="S634" s="1"/>
      <c r="T634" s="1"/>
      <c r="U634" s="1"/>
      <c r="V634" s="1"/>
      <c r="W634" s="1"/>
      <c r="X634" s="1"/>
      <c r="Y634" s="1"/>
      <c r="Z634" s="1"/>
    </row>
    <row r="635" spans="1:26" ht="50" customHeight="1" x14ac:dyDescent="0.15">
      <c r="A635" s="1"/>
      <c r="B635" s="11"/>
      <c r="C635" s="11"/>
      <c r="E635" s="4"/>
      <c r="F635" s="1"/>
      <c r="G635" s="1"/>
      <c r="H635" s="1"/>
      <c r="I635" s="1"/>
      <c r="J635" s="1"/>
      <c r="K635" s="1">
        <v>637</v>
      </c>
      <c r="M635" s="1"/>
      <c r="N635" s="1"/>
      <c r="O635" s="1"/>
      <c r="P635" s="1"/>
      <c r="R635" s="1"/>
      <c r="S635" s="1"/>
      <c r="T635" s="1"/>
      <c r="U635" s="1"/>
      <c r="V635" s="1"/>
      <c r="W635" s="1"/>
      <c r="X635" s="1"/>
      <c r="Y635" s="1"/>
      <c r="Z635" s="1"/>
    </row>
    <row r="636" spans="1:26" ht="50" customHeight="1" x14ac:dyDescent="0.15">
      <c r="A636" s="1"/>
      <c r="B636" s="11"/>
      <c r="C636" s="11"/>
      <c r="E636" s="4"/>
      <c r="F636" s="1"/>
      <c r="G636" s="1"/>
      <c r="H636" s="1"/>
      <c r="I636" s="1"/>
      <c r="J636" s="1"/>
      <c r="K636" s="1">
        <v>638</v>
      </c>
      <c r="M636" s="1"/>
      <c r="N636" s="1"/>
      <c r="O636" s="1"/>
      <c r="P636" s="1"/>
      <c r="R636" s="1"/>
      <c r="S636" s="1"/>
      <c r="T636" s="1"/>
      <c r="U636" s="1"/>
      <c r="V636" s="1"/>
      <c r="W636" s="1"/>
      <c r="X636" s="1"/>
      <c r="Y636" s="1"/>
      <c r="Z636" s="1"/>
    </row>
    <row r="637" spans="1:26" ht="50" customHeight="1" x14ac:dyDescent="0.15">
      <c r="A637" s="1"/>
      <c r="B637" s="11"/>
      <c r="C637" s="11"/>
      <c r="E637" s="4"/>
      <c r="F637" s="1"/>
      <c r="G637" s="1"/>
      <c r="H637" s="1"/>
      <c r="I637" s="1"/>
      <c r="J637" s="1"/>
      <c r="K637" s="1">
        <v>639</v>
      </c>
      <c r="M637" s="1"/>
      <c r="N637" s="1"/>
      <c r="O637" s="1"/>
      <c r="P637" s="1"/>
      <c r="R637" s="1"/>
      <c r="S637" s="1"/>
      <c r="T637" s="1"/>
      <c r="U637" s="1"/>
      <c r="V637" s="1"/>
      <c r="W637" s="1"/>
      <c r="X637" s="1"/>
      <c r="Y637" s="1"/>
      <c r="Z637" s="1"/>
    </row>
    <row r="638" spans="1:26" ht="50" customHeight="1" x14ac:dyDescent="0.15">
      <c r="A638" s="1"/>
      <c r="B638" s="11"/>
      <c r="C638" s="11"/>
      <c r="E638" s="4"/>
      <c r="F638" s="1"/>
      <c r="G638" s="1"/>
      <c r="H638" s="1"/>
      <c r="I638" s="1"/>
      <c r="J638" s="1"/>
      <c r="K638" s="1">
        <v>640</v>
      </c>
      <c r="M638" s="1"/>
      <c r="N638" s="1"/>
      <c r="O638" s="1"/>
      <c r="P638" s="1"/>
      <c r="R638" s="1"/>
      <c r="S638" s="1"/>
      <c r="T638" s="1"/>
      <c r="U638" s="1"/>
      <c r="V638" s="1"/>
      <c r="W638" s="1"/>
      <c r="X638" s="1"/>
      <c r="Y638" s="1"/>
      <c r="Z638" s="1"/>
    </row>
    <row r="639" spans="1:26" ht="50" customHeight="1" x14ac:dyDescent="0.15">
      <c r="A639" s="1"/>
      <c r="B639" s="11"/>
      <c r="C639" s="11"/>
      <c r="E639" s="4"/>
      <c r="F639" s="1"/>
      <c r="G639" s="1"/>
      <c r="H639" s="1"/>
      <c r="I639" s="1"/>
      <c r="J639" s="1"/>
      <c r="K639" s="1">
        <v>641</v>
      </c>
      <c r="M639" s="1"/>
      <c r="N639" s="1"/>
      <c r="O639" s="1"/>
      <c r="P639" s="1"/>
      <c r="R639" s="1"/>
      <c r="S639" s="1"/>
      <c r="T639" s="1"/>
      <c r="U639" s="1"/>
      <c r="V639" s="1"/>
      <c r="W639" s="1"/>
      <c r="X639" s="1"/>
      <c r="Y639" s="1"/>
      <c r="Z639" s="1"/>
    </row>
    <row r="640" spans="1:26" ht="50" customHeight="1" x14ac:dyDescent="0.15">
      <c r="A640" s="1"/>
      <c r="B640" s="11"/>
      <c r="C640" s="11"/>
      <c r="E640" s="4"/>
      <c r="F640" s="1"/>
      <c r="G640" s="1"/>
      <c r="H640" s="1"/>
      <c r="I640" s="1"/>
      <c r="J640" s="1"/>
      <c r="K640" s="1">
        <v>642</v>
      </c>
      <c r="M640" s="1"/>
      <c r="N640" s="1"/>
      <c r="O640" s="1"/>
      <c r="P640" s="1"/>
      <c r="R640" s="1"/>
      <c r="S640" s="1"/>
      <c r="T640" s="1"/>
      <c r="U640" s="1"/>
      <c r="V640" s="1"/>
      <c r="W640" s="1"/>
      <c r="X640" s="1"/>
      <c r="Y640" s="1"/>
      <c r="Z640" s="1"/>
    </row>
    <row r="641" spans="1:26" ht="50" customHeight="1" x14ac:dyDescent="0.15">
      <c r="A641" s="1"/>
      <c r="B641" s="11"/>
      <c r="C641" s="11"/>
      <c r="E641" s="4"/>
      <c r="F641" s="1"/>
      <c r="G641" s="1"/>
      <c r="H641" s="1"/>
      <c r="I641" s="1"/>
      <c r="J641" s="1"/>
      <c r="K641" s="1">
        <v>643</v>
      </c>
      <c r="M641" s="1"/>
      <c r="N641" s="1"/>
      <c r="O641" s="1"/>
      <c r="P641" s="1"/>
      <c r="R641" s="1"/>
      <c r="S641" s="1"/>
      <c r="T641" s="1"/>
      <c r="U641" s="1"/>
      <c r="V641" s="1"/>
      <c r="W641" s="1"/>
      <c r="X641" s="1"/>
      <c r="Y641" s="1"/>
      <c r="Z641" s="1"/>
    </row>
    <row r="642" spans="1:26" ht="50" customHeight="1" x14ac:dyDescent="0.15">
      <c r="A642" s="1"/>
      <c r="B642" s="11"/>
      <c r="C642" s="11"/>
      <c r="E642" s="4"/>
      <c r="F642" s="1"/>
      <c r="G642" s="1"/>
      <c r="H642" s="1"/>
      <c r="I642" s="1"/>
      <c r="J642" s="1"/>
      <c r="K642" s="1">
        <v>644</v>
      </c>
      <c r="M642" s="1"/>
      <c r="N642" s="1"/>
      <c r="O642" s="1"/>
      <c r="P642" s="1"/>
      <c r="R642" s="1"/>
      <c r="S642" s="1"/>
      <c r="T642" s="1"/>
      <c r="U642" s="1"/>
      <c r="V642" s="1"/>
      <c r="W642" s="1"/>
      <c r="X642" s="1"/>
      <c r="Y642" s="1"/>
      <c r="Z642" s="1"/>
    </row>
    <row r="643" spans="1:26" ht="50" customHeight="1" x14ac:dyDescent="0.15">
      <c r="A643" s="1"/>
      <c r="B643" s="11"/>
      <c r="C643" s="11"/>
      <c r="E643" s="4"/>
      <c r="F643" s="1"/>
      <c r="G643" s="1"/>
      <c r="H643" s="1"/>
      <c r="I643" s="1"/>
      <c r="J643" s="1"/>
      <c r="K643" s="1">
        <v>645</v>
      </c>
      <c r="M643" s="1"/>
      <c r="N643" s="1"/>
      <c r="O643" s="1"/>
      <c r="P643" s="1"/>
      <c r="R643" s="1"/>
      <c r="S643" s="1"/>
      <c r="T643" s="1"/>
      <c r="U643" s="1"/>
      <c r="V643" s="1"/>
      <c r="W643" s="1"/>
      <c r="X643" s="1"/>
      <c r="Y643" s="1"/>
      <c r="Z643" s="1"/>
    </row>
    <row r="644" spans="1:26" ht="50" customHeight="1" x14ac:dyDescent="0.15">
      <c r="A644" s="1"/>
      <c r="B644" s="11"/>
      <c r="C644" s="11"/>
      <c r="E644" s="4"/>
      <c r="F644" s="1"/>
      <c r="G644" s="1"/>
      <c r="H644" s="1"/>
      <c r="I644" s="1"/>
      <c r="J644" s="1"/>
      <c r="K644" s="1">
        <v>646</v>
      </c>
      <c r="M644" s="1"/>
      <c r="N644" s="1"/>
      <c r="O644" s="1"/>
      <c r="P644" s="1"/>
      <c r="R644" s="1"/>
      <c r="S644" s="1"/>
      <c r="T644" s="1"/>
      <c r="U644" s="1"/>
      <c r="V644" s="1"/>
      <c r="W644" s="1"/>
      <c r="X644" s="1"/>
      <c r="Y644" s="1"/>
      <c r="Z644" s="1"/>
    </row>
    <row r="645" spans="1:26" ht="50" customHeight="1" x14ac:dyDescent="0.15">
      <c r="A645" s="1"/>
      <c r="B645" s="11"/>
      <c r="C645" s="11"/>
      <c r="E645" s="4"/>
      <c r="F645" s="1"/>
      <c r="G645" s="1"/>
      <c r="H645" s="1"/>
      <c r="I645" s="1"/>
      <c r="J645" s="1"/>
      <c r="K645" s="1">
        <v>647</v>
      </c>
      <c r="M645" s="1"/>
      <c r="N645" s="1"/>
      <c r="O645" s="1"/>
      <c r="P645" s="1"/>
      <c r="R645" s="1"/>
      <c r="S645" s="1"/>
      <c r="T645" s="1"/>
      <c r="U645" s="1"/>
      <c r="V645" s="1"/>
      <c r="W645" s="1"/>
      <c r="X645" s="1"/>
      <c r="Y645" s="1"/>
      <c r="Z645" s="1"/>
    </row>
    <row r="646" spans="1:26" ht="50" customHeight="1" x14ac:dyDescent="0.15">
      <c r="A646" s="1"/>
      <c r="B646" s="11"/>
      <c r="C646" s="11"/>
      <c r="E646" s="4"/>
      <c r="F646" s="1"/>
      <c r="G646" s="1"/>
      <c r="H646" s="1"/>
      <c r="I646" s="1"/>
      <c r="J646" s="1"/>
      <c r="K646" s="1">
        <v>648</v>
      </c>
      <c r="M646" s="1"/>
      <c r="N646" s="1"/>
      <c r="O646" s="1"/>
      <c r="P646" s="1"/>
      <c r="R646" s="1"/>
      <c r="S646" s="1"/>
      <c r="T646" s="1"/>
      <c r="U646" s="1"/>
      <c r="V646" s="1"/>
      <c r="W646" s="1"/>
      <c r="X646" s="1"/>
      <c r="Y646" s="1"/>
      <c r="Z646" s="1"/>
    </row>
    <row r="647" spans="1:26" ht="50" customHeight="1" x14ac:dyDescent="0.15">
      <c r="A647" s="1"/>
      <c r="B647" s="11"/>
      <c r="C647" s="11"/>
      <c r="E647" s="4"/>
      <c r="F647" s="1"/>
      <c r="G647" s="1"/>
      <c r="H647" s="1"/>
      <c r="I647" s="1"/>
      <c r="J647" s="1"/>
      <c r="K647" s="1">
        <v>649</v>
      </c>
      <c r="M647" s="1"/>
      <c r="N647" s="1"/>
      <c r="O647" s="1"/>
      <c r="P647" s="1"/>
      <c r="R647" s="1"/>
      <c r="S647" s="1"/>
      <c r="T647" s="1"/>
      <c r="U647" s="1"/>
      <c r="V647" s="1"/>
      <c r="W647" s="1"/>
      <c r="X647" s="1"/>
      <c r="Y647" s="1"/>
      <c r="Z647" s="1"/>
    </row>
    <row r="648" spans="1:26" ht="50" customHeight="1" x14ac:dyDescent="0.15">
      <c r="A648" s="1"/>
      <c r="B648" s="11"/>
      <c r="C648" s="11"/>
      <c r="E648" s="4"/>
      <c r="F648" s="1"/>
      <c r="G648" s="1"/>
      <c r="H648" s="1"/>
      <c r="I648" s="1"/>
      <c r="J648" s="1"/>
      <c r="K648" s="1">
        <v>650</v>
      </c>
      <c r="M648" s="1"/>
      <c r="N648" s="1"/>
      <c r="O648" s="1"/>
      <c r="P648" s="1"/>
      <c r="R648" s="1"/>
      <c r="S648" s="1"/>
      <c r="T648" s="1"/>
      <c r="U648" s="1"/>
      <c r="V648" s="1"/>
      <c r="W648" s="1"/>
      <c r="X648" s="1"/>
      <c r="Y648" s="1"/>
      <c r="Z648" s="1"/>
    </row>
    <row r="649" spans="1:26" ht="50" customHeight="1" x14ac:dyDescent="0.15">
      <c r="A649" s="1"/>
      <c r="B649" s="11"/>
      <c r="C649" s="11"/>
      <c r="E649" s="4"/>
      <c r="F649" s="1"/>
      <c r="G649" s="1"/>
      <c r="H649" s="1"/>
      <c r="I649" s="1"/>
      <c r="J649" s="1"/>
      <c r="K649" s="1">
        <v>651</v>
      </c>
      <c r="M649" s="1"/>
      <c r="N649" s="1"/>
      <c r="O649" s="1"/>
      <c r="P649" s="1"/>
      <c r="R649" s="1"/>
      <c r="S649" s="1"/>
      <c r="T649" s="1"/>
      <c r="U649" s="1"/>
      <c r="V649" s="1"/>
      <c r="W649" s="1"/>
      <c r="X649" s="1"/>
      <c r="Y649" s="1"/>
      <c r="Z649" s="1"/>
    </row>
    <row r="650" spans="1:26" ht="50" customHeight="1" x14ac:dyDescent="0.15">
      <c r="A650" s="1"/>
      <c r="B650" s="11"/>
      <c r="C650" s="11"/>
      <c r="E650" s="4"/>
      <c r="F650" s="1"/>
      <c r="G650" s="1"/>
      <c r="H650" s="1"/>
      <c r="I650" s="1"/>
      <c r="J650" s="1"/>
      <c r="K650" s="1">
        <v>652</v>
      </c>
      <c r="M650" s="1"/>
      <c r="N650" s="1"/>
      <c r="O650" s="1"/>
      <c r="P650" s="1"/>
      <c r="R650" s="1"/>
      <c r="S650" s="1"/>
      <c r="T650" s="1"/>
      <c r="U650" s="1"/>
      <c r="V650" s="1"/>
      <c r="W650" s="1"/>
      <c r="X650" s="1"/>
      <c r="Y650" s="1"/>
      <c r="Z650" s="1"/>
    </row>
    <row r="651" spans="1:26" ht="50" customHeight="1" x14ac:dyDescent="0.15">
      <c r="A651" s="1"/>
      <c r="B651" s="11"/>
      <c r="C651" s="11"/>
      <c r="E651" s="4"/>
      <c r="F651" s="1"/>
      <c r="G651" s="1"/>
      <c r="H651" s="1"/>
      <c r="I651" s="1"/>
      <c r="J651" s="1"/>
      <c r="K651" s="1">
        <v>653</v>
      </c>
      <c r="M651" s="1"/>
      <c r="N651" s="1"/>
      <c r="O651" s="1"/>
      <c r="P651" s="1"/>
      <c r="R651" s="1"/>
      <c r="S651" s="1"/>
      <c r="T651" s="1"/>
      <c r="U651" s="1"/>
      <c r="V651" s="1"/>
      <c r="W651" s="1"/>
      <c r="X651" s="1"/>
      <c r="Y651" s="1"/>
      <c r="Z651" s="1"/>
    </row>
    <row r="652" spans="1:26" ht="50" customHeight="1" x14ac:dyDescent="0.15">
      <c r="A652" s="1"/>
      <c r="B652" s="11"/>
      <c r="C652" s="11"/>
      <c r="E652" s="4"/>
      <c r="F652" s="1"/>
      <c r="G652" s="1"/>
      <c r="H652" s="1"/>
      <c r="I652" s="1"/>
      <c r="J652" s="1"/>
      <c r="K652" s="1">
        <v>654</v>
      </c>
      <c r="M652" s="1"/>
      <c r="N652" s="1"/>
      <c r="O652" s="1"/>
      <c r="P652" s="1"/>
      <c r="R652" s="1"/>
      <c r="S652" s="1"/>
      <c r="T652" s="1"/>
      <c r="U652" s="1"/>
      <c r="V652" s="1"/>
      <c r="W652" s="1"/>
      <c r="X652" s="1"/>
      <c r="Y652" s="1"/>
      <c r="Z652" s="1"/>
    </row>
    <row r="653" spans="1:26" ht="50" customHeight="1" x14ac:dyDescent="0.15">
      <c r="A653" s="1"/>
      <c r="B653" s="11"/>
      <c r="C653" s="11"/>
      <c r="E653" s="4"/>
      <c r="F653" s="1"/>
      <c r="G653" s="1"/>
      <c r="H653" s="1"/>
      <c r="I653" s="1"/>
      <c r="J653" s="1"/>
      <c r="K653" s="1">
        <v>655</v>
      </c>
      <c r="M653" s="1"/>
      <c r="N653" s="1"/>
      <c r="O653" s="1"/>
      <c r="P653" s="1"/>
      <c r="R653" s="1"/>
      <c r="S653" s="1"/>
      <c r="T653" s="1"/>
      <c r="U653" s="1"/>
      <c r="V653" s="1"/>
      <c r="W653" s="1"/>
      <c r="X653" s="1"/>
      <c r="Y653" s="1"/>
      <c r="Z653" s="1"/>
    </row>
    <row r="654" spans="1:26" ht="50" customHeight="1" x14ac:dyDescent="0.15">
      <c r="A654" s="1"/>
      <c r="B654" s="11"/>
      <c r="C654" s="11"/>
      <c r="E654" s="4"/>
      <c r="F654" s="1"/>
      <c r="G654" s="1"/>
      <c r="H654" s="1"/>
      <c r="I654" s="1"/>
      <c r="J654" s="1"/>
      <c r="K654" s="1">
        <v>656</v>
      </c>
      <c r="M654" s="1"/>
      <c r="N654" s="1"/>
      <c r="O654" s="1"/>
      <c r="P654" s="1"/>
      <c r="R654" s="1"/>
      <c r="S654" s="1"/>
      <c r="T654" s="1"/>
      <c r="U654" s="1"/>
      <c r="V654" s="1"/>
      <c r="W654" s="1"/>
      <c r="X654" s="1"/>
      <c r="Y654" s="1"/>
      <c r="Z654" s="1"/>
    </row>
    <row r="655" spans="1:26" ht="50" customHeight="1" x14ac:dyDescent="0.15">
      <c r="A655" s="1"/>
      <c r="B655" s="11"/>
      <c r="C655" s="11"/>
      <c r="E655" s="4"/>
      <c r="F655" s="1"/>
      <c r="G655" s="1"/>
      <c r="H655" s="1"/>
      <c r="I655" s="1"/>
      <c r="J655" s="1"/>
      <c r="K655" s="1">
        <v>657</v>
      </c>
      <c r="M655" s="1"/>
      <c r="N655" s="1"/>
      <c r="O655" s="1"/>
      <c r="P655" s="1"/>
      <c r="R655" s="1"/>
      <c r="S655" s="1"/>
      <c r="T655" s="1"/>
      <c r="U655" s="1"/>
      <c r="V655" s="1"/>
      <c r="W655" s="1"/>
      <c r="X655" s="1"/>
      <c r="Y655" s="1"/>
      <c r="Z655" s="1"/>
    </row>
    <row r="656" spans="1:26" ht="50" customHeight="1" x14ac:dyDescent="0.15">
      <c r="A656" s="1"/>
      <c r="B656" s="1"/>
      <c r="C656" s="11"/>
      <c r="E656" s="4"/>
      <c r="F656" s="4"/>
      <c r="G656" s="1"/>
      <c r="H656" s="1"/>
      <c r="I656" s="1"/>
      <c r="J656" s="1"/>
      <c r="K656" s="1">
        <v>658</v>
      </c>
      <c r="M656" s="1"/>
      <c r="N656" s="1"/>
      <c r="O656" s="1"/>
      <c r="P656" s="1"/>
      <c r="R656" s="1"/>
      <c r="S656" s="1"/>
      <c r="T656" s="1"/>
      <c r="U656" s="1"/>
      <c r="V656" s="1"/>
      <c r="W656" s="1"/>
      <c r="X656" s="1"/>
      <c r="Y656" s="1"/>
      <c r="Z656" s="1"/>
    </row>
    <row r="657" spans="1:26" ht="50" customHeight="1" x14ac:dyDescent="0.15">
      <c r="A657" s="1"/>
      <c r="B657" s="1"/>
      <c r="C657" s="11"/>
      <c r="E657" s="4"/>
      <c r="F657" s="4"/>
      <c r="G657" s="1"/>
      <c r="H657" s="1"/>
      <c r="I657" s="1"/>
      <c r="J657" s="1"/>
      <c r="K657" s="1">
        <v>659</v>
      </c>
      <c r="M657" s="1"/>
      <c r="N657" s="1"/>
      <c r="O657" s="1"/>
      <c r="P657" s="1"/>
      <c r="R657" s="1"/>
      <c r="S657" s="1"/>
      <c r="T657" s="1"/>
      <c r="U657" s="1"/>
      <c r="V657" s="1"/>
      <c r="W657" s="1"/>
      <c r="X657" s="1"/>
      <c r="Y657" s="1"/>
      <c r="Z657" s="1"/>
    </row>
    <row r="658" spans="1:26" ht="50" customHeight="1" x14ac:dyDescent="0.15">
      <c r="A658" s="1"/>
      <c r="B658" s="1"/>
      <c r="C658" s="11"/>
      <c r="E658" s="4"/>
      <c r="F658" s="4"/>
      <c r="G658" s="1"/>
      <c r="H658" s="1"/>
      <c r="I658" s="1"/>
      <c r="J658" s="1"/>
      <c r="K658" s="1">
        <v>660</v>
      </c>
      <c r="M658" s="1"/>
      <c r="N658" s="1"/>
      <c r="O658" s="1"/>
      <c r="P658" s="1"/>
      <c r="R658" s="1"/>
      <c r="S658" s="1"/>
      <c r="T658" s="1"/>
      <c r="U658" s="1"/>
      <c r="V658" s="1"/>
      <c r="W658" s="1"/>
      <c r="X658" s="1"/>
      <c r="Y658" s="1"/>
      <c r="Z658" s="1"/>
    </row>
    <row r="659" spans="1:26" ht="50" customHeight="1" x14ac:dyDescent="0.15">
      <c r="A659" s="1"/>
      <c r="B659" s="1"/>
      <c r="C659" s="11"/>
      <c r="E659" s="4"/>
      <c r="F659" s="4"/>
      <c r="G659" s="1"/>
      <c r="H659" s="1"/>
      <c r="I659" s="1"/>
      <c r="J659" s="1"/>
      <c r="K659" s="1">
        <v>661</v>
      </c>
      <c r="M659" s="1"/>
      <c r="N659" s="1"/>
      <c r="O659" s="1"/>
      <c r="P659" s="1"/>
      <c r="R659" s="1"/>
      <c r="S659" s="1"/>
      <c r="T659" s="1"/>
      <c r="U659" s="1"/>
      <c r="V659" s="1"/>
      <c r="W659" s="1"/>
      <c r="X659" s="1"/>
      <c r="Y659" s="1"/>
      <c r="Z659" s="1"/>
    </row>
    <row r="660" spans="1:26" ht="50" customHeight="1" x14ac:dyDescent="0.15">
      <c r="A660" s="1"/>
      <c r="B660" s="1"/>
      <c r="C660" s="11"/>
      <c r="E660" s="4"/>
      <c r="F660" s="4"/>
      <c r="G660" s="1"/>
      <c r="H660" s="1"/>
      <c r="I660" s="1"/>
      <c r="J660" s="1"/>
      <c r="K660" s="1">
        <v>662</v>
      </c>
      <c r="M660" s="1"/>
      <c r="N660" s="1"/>
      <c r="O660" s="1"/>
      <c r="P660" s="1"/>
      <c r="R660" s="1"/>
      <c r="S660" s="1"/>
      <c r="T660" s="1"/>
      <c r="U660" s="1"/>
      <c r="V660" s="1"/>
      <c r="W660" s="1"/>
      <c r="X660" s="1"/>
      <c r="Y660" s="1"/>
      <c r="Z660" s="1"/>
    </row>
    <row r="661" spans="1:26" ht="50" customHeight="1" x14ac:dyDescent="0.15">
      <c r="A661" s="1"/>
      <c r="B661" s="1"/>
      <c r="C661" s="11"/>
      <c r="E661" s="4"/>
      <c r="F661" s="4"/>
      <c r="G661" s="1"/>
      <c r="H661" s="1"/>
      <c r="I661" s="1"/>
      <c r="J661" s="1"/>
      <c r="K661" s="1">
        <v>663</v>
      </c>
      <c r="M661" s="1"/>
      <c r="N661" s="1"/>
      <c r="O661" s="1"/>
      <c r="P661" s="1"/>
      <c r="R661" s="1"/>
      <c r="S661" s="1"/>
      <c r="T661" s="1"/>
      <c r="U661" s="1"/>
      <c r="V661" s="1"/>
      <c r="W661" s="1"/>
      <c r="X661" s="1"/>
      <c r="Y661" s="1"/>
      <c r="Z661" s="1"/>
    </row>
    <row r="662" spans="1:26" ht="50" customHeight="1" x14ac:dyDescent="0.15">
      <c r="A662" s="1"/>
      <c r="B662" s="1"/>
      <c r="C662" s="11"/>
      <c r="E662" s="4"/>
      <c r="F662" s="4"/>
      <c r="G662" s="1"/>
      <c r="H662" s="1"/>
      <c r="I662" s="1"/>
      <c r="J662" s="1"/>
      <c r="K662" s="1">
        <v>664</v>
      </c>
      <c r="M662" s="1"/>
      <c r="N662" s="1"/>
      <c r="O662" s="1"/>
      <c r="P662" s="1"/>
      <c r="R662" s="1"/>
      <c r="S662" s="1"/>
      <c r="T662" s="1"/>
      <c r="U662" s="1"/>
      <c r="V662" s="1"/>
      <c r="W662" s="1"/>
      <c r="X662" s="1"/>
      <c r="Y662" s="1"/>
      <c r="Z662" s="1"/>
    </row>
    <row r="663" spans="1:26" ht="50" customHeight="1" x14ac:dyDescent="0.15">
      <c r="A663" s="1"/>
      <c r="B663" s="1"/>
      <c r="C663" s="11"/>
      <c r="E663" s="4"/>
      <c r="F663" s="4"/>
      <c r="G663" s="1"/>
      <c r="H663" s="1"/>
      <c r="I663" s="1"/>
      <c r="J663" s="1"/>
      <c r="K663" s="1">
        <v>665</v>
      </c>
      <c r="M663" s="1"/>
      <c r="N663" s="1"/>
      <c r="O663" s="1"/>
      <c r="P663" s="1"/>
      <c r="R663" s="1"/>
      <c r="S663" s="1"/>
      <c r="T663" s="1"/>
      <c r="U663" s="1"/>
      <c r="V663" s="1"/>
      <c r="W663" s="1"/>
      <c r="X663" s="1"/>
      <c r="Y663" s="1"/>
      <c r="Z663" s="1"/>
    </row>
    <row r="664" spans="1:26" ht="50" customHeight="1" x14ac:dyDescent="0.15">
      <c r="A664" s="1"/>
      <c r="B664" s="1"/>
      <c r="C664" s="11"/>
      <c r="E664" s="4"/>
      <c r="F664" s="4"/>
      <c r="G664" s="1"/>
      <c r="H664" s="1"/>
      <c r="I664" s="1"/>
      <c r="J664" s="1"/>
      <c r="K664" s="1">
        <v>666</v>
      </c>
      <c r="M664" s="1"/>
      <c r="N664" s="1"/>
      <c r="O664" s="1"/>
      <c r="P664" s="1"/>
      <c r="R664" s="1"/>
      <c r="S664" s="1"/>
      <c r="T664" s="1"/>
      <c r="U664" s="1"/>
      <c r="V664" s="1"/>
      <c r="W664" s="1"/>
      <c r="X664" s="1"/>
      <c r="Y664" s="1"/>
      <c r="Z664" s="1"/>
    </row>
    <row r="665" spans="1:26" ht="50" customHeight="1" x14ac:dyDescent="0.15">
      <c r="A665" s="1"/>
      <c r="B665" s="1"/>
      <c r="C665" s="11"/>
      <c r="E665" s="4"/>
      <c r="F665" s="4"/>
      <c r="G665" s="1"/>
      <c r="H665" s="1"/>
      <c r="I665" s="1"/>
      <c r="J665" s="1"/>
      <c r="K665" s="1">
        <v>667</v>
      </c>
      <c r="M665" s="1"/>
      <c r="N665" s="1"/>
      <c r="O665" s="1"/>
      <c r="P665" s="1"/>
      <c r="R665" s="1"/>
      <c r="S665" s="1"/>
      <c r="T665" s="1"/>
      <c r="U665" s="1"/>
      <c r="V665" s="1"/>
      <c r="W665" s="1"/>
      <c r="X665" s="1"/>
      <c r="Y665" s="1"/>
      <c r="Z665" s="1"/>
    </row>
    <row r="666" spans="1:26" ht="50" customHeight="1" x14ac:dyDescent="0.15">
      <c r="A666" s="1"/>
      <c r="B666" s="1"/>
      <c r="C666" s="11"/>
      <c r="E666" s="4"/>
      <c r="F666" s="4"/>
      <c r="G666" s="1"/>
      <c r="H666" s="1"/>
      <c r="I666" s="1"/>
      <c r="J666" s="1"/>
      <c r="K666" s="1">
        <v>668</v>
      </c>
      <c r="M666" s="1"/>
      <c r="N666" s="1"/>
      <c r="O666" s="1"/>
      <c r="P666" s="1"/>
      <c r="R666" s="1"/>
      <c r="S666" s="1"/>
      <c r="T666" s="1"/>
      <c r="U666" s="1"/>
      <c r="V666" s="1"/>
      <c r="W666" s="1"/>
      <c r="X666" s="1"/>
      <c r="Y666" s="1"/>
      <c r="Z666" s="1"/>
    </row>
    <row r="667" spans="1:26" ht="50" customHeight="1" x14ac:dyDescent="0.15">
      <c r="A667" s="1"/>
      <c r="B667" s="1"/>
      <c r="C667" s="11"/>
      <c r="E667" s="4"/>
      <c r="F667" s="4"/>
      <c r="G667" s="1"/>
      <c r="H667" s="1"/>
      <c r="I667" s="1"/>
      <c r="J667" s="1"/>
      <c r="K667" s="1">
        <v>669</v>
      </c>
      <c r="M667" s="1"/>
      <c r="N667" s="1"/>
      <c r="O667" s="1"/>
      <c r="P667" s="1"/>
      <c r="R667" s="1"/>
      <c r="S667" s="1"/>
      <c r="T667" s="1"/>
      <c r="U667" s="1"/>
      <c r="V667" s="1"/>
      <c r="W667" s="1"/>
      <c r="X667" s="1"/>
      <c r="Y667" s="1"/>
      <c r="Z667" s="1"/>
    </row>
    <row r="668" spans="1:26" ht="50" customHeight="1" x14ac:dyDescent="0.15">
      <c r="A668" s="1"/>
      <c r="B668" s="1"/>
      <c r="C668" s="11"/>
      <c r="E668" s="4"/>
      <c r="F668" s="4"/>
      <c r="G668" s="1"/>
      <c r="H668" s="1"/>
      <c r="I668" s="1"/>
      <c r="J668" s="1"/>
      <c r="K668" s="1">
        <v>670</v>
      </c>
      <c r="M668" s="1"/>
      <c r="N668" s="1"/>
      <c r="O668" s="1"/>
      <c r="P668" s="1"/>
      <c r="R668" s="1"/>
      <c r="S668" s="1"/>
      <c r="T668" s="1"/>
      <c r="U668" s="1"/>
      <c r="V668" s="1"/>
      <c r="W668" s="1"/>
      <c r="X668" s="1"/>
      <c r="Y668" s="1"/>
      <c r="Z668" s="1"/>
    </row>
    <row r="669" spans="1:26" ht="50" customHeight="1" x14ac:dyDescent="0.15">
      <c r="A669" s="1"/>
      <c r="B669" s="1"/>
      <c r="C669" s="11"/>
      <c r="E669" s="4"/>
      <c r="F669" s="4"/>
      <c r="G669" s="1"/>
      <c r="H669" s="1"/>
      <c r="I669" s="1"/>
      <c r="J669" s="1"/>
      <c r="K669" s="1">
        <v>671</v>
      </c>
      <c r="M669" s="1"/>
      <c r="N669" s="1"/>
      <c r="O669" s="1"/>
      <c r="P669" s="1"/>
      <c r="R669" s="1"/>
      <c r="S669" s="1"/>
      <c r="T669" s="1"/>
      <c r="U669" s="1"/>
      <c r="V669" s="1"/>
      <c r="W669" s="1"/>
      <c r="X669" s="1"/>
      <c r="Y669" s="1"/>
      <c r="Z669" s="1"/>
    </row>
    <row r="670" spans="1:26" ht="50" customHeight="1" x14ac:dyDescent="0.15">
      <c r="A670" s="1"/>
      <c r="B670" s="1"/>
      <c r="C670" s="11"/>
      <c r="E670" s="4"/>
      <c r="F670" s="4"/>
      <c r="G670" s="1"/>
      <c r="H670" s="1"/>
      <c r="I670" s="1"/>
      <c r="J670" s="1"/>
      <c r="K670" s="1">
        <v>672</v>
      </c>
      <c r="M670" s="1"/>
      <c r="N670" s="1"/>
      <c r="O670" s="1"/>
      <c r="P670" s="1"/>
      <c r="R670" s="1"/>
      <c r="S670" s="1"/>
      <c r="T670" s="1"/>
      <c r="U670" s="1"/>
      <c r="V670" s="1"/>
      <c r="W670" s="1"/>
      <c r="X670" s="1"/>
      <c r="Y670" s="1"/>
      <c r="Z670" s="1"/>
    </row>
    <row r="671" spans="1:26" ht="50" customHeight="1" x14ac:dyDescent="0.15">
      <c r="A671" s="1"/>
      <c r="B671" s="1"/>
      <c r="C671" s="11"/>
      <c r="E671" s="4"/>
      <c r="F671" s="4"/>
      <c r="G671" s="1"/>
      <c r="H671" s="1"/>
      <c r="I671" s="1"/>
      <c r="J671" s="1"/>
      <c r="K671" s="1">
        <v>673</v>
      </c>
      <c r="M671" s="1"/>
      <c r="N671" s="1"/>
      <c r="O671" s="1"/>
      <c r="P671" s="1"/>
      <c r="R671" s="1"/>
      <c r="S671" s="1"/>
      <c r="T671" s="1"/>
      <c r="U671" s="1"/>
      <c r="V671" s="1"/>
      <c r="W671" s="1"/>
      <c r="X671" s="1"/>
      <c r="Y671" s="1"/>
      <c r="Z671" s="1"/>
    </row>
    <row r="672" spans="1:26" ht="50" customHeight="1" x14ac:dyDescent="0.15">
      <c r="A672" s="1"/>
      <c r="B672" s="1"/>
      <c r="C672" s="11"/>
      <c r="E672" s="4"/>
      <c r="F672" s="4"/>
      <c r="G672" s="1"/>
      <c r="H672" s="1"/>
      <c r="I672" s="1"/>
      <c r="J672" s="1"/>
      <c r="K672" s="4">
        <v>674</v>
      </c>
      <c r="M672" s="1"/>
      <c r="N672" s="1"/>
      <c r="O672" s="1"/>
      <c r="P672" s="1"/>
      <c r="R672" s="1"/>
      <c r="S672" s="1"/>
      <c r="T672" s="1"/>
      <c r="U672" s="1"/>
      <c r="V672" s="1"/>
      <c r="W672" s="1"/>
      <c r="X672" s="1"/>
      <c r="Y672" s="1"/>
      <c r="Z672" s="1"/>
    </row>
    <row r="673" spans="1:26" ht="50" customHeight="1" x14ac:dyDescent="0.15">
      <c r="A673" s="1"/>
      <c r="B673" s="1"/>
      <c r="C673" s="11"/>
      <c r="E673" s="4"/>
      <c r="F673" s="4"/>
      <c r="G673" s="1"/>
      <c r="H673" s="1"/>
      <c r="I673" s="1"/>
      <c r="J673" s="1"/>
      <c r="K673" s="4">
        <v>675</v>
      </c>
      <c r="M673" s="1"/>
      <c r="N673" s="1"/>
      <c r="O673" s="1"/>
      <c r="P673" s="1"/>
      <c r="R673" s="1"/>
      <c r="S673" s="1"/>
      <c r="T673" s="1"/>
      <c r="U673" s="1"/>
      <c r="V673" s="1"/>
      <c r="W673" s="1"/>
      <c r="X673" s="1"/>
      <c r="Y673" s="1"/>
      <c r="Z673" s="1"/>
    </row>
    <row r="674" spans="1:26" ht="50" customHeight="1" x14ac:dyDescent="0.15">
      <c r="A674" s="1"/>
      <c r="B674" s="1"/>
      <c r="C674" s="11"/>
      <c r="E674" s="4"/>
      <c r="F674" s="4"/>
      <c r="G674" s="1"/>
      <c r="H674" s="1"/>
      <c r="I674" s="1"/>
      <c r="J674" s="1"/>
      <c r="K674" s="4">
        <v>676</v>
      </c>
      <c r="M674" s="1"/>
      <c r="N674" s="1"/>
      <c r="O674" s="1"/>
      <c r="P674" s="1"/>
      <c r="R674" s="1"/>
      <c r="S674" s="1"/>
      <c r="T674" s="1"/>
      <c r="U674" s="1"/>
      <c r="V674" s="1"/>
      <c r="W674" s="1"/>
      <c r="X674" s="1"/>
      <c r="Y674" s="1"/>
      <c r="Z674" s="1"/>
    </row>
    <row r="675" spans="1:26" ht="50" customHeight="1" x14ac:dyDescent="0.15">
      <c r="A675" s="1"/>
      <c r="B675" s="1"/>
      <c r="C675" s="4"/>
      <c r="E675" s="4"/>
      <c r="F675" s="4"/>
      <c r="G675" s="1"/>
      <c r="H675" s="1"/>
      <c r="I675" s="1"/>
      <c r="J675" s="1"/>
      <c r="K675" s="4">
        <v>677</v>
      </c>
      <c r="M675" s="1"/>
      <c r="N675" s="1"/>
      <c r="O675" s="1"/>
      <c r="P675" s="1"/>
      <c r="R675" s="1"/>
      <c r="S675" s="1"/>
      <c r="T675" s="1"/>
      <c r="U675" s="1"/>
      <c r="V675" s="1"/>
      <c r="W675" s="1"/>
      <c r="X675" s="1"/>
      <c r="Y675" s="1"/>
      <c r="Z675" s="1"/>
    </row>
    <row r="676" spans="1:26" ht="50" customHeight="1" x14ac:dyDescent="0.15">
      <c r="A676" s="1"/>
      <c r="B676" s="1"/>
      <c r="C676" s="4"/>
      <c r="E676" s="4"/>
      <c r="F676" s="4"/>
      <c r="G676" s="1"/>
      <c r="H676" s="1"/>
      <c r="I676" s="1"/>
      <c r="J676" s="1"/>
      <c r="K676" s="4">
        <v>678</v>
      </c>
      <c r="M676" s="1"/>
      <c r="N676" s="1"/>
      <c r="O676" s="1"/>
      <c r="P676" s="1"/>
      <c r="R676" s="1"/>
      <c r="S676" s="1"/>
      <c r="T676" s="1"/>
      <c r="U676" s="1"/>
      <c r="V676" s="1"/>
      <c r="W676" s="1"/>
      <c r="X676" s="1"/>
      <c r="Y676" s="1"/>
      <c r="Z676" s="1"/>
    </row>
    <row r="677" spans="1:26" ht="50" customHeight="1" x14ac:dyDescent="0.15">
      <c r="A677" s="1"/>
      <c r="B677" s="1"/>
      <c r="C677" s="4"/>
      <c r="E677" s="4"/>
      <c r="F677" s="4"/>
      <c r="G677" s="1"/>
      <c r="H677" s="1"/>
      <c r="I677" s="1"/>
      <c r="J677" s="1"/>
      <c r="K677" s="4">
        <v>679</v>
      </c>
      <c r="M677" s="1"/>
      <c r="N677" s="1"/>
      <c r="O677" s="1"/>
      <c r="P677" s="1"/>
      <c r="R677" s="1"/>
      <c r="S677" s="1"/>
      <c r="T677" s="1"/>
      <c r="U677" s="1"/>
      <c r="V677" s="1"/>
      <c r="W677" s="1"/>
      <c r="X677" s="1"/>
      <c r="Y677" s="1"/>
      <c r="Z677" s="1"/>
    </row>
    <row r="678" spans="1:26" ht="50" customHeight="1" x14ac:dyDescent="0.15">
      <c r="A678" s="1"/>
      <c r="B678" s="1"/>
      <c r="C678" s="4"/>
      <c r="E678" s="4"/>
      <c r="F678" s="4"/>
      <c r="G678" s="1"/>
      <c r="H678" s="1"/>
      <c r="I678" s="1"/>
      <c r="J678" s="1"/>
      <c r="K678" s="4">
        <v>680</v>
      </c>
      <c r="M678" s="1"/>
      <c r="N678" s="1"/>
      <c r="O678" s="1"/>
      <c r="P678" s="1"/>
      <c r="R678" s="1"/>
      <c r="S678" s="1"/>
      <c r="T678" s="1"/>
      <c r="U678" s="1"/>
      <c r="V678" s="1"/>
      <c r="W678" s="1"/>
      <c r="X678" s="1"/>
      <c r="Y678" s="1"/>
      <c r="Z678" s="1"/>
    </row>
    <row r="679" spans="1:26" ht="50" customHeight="1" x14ac:dyDescent="0.15">
      <c r="A679" s="1"/>
      <c r="B679" s="1"/>
      <c r="C679" s="4"/>
      <c r="E679" s="4"/>
      <c r="F679" s="4"/>
      <c r="G679" s="1"/>
      <c r="H679" s="1"/>
      <c r="I679" s="1"/>
      <c r="J679" s="1"/>
      <c r="K679" s="4">
        <v>681</v>
      </c>
      <c r="M679" s="1"/>
      <c r="N679" s="1"/>
      <c r="O679" s="1"/>
      <c r="P679" s="1"/>
      <c r="R679" s="1"/>
      <c r="S679" s="1"/>
      <c r="T679" s="1"/>
      <c r="U679" s="1"/>
      <c r="V679" s="1"/>
      <c r="W679" s="1"/>
      <c r="X679" s="1"/>
      <c r="Y679" s="1"/>
      <c r="Z679" s="1"/>
    </row>
    <row r="680" spans="1:26" ht="50" customHeight="1" x14ac:dyDescent="0.15">
      <c r="A680" s="1"/>
      <c r="B680" s="1"/>
      <c r="C680" s="4"/>
      <c r="E680" s="4"/>
      <c r="F680" s="4"/>
      <c r="G680" s="1"/>
      <c r="H680" s="1"/>
      <c r="I680" s="1"/>
      <c r="J680" s="1"/>
      <c r="K680" s="4">
        <v>682</v>
      </c>
      <c r="M680" s="1"/>
      <c r="N680" s="1"/>
      <c r="O680" s="1"/>
      <c r="P680" s="1"/>
      <c r="R680" s="1"/>
      <c r="S680" s="1"/>
      <c r="T680" s="1"/>
      <c r="U680" s="1"/>
      <c r="V680" s="1"/>
      <c r="W680" s="1"/>
      <c r="X680" s="1"/>
      <c r="Y680" s="1"/>
      <c r="Z680" s="1"/>
    </row>
    <row r="681" spans="1:26" ht="50" customHeight="1" x14ac:dyDescent="0.15">
      <c r="A681" s="1"/>
      <c r="B681" s="1"/>
      <c r="C681" s="4"/>
      <c r="E681" s="4"/>
      <c r="F681" s="4"/>
      <c r="G681" s="1"/>
      <c r="H681" s="1"/>
      <c r="I681" s="1"/>
      <c r="J681" s="1"/>
      <c r="K681" s="4">
        <v>683</v>
      </c>
      <c r="M681" s="1"/>
      <c r="N681" s="1"/>
      <c r="O681" s="1"/>
      <c r="P681" s="1"/>
      <c r="R681" s="1"/>
      <c r="S681" s="1"/>
      <c r="T681" s="1"/>
      <c r="U681" s="1"/>
      <c r="V681" s="1"/>
      <c r="W681" s="1"/>
      <c r="X681" s="1"/>
      <c r="Y681" s="1"/>
      <c r="Z681" s="1"/>
    </row>
    <row r="682" spans="1:26" ht="50" customHeight="1" x14ac:dyDescent="0.15">
      <c r="A682" s="1"/>
      <c r="B682" s="1"/>
      <c r="C682" s="4"/>
      <c r="E682" s="4"/>
      <c r="F682" s="4"/>
      <c r="G682" s="1"/>
      <c r="H682" s="1"/>
      <c r="I682" s="1"/>
      <c r="J682" s="1"/>
      <c r="K682" s="4">
        <v>684</v>
      </c>
      <c r="M682" s="1"/>
      <c r="N682" s="1"/>
      <c r="O682" s="1"/>
      <c r="P682" s="1"/>
      <c r="R682" s="1"/>
      <c r="S682" s="1"/>
      <c r="T682" s="1"/>
      <c r="U682" s="1"/>
      <c r="V682" s="1"/>
      <c r="W682" s="1"/>
      <c r="X682" s="1"/>
      <c r="Y682" s="1"/>
      <c r="Z682" s="1"/>
    </row>
    <row r="683" spans="1:26" ht="50" customHeight="1" x14ac:dyDescent="0.15">
      <c r="A683" s="1"/>
      <c r="B683" s="1"/>
      <c r="C683" s="4"/>
      <c r="E683" s="4"/>
      <c r="F683" s="4"/>
      <c r="G683" s="1"/>
      <c r="H683" s="1"/>
      <c r="I683" s="1"/>
      <c r="J683" s="1"/>
      <c r="K683" s="4">
        <v>685</v>
      </c>
      <c r="M683" s="1"/>
      <c r="N683" s="1"/>
      <c r="O683" s="1"/>
      <c r="P683" s="1"/>
      <c r="R683" s="1"/>
      <c r="S683" s="1"/>
      <c r="T683" s="1"/>
      <c r="U683" s="1"/>
      <c r="V683" s="1"/>
      <c r="W683" s="1"/>
      <c r="X683" s="1"/>
      <c r="Y683" s="1"/>
      <c r="Z683" s="1"/>
    </row>
    <row r="684" spans="1:26" ht="50" customHeight="1" x14ac:dyDescent="0.15">
      <c r="A684" s="1"/>
      <c r="B684" s="1"/>
      <c r="C684" s="4"/>
      <c r="E684" s="4"/>
      <c r="F684" s="4"/>
      <c r="G684" s="1"/>
      <c r="H684" s="1"/>
      <c r="I684" s="1"/>
      <c r="J684" s="1"/>
      <c r="K684" s="4">
        <v>686</v>
      </c>
      <c r="M684" s="1"/>
      <c r="N684" s="1"/>
      <c r="O684" s="1"/>
      <c r="P684" s="1"/>
      <c r="R684" s="1"/>
      <c r="S684" s="1"/>
      <c r="T684" s="1"/>
      <c r="U684" s="1"/>
      <c r="V684" s="1"/>
      <c r="W684" s="1"/>
      <c r="X684" s="1"/>
      <c r="Y684" s="1"/>
      <c r="Z684" s="1"/>
    </row>
    <row r="685" spans="1:26" ht="50" customHeight="1" x14ac:dyDescent="0.15">
      <c r="A685" s="1"/>
      <c r="B685" s="1"/>
      <c r="C685" s="4"/>
      <c r="E685" s="4"/>
      <c r="F685" s="4"/>
      <c r="G685" s="1"/>
      <c r="H685" s="1"/>
      <c r="I685" s="1"/>
      <c r="J685" s="1"/>
      <c r="K685" s="4">
        <v>687</v>
      </c>
      <c r="M685" s="1"/>
      <c r="N685" s="1"/>
      <c r="O685" s="1"/>
      <c r="P685" s="1"/>
      <c r="R685" s="1"/>
      <c r="S685" s="1"/>
      <c r="T685" s="1"/>
      <c r="U685" s="1"/>
      <c r="V685" s="1"/>
      <c r="W685" s="1"/>
      <c r="X685" s="1"/>
      <c r="Y685" s="1"/>
      <c r="Z685" s="1"/>
    </row>
    <row r="686" spans="1:26" ht="50" customHeight="1" x14ac:dyDescent="0.15">
      <c r="A686" s="1"/>
      <c r="B686" s="1"/>
      <c r="C686" s="4"/>
      <c r="E686" s="4"/>
      <c r="F686" s="4"/>
      <c r="G686" s="1"/>
      <c r="H686" s="1"/>
      <c r="I686" s="1"/>
      <c r="J686" s="1"/>
      <c r="K686" s="4">
        <v>688</v>
      </c>
      <c r="M686" s="1"/>
      <c r="N686" s="1"/>
      <c r="O686" s="1"/>
      <c r="P686" s="1"/>
      <c r="R686" s="1"/>
      <c r="S686" s="1"/>
      <c r="T686" s="1"/>
      <c r="U686" s="1"/>
      <c r="V686" s="1"/>
      <c r="W686" s="1"/>
      <c r="X686" s="1"/>
      <c r="Y686" s="1"/>
      <c r="Z686" s="1"/>
    </row>
    <row r="687" spans="1:26" ht="50" customHeight="1" x14ac:dyDescent="0.15">
      <c r="A687" s="1"/>
      <c r="B687" s="1"/>
      <c r="C687" s="4"/>
      <c r="E687" s="4"/>
      <c r="F687" s="4"/>
      <c r="G687" s="1"/>
      <c r="H687" s="1"/>
      <c r="I687" s="1"/>
      <c r="J687" s="1"/>
      <c r="K687" s="4">
        <v>689</v>
      </c>
      <c r="M687" s="1"/>
      <c r="N687" s="1"/>
      <c r="O687" s="1"/>
      <c r="P687" s="1"/>
      <c r="R687" s="1"/>
      <c r="S687" s="1"/>
      <c r="T687" s="1"/>
      <c r="U687" s="1"/>
      <c r="V687" s="1"/>
      <c r="W687" s="1"/>
      <c r="X687" s="1"/>
      <c r="Y687" s="1"/>
      <c r="Z687" s="1"/>
    </row>
    <row r="688" spans="1:26" ht="50" customHeight="1" x14ac:dyDescent="0.15">
      <c r="A688" s="1"/>
      <c r="B688" s="1"/>
      <c r="C688" s="4"/>
      <c r="E688" s="4"/>
      <c r="F688" s="4"/>
      <c r="G688" s="1"/>
      <c r="H688" s="1"/>
      <c r="I688" s="1"/>
      <c r="J688" s="1"/>
      <c r="K688" s="4">
        <v>690</v>
      </c>
      <c r="M688" s="1"/>
      <c r="N688" s="1"/>
      <c r="O688" s="1"/>
      <c r="P688" s="1"/>
      <c r="R688" s="1"/>
      <c r="S688" s="1"/>
      <c r="T688" s="1"/>
      <c r="U688" s="1"/>
      <c r="V688" s="1"/>
      <c r="W688" s="1"/>
      <c r="X688" s="1"/>
      <c r="Y688" s="1"/>
      <c r="Z688" s="1"/>
    </row>
    <row r="689" spans="1:26" ht="50" customHeight="1" x14ac:dyDescent="0.15">
      <c r="A689" s="1"/>
      <c r="B689" s="1"/>
      <c r="C689" s="4"/>
      <c r="E689" s="4"/>
      <c r="F689" s="4"/>
      <c r="G689" s="1"/>
      <c r="H689" s="1"/>
      <c r="I689" s="1"/>
      <c r="J689" s="1"/>
      <c r="K689" s="4">
        <v>691</v>
      </c>
      <c r="M689" s="1"/>
      <c r="N689" s="1"/>
      <c r="O689" s="1"/>
      <c r="P689" s="1"/>
      <c r="R689" s="1"/>
      <c r="S689" s="1"/>
      <c r="T689" s="1"/>
      <c r="U689" s="1"/>
      <c r="V689" s="1"/>
      <c r="W689" s="1"/>
      <c r="X689" s="1"/>
      <c r="Y689" s="1"/>
      <c r="Z689" s="1"/>
    </row>
    <row r="690" spans="1:26" ht="50" customHeight="1" x14ac:dyDescent="0.15">
      <c r="A690" s="1"/>
      <c r="B690" s="1"/>
      <c r="C690" s="4"/>
      <c r="E690" s="4"/>
      <c r="F690" s="4"/>
      <c r="G690" s="1"/>
      <c r="H690" s="1"/>
      <c r="I690" s="1"/>
      <c r="J690" s="1"/>
      <c r="K690" s="4">
        <v>692</v>
      </c>
      <c r="M690" s="1"/>
      <c r="N690" s="1"/>
      <c r="O690" s="1"/>
      <c r="P690" s="1"/>
      <c r="R690" s="1"/>
      <c r="S690" s="1"/>
      <c r="T690" s="1"/>
      <c r="U690" s="1"/>
      <c r="V690" s="1"/>
      <c r="W690" s="1"/>
      <c r="X690" s="1"/>
      <c r="Y690" s="1"/>
      <c r="Z690" s="1"/>
    </row>
    <row r="691" spans="1:26" ht="50" customHeight="1" x14ac:dyDescent="0.15">
      <c r="A691" s="1"/>
      <c r="B691" s="1"/>
      <c r="C691" s="4"/>
      <c r="E691" s="4"/>
      <c r="F691" s="4"/>
      <c r="G691" s="1"/>
      <c r="H691" s="1"/>
      <c r="I691" s="1"/>
      <c r="J691" s="1"/>
      <c r="K691" s="4">
        <v>693</v>
      </c>
      <c r="M691" s="1"/>
      <c r="N691" s="1"/>
      <c r="O691" s="1"/>
      <c r="P691" s="1"/>
      <c r="R691" s="1"/>
      <c r="S691" s="1"/>
      <c r="T691" s="1"/>
      <c r="U691" s="1"/>
      <c r="V691" s="1"/>
      <c r="W691" s="1"/>
      <c r="X691" s="1"/>
      <c r="Y691" s="1"/>
      <c r="Z691" s="1"/>
    </row>
    <row r="692" spans="1:26" ht="50" customHeight="1" x14ac:dyDescent="0.15">
      <c r="A692" s="1"/>
      <c r="B692" s="1"/>
      <c r="C692" s="4"/>
      <c r="E692" s="4"/>
      <c r="F692" s="4"/>
      <c r="G692" s="1"/>
      <c r="H692" s="1"/>
      <c r="I692" s="1"/>
      <c r="J692" s="1"/>
      <c r="K692" s="4">
        <v>694</v>
      </c>
      <c r="M692" s="1"/>
      <c r="N692" s="1"/>
      <c r="O692" s="1"/>
      <c r="P692" s="1"/>
      <c r="R692" s="1"/>
      <c r="S692" s="1"/>
      <c r="T692" s="1"/>
      <c r="U692" s="1"/>
      <c r="V692" s="1"/>
      <c r="W692" s="1"/>
      <c r="X692" s="1"/>
      <c r="Y692" s="1"/>
      <c r="Z692" s="1"/>
    </row>
    <row r="693" spans="1:26" ht="50" customHeight="1" x14ac:dyDescent="0.15">
      <c r="A693" s="1"/>
      <c r="B693" s="1"/>
      <c r="C693" s="4"/>
      <c r="E693" s="4"/>
      <c r="F693" s="4"/>
      <c r="G693" s="1"/>
      <c r="H693" s="1"/>
      <c r="I693" s="1"/>
      <c r="J693" s="1"/>
      <c r="K693" s="4">
        <v>695</v>
      </c>
      <c r="M693" s="1"/>
      <c r="N693" s="1"/>
      <c r="O693" s="1"/>
      <c r="P693" s="1"/>
      <c r="R693" s="1"/>
      <c r="S693" s="1"/>
      <c r="T693" s="1"/>
      <c r="U693" s="1"/>
      <c r="V693" s="1"/>
      <c r="W693" s="1"/>
      <c r="X693" s="1"/>
      <c r="Y693" s="1"/>
      <c r="Z693" s="1"/>
    </row>
    <row r="694" spans="1:26" ht="50" customHeight="1" x14ac:dyDescent="0.15">
      <c r="A694" s="1"/>
      <c r="B694" s="1"/>
      <c r="C694" s="4"/>
      <c r="E694" s="4"/>
      <c r="F694" s="4"/>
      <c r="G694" s="1"/>
      <c r="H694" s="1"/>
      <c r="I694" s="1"/>
      <c r="J694" s="1"/>
      <c r="K694" s="4">
        <v>696</v>
      </c>
      <c r="M694" s="1"/>
      <c r="N694" s="1"/>
      <c r="O694" s="1"/>
      <c r="P694" s="1"/>
      <c r="R694" s="1"/>
      <c r="S694" s="1"/>
      <c r="T694" s="1"/>
      <c r="U694" s="1"/>
      <c r="V694" s="1"/>
      <c r="W694" s="1"/>
      <c r="X694" s="1"/>
      <c r="Y694" s="1"/>
      <c r="Z694" s="1"/>
    </row>
    <row r="695" spans="1:26" ht="50" customHeight="1" x14ac:dyDescent="0.15">
      <c r="A695" s="1"/>
      <c r="B695" s="1"/>
      <c r="C695" s="4"/>
      <c r="E695" s="4"/>
      <c r="F695" s="4"/>
      <c r="G695" s="1"/>
      <c r="H695" s="1"/>
      <c r="I695" s="1"/>
      <c r="J695" s="1"/>
      <c r="K695" s="4">
        <v>697</v>
      </c>
      <c r="M695" s="1"/>
      <c r="N695" s="1"/>
      <c r="O695" s="1"/>
      <c r="P695" s="1"/>
      <c r="R695" s="1"/>
      <c r="S695" s="1"/>
      <c r="T695" s="1"/>
      <c r="U695" s="1"/>
      <c r="V695" s="1"/>
      <c r="W695" s="1"/>
      <c r="X695" s="1"/>
      <c r="Y695" s="1"/>
      <c r="Z695" s="1"/>
    </row>
    <row r="696" spans="1:26" ht="50" customHeight="1" x14ac:dyDescent="0.15">
      <c r="A696" s="1"/>
      <c r="B696" s="1"/>
      <c r="C696" s="4"/>
      <c r="E696" s="4"/>
      <c r="F696" s="4"/>
      <c r="G696" s="1"/>
      <c r="H696" s="1"/>
      <c r="I696" s="1"/>
      <c r="J696" s="1"/>
      <c r="K696" s="4">
        <v>698</v>
      </c>
      <c r="M696" s="1"/>
      <c r="N696" s="1"/>
      <c r="O696" s="1"/>
      <c r="P696" s="1"/>
      <c r="R696" s="1"/>
      <c r="S696" s="1"/>
      <c r="T696" s="1"/>
      <c r="U696" s="1"/>
      <c r="V696" s="1"/>
      <c r="W696" s="1"/>
      <c r="X696" s="1"/>
      <c r="Y696" s="1"/>
      <c r="Z696" s="1"/>
    </row>
    <row r="697" spans="1:26" ht="50" customHeight="1" x14ac:dyDescent="0.15">
      <c r="A697" s="1"/>
      <c r="B697" s="1"/>
      <c r="C697" s="4"/>
      <c r="E697" s="4"/>
      <c r="F697" s="4"/>
      <c r="G697" s="1"/>
      <c r="H697" s="1"/>
      <c r="I697" s="1"/>
      <c r="J697" s="1"/>
      <c r="K697" s="4">
        <v>699</v>
      </c>
      <c r="M697" s="1"/>
      <c r="N697" s="1"/>
      <c r="O697" s="1"/>
      <c r="P697" s="1"/>
      <c r="R697" s="1"/>
      <c r="S697" s="1"/>
      <c r="T697" s="1"/>
      <c r="U697" s="1"/>
      <c r="V697" s="1"/>
      <c r="W697" s="1"/>
      <c r="X697" s="1"/>
      <c r="Y697" s="1"/>
      <c r="Z697" s="1"/>
    </row>
    <row r="698" spans="1:26" ht="50" customHeight="1" x14ac:dyDescent="0.15">
      <c r="A698" s="1"/>
      <c r="B698" s="1"/>
      <c r="C698" s="4"/>
      <c r="E698" s="4"/>
      <c r="F698" s="4"/>
      <c r="G698" s="1"/>
      <c r="H698" s="1"/>
      <c r="I698" s="1"/>
      <c r="J698" s="1"/>
      <c r="K698" s="4">
        <v>700</v>
      </c>
      <c r="M698" s="1"/>
      <c r="N698" s="1"/>
      <c r="O698" s="1"/>
      <c r="P698" s="1"/>
      <c r="R698" s="1"/>
      <c r="S698" s="1"/>
      <c r="T698" s="1"/>
      <c r="U698" s="1"/>
      <c r="V698" s="1"/>
      <c r="W698" s="1"/>
      <c r="X698" s="1"/>
      <c r="Y698" s="1"/>
      <c r="Z698" s="1"/>
    </row>
    <row r="699" spans="1:26" ht="50" customHeight="1" x14ac:dyDescent="0.15">
      <c r="A699" s="1"/>
      <c r="B699" s="1"/>
      <c r="C699" s="4"/>
      <c r="E699" s="4"/>
      <c r="F699" s="4"/>
      <c r="G699" s="1"/>
      <c r="H699" s="1"/>
      <c r="I699" s="1"/>
      <c r="J699" s="1"/>
      <c r="K699" s="4">
        <v>701</v>
      </c>
      <c r="M699" s="1"/>
      <c r="N699" s="1"/>
      <c r="O699" s="1"/>
      <c r="P699" s="1"/>
      <c r="R699" s="1"/>
      <c r="S699" s="1"/>
      <c r="T699" s="1"/>
      <c r="U699" s="1"/>
      <c r="V699" s="1"/>
      <c r="W699" s="1"/>
      <c r="X699" s="1"/>
      <c r="Y699" s="1"/>
      <c r="Z699" s="1"/>
    </row>
    <row r="700" spans="1:26" ht="50" customHeight="1" x14ac:dyDescent="0.15">
      <c r="A700" s="1"/>
      <c r="B700" s="1"/>
      <c r="C700" s="4"/>
      <c r="E700" s="4"/>
      <c r="F700" s="4"/>
      <c r="G700" s="1"/>
      <c r="H700" s="1"/>
      <c r="I700" s="1"/>
      <c r="J700" s="1"/>
      <c r="K700" s="4">
        <v>702</v>
      </c>
      <c r="M700" s="1"/>
      <c r="N700" s="1"/>
      <c r="O700" s="1"/>
      <c r="P700" s="1"/>
      <c r="R700" s="1"/>
      <c r="S700" s="1"/>
      <c r="T700" s="1"/>
      <c r="U700" s="1"/>
      <c r="V700" s="1"/>
      <c r="W700" s="1"/>
      <c r="X700" s="1"/>
      <c r="Y700" s="1"/>
      <c r="Z700" s="1"/>
    </row>
    <row r="701" spans="1:26" ht="50" customHeight="1" x14ac:dyDescent="0.15">
      <c r="A701" s="1"/>
      <c r="B701" s="1"/>
      <c r="C701" s="4"/>
      <c r="E701" s="4"/>
      <c r="F701" s="4"/>
      <c r="G701" s="1"/>
      <c r="H701" s="1"/>
      <c r="I701" s="1"/>
      <c r="J701" s="1"/>
      <c r="K701" s="4">
        <v>703</v>
      </c>
      <c r="M701" s="1"/>
      <c r="N701" s="1"/>
      <c r="O701" s="1"/>
      <c r="P701" s="1"/>
      <c r="R701" s="1"/>
      <c r="S701" s="1"/>
      <c r="T701" s="1"/>
      <c r="U701" s="1"/>
      <c r="V701" s="1"/>
      <c r="W701" s="1"/>
      <c r="X701" s="1"/>
      <c r="Y701" s="1"/>
      <c r="Z701" s="1"/>
    </row>
    <row r="702" spans="1:26" ht="50" customHeight="1" x14ac:dyDescent="0.15">
      <c r="A702" s="1"/>
      <c r="B702" s="1"/>
      <c r="C702" s="4"/>
      <c r="E702" s="4"/>
      <c r="F702" s="4"/>
      <c r="G702" s="1"/>
      <c r="H702" s="1"/>
      <c r="I702" s="1"/>
      <c r="J702" s="1"/>
      <c r="K702" s="4">
        <v>704</v>
      </c>
      <c r="M702" s="1"/>
      <c r="N702" s="1"/>
      <c r="O702" s="1"/>
      <c r="P702" s="1"/>
      <c r="R702" s="1"/>
      <c r="S702" s="1"/>
      <c r="T702" s="1"/>
      <c r="U702" s="1"/>
      <c r="V702" s="1"/>
      <c r="W702" s="1"/>
      <c r="X702" s="1"/>
      <c r="Y702" s="1"/>
      <c r="Z702" s="1"/>
    </row>
    <row r="703" spans="1:26" ht="50" customHeight="1" x14ac:dyDescent="0.15">
      <c r="A703" s="1"/>
      <c r="B703" s="1"/>
      <c r="C703" s="4"/>
      <c r="E703" s="4"/>
      <c r="F703" s="4"/>
      <c r="G703" s="1"/>
      <c r="H703" s="1"/>
      <c r="I703" s="1"/>
      <c r="J703" s="1"/>
      <c r="K703" s="4">
        <v>705</v>
      </c>
      <c r="M703" s="1"/>
      <c r="N703" s="1"/>
      <c r="O703" s="1"/>
      <c r="P703" s="1"/>
      <c r="R703" s="1"/>
      <c r="S703" s="1"/>
      <c r="T703" s="1"/>
      <c r="U703" s="1"/>
      <c r="V703" s="1"/>
      <c r="W703" s="1"/>
      <c r="X703" s="1"/>
      <c r="Y703" s="1"/>
      <c r="Z703" s="1"/>
    </row>
    <row r="704" spans="1:26" ht="50" customHeight="1" x14ac:dyDescent="0.15">
      <c r="A704" s="1"/>
      <c r="B704" s="1"/>
      <c r="C704" s="4"/>
      <c r="E704" s="4"/>
      <c r="F704" s="4"/>
      <c r="G704" s="1"/>
      <c r="H704" s="1"/>
      <c r="I704" s="1"/>
      <c r="J704" s="1"/>
      <c r="K704" s="4">
        <v>706</v>
      </c>
      <c r="M704" s="1"/>
      <c r="N704" s="1"/>
      <c r="O704" s="1"/>
      <c r="P704" s="1"/>
      <c r="R704" s="1"/>
      <c r="S704" s="1"/>
      <c r="T704" s="1"/>
      <c r="U704" s="1"/>
      <c r="V704" s="1"/>
      <c r="W704" s="1"/>
      <c r="X704" s="1"/>
      <c r="Y704" s="1"/>
      <c r="Z704" s="1"/>
    </row>
    <row r="705" spans="1:26" ht="50" customHeight="1" x14ac:dyDescent="0.15">
      <c r="A705" s="1"/>
      <c r="B705" s="1"/>
      <c r="C705" s="4"/>
      <c r="E705" s="4"/>
      <c r="F705" s="4"/>
      <c r="G705" s="1"/>
      <c r="H705" s="1"/>
      <c r="I705" s="1"/>
      <c r="J705" s="1"/>
      <c r="K705" s="4">
        <v>707</v>
      </c>
      <c r="M705" s="1"/>
      <c r="N705" s="1"/>
      <c r="O705" s="1"/>
      <c r="P705" s="1"/>
      <c r="R705" s="1"/>
      <c r="S705" s="1"/>
      <c r="T705" s="1"/>
      <c r="U705" s="1"/>
      <c r="V705" s="1"/>
      <c r="W705" s="1"/>
      <c r="X705" s="1"/>
      <c r="Y705" s="1"/>
      <c r="Z705" s="1"/>
    </row>
    <row r="706" spans="1:26" ht="50" customHeight="1" x14ac:dyDescent="0.15">
      <c r="A706" s="1"/>
      <c r="B706" s="1"/>
      <c r="C706" s="4"/>
      <c r="E706" s="4"/>
      <c r="F706" s="4"/>
      <c r="G706" s="1"/>
      <c r="H706" s="1"/>
      <c r="I706" s="1"/>
      <c r="J706" s="1"/>
      <c r="K706" s="4">
        <v>708</v>
      </c>
      <c r="M706" s="1"/>
      <c r="N706" s="1"/>
      <c r="O706" s="1"/>
      <c r="P706" s="1"/>
      <c r="R706" s="1"/>
      <c r="S706" s="1"/>
      <c r="T706" s="1"/>
      <c r="U706" s="1"/>
      <c r="V706" s="1"/>
      <c r="W706" s="1"/>
      <c r="X706" s="1"/>
      <c r="Y706" s="1"/>
      <c r="Z706" s="1"/>
    </row>
    <row r="707" spans="1:26" ht="50" customHeight="1" x14ac:dyDescent="0.15">
      <c r="A707" s="1"/>
      <c r="B707" s="1"/>
      <c r="C707" s="4"/>
      <c r="E707" s="4"/>
      <c r="F707" s="4"/>
      <c r="G707" s="1"/>
      <c r="H707" s="1"/>
      <c r="I707" s="1"/>
      <c r="J707" s="1"/>
      <c r="K707" s="4">
        <v>709</v>
      </c>
      <c r="M707" s="1"/>
      <c r="N707" s="1"/>
      <c r="O707" s="1"/>
      <c r="P707" s="1"/>
      <c r="R707" s="1"/>
      <c r="S707" s="1"/>
      <c r="T707" s="1"/>
      <c r="U707" s="1"/>
      <c r="V707" s="1"/>
      <c r="W707" s="1"/>
      <c r="X707" s="1"/>
      <c r="Y707" s="1"/>
      <c r="Z707" s="1"/>
    </row>
    <row r="708" spans="1:26" ht="50" customHeight="1" x14ac:dyDescent="0.15">
      <c r="A708" s="1"/>
      <c r="B708" s="1"/>
      <c r="C708" s="4"/>
      <c r="E708" s="4"/>
      <c r="F708" s="4"/>
      <c r="G708" s="1"/>
      <c r="H708" s="1"/>
      <c r="I708" s="1"/>
      <c r="J708" s="1"/>
      <c r="K708" s="4">
        <v>710</v>
      </c>
      <c r="M708" s="1"/>
      <c r="N708" s="1"/>
      <c r="O708" s="1"/>
      <c r="P708" s="1"/>
      <c r="R708" s="1"/>
      <c r="S708" s="1"/>
      <c r="T708" s="1"/>
      <c r="U708" s="1"/>
      <c r="V708" s="1"/>
      <c r="W708" s="1"/>
      <c r="X708" s="1"/>
      <c r="Y708" s="1"/>
      <c r="Z708" s="1"/>
    </row>
    <row r="709" spans="1:26" ht="50" customHeight="1" x14ac:dyDescent="0.15">
      <c r="A709" s="1"/>
      <c r="B709" s="1"/>
      <c r="C709" s="4"/>
      <c r="E709" s="4"/>
      <c r="F709" s="4"/>
      <c r="G709" s="1"/>
      <c r="H709" s="1"/>
      <c r="I709" s="1"/>
      <c r="J709" s="1"/>
      <c r="K709" s="4">
        <v>711</v>
      </c>
      <c r="M709" s="1"/>
      <c r="N709" s="1"/>
      <c r="O709" s="1"/>
      <c r="P709" s="1"/>
      <c r="R709" s="1"/>
      <c r="S709" s="1"/>
      <c r="T709" s="1"/>
      <c r="U709" s="1"/>
      <c r="V709" s="1"/>
      <c r="W709" s="1"/>
      <c r="X709" s="1"/>
      <c r="Y709" s="1"/>
      <c r="Z709" s="1"/>
    </row>
    <row r="710" spans="1:26" ht="50" customHeight="1" x14ac:dyDescent="0.15">
      <c r="A710" s="1"/>
      <c r="B710" s="1"/>
      <c r="C710" s="4"/>
      <c r="E710" s="4"/>
      <c r="F710" s="4"/>
      <c r="G710" s="1"/>
      <c r="H710" s="1"/>
      <c r="I710" s="1"/>
      <c r="J710" s="1"/>
      <c r="K710" s="4">
        <v>712</v>
      </c>
      <c r="M710" s="1"/>
      <c r="N710" s="1"/>
      <c r="O710" s="1"/>
      <c r="P710" s="1"/>
      <c r="R710" s="1"/>
      <c r="S710" s="1"/>
      <c r="T710" s="1"/>
      <c r="U710" s="1"/>
      <c r="V710" s="1"/>
      <c r="W710" s="1"/>
      <c r="X710" s="1"/>
      <c r="Y710" s="1"/>
      <c r="Z710" s="1"/>
    </row>
    <row r="711" spans="1:26" ht="50" customHeight="1" x14ac:dyDescent="0.15">
      <c r="A711" s="1"/>
      <c r="B711" s="1"/>
      <c r="C711" s="4"/>
      <c r="E711" s="4"/>
      <c r="F711" s="4"/>
      <c r="G711" s="1"/>
      <c r="H711" s="1"/>
      <c r="I711" s="1"/>
      <c r="J711" s="1"/>
      <c r="K711" s="4">
        <v>713</v>
      </c>
      <c r="M711" s="1"/>
      <c r="N711" s="1"/>
      <c r="O711" s="1"/>
      <c r="P711" s="1"/>
      <c r="R711" s="1"/>
      <c r="S711" s="1"/>
      <c r="T711" s="1"/>
      <c r="U711" s="1"/>
      <c r="V711" s="1"/>
      <c r="W711" s="1"/>
      <c r="X711" s="1"/>
      <c r="Y711" s="1"/>
      <c r="Z711" s="1"/>
    </row>
    <row r="712" spans="1:26" ht="50" customHeight="1" x14ac:dyDescent="0.15">
      <c r="A712" s="1"/>
      <c r="B712" s="1"/>
      <c r="C712" s="4"/>
      <c r="E712" s="4"/>
      <c r="F712" s="4"/>
      <c r="G712" s="1"/>
      <c r="H712" s="1"/>
      <c r="I712" s="1"/>
      <c r="J712" s="1"/>
      <c r="K712" s="4">
        <v>714</v>
      </c>
      <c r="M712" s="1"/>
      <c r="N712" s="1"/>
      <c r="O712" s="1"/>
      <c r="P712" s="1"/>
      <c r="R712" s="1"/>
      <c r="S712" s="1"/>
      <c r="T712" s="1"/>
      <c r="U712" s="1"/>
      <c r="V712" s="1"/>
      <c r="W712" s="1"/>
      <c r="X712" s="1"/>
      <c r="Y712" s="1"/>
      <c r="Z712" s="1"/>
    </row>
    <row r="713" spans="1:26" ht="50" customHeight="1" x14ac:dyDescent="0.15">
      <c r="A713" s="1"/>
      <c r="B713" s="1"/>
      <c r="C713" s="4"/>
      <c r="E713" s="4"/>
      <c r="F713" s="4"/>
      <c r="G713" s="1"/>
      <c r="H713" s="1"/>
      <c r="I713" s="1"/>
      <c r="J713" s="1"/>
      <c r="K713" s="4">
        <v>715</v>
      </c>
      <c r="M713" s="1"/>
      <c r="N713" s="1"/>
      <c r="O713" s="1"/>
      <c r="P713" s="1"/>
      <c r="R713" s="1"/>
      <c r="S713" s="1"/>
      <c r="T713" s="1"/>
      <c r="U713" s="1"/>
      <c r="V713" s="1"/>
      <c r="W713" s="1"/>
      <c r="X713" s="1"/>
      <c r="Y713" s="1"/>
      <c r="Z713" s="1"/>
    </row>
    <row r="714" spans="1:26" ht="50" customHeight="1" x14ac:dyDescent="0.15">
      <c r="A714" s="1"/>
      <c r="B714" s="1"/>
      <c r="C714" s="4"/>
      <c r="E714" s="4"/>
      <c r="F714" s="4"/>
      <c r="G714" s="1"/>
      <c r="H714" s="1"/>
      <c r="I714" s="1"/>
      <c r="J714" s="1"/>
      <c r="K714" s="4">
        <v>716</v>
      </c>
      <c r="M714" s="1"/>
      <c r="N714" s="1"/>
      <c r="O714" s="1"/>
      <c r="P714" s="1"/>
      <c r="R714" s="1"/>
      <c r="S714" s="1"/>
      <c r="T714" s="1"/>
      <c r="U714" s="1"/>
      <c r="V714" s="1"/>
      <c r="W714" s="1"/>
      <c r="X714" s="1"/>
      <c r="Y714" s="1"/>
      <c r="Z714" s="1"/>
    </row>
    <row r="715" spans="1:26" ht="50" customHeight="1" x14ac:dyDescent="0.15">
      <c r="A715" s="1"/>
      <c r="B715" s="1"/>
      <c r="C715" s="4"/>
      <c r="E715" s="4"/>
      <c r="F715" s="4"/>
      <c r="G715" s="1"/>
      <c r="H715" s="1"/>
      <c r="I715" s="1"/>
      <c r="J715" s="1"/>
      <c r="K715" s="4">
        <v>717</v>
      </c>
      <c r="M715" s="1"/>
      <c r="N715" s="1"/>
      <c r="O715" s="1"/>
      <c r="P715" s="1"/>
      <c r="R715" s="1"/>
      <c r="S715" s="1"/>
      <c r="T715" s="1"/>
      <c r="U715" s="1"/>
      <c r="V715" s="1"/>
      <c r="W715" s="1"/>
      <c r="X715" s="1"/>
      <c r="Y715" s="1"/>
      <c r="Z715" s="1"/>
    </row>
    <row r="716" spans="1:26" ht="50" customHeight="1" x14ac:dyDescent="0.15">
      <c r="A716" s="1"/>
      <c r="B716" s="1"/>
      <c r="C716" s="4"/>
      <c r="E716" s="4"/>
      <c r="F716" s="4"/>
      <c r="G716" s="1"/>
      <c r="H716" s="1"/>
      <c r="I716" s="1"/>
      <c r="J716" s="1"/>
      <c r="K716" s="4">
        <v>718</v>
      </c>
      <c r="M716" s="1"/>
      <c r="N716" s="1"/>
      <c r="O716" s="1"/>
      <c r="P716" s="1"/>
      <c r="R716" s="1"/>
      <c r="S716" s="1"/>
      <c r="T716" s="1"/>
      <c r="U716" s="1"/>
      <c r="V716" s="1"/>
      <c r="W716" s="1"/>
      <c r="X716" s="1"/>
      <c r="Y716" s="1"/>
      <c r="Z716" s="1"/>
    </row>
    <row r="717" spans="1:26" ht="50" customHeight="1" x14ac:dyDescent="0.15">
      <c r="A717" s="1"/>
      <c r="B717" s="1"/>
      <c r="C717" s="4"/>
      <c r="E717" s="4"/>
      <c r="F717" s="4"/>
      <c r="G717" s="1"/>
      <c r="H717" s="1"/>
      <c r="I717" s="1"/>
      <c r="J717" s="1"/>
      <c r="K717" s="4">
        <v>719</v>
      </c>
      <c r="M717" s="1"/>
      <c r="N717" s="1"/>
      <c r="O717" s="1"/>
      <c r="P717" s="1"/>
      <c r="R717" s="1"/>
      <c r="S717" s="1"/>
      <c r="T717" s="1"/>
      <c r="U717" s="1"/>
      <c r="V717" s="1"/>
      <c r="W717" s="1"/>
      <c r="X717" s="1"/>
      <c r="Y717" s="1"/>
      <c r="Z717" s="1"/>
    </row>
    <row r="718" spans="1:26" ht="50" customHeight="1" x14ac:dyDescent="0.15">
      <c r="A718" s="1"/>
      <c r="B718" s="1"/>
      <c r="C718" s="4"/>
      <c r="E718" s="4"/>
      <c r="F718" s="4"/>
      <c r="G718" s="1"/>
      <c r="H718" s="1"/>
      <c r="I718" s="1"/>
      <c r="J718" s="1"/>
      <c r="K718" s="4">
        <v>720</v>
      </c>
      <c r="M718" s="1"/>
      <c r="N718" s="1"/>
      <c r="O718" s="1"/>
      <c r="P718" s="1"/>
      <c r="R718" s="1"/>
      <c r="S718" s="1"/>
      <c r="T718" s="1"/>
      <c r="U718" s="1"/>
      <c r="V718" s="1"/>
      <c r="W718" s="1"/>
      <c r="X718" s="1"/>
      <c r="Y718" s="1"/>
      <c r="Z718" s="1"/>
    </row>
    <row r="719" spans="1:26" ht="50" customHeight="1" x14ac:dyDescent="0.15">
      <c r="A719" s="1"/>
      <c r="B719" s="1"/>
      <c r="C719" s="4"/>
      <c r="E719" s="4"/>
      <c r="F719" s="4"/>
      <c r="G719" s="1"/>
      <c r="H719" s="1"/>
      <c r="I719" s="1"/>
      <c r="J719" s="1"/>
      <c r="K719" s="4">
        <v>721</v>
      </c>
      <c r="M719" s="1"/>
      <c r="N719" s="1"/>
      <c r="O719" s="1"/>
      <c r="P719" s="1"/>
      <c r="R719" s="1"/>
      <c r="S719" s="1"/>
      <c r="T719" s="1"/>
      <c r="U719" s="1"/>
      <c r="V719" s="1"/>
      <c r="W719" s="1"/>
      <c r="X719" s="1"/>
      <c r="Y719" s="1"/>
      <c r="Z719" s="1"/>
    </row>
    <row r="720" spans="1:26" ht="50" customHeight="1" x14ac:dyDescent="0.15">
      <c r="A720" s="1"/>
      <c r="B720" s="1"/>
      <c r="C720" s="4"/>
      <c r="E720" s="4"/>
      <c r="F720" s="4"/>
      <c r="G720" s="1"/>
      <c r="H720" s="1"/>
      <c r="I720" s="1"/>
      <c r="J720" s="1"/>
      <c r="K720" s="4">
        <v>722</v>
      </c>
      <c r="M720" s="1"/>
      <c r="N720" s="1"/>
      <c r="O720" s="1"/>
      <c r="P720" s="1"/>
      <c r="R720" s="1"/>
      <c r="S720" s="1"/>
      <c r="T720" s="1"/>
      <c r="U720" s="1"/>
      <c r="V720" s="1"/>
      <c r="W720" s="1"/>
      <c r="X720" s="1"/>
      <c r="Y720" s="1"/>
      <c r="Z720" s="1"/>
    </row>
    <row r="721" spans="1:26" ht="50" customHeight="1" x14ac:dyDescent="0.15">
      <c r="A721" s="1"/>
      <c r="B721" s="1"/>
      <c r="C721" s="4"/>
      <c r="E721" s="4"/>
      <c r="F721" s="4"/>
      <c r="G721" s="1"/>
      <c r="H721" s="1"/>
      <c r="I721" s="1"/>
      <c r="J721" s="1"/>
      <c r="K721" s="4">
        <v>723</v>
      </c>
      <c r="M721" s="1"/>
      <c r="N721" s="1"/>
      <c r="O721" s="1"/>
      <c r="P721" s="1"/>
      <c r="R721" s="1"/>
      <c r="S721" s="1"/>
      <c r="T721" s="1"/>
      <c r="U721" s="1"/>
      <c r="V721" s="1"/>
      <c r="W721" s="1"/>
      <c r="X721" s="1"/>
      <c r="Y721" s="1"/>
      <c r="Z721" s="1"/>
    </row>
    <row r="722" spans="1:26" ht="50" customHeight="1" x14ac:dyDescent="0.15">
      <c r="A722" s="1"/>
      <c r="B722" s="1"/>
      <c r="C722" s="4"/>
      <c r="E722" s="4"/>
      <c r="F722" s="4"/>
      <c r="G722" s="1"/>
      <c r="H722" s="1"/>
      <c r="I722" s="1"/>
      <c r="J722" s="1"/>
      <c r="K722" s="4">
        <v>724</v>
      </c>
      <c r="M722" s="1"/>
      <c r="N722" s="1"/>
      <c r="O722" s="1"/>
      <c r="P722" s="1"/>
      <c r="R722" s="1"/>
      <c r="S722" s="1"/>
      <c r="T722" s="1"/>
      <c r="U722" s="1"/>
      <c r="V722" s="1"/>
      <c r="W722" s="1"/>
      <c r="X722" s="1"/>
      <c r="Y722" s="1"/>
      <c r="Z722" s="1"/>
    </row>
    <row r="723" spans="1:26" ht="50" customHeight="1" x14ac:dyDescent="0.15">
      <c r="A723" s="1"/>
      <c r="B723" s="1"/>
      <c r="C723" s="4"/>
      <c r="E723" s="4"/>
      <c r="F723" s="4"/>
      <c r="G723" s="1"/>
      <c r="H723" s="1"/>
      <c r="I723" s="1"/>
      <c r="J723" s="1"/>
      <c r="K723" s="4">
        <v>725</v>
      </c>
      <c r="M723" s="1"/>
      <c r="N723" s="1"/>
      <c r="O723" s="1"/>
      <c r="P723" s="1"/>
      <c r="R723" s="1"/>
      <c r="S723" s="1"/>
      <c r="T723" s="1"/>
      <c r="U723" s="1"/>
      <c r="V723" s="1"/>
      <c r="W723" s="1"/>
      <c r="X723" s="1"/>
      <c r="Y723" s="1"/>
      <c r="Z723" s="1"/>
    </row>
    <row r="724" spans="1:26" ht="50" customHeight="1" x14ac:dyDescent="0.15">
      <c r="A724" s="1"/>
      <c r="B724" s="1"/>
      <c r="C724" s="4"/>
      <c r="E724" s="4"/>
      <c r="F724" s="4"/>
      <c r="G724" s="1"/>
      <c r="H724" s="1"/>
      <c r="I724" s="1"/>
      <c r="J724" s="1"/>
      <c r="K724" s="4">
        <v>726</v>
      </c>
      <c r="M724" s="1"/>
      <c r="N724" s="1"/>
      <c r="O724" s="1"/>
      <c r="P724" s="1"/>
      <c r="R724" s="1"/>
      <c r="S724" s="1"/>
      <c r="T724" s="1"/>
      <c r="U724" s="1"/>
      <c r="V724" s="1"/>
      <c r="W724" s="1"/>
      <c r="X724" s="1"/>
      <c r="Y724" s="1"/>
      <c r="Z724" s="1"/>
    </row>
    <row r="725" spans="1:26" ht="50" customHeight="1" x14ac:dyDescent="0.15">
      <c r="A725" s="1"/>
      <c r="B725" s="1"/>
      <c r="C725" s="4"/>
      <c r="E725" s="4"/>
      <c r="F725" s="4"/>
      <c r="G725" s="1"/>
      <c r="H725" s="1"/>
      <c r="I725" s="1"/>
      <c r="J725" s="1"/>
      <c r="K725" s="4">
        <v>727</v>
      </c>
      <c r="M725" s="1"/>
      <c r="N725" s="1"/>
      <c r="O725" s="1"/>
      <c r="P725" s="1"/>
      <c r="R725" s="1"/>
      <c r="S725" s="1"/>
      <c r="T725" s="1"/>
      <c r="U725" s="1"/>
      <c r="V725" s="1"/>
      <c r="W725" s="1"/>
      <c r="X725" s="1"/>
      <c r="Y725" s="1"/>
      <c r="Z725" s="1"/>
    </row>
    <row r="726" spans="1:26" ht="50" customHeight="1" x14ac:dyDescent="0.15">
      <c r="A726" s="1"/>
      <c r="B726" s="1"/>
      <c r="C726" s="4"/>
      <c r="E726" s="4"/>
      <c r="F726" s="4"/>
      <c r="G726" s="1"/>
      <c r="H726" s="1"/>
      <c r="I726" s="1"/>
      <c r="J726" s="1"/>
      <c r="K726" s="4">
        <v>728</v>
      </c>
      <c r="M726" s="1"/>
      <c r="N726" s="1"/>
      <c r="O726" s="1"/>
      <c r="P726" s="1"/>
      <c r="R726" s="1"/>
      <c r="S726" s="1"/>
      <c r="T726" s="1"/>
      <c r="U726" s="1"/>
      <c r="V726" s="1"/>
      <c r="W726" s="1"/>
      <c r="X726" s="1"/>
      <c r="Y726" s="1"/>
      <c r="Z726" s="1"/>
    </row>
    <row r="727" spans="1:26" ht="50" customHeight="1" x14ac:dyDescent="0.15">
      <c r="A727" s="1"/>
      <c r="B727" s="1"/>
      <c r="C727" s="4"/>
      <c r="E727" s="4"/>
      <c r="F727" s="4"/>
      <c r="G727" s="1"/>
      <c r="H727" s="1"/>
      <c r="I727" s="1"/>
      <c r="J727" s="1"/>
      <c r="K727" s="4">
        <v>729</v>
      </c>
      <c r="M727" s="1"/>
      <c r="N727" s="1"/>
      <c r="O727" s="1"/>
      <c r="P727" s="1"/>
      <c r="R727" s="1"/>
      <c r="S727" s="1"/>
      <c r="T727" s="1"/>
      <c r="U727" s="1"/>
      <c r="V727" s="1"/>
      <c r="W727" s="1"/>
      <c r="X727" s="1"/>
      <c r="Y727" s="1"/>
      <c r="Z727" s="1"/>
    </row>
    <row r="728" spans="1:26" ht="50" customHeight="1" x14ac:dyDescent="0.15">
      <c r="A728" s="1"/>
      <c r="B728" s="1"/>
      <c r="C728" s="4"/>
      <c r="E728" s="4"/>
      <c r="F728" s="4"/>
      <c r="G728" s="1"/>
      <c r="H728" s="1"/>
      <c r="I728" s="1"/>
      <c r="J728" s="1"/>
      <c r="K728" s="4">
        <v>730</v>
      </c>
      <c r="M728" s="1"/>
      <c r="N728" s="1"/>
      <c r="O728" s="1"/>
      <c r="P728" s="1"/>
      <c r="R728" s="1"/>
      <c r="S728" s="1"/>
      <c r="T728" s="1"/>
      <c r="U728" s="1"/>
      <c r="V728" s="1"/>
      <c r="W728" s="1"/>
      <c r="X728" s="1"/>
      <c r="Y728" s="1"/>
      <c r="Z728" s="1"/>
    </row>
    <row r="729" spans="1:26" ht="50" customHeight="1" x14ac:dyDescent="0.15">
      <c r="A729" s="1"/>
      <c r="B729" s="1"/>
      <c r="C729" s="4"/>
      <c r="E729" s="4"/>
      <c r="F729" s="4"/>
      <c r="G729" s="1"/>
      <c r="H729" s="1"/>
      <c r="I729" s="1"/>
      <c r="J729" s="1"/>
      <c r="K729" s="4">
        <v>731</v>
      </c>
      <c r="M729" s="1"/>
      <c r="N729" s="1"/>
      <c r="O729" s="1"/>
      <c r="P729" s="1"/>
      <c r="R729" s="1"/>
      <c r="S729" s="1"/>
      <c r="T729" s="1"/>
      <c r="U729" s="1"/>
      <c r="V729" s="1"/>
      <c r="W729" s="1"/>
      <c r="X729" s="1"/>
      <c r="Y729" s="1"/>
      <c r="Z729" s="1"/>
    </row>
    <row r="730" spans="1:26" ht="50" customHeight="1" x14ac:dyDescent="0.15">
      <c r="A730" s="1"/>
      <c r="B730" s="1"/>
      <c r="C730" s="4"/>
      <c r="E730" s="4"/>
      <c r="F730" s="4"/>
      <c r="G730" s="1"/>
      <c r="H730" s="1"/>
      <c r="I730" s="1"/>
      <c r="J730" s="1"/>
      <c r="K730" s="4">
        <v>732</v>
      </c>
      <c r="M730" s="1"/>
      <c r="N730" s="1"/>
      <c r="O730" s="1"/>
      <c r="P730" s="1"/>
      <c r="R730" s="1"/>
      <c r="S730" s="1"/>
      <c r="T730" s="1"/>
      <c r="U730" s="1"/>
      <c r="V730" s="1"/>
      <c r="W730" s="1"/>
      <c r="X730" s="1"/>
      <c r="Y730" s="1"/>
      <c r="Z730" s="1"/>
    </row>
    <row r="731" spans="1:26" ht="50" customHeight="1" x14ac:dyDescent="0.15">
      <c r="A731" s="1"/>
      <c r="B731" s="1"/>
      <c r="C731" s="4"/>
      <c r="E731" s="4"/>
      <c r="F731" s="4"/>
      <c r="G731" s="1"/>
      <c r="H731" s="1"/>
      <c r="I731" s="1"/>
      <c r="J731" s="1"/>
      <c r="K731" s="4">
        <v>733</v>
      </c>
      <c r="M731" s="1"/>
      <c r="N731" s="1"/>
      <c r="O731" s="1"/>
      <c r="P731" s="1"/>
      <c r="R731" s="1"/>
      <c r="S731" s="1"/>
      <c r="T731" s="1"/>
      <c r="U731" s="1"/>
      <c r="V731" s="1"/>
      <c r="W731" s="1"/>
      <c r="X731" s="1"/>
      <c r="Y731" s="1"/>
      <c r="Z731" s="1"/>
    </row>
    <row r="732" spans="1:26" ht="50" customHeight="1" x14ac:dyDescent="0.15">
      <c r="A732" s="1"/>
      <c r="B732" s="1"/>
      <c r="C732" s="4"/>
      <c r="E732" s="4"/>
      <c r="F732" s="4"/>
      <c r="G732" s="1"/>
      <c r="H732" s="1"/>
      <c r="I732" s="1"/>
      <c r="J732" s="1"/>
      <c r="K732" s="4">
        <v>734</v>
      </c>
      <c r="M732" s="1"/>
      <c r="N732" s="1"/>
      <c r="O732" s="1"/>
      <c r="P732" s="1"/>
      <c r="R732" s="1"/>
      <c r="S732" s="1"/>
      <c r="T732" s="1"/>
      <c r="U732" s="1"/>
      <c r="V732" s="1"/>
      <c r="W732" s="1"/>
      <c r="X732" s="1"/>
      <c r="Y732" s="1"/>
      <c r="Z732" s="1"/>
    </row>
    <row r="733" spans="1:26" ht="50" customHeight="1" x14ac:dyDescent="0.15">
      <c r="A733" s="1"/>
      <c r="B733" s="1"/>
      <c r="C733" s="4"/>
      <c r="E733" s="4"/>
      <c r="F733" s="4"/>
      <c r="G733" s="1"/>
      <c r="H733" s="1"/>
      <c r="I733" s="1"/>
      <c r="J733" s="1"/>
      <c r="K733" s="4">
        <v>735</v>
      </c>
      <c r="M733" s="1"/>
      <c r="N733" s="1"/>
      <c r="O733" s="1"/>
      <c r="P733" s="1"/>
      <c r="R733" s="1"/>
      <c r="S733" s="1"/>
      <c r="T733" s="1"/>
      <c r="U733" s="1"/>
      <c r="V733" s="1"/>
      <c r="W733" s="1"/>
      <c r="X733" s="1"/>
      <c r="Y733" s="1"/>
      <c r="Z733" s="1"/>
    </row>
    <row r="734" spans="1:26" ht="50" customHeight="1" x14ac:dyDescent="0.15">
      <c r="A734" s="1"/>
      <c r="B734" s="1"/>
      <c r="C734" s="4"/>
      <c r="E734" s="4"/>
      <c r="F734" s="4"/>
      <c r="G734" s="1"/>
      <c r="H734" s="1"/>
      <c r="I734" s="1"/>
      <c r="J734" s="1"/>
      <c r="K734" s="4">
        <v>736</v>
      </c>
      <c r="M734" s="1"/>
      <c r="N734" s="1"/>
      <c r="O734" s="1"/>
      <c r="P734" s="1"/>
      <c r="R734" s="1"/>
      <c r="S734" s="1"/>
      <c r="T734" s="1"/>
      <c r="U734" s="1"/>
      <c r="V734" s="1"/>
      <c r="W734" s="1"/>
      <c r="X734" s="1"/>
      <c r="Y734" s="1"/>
      <c r="Z734" s="1"/>
    </row>
    <row r="735" spans="1:26" ht="50" customHeight="1" x14ac:dyDescent="0.15">
      <c r="A735" s="1"/>
      <c r="B735" s="1"/>
      <c r="C735" s="4"/>
      <c r="E735" s="4"/>
      <c r="F735" s="4"/>
      <c r="G735" s="1"/>
      <c r="H735" s="1"/>
      <c r="I735" s="1"/>
      <c r="J735" s="1"/>
      <c r="K735" s="4">
        <v>737</v>
      </c>
      <c r="M735" s="1"/>
      <c r="N735" s="1"/>
      <c r="O735" s="1"/>
      <c r="P735" s="1"/>
      <c r="R735" s="1"/>
      <c r="S735" s="1"/>
      <c r="T735" s="1"/>
      <c r="U735" s="1"/>
      <c r="V735" s="1"/>
      <c r="W735" s="1"/>
      <c r="X735" s="1"/>
      <c r="Y735" s="1"/>
      <c r="Z735" s="1"/>
    </row>
    <row r="736" spans="1:26" ht="50" customHeight="1" x14ac:dyDescent="0.15">
      <c r="A736" s="1"/>
      <c r="B736" s="1"/>
      <c r="C736" s="4"/>
      <c r="E736" s="4"/>
      <c r="F736" s="4"/>
      <c r="G736" s="1"/>
      <c r="H736" s="1"/>
      <c r="I736" s="1"/>
      <c r="J736" s="1"/>
      <c r="K736" s="4">
        <v>738</v>
      </c>
      <c r="M736" s="1"/>
      <c r="N736" s="1"/>
      <c r="O736" s="1"/>
      <c r="P736" s="1"/>
      <c r="R736" s="1"/>
      <c r="S736" s="1"/>
      <c r="T736" s="1"/>
      <c r="U736" s="1"/>
      <c r="V736" s="1"/>
      <c r="W736" s="1"/>
      <c r="X736" s="1"/>
      <c r="Y736" s="1"/>
      <c r="Z736" s="1"/>
    </row>
    <row r="737" spans="1:26" ht="50" customHeight="1" x14ac:dyDescent="0.15">
      <c r="A737" s="1"/>
      <c r="B737" s="1"/>
      <c r="C737" s="4"/>
      <c r="E737" s="4"/>
      <c r="F737" s="4"/>
      <c r="G737" s="1"/>
      <c r="H737" s="1"/>
      <c r="I737" s="1"/>
      <c r="J737" s="1"/>
      <c r="K737" s="4">
        <v>739</v>
      </c>
      <c r="M737" s="1"/>
      <c r="N737" s="1"/>
      <c r="O737" s="1"/>
      <c r="P737" s="1"/>
      <c r="R737" s="1"/>
      <c r="S737" s="1"/>
      <c r="T737" s="1"/>
      <c r="U737" s="1"/>
      <c r="V737" s="1"/>
      <c r="W737" s="1"/>
      <c r="X737" s="1"/>
      <c r="Y737" s="1"/>
      <c r="Z737" s="1"/>
    </row>
    <row r="738" spans="1:26" ht="50" customHeight="1" x14ac:dyDescent="0.15">
      <c r="A738" s="1"/>
      <c r="B738" s="1"/>
      <c r="C738" s="4"/>
      <c r="E738" s="4"/>
      <c r="F738" s="4"/>
      <c r="G738" s="1"/>
      <c r="H738" s="1"/>
      <c r="I738" s="1"/>
      <c r="J738" s="1"/>
      <c r="K738" s="4">
        <v>740</v>
      </c>
      <c r="M738" s="1"/>
      <c r="N738" s="1"/>
      <c r="O738" s="1"/>
      <c r="P738" s="1"/>
      <c r="R738" s="1"/>
      <c r="S738" s="1"/>
      <c r="T738" s="1"/>
      <c r="U738" s="1"/>
      <c r="V738" s="1"/>
      <c r="W738" s="1"/>
      <c r="X738" s="1"/>
      <c r="Y738" s="1"/>
      <c r="Z738" s="1"/>
    </row>
    <row r="739" spans="1:26" ht="50" customHeight="1" x14ac:dyDescent="0.15">
      <c r="A739" s="1"/>
      <c r="B739" s="1"/>
      <c r="C739" s="4"/>
      <c r="E739" s="4"/>
      <c r="F739" s="4"/>
      <c r="G739" s="1"/>
      <c r="H739" s="1"/>
      <c r="I739" s="1"/>
      <c r="J739" s="1"/>
      <c r="K739" s="4">
        <v>741</v>
      </c>
      <c r="M739" s="1"/>
      <c r="N739" s="1"/>
      <c r="O739" s="1"/>
      <c r="P739" s="1"/>
      <c r="R739" s="1"/>
      <c r="S739" s="1"/>
      <c r="T739" s="1"/>
      <c r="U739" s="1"/>
      <c r="V739" s="1"/>
      <c r="W739" s="1"/>
      <c r="X739" s="1"/>
      <c r="Y739" s="1"/>
      <c r="Z739" s="1"/>
    </row>
    <row r="740" spans="1:26" ht="50" customHeight="1" x14ac:dyDescent="0.15">
      <c r="A740" s="1"/>
      <c r="B740" s="1"/>
      <c r="C740" s="4"/>
      <c r="E740" s="4"/>
      <c r="F740" s="4"/>
      <c r="G740" s="1"/>
      <c r="H740" s="1"/>
      <c r="I740" s="1"/>
      <c r="J740" s="1"/>
      <c r="K740" s="4">
        <v>742</v>
      </c>
      <c r="M740" s="1"/>
      <c r="N740" s="1"/>
      <c r="O740" s="1"/>
      <c r="P740" s="1"/>
      <c r="R740" s="1"/>
      <c r="S740" s="1"/>
      <c r="T740" s="1"/>
      <c r="U740" s="1"/>
      <c r="V740" s="1"/>
      <c r="W740" s="1"/>
      <c r="X740" s="1"/>
      <c r="Y740" s="1"/>
      <c r="Z740" s="1"/>
    </row>
    <row r="741" spans="1:26" ht="50" customHeight="1" x14ac:dyDescent="0.15">
      <c r="A741" s="1"/>
      <c r="B741" s="1"/>
      <c r="C741" s="4"/>
      <c r="E741" s="4"/>
      <c r="F741" s="4"/>
      <c r="G741" s="1"/>
      <c r="H741" s="1"/>
      <c r="I741" s="1"/>
      <c r="J741" s="1"/>
      <c r="K741" s="4">
        <v>743</v>
      </c>
      <c r="M741" s="1"/>
      <c r="N741" s="1"/>
      <c r="O741" s="1"/>
      <c r="P741" s="1"/>
      <c r="R741" s="1"/>
      <c r="S741" s="1"/>
      <c r="T741" s="1"/>
      <c r="U741" s="1"/>
      <c r="V741" s="1"/>
      <c r="W741" s="1"/>
      <c r="X741" s="1"/>
      <c r="Y741" s="1"/>
      <c r="Z741" s="1"/>
    </row>
    <row r="742" spans="1:26" ht="50" customHeight="1" x14ac:dyDescent="0.15">
      <c r="A742" s="1"/>
      <c r="B742" s="1"/>
      <c r="C742" s="4"/>
      <c r="E742" s="4"/>
      <c r="F742" s="4"/>
      <c r="G742" s="1"/>
      <c r="H742" s="1"/>
      <c r="I742" s="1"/>
      <c r="J742" s="1"/>
      <c r="K742" s="4">
        <v>744</v>
      </c>
      <c r="M742" s="1"/>
      <c r="N742" s="1"/>
      <c r="O742" s="1"/>
      <c r="P742" s="1"/>
      <c r="R742" s="1"/>
      <c r="S742" s="1"/>
      <c r="T742" s="1"/>
      <c r="U742" s="1"/>
      <c r="V742" s="1"/>
      <c r="W742" s="1"/>
      <c r="X742" s="1"/>
      <c r="Y742" s="1"/>
      <c r="Z742" s="1"/>
    </row>
    <row r="743" spans="1:26" ht="50" customHeight="1" x14ac:dyDescent="0.15">
      <c r="A743" s="1"/>
      <c r="B743" s="1"/>
      <c r="C743" s="4"/>
      <c r="E743" s="4"/>
      <c r="F743" s="4"/>
      <c r="G743" s="1"/>
      <c r="H743" s="1"/>
      <c r="I743" s="1"/>
      <c r="J743" s="1"/>
      <c r="K743" s="4">
        <v>745</v>
      </c>
      <c r="M743" s="1"/>
      <c r="N743" s="1"/>
      <c r="O743" s="1"/>
      <c r="P743" s="1"/>
      <c r="R743" s="1"/>
      <c r="S743" s="1"/>
      <c r="T743" s="1"/>
      <c r="U743" s="1"/>
      <c r="V743" s="1"/>
      <c r="W743" s="1"/>
      <c r="X743" s="1"/>
      <c r="Y743" s="1"/>
      <c r="Z743" s="1"/>
    </row>
    <row r="744" spans="1:26" ht="50" customHeight="1" x14ac:dyDescent="0.15">
      <c r="A744" s="1"/>
      <c r="B744" s="1"/>
      <c r="C744" s="4"/>
      <c r="E744" s="4"/>
      <c r="F744" s="4"/>
      <c r="G744" s="1"/>
      <c r="H744" s="1"/>
      <c r="I744" s="1"/>
      <c r="J744" s="1"/>
      <c r="K744" s="4">
        <v>746</v>
      </c>
      <c r="M744" s="1"/>
      <c r="N744" s="1"/>
      <c r="O744" s="1"/>
      <c r="P744" s="1"/>
      <c r="R744" s="1"/>
      <c r="S744" s="1"/>
      <c r="T744" s="1"/>
      <c r="U744" s="1"/>
      <c r="V744" s="1"/>
      <c r="W744" s="1"/>
      <c r="X744" s="1"/>
      <c r="Y744" s="1"/>
      <c r="Z744" s="1"/>
    </row>
    <row r="745" spans="1:26" ht="50" customHeight="1" x14ac:dyDescent="0.15">
      <c r="A745" s="1"/>
      <c r="B745" s="1"/>
      <c r="C745" s="4"/>
      <c r="E745" s="4"/>
      <c r="F745" s="4"/>
      <c r="G745" s="1"/>
      <c r="H745" s="1"/>
      <c r="I745" s="1"/>
      <c r="J745" s="1"/>
      <c r="K745" s="4">
        <v>747</v>
      </c>
      <c r="M745" s="1"/>
      <c r="N745" s="1"/>
      <c r="O745" s="1"/>
      <c r="P745" s="1"/>
      <c r="R745" s="1"/>
      <c r="S745" s="1"/>
      <c r="T745" s="1"/>
      <c r="U745" s="1"/>
      <c r="V745" s="1"/>
      <c r="W745" s="1"/>
      <c r="X745" s="1"/>
      <c r="Y745" s="1"/>
      <c r="Z745" s="1"/>
    </row>
    <row r="746" spans="1:26" ht="50" customHeight="1" x14ac:dyDescent="0.15">
      <c r="A746" s="1"/>
      <c r="B746" s="1"/>
      <c r="C746" s="4"/>
      <c r="E746" s="4"/>
      <c r="F746" s="4"/>
      <c r="G746" s="1"/>
      <c r="H746" s="1"/>
      <c r="I746" s="1"/>
      <c r="J746" s="1"/>
      <c r="K746" s="4">
        <v>748</v>
      </c>
      <c r="M746" s="1"/>
      <c r="N746" s="1"/>
      <c r="O746" s="1"/>
      <c r="P746" s="1"/>
      <c r="R746" s="1"/>
      <c r="S746" s="1"/>
      <c r="T746" s="1"/>
      <c r="U746" s="1"/>
      <c r="V746" s="1"/>
      <c r="W746" s="1"/>
      <c r="X746" s="1"/>
      <c r="Y746" s="1"/>
      <c r="Z746" s="1"/>
    </row>
    <row r="747" spans="1:26" ht="50" customHeight="1" x14ac:dyDescent="0.15">
      <c r="A747" s="1"/>
      <c r="B747" s="1"/>
      <c r="C747" s="4"/>
      <c r="E747" s="4"/>
      <c r="F747" s="4"/>
      <c r="G747" s="1"/>
      <c r="H747" s="1"/>
      <c r="I747" s="1"/>
      <c r="J747" s="1"/>
      <c r="K747" s="4">
        <v>749</v>
      </c>
      <c r="M747" s="1"/>
      <c r="N747" s="1"/>
      <c r="O747" s="1"/>
      <c r="P747" s="1"/>
      <c r="R747" s="1"/>
      <c r="S747" s="1"/>
      <c r="T747" s="1"/>
      <c r="U747" s="1"/>
      <c r="V747" s="1"/>
      <c r="W747" s="1"/>
      <c r="X747" s="1"/>
      <c r="Y747" s="1"/>
      <c r="Z747" s="1"/>
    </row>
    <row r="748" spans="1:26" ht="50" customHeight="1" x14ac:dyDescent="0.15">
      <c r="A748" s="1"/>
      <c r="B748" s="1"/>
      <c r="C748" s="4"/>
      <c r="E748" s="4"/>
      <c r="F748" s="4"/>
      <c r="G748" s="1"/>
      <c r="H748" s="1"/>
      <c r="I748" s="1"/>
      <c r="J748" s="1"/>
      <c r="K748" s="4">
        <v>750</v>
      </c>
      <c r="M748" s="1"/>
      <c r="N748" s="1"/>
      <c r="O748" s="1"/>
      <c r="P748" s="1"/>
      <c r="R748" s="1"/>
      <c r="S748" s="1"/>
      <c r="T748" s="1"/>
      <c r="U748" s="1"/>
      <c r="V748" s="1"/>
      <c r="W748" s="1"/>
      <c r="X748" s="1"/>
      <c r="Y748" s="1"/>
      <c r="Z748" s="1"/>
    </row>
    <row r="749" spans="1:26" ht="50" customHeight="1" x14ac:dyDescent="0.15">
      <c r="A749" s="1"/>
      <c r="B749" s="1"/>
      <c r="C749" s="4"/>
      <c r="E749" s="4"/>
      <c r="F749" s="4"/>
      <c r="G749" s="1"/>
      <c r="H749" s="1"/>
      <c r="I749" s="1"/>
      <c r="J749" s="1"/>
      <c r="K749" s="4">
        <v>751</v>
      </c>
      <c r="M749" s="1"/>
      <c r="N749" s="1"/>
      <c r="O749" s="1"/>
      <c r="P749" s="1"/>
      <c r="R749" s="1"/>
      <c r="S749" s="1"/>
      <c r="T749" s="1"/>
      <c r="U749" s="1"/>
      <c r="V749" s="1"/>
      <c r="W749" s="1"/>
      <c r="X749" s="1"/>
      <c r="Y749" s="1"/>
      <c r="Z749" s="1"/>
    </row>
    <row r="750" spans="1:26" ht="50" customHeight="1" x14ac:dyDescent="0.15">
      <c r="A750" s="1"/>
      <c r="B750" s="1"/>
      <c r="C750" s="4"/>
      <c r="E750" s="4"/>
      <c r="F750" s="4"/>
      <c r="G750" s="1"/>
      <c r="H750" s="1"/>
      <c r="I750" s="1"/>
      <c r="J750" s="1"/>
      <c r="K750" s="4">
        <v>752</v>
      </c>
      <c r="M750" s="1"/>
      <c r="N750" s="1"/>
      <c r="O750" s="1"/>
      <c r="P750" s="1"/>
      <c r="R750" s="1"/>
      <c r="S750" s="1"/>
      <c r="T750" s="1"/>
      <c r="U750" s="1"/>
      <c r="V750" s="1"/>
      <c r="W750" s="1"/>
      <c r="X750" s="1"/>
      <c r="Y750" s="1"/>
      <c r="Z750" s="1"/>
    </row>
    <row r="751" spans="1:26" ht="50" customHeight="1" x14ac:dyDescent="0.15">
      <c r="A751" s="1"/>
      <c r="B751" s="1"/>
      <c r="C751" s="4"/>
      <c r="E751" s="4"/>
      <c r="F751" s="4"/>
      <c r="G751" s="1"/>
      <c r="H751" s="1"/>
      <c r="I751" s="1"/>
      <c r="J751" s="1"/>
      <c r="K751" s="4">
        <v>753</v>
      </c>
      <c r="M751" s="1"/>
      <c r="N751" s="1"/>
      <c r="O751" s="1"/>
      <c r="P751" s="1"/>
      <c r="R751" s="1"/>
      <c r="S751" s="1"/>
      <c r="T751" s="1"/>
      <c r="U751" s="1"/>
      <c r="V751" s="1"/>
      <c r="W751" s="1"/>
      <c r="X751" s="1"/>
      <c r="Y751" s="1"/>
      <c r="Z751" s="1"/>
    </row>
    <row r="752" spans="1:26" ht="50" customHeight="1" x14ac:dyDescent="0.15">
      <c r="A752" s="1"/>
      <c r="B752" s="1"/>
      <c r="C752" s="4"/>
      <c r="E752" s="4"/>
      <c r="F752" s="4"/>
      <c r="G752" s="1"/>
      <c r="H752" s="1"/>
      <c r="I752" s="1"/>
      <c r="J752" s="1"/>
      <c r="K752" s="4">
        <v>754</v>
      </c>
      <c r="M752" s="1"/>
      <c r="N752" s="1"/>
      <c r="O752" s="1"/>
      <c r="P752" s="1"/>
      <c r="R752" s="1"/>
      <c r="S752" s="1"/>
      <c r="T752" s="1"/>
      <c r="U752" s="1"/>
      <c r="V752" s="1"/>
      <c r="W752" s="1"/>
      <c r="X752" s="1"/>
      <c r="Y752" s="1"/>
      <c r="Z752" s="1"/>
    </row>
    <row r="753" spans="1:26" ht="50" customHeight="1" x14ac:dyDescent="0.15">
      <c r="A753" s="1"/>
      <c r="B753" s="1"/>
      <c r="C753" s="4"/>
      <c r="E753" s="4"/>
      <c r="F753" s="4"/>
      <c r="G753" s="1"/>
      <c r="H753" s="1"/>
      <c r="I753" s="1"/>
      <c r="J753" s="1"/>
      <c r="K753" s="4">
        <v>755</v>
      </c>
      <c r="M753" s="1"/>
      <c r="N753" s="1"/>
      <c r="O753" s="1"/>
      <c r="P753" s="1"/>
      <c r="R753" s="1"/>
      <c r="S753" s="1"/>
      <c r="T753" s="1"/>
      <c r="U753" s="1"/>
      <c r="V753" s="1"/>
      <c r="W753" s="1"/>
      <c r="X753" s="1"/>
      <c r="Y753" s="1"/>
      <c r="Z753" s="1"/>
    </row>
    <row r="754" spans="1:26" ht="50" customHeight="1" x14ac:dyDescent="0.15">
      <c r="A754" s="1"/>
      <c r="B754" s="1"/>
      <c r="C754" s="4"/>
      <c r="E754" s="4"/>
      <c r="F754" s="4"/>
      <c r="G754" s="1"/>
      <c r="H754" s="1"/>
      <c r="I754" s="1"/>
      <c r="J754" s="1"/>
      <c r="K754" s="4">
        <v>756</v>
      </c>
      <c r="M754" s="1"/>
      <c r="N754" s="1"/>
      <c r="O754" s="1"/>
      <c r="P754" s="1"/>
      <c r="R754" s="1"/>
      <c r="S754" s="1"/>
      <c r="T754" s="1"/>
      <c r="U754" s="1"/>
      <c r="V754" s="1"/>
      <c r="W754" s="1"/>
      <c r="X754" s="1"/>
      <c r="Y754" s="1"/>
      <c r="Z754" s="1"/>
    </row>
    <row r="755" spans="1:26" ht="50" customHeight="1" x14ac:dyDescent="0.15">
      <c r="A755" s="1"/>
      <c r="B755" s="1"/>
      <c r="C755" s="4"/>
      <c r="E755" s="4"/>
      <c r="F755" s="4"/>
      <c r="G755" s="1"/>
      <c r="H755" s="1"/>
      <c r="I755" s="1"/>
      <c r="J755" s="1"/>
      <c r="K755" s="4">
        <v>757</v>
      </c>
      <c r="M755" s="1"/>
      <c r="N755" s="1"/>
      <c r="O755" s="1"/>
      <c r="P755" s="1"/>
      <c r="R755" s="1"/>
      <c r="S755" s="1"/>
      <c r="T755" s="1"/>
      <c r="U755" s="1"/>
      <c r="V755" s="1"/>
      <c r="W755" s="1"/>
      <c r="X755" s="1"/>
      <c r="Y755" s="1"/>
      <c r="Z755" s="1"/>
    </row>
    <row r="756" spans="1:26" ht="50" customHeight="1" x14ac:dyDescent="0.15">
      <c r="A756" s="1"/>
      <c r="B756" s="1"/>
      <c r="C756" s="4"/>
      <c r="E756" s="4"/>
      <c r="F756" s="4"/>
      <c r="G756" s="1"/>
      <c r="H756" s="1"/>
      <c r="I756" s="1"/>
      <c r="J756" s="1"/>
      <c r="K756" s="4">
        <v>758</v>
      </c>
      <c r="M756" s="1"/>
      <c r="N756" s="1"/>
      <c r="O756" s="1"/>
      <c r="P756" s="1"/>
      <c r="R756" s="1"/>
      <c r="S756" s="1"/>
      <c r="T756" s="1"/>
      <c r="U756" s="1"/>
      <c r="V756" s="1"/>
      <c r="W756" s="1"/>
      <c r="X756" s="1"/>
      <c r="Y756" s="1"/>
      <c r="Z756" s="1"/>
    </row>
    <row r="757" spans="1:26" ht="50" customHeight="1" x14ac:dyDescent="0.15">
      <c r="A757" s="1"/>
      <c r="B757" s="1"/>
      <c r="C757" s="4"/>
      <c r="E757" s="4"/>
      <c r="F757" s="4"/>
      <c r="G757" s="1"/>
      <c r="H757" s="1"/>
      <c r="I757" s="1"/>
      <c r="J757" s="1"/>
      <c r="K757" s="4">
        <v>759</v>
      </c>
      <c r="M757" s="1"/>
      <c r="N757" s="1"/>
      <c r="O757" s="1"/>
      <c r="P757" s="1"/>
      <c r="R757" s="1"/>
      <c r="S757" s="1"/>
      <c r="T757" s="1"/>
      <c r="U757" s="1"/>
      <c r="V757" s="1"/>
      <c r="W757" s="1"/>
      <c r="X757" s="1"/>
      <c r="Y757" s="1"/>
      <c r="Z757" s="1"/>
    </row>
    <row r="758" spans="1:26" ht="50" customHeight="1" x14ac:dyDescent="0.15">
      <c r="A758" s="1"/>
      <c r="B758" s="1"/>
      <c r="C758" s="4"/>
      <c r="E758" s="4"/>
      <c r="F758" s="4"/>
      <c r="G758" s="1"/>
      <c r="H758" s="1"/>
      <c r="I758" s="1"/>
      <c r="J758" s="1"/>
      <c r="K758" s="4">
        <v>760</v>
      </c>
      <c r="M758" s="1"/>
      <c r="N758" s="1"/>
      <c r="O758" s="1"/>
      <c r="P758" s="1"/>
      <c r="R758" s="1"/>
      <c r="S758" s="1"/>
      <c r="T758" s="1"/>
      <c r="U758" s="1"/>
      <c r="V758" s="1"/>
      <c r="W758" s="1"/>
      <c r="X758" s="1"/>
      <c r="Y758" s="1"/>
      <c r="Z758" s="1"/>
    </row>
    <row r="759" spans="1:26" ht="50" customHeight="1" x14ac:dyDescent="0.15">
      <c r="A759" s="1"/>
      <c r="B759" s="1"/>
      <c r="C759" s="4"/>
      <c r="E759" s="4"/>
      <c r="F759" s="4"/>
      <c r="G759" s="1"/>
      <c r="H759" s="1"/>
      <c r="I759" s="1"/>
      <c r="J759" s="1"/>
      <c r="K759" s="4">
        <v>761</v>
      </c>
      <c r="M759" s="1"/>
      <c r="N759" s="1"/>
      <c r="O759" s="1"/>
      <c r="P759" s="1"/>
      <c r="R759" s="1"/>
      <c r="S759" s="1"/>
      <c r="T759" s="1"/>
      <c r="U759" s="1"/>
      <c r="V759" s="1"/>
      <c r="W759" s="1"/>
      <c r="X759" s="1"/>
      <c r="Y759" s="1"/>
      <c r="Z759" s="1"/>
    </row>
    <row r="760" spans="1:26" ht="50" customHeight="1" x14ac:dyDescent="0.15">
      <c r="A760" s="1"/>
      <c r="B760" s="1"/>
      <c r="C760" s="4"/>
      <c r="E760" s="4"/>
      <c r="F760" s="4"/>
      <c r="G760" s="1"/>
      <c r="H760" s="1"/>
      <c r="I760" s="1"/>
      <c r="J760" s="1"/>
      <c r="K760" s="4">
        <v>762</v>
      </c>
      <c r="M760" s="1"/>
      <c r="N760" s="1"/>
      <c r="O760" s="1"/>
      <c r="P760" s="1"/>
      <c r="R760" s="1"/>
      <c r="S760" s="1"/>
      <c r="T760" s="1"/>
      <c r="U760" s="1"/>
      <c r="V760" s="1"/>
      <c r="W760" s="1"/>
      <c r="X760" s="1"/>
      <c r="Y760" s="1"/>
      <c r="Z760" s="1"/>
    </row>
    <row r="761" spans="1:26" ht="50" customHeight="1" x14ac:dyDescent="0.15">
      <c r="A761" s="1"/>
      <c r="B761" s="1"/>
      <c r="C761" s="4"/>
      <c r="E761" s="4"/>
      <c r="F761" s="4"/>
      <c r="G761" s="1"/>
      <c r="H761" s="1"/>
      <c r="I761" s="1"/>
      <c r="J761" s="1"/>
      <c r="K761" s="4">
        <v>763</v>
      </c>
      <c r="M761" s="1"/>
      <c r="N761" s="1"/>
      <c r="O761" s="1"/>
      <c r="P761" s="1"/>
      <c r="R761" s="1"/>
      <c r="S761" s="1"/>
      <c r="T761" s="1"/>
      <c r="U761" s="1"/>
      <c r="V761" s="1"/>
      <c r="W761" s="1"/>
      <c r="X761" s="1"/>
      <c r="Y761" s="1"/>
      <c r="Z761" s="1"/>
    </row>
    <row r="762" spans="1:26" ht="50" customHeight="1" x14ac:dyDescent="0.15">
      <c r="A762" s="1"/>
      <c r="B762" s="1"/>
      <c r="C762" s="4"/>
      <c r="E762" s="4"/>
      <c r="F762" s="4"/>
      <c r="G762" s="1"/>
      <c r="H762" s="1"/>
      <c r="I762" s="1"/>
      <c r="J762" s="1"/>
      <c r="K762" s="4">
        <v>764</v>
      </c>
      <c r="M762" s="1"/>
      <c r="N762" s="1"/>
      <c r="O762" s="1"/>
      <c r="P762" s="1"/>
      <c r="R762" s="1"/>
      <c r="S762" s="1"/>
      <c r="T762" s="1"/>
      <c r="U762" s="1"/>
      <c r="V762" s="1"/>
      <c r="W762" s="1"/>
      <c r="X762" s="1"/>
      <c r="Y762" s="1"/>
      <c r="Z762" s="1"/>
    </row>
    <row r="763" spans="1:26" ht="50" customHeight="1" x14ac:dyDescent="0.15">
      <c r="A763" s="1"/>
      <c r="B763" s="1"/>
      <c r="C763" s="4"/>
      <c r="E763" s="4"/>
      <c r="F763" s="4"/>
      <c r="G763" s="1"/>
      <c r="H763" s="1"/>
      <c r="I763" s="1"/>
      <c r="J763" s="1"/>
      <c r="K763" s="4">
        <v>765</v>
      </c>
      <c r="M763" s="1"/>
      <c r="N763" s="1"/>
      <c r="O763" s="1"/>
      <c r="P763" s="1"/>
      <c r="R763" s="1"/>
      <c r="S763" s="1"/>
      <c r="T763" s="1"/>
      <c r="U763" s="1"/>
      <c r="V763" s="1"/>
      <c r="W763" s="1"/>
      <c r="X763" s="1"/>
      <c r="Y763" s="1"/>
      <c r="Z763" s="1"/>
    </row>
    <row r="764" spans="1:26" ht="50" customHeight="1" x14ac:dyDescent="0.15">
      <c r="A764" s="1"/>
      <c r="B764" s="1"/>
      <c r="C764" s="4"/>
      <c r="E764" s="4"/>
      <c r="F764" s="4"/>
      <c r="G764" s="1"/>
      <c r="H764" s="1"/>
      <c r="I764" s="1"/>
      <c r="J764" s="1"/>
      <c r="K764" s="4">
        <v>766</v>
      </c>
      <c r="M764" s="1"/>
      <c r="N764" s="1"/>
      <c r="O764" s="1"/>
      <c r="P764" s="1"/>
      <c r="R764" s="1"/>
      <c r="S764" s="1"/>
      <c r="T764" s="1"/>
      <c r="U764" s="1"/>
      <c r="V764" s="1"/>
      <c r="W764" s="1"/>
      <c r="X764" s="1"/>
      <c r="Y764" s="1"/>
      <c r="Z764" s="1"/>
    </row>
    <row r="765" spans="1:26" ht="50" customHeight="1" x14ac:dyDescent="0.15">
      <c r="A765" s="1"/>
      <c r="B765" s="1"/>
      <c r="C765" s="4"/>
      <c r="E765" s="4"/>
      <c r="F765" s="4"/>
      <c r="G765" s="1"/>
      <c r="H765" s="1"/>
      <c r="I765" s="1"/>
      <c r="J765" s="1"/>
      <c r="K765" s="4">
        <v>767</v>
      </c>
      <c r="M765" s="1"/>
      <c r="N765" s="1"/>
      <c r="O765" s="1"/>
      <c r="P765" s="1"/>
      <c r="R765" s="1"/>
      <c r="S765" s="1"/>
      <c r="T765" s="1"/>
      <c r="U765" s="1"/>
      <c r="V765" s="1"/>
      <c r="W765" s="1"/>
      <c r="X765" s="1"/>
      <c r="Y765" s="1"/>
      <c r="Z765" s="1"/>
    </row>
    <row r="766" spans="1:26" ht="50" customHeight="1" x14ac:dyDescent="0.15">
      <c r="A766" s="1"/>
      <c r="B766" s="1"/>
      <c r="C766" s="4"/>
      <c r="E766" s="4"/>
      <c r="F766" s="4"/>
      <c r="G766" s="1"/>
      <c r="H766" s="1"/>
      <c r="I766" s="1"/>
      <c r="J766" s="1"/>
      <c r="K766" s="4">
        <v>768</v>
      </c>
      <c r="M766" s="1"/>
      <c r="N766" s="1"/>
      <c r="O766" s="1"/>
      <c r="P766" s="1"/>
      <c r="R766" s="1"/>
      <c r="S766" s="1"/>
      <c r="T766" s="1"/>
      <c r="U766" s="1"/>
      <c r="V766" s="1"/>
      <c r="W766" s="1"/>
      <c r="X766" s="1"/>
      <c r="Y766" s="1"/>
      <c r="Z766" s="1"/>
    </row>
    <row r="767" spans="1:26" ht="50" customHeight="1" x14ac:dyDescent="0.15">
      <c r="A767" s="1"/>
      <c r="B767" s="1"/>
      <c r="C767" s="4"/>
      <c r="E767" s="4"/>
      <c r="F767" s="4"/>
      <c r="G767" s="1"/>
      <c r="H767" s="1"/>
      <c r="I767" s="1"/>
      <c r="J767" s="1"/>
      <c r="K767" s="4">
        <v>769</v>
      </c>
      <c r="M767" s="1"/>
      <c r="N767" s="1"/>
      <c r="O767" s="1"/>
      <c r="P767" s="1"/>
      <c r="R767" s="1"/>
      <c r="S767" s="1"/>
      <c r="T767" s="1"/>
      <c r="U767" s="1"/>
      <c r="V767" s="1"/>
      <c r="W767" s="1"/>
      <c r="X767" s="1"/>
      <c r="Y767" s="1"/>
      <c r="Z767" s="1"/>
    </row>
    <row r="768" spans="1:26" ht="50" customHeight="1" x14ac:dyDescent="0.15">
      <c r="A768" s="1"/>
      <c r="B768" s="1"/>
      <c r="C768" s="4"/>
      <c r="E768" s="4"/>
      <c r="F768" s="4"/>
      <c r="G768" s="1"/>
      <c r="H768" s="1"/>
      <c r="I768" s="1"/>
      <c r="J768" s="1"/>
      <c r="K768" s="4">
        <v>770</v>
      </c>
      <c r="M768" s="1"/>
      <c r="N768" s="1"/>
      <c r="O768" s="1"/>
      <c r="P768" s="1"/>
      <c r="R768" s="1"/>
      <c r="S768" s="1"/>
      <c r="T768" s="1"/>
      <c r="U768" s="1"/>
      <c r="V768" s="1"/>
      <c r="W768" s="1"/>
      <c r="X768" s="1"/>
      <c r="Y768" s="1"/>
      <c r="Z768" s="1"/>
    </row>
    <row r="769" spans="1:26" ht="50" customHeight="1" x14ac:dyDescent="0.15">
      <c r="A769" s="1"/>
      <c r="B769" s="1"/>
      <c r="C769" s="4"/>
      <c r="E769" s="4"/>
      <c r="F769" s="4"/>
      <c r="G769" s="1"/>
      <c r="H769" s="1"/>
      <c r="I769" s="1"/>
      <c r="J769" s="1"/>
      <c r="K769" s="4">
        <v>771</v>
      </c>
      <c r="M769" s="1"/>
      <c r="N769" s="1"/>
      <c r="O769" s="1"/>
      <c r="P769" s="1"/>
      <c r="R769" s="1"/>
      <c r="S769" s="1"/>
      <c r="T769" s="1"/>
      <c r="U769" s="1"/>
      <c r="V769" s="1"/>
      <c r="W769" s="1"/>
      <c r="X769" s="1"/>
      <c r="Y769" s="1"/>
      <c r="Z769" s="1"/>
    </row>
    <row r="770" spans="1:26" ht="50" customHeight="1" x14ac:dyDescent="0.15">
      <c r="A770" s="1"/>
      <c r="B770" s="1"/>
      <c r="C770" s="4"/>
      <c r="E770" s="4"/>
      <c r="F770" s="4"/>
      <c r="G770" s="1"/>
      <c r="H770" s="1"/>
      <c r="I770" s="1"/>
      <c r="J770" s="1"/>
      <c r="K770" s="4">
        <v>772</v>
      </c>
      <c r="M770" s="1"/>
      <c r="N770" s="1"/>
      <c r="O770" s="1"/>
      <c r="P770" s="1"/>
      <c r="R770" s="1"/>
      <c r="S770" s="1"/>
      <c r="T770" s="1"/>
      <c r="U770" s="1"/>
      <c r="V770" s="1"/>
      <c r="W770" s="1"/>
      <c r="X770" s="1"/>
      <c r="Y770" s="1"/>
      <c r="Z770" s="1"/>
    </row>
    <row r="771" spans="1:26" ht="50" customHeight="1" x14ac:dyDescent="0.15">
      <c r="A771" s="1"/>
      <c r="B771" s="1"/>
      <c r="C771" s="4"/>
      <c r="E771" s="4"/>
      <c r="F771" s="4"/>
      <c r="G771" s="1"/>
      <c r="H771" s="1"/>
      <c r="I771" s="1"/>
      <c r="J771" s="1"/>
      <c r="K771" s="4">
        <v>773</v>
      </c>
      <c r="M771" s="1"/>
      <c r="N771" s="1"/>
      <c r="O771" s="1"/>
      <c r="P771" s="1"/>
      <c r="R771" s="1"/>
      <c r="S771" s="1"/>
      <c r="T771" s="1"/>
      <c r="U771" s="1"/>
      <c r="V771" s="1"/>
      <c r="W771" s="1"/>
      <c r="X771" s="1"/>
      <c r="Y771" s="1"/>
      <c r="Z771" s="1"/>
    </row>
    <row r="772" spans="1:26" ht="50" customHeight="1" x14ac:dyDescent="0.15">
      <c r="A772" s="1"/>
      <c r="B772" s="1"/>
      <c r="C772" s="4"/>
      <c r="E772" s="4"/>
      <c r="F772" s="4"/>
      <c r="G772" s="1"/>
      <c r="H772" s="1"/>
      <c r="I772" s="1"/>
      <c r="J772" s="1"/>
      <c r="K772" s="4">
        <v>774</v>
      </c>
      <c r="M772" s="1"/>
      <c r="N772" s="1"/>
      <c r="O772" s="1"/>
      <c r="P772" s="1"/>
      <c r="R772" s="1"/>
      <c r="S772" s="1"/>
      <c r="T772" s="1"/>
      <c r="U772" s="1"/>
      <c r="V772" s="1"/>
      <c r="W772" s="1"/>
      <c r="X772" s="1"/>
      <c r="Y772" s="1"/>
      <c r="Z772" s="1"/>
    </row>
    <row r="773" spans="1:26" ht="50" customHeight="1" x14ac:dyDescent="0.15">
      <c r="A773" s="1"/>
      <c r="B773" s="1"/>
      <c r="C773" s="4"/>
      <c r="E773" s="4"/>
      <c r="F773" s="4"/>
      <c r="G773" s="1"/>
      <c r="H773" s="1"/>
      <c r="I773" s="1"/>
      <c r="J773" s="1"/>
      <c r="K773" s="4">
        <v>775</v>
      </c>
      <c r="M773" s="1"/>
      <c r="N773" s="1"/>
      <c r="O773" s="1"/>
      <c r="P773" s="1"/>
      <c r="R773" s="1"/>
      <c r="S773" s="1"/>
      <c r="T773" s="1"/>
      <c r="U773" s="1"/>
      <c r="V773" s="1"/>
      <c r="W773" s="1"/>
      <c r="X773" s="1"/>
      <c r="Y773" s="1"/>
      <c r="Z773" s="1"/>
    </row>
    <row r="774" spans="1:26" ht="50" customHeight="1" x14ac:dyDescent="0.15">
      <c r="A774" s="1"/>
      <c r="B774" s="1"/>
      <c r="C774" s="4"/>
      <c r="E774" s="4"/>
      <c r="F774" s="4"/>
      <c r="G774" s="1"/>
      <c r="H774" s="1"/>
      <c r="I774" s="1"/>
      <c r="J774" s="1"/>
      <c r="K774" s="4">
        <v>776</v>
      </c>
      <c r="M774" s="1"/>
      <c r="N774" s="1"/>
      <c r="O774" s="1"/>
      <c r="P774" s="1"/>
      <c r="R774" s="1"/>
      <c r="S774" s="1"/>
      <c r="T774" s="1"/>
      <c r="U774" s="1"/>
      <c r="V774" s="1"/>
      <c r="W774" s="1"/>
      <c r="X774" s="1"/>
      <c r="Y774" s="1"/>
      <c r="Z774" s="1"/>
    </row>
    <row r="775" spans="1:26" ht="50" customHeight="1" x14ac:dyDescent="0.15">
      <c r="A775" s="1"/>
      <c r="B775" s="1"/>
      <c r="C775" s="4"/>
      <c r="E775" s="4"/>
      <c r="F775" s="4"/>
      <c r="G775" s="1"/>
      <c r="H775" s="1"/>
      <c r="I775" s="1"/>
      <c r="J775" s="1"/>
      <c r="K775" s="4">
        <v>777</v>
      </c>
      <c r="M775" s="1"/>
      <c r="N775" s="1"/>
      <c r="O775" s="1"/>
      <c r="P775" s="1"/>
      <c r="R775" s="1"/>
      <c r="S775" s="1"/>
      <c r="T775" s="1"/>
      <c r="U775" s="1"/>
      <c r="V775" s="1"/>
      <c r="W775" s="1"/>
      <c r="X775" s="1"/>
      <c r="Y775" s="1"/>
      <c r="Z775" s="1"/>
    </row>
    <row r="776" spans="1:26" ht="50" customHeight="1" x14ac:dyDescent="0.15">
      <c r="A776" s="1"/>
      <c r="B776" s="1"/>
      <c r="C776" s="4"/>
      <c r="E776" s="4"/>
      <c r="F776" s="4"/>
      <c r="G776" s="1"/>
      <c r="H776" s="1"/>
      <c r="I776" s="1"/>
      <c r="J776" s="1"/>
      <c r="K776" s="4">
        <v>778</v>
      </c>
      <c r="M776" s="1"/>
      <c r="N776" s="1"/>
      <c r="O776" s="1"/>
      <c r="P776" s="1"/>
      <c r="R776" s="1"/>
      <c r="S776" s="1"/>
      <c r="T776" s="1"/>
      <c r="U776" s="1"/>
      <c r="V776" s="1"/>
      <c r="W776" s="1"/>
      <c r="X776" s="1"/>
      <c r="Y776" s="1"/>
      <c r="Z776" s="1"/>
    </row>
    <row r="777" spans="1:26" ht="50" customHeight="1" x14ac:dyDescent="0.15">
      <c r="A777" s="1"/>
      <c r="B777" s="1"/>
      <c r="C777" s="4"/>
      <c r="E777" s="4"/>
      <c r="F777" s="4"/>
      <c r="G777" s="1"/>
      <c r="H777" s="1"/>
      <c r="I777" s="1"/>
      <c r="J777" s="1"/>
      <c r="K777" s="4">
        <v>779</v>
      </c>
      <c r="M777" s="1"/>
      <c r="N777" s="1"/>
      <c r="O777" s="1"/>
      <c r="P777" s="1"/>
      <c r="R777" s="1"/>
      <c r="S777" s="1"/>
      <c r="T777" s="1"/>
      <c r="U777" s="1"/>
      <c r="V777" s="1"/>
      <c r="W777" s="1"/>
      <c r="X777" s="1"/>
      <c r="Y777" s="1"/>
      <c r="Z777" s="1"/>
    </row>
    <row r="778" spans="1:26" ht="50" customHeight="1" x14ac:dyDescent="0.15">
      <c r="A778" s="1"/>
      <c r="B778" s="1"/>
      <c r="C778" s="4"/>
      <c r="E778" s="4"/>
      <c r="F778" s="4"/>
      <c r="G778" s="1"/>
      <c r="H778" s="1"/>
      <c r="I778" s="1"/>
      <c r="J778" s="1"/>
      <c r="K778" s="4">
        <v>780</v>
      </c>
      <c r="M778" s="1"/>
      <c r="N778" s="1"/>
      <c r="O778" s="1"/>
      <c r="P778" s="1"/>
      <c r="R778" s="1"/>
      <c r="S778" s="1"/>
      <c r="T778" s="1"/>
      <c r="U778" s="1"/>
      <c r="V778" s="1"/>
      <c r="W778" s="1"/>
      <c r="X778" s="1"/>
      <c r="Y778" s="1"/>
      <c r="Z778" s="1"/>
    </row>
    <row r="779" spans="1:26" ht="50" customHeight="1" x14ac:dyDescent="0.15">
      <c r="A779" s="1"/>
      <c r="B779" s="1"/>
      <c r="C779" s="4"/>
      <c r="E779" s="4"/>
      <c r="F779" s="4"/>
      <c r="G779" s="1"/>
      <c r="H779" s="1"/>
      <c r="I779" s="1"/>
      <c r="J779" s="1"/>
      <c r="K779" s="4">
        <v>781</v>
      </c>
      <c r="M779" s="1"/>
      <c r="N779" s="1"/>
      <c r="O779" s="1"/>
      <c r="P779" s="1"/>
      <c r="R779" s="1"/>
      <c r="S779" s="1"/>
      <c r="T779" s="1"/>
      <c r="U779" s="1"/>
      <c r="V779" s="1"/>
      <c r="W779" s="1"/>
      <c r="X779" s="1"/>
      <c r="Y779" s="1"/>
      <c r="Z779" s="1"/>
    </row>
    <row r="780" spans="1:26" ht="50" customHeight="1" x14ac:dyDescent="0.15">
      <c r="A780" s="1"/>
      <c r="B780" s="1"/>
      <c r="C780" s="4"/>
      <c r="E780" s="4"/>
      <c r="F780" s="4"/>
      <c r="G780" s="1"/>
      <c r="H780" s="1"/>
      <c r="I780" s="1"/>
      <c r="J780" s="1"/>
      <c r="K780" s="4">
        <v>782</v>
      </c>
      <c r="M780" s="1"/>
      <c r="N780" s="1"/>
      <c r="O780" s="1"/>
      <c r="P780" s="1"/>
      <c r="R780" s="1"/>
      <c r="S780" s="1"/>
      <c r="T780" s="1"/>
      <c r="U780" s="1"/>
      <c r="V780" s="1"/>
      <c r="W780" s="1"/>
      <c r="X780" s="1"/>
      <c r="Y780" s="1"/>
      <c r="Z780" s="1"/>
    </row>
    <row r="781" spans="1:26" ht="50" customHeight="1" x14ac:dyDescent="0.15">
      <c r="A781" s="1"/>
      <c r="B781" s="1"/>
      <c r="C781" s="4"/>
      <c r="E781" s="4"/>
      <c r="F781" s="4"/>
      <c r="G781" s="1"/>
      <c r="H781" s="1"/>
      <c r="I781" s="1"/>
      <c r="J781" s="1"/>
      <c r="K781" s="4">
        <v>783</v>
      </c>
      <c r="M781" s="1"/>
      <c r="N781" s="1"/>
      <c r="O781" s="1"/>
      <c r="P781" s="1"/>
      <c r="R781" s="1"/>
      <c r="S781" s="1"/>
      <c r="T781" s="1"/>
      <c r="U781" s="1"/>
      <c r="V781" s="1"/>
      <c r="W781" s="1"/>
      <c r="X781" s="1"/>
      <c r="Y781" s="1"/>
      <c r="Z781" s="1"/>
    </row>
    <row r="782" spans="1:26" ht="50" customHeight="1" x14ac:dyDescent="0.15">
      <c r="A782" s="1"/>
      <c r="B782" s="1"/>
      <c r="C782" s="4"/>
      <c r="E782" s="4"/>
      <c r="F782" s="4"/>
      <c r="G782" s="1"/>
      <c r="H782" s="1"/>
      <c r="I782" s="1"/>
      <c r="J782" s="1"/>
      <c r="K782" s="4">
        <v>784</v>
      </c>
      <c r="M782" s="1"/>
      <c r="N782" s="1"/>
      <c r="O782" s="1"/>
      <c r="P782" s="1"/>
      <c r="R782" s="1"/>
      <c r="S782" s="1"/>
      <c r="T782" s="1"/>
      <c r="U782" s="1"/>
      <c r="V782" s="1"/>
      <c r="W782" s="1"/>
      <c r="X782" s="1"/>
      <c r="Y782" s="1"/>
      <c r="Z782" s="1"/>
    </row>
    <row r="783" spans="1:26" ht="50" customHeight="1" x14ac:dyDescent="0.15">
      <c r="A783" s="1"/>
      <c r="B783" s="1"/>
      <c r="C783" s="4"/>
      <c r="E783" s="4"/>
      <c r="F783" s="4"/>
      <c r="G783" s="1"/>
      <c r="H783" s="1"/>
      <c r="I783" s="1"/>
      <c r="J783" s="1"/>
      <c r="K783" s="4">
        <v>785</v>
      </c>
      <c r="M783" s="1"/>
      <c r="N783" s="1"/>
      <c r="O783" s="1"/>
      <c r="P783" s="1"/>
      <c r="R783" s="1"/>
      <c r="S783" s="1"/>
      <c r="T783" s="1"/>
      <c r="U783" s="1"/>
      <c r="V783" s="1"/>
      <c r="W783" s="1"/>
      <c r="X783" s="1"/>
      <c r="Y783" s="1"/>
      <c r="Z783" s="1"/>
    </row>
    <row r="784" spans="1:26" ht="50" customHeight="1" x14ac:dyDescent="0.15">
      <c r="A784" s="1"/>
      <c r="B784" s="1"/>
      <c r="C784" s="4"/>
      <c r="E784" s="4"/>
      <c r="F784" s="4"/>
      <c r="G784" s="1"/>
      <c r="H784" s="1"/>
      <c r="I784" s="1"/>
      <c r="J784" s="1"/>
      <c r="K784" s="4">
        <v>786</v>
      </c>
      <c r="M784" s="1"/>
      <c r="N784" s="1"/>
      <c r="O784" s="1"/>
      <c r="P784" s="1"/>
      <c r="R784" s="1"/>
      <c r="S784" s="1"/>
      <c r="T784" s="1"/>
      <c r="U784" s="1"/>
      <c r="V784" s="1"/>
      <c r="W784" s="1"/>
      <c r="X784" s="1"/>
      <c r="Y784" s="1"/>
      <c r="Z784" s="1"/>
    </row>
    <row r="785" spans="1:26" ht="50" customHeight="1" x14ac:dyDescent="0.15">
      <c r="A785" s="1"/>
      <c r="B785" s="1"/>
      <c r="C785" s="4"/>
      <c r="E785" s="4"/>
      <c r="F785" s="4"/>
      <c r="G785" s="1"/>
      <c r="H785" s="1"/>
      <c r="I785" s="1"/>
      <c r="J785" s="1"/>
      <c r="K785" s="4">
        <v>787</v>
      </c>
      <c r="M785" s="1"/>
      <c r="N785" s="1"/>
      <c r="O785" s="1"/>
      <c r="P785" s="1"/>
      <c r="R785" s="1"/>
      <c r="S785" s="1"/>
      <c r="T785" s="1"/>
      <c r="U785" s="1"/>
      <c r="V785" s="1"/>
      <c r="W785" s="1"/>
      <c r="X785" s="1"/>
      <c r="Y785" s="1"/>
      <c r="Z785" s="1"/>
    </row>
    <row r="786" spans="1:26" ht="50" customHeight="1" x14ac:dyDescent="0.15">
      <c r="A786" s="1"/>
      <c r="B786" s="1"/>
      <c r="C786" s="4"/>
      <c r="E786" s="4"/>
      <c r="F786" s="4"/>
      <c r="G786" s="1"/>
      <c r="H786" s="1"/>
      <c r="I786" s="1"/>
      <c r="J786" s="1"/>
      <c r="K786" s="4">
        <v>788</v>
      </c>
      <c r="M786" s="1"/>
      <c r="N786" s="1"/>
      <c r="O786" s="1"/>
      <c r="P786" s="1"/>
      <c r="R786" s="1"/>
      <c r="S786" s="1"/>
      <c r="T786" s="1"/>
      <c r="U786" s="1"/>
      <c r="V786" s="1"/>
      <c r="W786" s="1"/>
      <c r="X786" s="1"/>
      <c r="Y786" s="1"/>
      <c r="Z786" s="1"/>
    </row>
    <row r="787" spans="1:26" ht="50" customHeight="1" x14ac:dyDescent="0.15">
      <c r="A787" s="1"/>
      <c r="B787" s="1"/>
      <c r="C787" s="4"/>
      <c r="E787" s="4"/>
      <c r="F787" s="4"/>
      <c r="G787" s="1"/>
      <c r="H787" s="1"/>
      <c r="I787" s="1"/>
      <c r="J787" s="1"/>
      <c r="K787" s="4">
        <v>789</v>
      </c>
      <c r="M787" s="1"/>
      <c r="N787" s="1"/>
      <c r="O787" s="1"/>
      <c r="P787" s="1"/>
      <c r="R787" s="1"/>
      <c r="S787" s="1"/>
      <c r="T787" s="1"/>
      <c r="U787" s="1"/>
      <c r="V787" s="1"/>
      <c r="W787" s="1"/>
      <c r="X787" s="1"/>
      <c r="Y787" s="1"/>
      <c r="Z787" s="1"/>
    </row>
    <row r="788" spans="1:26" ht="50" customHeight="1" x14ac:dyDescent="0.15">
      <c r="A788" s="1"/>
      <c r="B788" s="1"/>
      <c r="C788" s="4"/>
      <c r="E788" s="4"/>
      <c r="F788" s="4"/>
      <c r="G788" s="1"/>
      <c r="H788" s="1"/>
      <c r="I788" s="1"/>
      <c r="J788" s="1"/>
      <c r="K788" s="4">
        <v>790</v>
      </c>
      <c r="M788" s="1"/>
      <c r="N788" s="1"/>
      <c r="O788" s="1"/>
      <c r="P788" s="1"/>
      <c r="R788" s="1"/>
      <c r="S788" s="1"/>
      <c r="T788" s="1"/>
      <c r="U788" s="1"/>
      <c r="V788" s="1"/>
      <c r="W788" s="1"/>
      <c r="X788" s="1"/>
      <c r="Y788" s="1"/>
      <c r="Z788" s="1"/>
    </row>
    <row r="789" spans="1:26" ht="50" customHeight="1" x14ac:dyDescent="0.15">
      <c r="A789" s="1"/>
      <c r="B789" s="1"/>
      <c r="C789" s="4"/>
      <c r="E789" s="4"/>
      <c r="F789" s="4"/>
      <c r="G789" s="1"/>
      <c r="H789" s="1"/>
      <c r="I789" s="1"/>
      <c r="J789" s="1"/>
      <c r="K789" s="4">
        <v>791</v>
      </c>
      <c r="M789" s="1"/>
      <c r="N789" s="1"/>
      <c r="O789" s="1"/>
      <c r="P789" s="1"/>
      <c r="R789" s="1"/>
      <c r="S789" s="1"/>
      <c r="T789" s="1"/>
      <c r="U789" s="1"/>
      <c r="V789" s="1"/>
      <c r="W789" s="1"/>
      <c r="X789" s="1"/>
      <c r="Y789" s="1"/>
      <c r="Z789" s="1"/>
    </row>
    <row r="790" spans="1:26" ht="50" customHeight="1" x14ac:dyDescent="0.15">
      <c r="A790" s="1"/>
      <c r="B790" s="1"/>
      <c r="C790" s="4"/>
      <c r="E790" s="4"/>
      <c r="F790" s="4"/>
      <c r="G790" s="1"/>
      <c r="H790" s="1"/>
      <c r="I790" s="1"/>
      <c r="J790" s="1"/>
      <c r="K790" s="4">
        <v>792</v>
      </c>
      <c r="M790" s="1"/>
      <c r="N790" s="1"/>
      <c r="O790" s="1"/>
      <c r="P790" s="1"/>
      <c r="R790" s="1"/>
      <c r="S790" s="1"/>
      <c r="T790" s="1"/>
      <c r="U790" s="1"/>
      <c r="V790" s="1"/>
      <c r="W790" s="1"/>
      <c r="X790" s="1"/>
      <c r="Y790" s="1"/>
      <c r="Z790" s="1"/>
    </row>
    <row r="791" spans="1:26" ht="50" customHeight="1" x14ac:dyDescent="0.15">
      <c r="A791" s="1"/>
      <c r="B791" s="1"/>
      <c r="C791" s="4"/>
      <c r="E791" s="4"/>
      <c r="F791" s="4"/>
      <c r="G791" s="1"/>
      <c r="H791" s="1"/>
      <c r="I791" s="1"/>
      <c r="J791" s="1"/>
      <c r="K791" s="4">
        <v>793</v>
      </c>
      <c r="M791" s="1"/>
      <c r="N791" s="1"/>
      <c r="O791" s="1"/>
      <c r="P791" s="1"/>
      <c r="R791" s="1"/>
      <c r="S791" s="1"/>
      <c r="T791" s="1"/>
      <c r="U791" s="1"/>
      <c r="V791" s="1"/>
      <c r="W791" s="1"/>
      <c r="X791" s="1"/>
      <c r="Y791" s="1"/>
      <c r="Z791" s="1"/>
    </row>
    <row r="792" spans="1:26" ht="50" customHeight="1" x14ac:dyDescent="0.15">
      <c r="A792" s="1"/>
      <c r="B792" s="1"/>
      <c r="C792" s="4"/>
      <c r="E792" s="4"/>
      <c r="F792" s="4"/>
      <c r="G792" s="1"/>
      <c r="H792" s="1"/>
      <c r="I792" s="1"/>
      <c r="J792" s="1"/>
      <c r="K792" s="4">
        <v>794</v>
      </c>
      <c r="M792" s="1"/>
      <c r="N792" s="1"/>
      <c r="O792" s="1"/>
      <c r="P792" s="1"/>
      <c r="R792" s="1"/>
      <c r="S792" s="1"/>
      <c r="T792" s="1"/>
      <c r="U792" s="1"/>
      <c r="V792" s="1"/>
      <c r="W792" s="1"/>
      <c r="X792" s="1"/>
      <c r="Y792" s="1"/>
      <c r="Z792" s="1"/>
    </row>
    <row r="793" spans="1:26" ht="50" customHeight="1" x14ac:dyDescent="0.15">
      <c r="A793" s="1"/>
      <c r="B793" s="1"/>
      <c r="C793" s="4"/>
      <c r="E793" s="4"/>
      <c r="F793" s="4"/>
      <c r="G793" s="1"/>
      <c r="H793" s="1"/>
      <c r="I793" s="1"/>
      <c r="J793" s="1"/>
      <c r="K793" s="4">
        <v>795</v>
      </c>
      <c r="M793" s="1"/>
      <c r="N793" s="1"/>
      <c r="O793" s="1"/>
      <c r="P793" s="1"/>
      <c r="R793" s="1"/>
      <c r="S793" s="1"/>
      <c r="T793" s="1"/>
      <c r="U793" s="1"/>
      <c r="V793" s="1"/>
      <c r="W793" s="1"/>
      <c r="X793" s="1"/>
      <c r="Y793" s="1"/>
      <c r="Z793" s="1"/>
    </row>
    <row r="794" spans="1:26" ht="50" customHeight="1" x14ac:dyDescent="0.15">
      <c r="A794" s="1"/>
      <c r="B794" s="1"/>
      <c r="C794" s="4"/>
      <c r="E794" s="4"/>
      <c r="F794" s="4"/>
      <c r="G794" s="1"/>
      <c r="H794" s="1"/>
      <c r="I794" s="1"/>
      <c r="J794" s="1"/>
      <c r="K794" s="4">
        <v>796</v>
      </c>
      <c r="M794" s="1"/>
      <c r="N794" s="1"/>
      <c r="O794" s="1"/>
      <c r="P794" s="1"/>
      <c r="R794" s="1"/>
      <c r="S794" s="1"/>
      <c r="T794" s="1"/>
      <c r="U794" s="1"/>
      <c r="V794" s="1"/>
      <c r="W794" s="1"/>
      <c r="X794" s="1"/>
      <c r="Y794" s="1"/>
      <c r="Z794" s="1"/>
    </row>
    <row r="795" spans="1:26" ht="50" customHeight="1" x14ac:dyDescent="0.15">
      <c r="A795" s="1"/>
      <c r="B795" s="1"/>
      <c r="C795" s="4"/>
      <c r="E795" s="4"/>
      <c r="F795" s="4"/>
      <c r="G795" s="1"/>
      <c r="H795" s="1"/>
      <c r="I795" s="1"/>
      <c r="J795" s="1"/>
      <c r="K795" s="4">
        <v>797</v>
      </c>
      <c r="M795" s="1"/>
      <c r="N795" s="1"/>
      <c r="O795" s="1"/>
      <c r="P795" s="1"/>
      <c r="R795" s="1"/>
      <c r="S795" s="1"/>
      <c r="T795" s="1"/>
      <c r="U795" s="1"/>
      <c r="V795" s="1"/>
      <c r="W795" s="1"/>
      <c r="X795" s="1"/>
      <c r="Y795" s="1"/>
      <c r="Z795" s="1"/>
    </row>
    <row r="796" spans="1:26" ht="50" customHeight="1" x14ac:dyDescent="0.15">
      <c r="A796" s="1"/>
      <c r="B796" s="1"/>
      <c r="C796" s="4"/>
      <c r="E796" s="4"/>
      <c r="F796" s="4"/>
      <c r="G796" s="1"/>
      <c r="H796" s="1"/>
      <c r="I796" s="1"/>
      <c r="J796" s="1"/>
      <c r="K796" s="4">
        <v>798</v>
      </c>
      <c r="M796" s="1"/>
      <c r="N796" s="1"/>
      <c r="O796" s="1"/>
      <c r="P796" s="1"/>
      <c r="R796" s="1"/>
      <c r="S796" s="1"/>
      <c r="T796" s="1"/>
      <c r="U796" s="1"/>
      <c r="V796" s="1"/>
      <c r="W796" s="1"/>
      <c r="X796" s="1"/>
      <c r="Y796" s="1"/>
      <c r="Z796" s="1"/>
    </row>
    <row r="797" spans="1:26" ht="50" customHeight="1" x14ac:dyDescent="0.15">
      <c r="A797" s="1"/>
      <c r="B797" s="1"/>
      <c r="C797" s="4"/>
      <c r="E797" s="4"/>
      <c r="F797" s="4"/>
      <c r="G797" s="1"/>
      <c r="H797" s="1"/>
      <c r="I797" s="1"/>
      <c r="J797" s="1"/>
      <c r="K797" s="4">
        <v>799</v>
      </c>
      <c r="M797" s="1"/>
      <c r="N797" s="1"/>
      <c r="O797" s="1"/>
      <c r="P797" s="1"/>
      <c r="R797" s="1"/>
      <c r="S797" s="1"/>
      <c r="T797" s="1"/>
      <c r="U797" s="1"/>
      <c r="V797" s="1"/>
      <c r="W797" s="1"/>
      <c r="X797" s="1"/>
      <c r="Y797" s="1"/>
      <c r="Z797" s="1"/>
    </row>
    <row r="798" spans="1:26" ht="50" customHeight="1" x14ac:dyDescent="0.15">
      <c r="A798" s="1"/>
      <c r="B798" s="1"/>
      <c r="C798" s="4"/>
      <c r="E798" s="4"/>
      <c r="F798" s="4"/>
      <c r="G798" s="1"/>
      <c r="H798" s="1"/>
      <c r="I798" s="1"/>
      <c r="J798" s="1"/>
      <c r="K798" s="4">
        <v>800</v>
      </c>
      <c r="M798" s="1"/>
      <c r="N798" s="1"/>
      <c r="O798" s="1"/>
      <c r="P798" s="1"/>
      <c r="R798" s="1"/>
      <c r="S798" s="1"/>
      <c r="T798" s="1"/>
      <c r="U798" s="1"/>
      <c r="V798" s="1"/>
      <c r="W798" s="1"/>
      <c r="X798" s="1"/>
      <c r="Y798" s="1"/>
      <c r="Z798" s="1"/>
    </row>
    <row r="799" spans="1:26" ht="50" customHeight="1" x14ac:dyDescent="0.15">
      <c r="A799" s="1"/>
      <c r="B799" s="1"/>
      <c r="C799" s="4"/>
      <c r="E799" s="4"/>
      <c r="F799" s="4"/>
      <c r="G799" s="1"/>
      <c r="H799" s="1"/>
      <c r="I799" s="1"/>
      <c r="J799" s="1"/>
      <c r="K799" s="4">
        <v>801</v>
      </c>
      <c r="M799" s="1"/>
      <c r="N799" s="1"/>
      <c r="O799" s="1"/>
      <c r="P799" s="1"/>
      <c r="R799" s="1"/>
      <c r="S799" s="1"/>
      <c r="T799" s="1"/>
      <c r="U799" s="1"/>
      <c r="V799" s="1"/>
      <c r="W799" s="1"/>
      <c r="X799" s="1"/>
      <c r="Y799" s="1"/>
      <c r="Z799" s="1"/>
    </row>
    <row r="800" spans="1:26" ht="50" customHeight="1" x14ac:dyDescent="0.15">
      <c r="A800" s="1"/>
      <c r="B800" s="1"/>
      <c r="C800" s="4"/>
      <c r="E800" s="4"/>
      <c r="F800" s="4"/>
      <c r="G800" s="1"/>
      <c r="H800" s="1"/>
      <c r="I800" s="1"/>
      <c r="J800" s="1"/>
      <c r="K800" s="4">
        <v>802</v>
      </c>
      <c r="M800" s="1"/>
      <c r="N800" s="1"/>
      <c r="O800" s="1"/>
      <c r="P800" s="1"/>
      <c r="R800" s="1"/>
      <c r="S800" s="1"/>
      <c r="T800" s="1"/>
      <c r="U800" s="1"/>
      <c r="V800" s="1"/>
      <c r="W800" s="1"/>
      <c r="X800" s="1"/>
      <c r="Y800" s="1"/>
      <c r="Z800" s="1"/>
    </row>
    <row r="801" spans="1:26" ht="50" customHeight="1" x14ac:dyDescent="0.15">
      <c r="A801" s="1"/>
      <c r="B801" s="1"/>
      <c r="C801" s="4"/>
      <c r="E801" s="4"/>
      <c r="F801" s="4"/>
      <c r="G801" s="1"/>
      <c r="H801" s="1"/>
      <c r="I801" s="1"/>
      <c r="J801" s="1"/>
      <c r="K801" s="4">
        <v>803</v>
      </c>
      <c r="M801" s="1"/>
      <c r="N801" s="1"/>
      <c r="O801" s="1"/>
      <c r="P801" s="1"/>
      <c r="R801" s="1"/>
      <c r="S801" s="1"/>
      <c r="T801" s="1"/>
      <c r="U801" s="1"/>
      <c r="V801" s="1"/>
      <c r="W801" s="1"/>
      <c r="X801" s="1"/>
      <c r="Y801" s="1"/>
      <c r="Z801" s="1"/>
    </row>
    <row r="802" spans="1:26" ht="50" customHeight="1" x14ac:dyDescent="0.15">
      <c r="A802" s="1"/>
      <c r="B802" s="1"/>
      <c r="C802" s="4"/>
      <c r="E802" s="4"/>
      <c r="F802" s="4"/>
      <c r="G802" s="1"/>
      <c r="H802" s="1"/>
      <c r="I802" s="1"/>
      <c r="J802" s="1"/>
      <c r="K802" s="4">
        <v>804</v>
      </c>
      <c r="M802" s="1"/>
      <c r="N802" s="1"/>
      <c r="O802" s="1"/>
      <c r="P802" s="1"/>
      <c r="R802" s="1"/>
      <c r="S802" s="1"/>
      <c r="T802" s="1"/>
      <c r="U802" s="1"/>
      <c r="V802" s="1"/>
      <c r="W802" s="1"/>
      <c r="X802" s="1"/>
      <c r="Y802" s="1"/>
      <c r="Z802" s="1"/>
    </row>
    <row r="803" spans="1:26" ht="50" customHeight="1" x14ac:dyDescent="0.15">
      <c r="A803" s="1"/>
      <c r="B803" s="1"/>
      <c r="C803" s="4"/>
      <c r="E803" s="4"/>
      <c r="F803" s="4"/>
      <c r="G803" s="1"/>
      <c r="H803" s="1"/>
      <c r="I803" s="1"/>
      <c r="J803" s="1"/>
      <c r="K803" s="4">
        <v>805</v>
      </c>
      <c r="M803" s="1"/>
      <c r="N803" s="1"/>
      <c r="O803" s="1"/>
      <c r="P803" s="1"/>
      <c r="R803" s="1"/>
      <c r="S803" s="1"/>
      <c r="T803" s="1"/>
      <c r="U803" s="1"/>
      <c r="V803" s="1"/>
      <c r="W803" s="1"/>
      <c r="X803" s="1"/>
      <c r="Y803" s="1"/>
      <c r="Z803" s="1"/>
    </row>
    <row r="804" spans="1:26" ht="50" customHeight="1" x14ac:dyDescent="0.15">
      <c r="A804" s="1"/>
      <c r="B804" s="1"/>
      <c r="C804" s="4"/>
      <c r="E804" s="4"/>
      <c r="F804" s="4"/>
      <c r="G804" s="1"/>
      <c r="H804" s="1"/>
      <c r="I804" s="1"/>
      <c r="J804" s="1"/>
      <c r="K804" s="4">
        <v>806</v>
      </c>
      <c r="M804" s="1"/>
      <c r="N804" s="1"/>
      <c r="O804" s="1"/>
      <c r="P804" s="1"/>
      <c r="R804" s="1"/>
      <c r="S804" s="1"/>
      <c r="T804" s="1"/>
      <c r="U804" s="1"/>
      <c r="V804" s="1"/>
      <c r="W804" s="1"/>
      <c r="X804" s="1"/>
      <c r="Y804" s="1"/>
      <c r="Z804" s="1"/>
    </row>
    <row r="805" spans="1:26" ht="50" customHeight="1" x14ac:dyDescent="0.15">
      <c r="A805" s="1"/>
      <c r="B805" s="1"/>
      <c r="C805" s="4"/>
      <c r="E805" s="4"/>
      <c r="F805" s="4"/>
      <c r="G805" s="1"/>
      <c r="H805" s="1"/>
      <c r="I805" s="1"/>
      <c r="J805" s="1"/>
      <c r="K805" s="4">
        <v>807</v>
      </c>
      <c r="M805" s="1"/>
      <c r="N805" s="1"/>
      <c r="O805" s="1"/>
      <c r="P805" s="1"/>
      <c r="R805" s="1"/>
      <c r="S805" s="1"/>
      <c r="T805" s="1"/>
      <c r="U805" s="1"/>
      <c r="V805" s="1"/>
      <c r="W805" s="1"/>
      <c r="X805" s="1"/>
      <c r="Y805" s="1"/>
      <c r="Z805" s="1"/>
    </row>
    <row r="806" spans="1:26" ht="50" customHeight="1" x14ac:dyDescent="0.15">
      <c r="A806" s="1"/>
      <c r="B806" s="1"/>
      <c r="C806" s="4"/>
      <c r="E806" s="4"/>
      <c r="F806" s="4"/>
      <c r="G806" s="1"/>
      <c r="H806" s="1"/>
      <c r="I806" s="1"/>
      <c r="J806" s="1"/>
      <c r="K806" s="4">
        <v>808</v>
      </c>
      <c r="M806" s="1"/>
      <c r="N806" s="1"/>
      <c r="O806" s="1"/>
      <c r="P806" s="1"/>
      <c r="R806" s="1"/>
      <c r="S806" s="1"/>
      <c r="T806" s="1"/>
      <c r="U806" s="1"/>
      <c r="V806" s="1"/>
      <c r="W806" s="1"/>
      <c r="X806" s="1"/>
      <c r="Y806" s="1"/>
      <c r="Z806" s="1"/>
    </row>
    <row r="807" spans="1:26" ht="50" customHeight="1" x14ac:dyDescent="0.15">
      <c r="A807" s="1"/>
      <c r="B807" s="1"/>
      <c r="C807" s="4"/>
      <c r="E807" s="4"/>
      <c r="F807" s="4"/>
      <c r="G807" s="1"/>
      <c r="H807" s="1"/>
      <c r="I807" s="1"/>
      <c r="J807" s="1"/>
      <c r="K807" s="4">
        <v>809</v>
      </c>
      <c r="M807" s="1"/>
      <c r="N807" s="1"/>
      <c r="O807" s="1"/>
      <c r="P807" s="1"/>
      <c r="R807" s="1"/>
      <c r="S807" s="1"/>
      <c r="T807" s="1"/>
      <c r="U807" s="1"/>
      <c r="V807" s="1"/>
      <c r="W807" s="1"/>
      <c r="X807" s="1"/>
      <c r="Y807" s="1"/>
      <c r="Z807" s="1"/>
    </row>
    <row r="808" spans="1:26" ht="50" customHeight="1" x14ac:dyDescent="0.15">
      <c r="A808" s="1"/>
      <c r="B808" s="1"/>
      <c r="C808" s="4"/>
      <c r="E808" s="4"/>
      <c r="F808" s="4"/>
      <c r="G808" s="1"/>
      <c r="H808" s="1"/>
      <c r="I808" s="1"/>
      <c r="J808" s="1"/>
      <c r="K808" s="4">
        <v>810</v>
      </c>
      <c r="M808" s="1"/>
      <c r="N808" s="1"/>
      <c r="O808" s="1"/>
      <c r="P808" s="1"/>
      <c r="R808" s="1"/>
      <c r="S808" s="1"/>
      <c r="T808" s="1"/>
      <c r="U808" s="1"/>
      <c r="V808" s="1"/>
      <c r="W808" s="1"/>
      <c r="X808" s="1"/>
      <c r="Y808" s="1"/>
      <c r="Z808" s="1"/>
    </row>
    <row r="809" spans="1:26" ht="50" customHeight="1" x14ac:dyDescent="0.15">
      <c r="A809" s="1"/>
      <c r="B809" s="1"/>
      <c r="C809" s="4"/>
      <c r="E809" s="4"/>
      <c r="F809" s="4"/>
      <c r="G809" s="1"/>
      <c r="H809" s="1"/>
      <c r="I809" s="1"/>
      <c r="J809" s="1"/>
      <c r="K809" s="4">
        <v>811</v>
      </c>
      <c r="M809" s="1"/>
      <c r="N809" s="1"/>
      <c r="O809" s="1"/>
      <c r="P809" s="1"/>
      <c r="R809" s="1"/>
      <c r="S809" s="1"/>
      <c r="T809" s="1"/>
      <c r="U809" s="1"/>
      <c r="V809" s="1"/>
      <c r="W809" s="1"/>
      <c r="X809" s="1"/>
      <c r="Y809" s="1"/>
      <c r="Z809" s="1"/>
    </row>
    <row r="810" spans="1:26" ht="50" customHeight="1" x14ac:dyDescent="0.15">
      <c r="A810" s="1"/>
      <c r="B810" s="1"/>
      <c r="C810" s="4"/>
      <c r="E810" s="4"/>
      <c r="F810" s="4"/>
      <c r="G810" s="1"/>
      <c r="H810" s="1"/>
      <c r="I810" s="1"/>
      <c r="J810" s="1"/>
      <c r="K810" s="4">
        <v>812</v>
      </c>
      <c r="M810" s="1"/>
      <c r="N810" s="1"/>
      <c r="O810" s="1"/>
      <c r="P810" s="1"/>
      <c r="R810" s="1"/>
      <c r="S810" s="1"/>
      <c r="T810" s="1"/>
      <c r="U810" s="1"/>
      <c r="V810" s="1"/>
      <c r="W810" s="1"/>
      <c r="X810" s="1"/>
      <c r="Y810" s="1"/>
      <c r="Z810" s="1"/>
    </row>
    <row r="811" spans="1:26" ht="50" customHeight="1" x14ac:dyDescent="0.15">
      <c r="A811" s="1"/>
      <c r="B811" s="1"/>
      <c r="C811" s="4"/>
      <c r="E811" s="4"/>
      <c r="F811" s="4"/>
      <c r="G811" s="1"/>
      <c r="H811" s="1"/>
      <c r="I811" s="1"/>
      <c r="J811" s="1"/>
      <c r="K811" s="4">
        <v>813</v>
      </c>
      <c r="M811" s="1"/>
      <c r="N811" s="1"/>
      <c r="O811" s="1"/>
      <c r="P811" s="1"/>
      <c r="R811" s="1"/>
      <c r="S811" s="1"/>
      <c r="T811" s="1"/>
      <c r="U811" s="1"/>
      <c r="V811" s="1"/>
      <c r="W811" s="1"/>
      <c r="X811" s="1"/>
      <c r="Y811" s="1"/>
      <c r="Z811" s="1"/>
    </row>
    <row r="812" spans="1:26" ht="50" customHeight="1" x14ac:dyDescent="0.15">
      <c r="A812" s="1"/>
      <c r="B812" s="1"/>
      <c r="C812" s="4"/>
      <c r="E812" s="4"/>
      <c r="F812" s="4"/>
      <c r="G812" s="1"/>
      <c r="H812" s="1"/>
      <c r="I812" s="1"/>
      <c r="J812" s="1"/>
      <c r="K812" s="4">
        <v>814</v>
      </c>
      <c r="M812" s="1"/>
      <c r="N812" s="1"/>
      <c r="O812" s="1"/>
      <c r="P812" s="1"/>
      <c r="R812" s="1"/>
      <c r="S812" s="1"/>
      <c r="T812" s="1"/>
      <c r="U812" s="1"/>
      <c r="V812" s="1"/>
      <c r="W812" s="1"/>
      <c r="X812" s="1"/>
      <c r="Y812" s="1"/>
      <c r="Z812" s="1"/>
    </row>
    <row r="813" spans="1:26" ht="50" customHeight="1" x14ac:dyDescent="0.15">
      <c r="A813" s="1"/>
      <c r="B813" s="1"/>
      <c r="C813" s="4"/>
      <c r="E813" s="4"/>
      <c r="F813" s="4"/>
      <c r="G813" s="1"/>
      <c r="H813" s="1"/>
      <c r="I813" s="1"/>
      <c r="J813" s="1"/>
      <c r="K813" s="4">
        <v>815</v>
      </c>
      <c r="M813" s="1"/>
      <c r="N813" s="1"/>
      <c r="O813" s="1"/>
      <c r="P813" s="1"/>
      <c r="R813" s="1"/>
      <c r="S813" s="1"/>
      <c r="T813" s="1"/>
      <c r="U813" s="1"/>
      <c r="V813" s="1"/>
      <c r="W813" s="1"/>
      <c r="X813" s="1"/>
      <c r="Y813" s="1"/>
      <c r="Z813" s="1"/>
    </row>
    <row r="814" spans="1:26" ht="50" customHeight="1" x14ac:dyDescent="0.15">
      <c r="A814" s="1"/>
      <c r="B814" s="1"/>
      <c r="C814" s="4"/>
      <c r="E814" s="4"/>
      <c r="F814" s="4"/>
      <c r="G814" s="1"/>
      <c r="H814" s="1"/>
      <c r="I814" s="1"/>
      <c r="J814" s="1"/>
      <c r="K814" s="4">
        <v>816</v>
      </c>
      <c r="M814" s="1"/>
      <c r="N814" s="1"/>
      <c r="O814" s="1"/>
      <c r="P814" s="1"/>
      <c r="R814" s="1"/>
      <c r="S814" s="1"/>
      <c r="T814" s="1"/>
      <c r="U814" s="1"/>
      <c r="V814" s="1"/>
      <c r="W814" s="1"/>
      <c r="X814" s="1"/>
      <c r="Y814" s="1"/>
      <c r="Z814" s="1"/>
    </row>
    <row r="815" spans="1:26" ht="50" customHeight="1" x14ac:dyDescent="0.15">
      <c r="A815" s="1"/>
      <c r="B815" s="1"/>
      <c r="C815" s="4"/>
      <c r="E815" s="4"/>
      <c r="F815" s="4"/>
      <c r="G815" s="1"/>
      <c r="H815" s="1"/>
      <c r="I815" s="1"/>
      <c r="J815" s="1"/>
      <c r="K815" s="4">
        <v>817</v>
      </c>
      <c r="M815" s="1"/>
      <c r="N815" s="1"/>
      <c r="O815" s="1"/>
      <c r="P815" s="1"/>
      <c r="R815" s="1"/>
      <c r="S815" s="1"/>
      <c r="T815" s="1"/>
      <c r="U815" s="1"/>
      <c r="V815" s="1"/>
      <c r="W815" s="1"/>
      <c r="X815" s="1"/>
      <c r="Y815" s="1"/>
      <c r="Z815" s="1"/>
    </row>
    <row r="816" spans="1:26" ht="50" customHeight="1" x14ac:dyDescent="0.15">
      <c r="A816" s="1"/>
      <c r="B816" s="1"/>
      <c r="C816" s="4"/>
      <c r="E816" s="4"/>
      <c r="F816" s="4"/>
      <c r="G816" s="1"/>
      <c r="H816" s="1"/>
      <c r="I816" s="1"/>
      <c r="J816" s="1"/>
      <c r="K816" s="4">
        <v>818</v>
      </c>
      <c r="M816" s="1"/>
      <c r="N816" s="1"/>
      <c r="O816" s="1"/>
      <c r="P816" s="1"/>
      <c r="R816" s="1"/>
      <c r="S816" s="1"/>
      <c r="T816" s="1"/>
      <c r="U816" s="1"/>
      <c r="V816" s="1"/>
      <c r="W816" s="1"/>
      <c r="X816" s="1"/>
      <c r="Y816" s="1"/>
      <c r="Z816" s="1"/>
    </row>
    <row r="817" spans="1:26" ht="50" customHeight="1" x14ac:dyDescent="0.15">
      <c r="A817" s="1"/>
      <c r="B817" s="1"/>
      <c r="C817" s="4"/>
      <c r="E817" s="4"/>
      <c r="F817" s="4"/>
      <c r="G817" s="1"/>
      <c r="H817" s="1"/>
      <c r="I817" s="1"/>
      <c r="J817" s="1"/>
      <c r="K817" s="4">
        <v>819</v>
      </c>
      <c r="M817" s="1"/>
      <c r="N817" s="1"/>
      <c r="O817" s="1"/>
      <c r="P817" s="1"/>
      <c r="R817" s="1"/>
      <c r="S817" s="1"/>
      <c r="T817" s="1"/>
      <c r="U817" s="1"/>
      <c r="V817" s="1"/>
      <c r="W817" s="1"/>
      <c r="X817" s="1"/>
      <c r="Y817" s="1"/>
      <c r="Z817" s="1"/>
    </row>
    <row r="818" spans="1:26" ht="50" customHeight="1" x14ac:dyDescent="0.15">
      <c r="A818" s="1"/>
      <c r="B818" s="1"/>
      <c r="C818" s="4"/>
      <c r="E818" s="4"/>
      <c r="F818" s="4"/>
      <c r="G818" s="1"/>
      <c r="H818" s="1"/>
      <c r="I818" s="1"/>
      <c r="J818" s="1"/>
      <c r="K818" s="4">
        <v>820</v>
      </c>
      <c r="M818" s="1"/>
      <c r="N818" s="1"/>
      <c r="O818" s="1"/>
      <c r="P818" s="1"/>
      <c r="R818" s="1"/>
      <c r="S818" s="1"/>
      <c r="T818" s="1"/>
      <c r="U818" s="1"/>
      <c r="V818" s="1"/>
      <c r="W818" s="1"/>
      <c r="X818" s="1"/>
      <c r="Y818" s="1"/>
      <c r="Z818" s="1"/>
    </row>
    <row r="819" spans="1:26" ht="50" customHeight="1" x14ac:dyDescent="0.15">
      <c r="A819" s="1"/>
      <c r="B819" s="1"/>
      <c r="C819" s="4"/>
      <c r="E819" s="4"/>
      <c r="F819" s="4"/>
      <c r="G819" s="1"/>
      <c r="H819" s="1"/>
      <c r="I819" s="1"/>
      <c r="J819" s="1"/>
      <c r="K819" s="4">
        <v>821</v>
      </c>
      <c r="M819" s="1"/>
      <c r="N819" s="1"/>
      <c r="O819" s="1"/>
      <c r="P819" s="1"/>
      <c r="R819" s="1"/>
      <c r="S819" s="1"/>
      <c r="T819" s="1"/>
      <c r="U819" s="1"/>
      <c r="V819" s="1"/>
      <c r="W819" s="1"/>
      <c r="X819" s="1"/>
      <c r="Y819" s="1"/>
      <c r="Z819" s="1"/>
    </row>
    <row r="820" spans="1:26" ht="50" customHeight="1" x14ac:dyDescent="0.15">
      <c r="B820" s="1"/>
      <c r="C820" s="4"/>
      <c r="E820" s="4"/>
      <c r="F820" s="4"/>
      <c r="G820" s="1"/>
      <c r="H820" s="1"/>
      <c r="I820" s="1"/>
      <c r="J820" s="1"/>
      <c r="M820" s="1"/>
      <c r="N820" s="1"/>
      <c r="O820" s="1"/>
      <c r="P820" s="1"/>
      <c r="R820" s="1"/>
      <c r="S820" s="1"/>
      <c r="T820" s="1"/>
      <c r="U820" s="1"/>
      <c r="V820" s="1"/>
      <c r="W820" s="1"/>
      <c r="X820" s="1"/>
      <c r="Y820" s="1"/>
      <c r="Z820" s="1"/>
    </row>
    <row r="821" spans="1:26" ht="50" customHeight="1" x14ac:dyDescent="0.15">
      <c r="B821" s="1"/>
      <c r="C821" s="4"/>
      <c r="E821" s="4"/>
      <c r="F821" s="4"/>
      <c r="G821" s="1"/>
      <c r="H821" s="1"/>
      <c r="I821" s="1"/>
      <c r="J821" s="1"/>
      <c r="M821" s="1"/>
      <c r="N821" s="1"/>
      <c r="O821" s="1"/>
      <c r="P821" s="1"/>
      <c r="R821" s="1"/>
      <c r="S821" s="1"/>
      <c r="T821" s="1"/>
      <c r="U821" s="1"/>
      <c r="V821" s="1"/>
      <c r="W821" s="1"/>
      <c r="X821" s="1"/>
      <c r="Y821" s="1"/>
      <c r="Z821" s="1"/>
    </row>
    <row r="822" spans="1:26" ht="50" customHeight="1" x14ac:dyDescent="0.15">
      <c r="B822" s="1"/>
      <c r="C822" s="4"/>
      <c r="E822" s="4"/>
      <c r="F822" s="4"/>
      <c r="G822" s="1"/>
      <c r="H822" s="1"/>
      <c r="I822" s="1"/>
      <c r="J822" s="1"/>
      <c r="M822" s="1"/>
      <c r="N822" s="1"/>
      <c r="O822" s="1"/>
      <c r="P822" s="1"/>
      <c r="R822" s="1"/>
      <c r="S822" s="1"/>
      <c r="T822" s="1"/>
      <c r="U822" s="1"/>
      <c r="V822" s="1"/>
      <c r="W822" s="1"/>
      <c r="X822" s="1"/>
      <c r="Y822" s="1"/>
      <c r="Z822" s="1"/>
    </row>
    <row r="823" spans="1:26" ht="50" customHeight="1" x14ac:dyDescent="0.15">
      <c r="A823" s="1"/>
      <c r="B823" s="1"/>
      <c r="C823" s="1"/>
      <c r="E823" s="1"/>
      <c r="F823" s="1"/>
      <c r="G823" s="1"/>
      <c r="H823" s="1"/>
      <c r="I823" s="1"/>
      <c r="J823" s="1"/>
      <c r="K823" s="1"/>
      <c r="M823" s="1"/>
      <c r="N823" s="1"/>
      <c r="O823" s="1"/>
      <c r="P823" s="1"/>
      <c r="R823" s="1"/>
      <c r="S823" s="1"/>
      <c r="T823" s="1"/>
      <c r="U823" s="1"/>
      <c r="V823" s="1"/>
      <c r="W823" s="1"/>
      <c r="X823" s="1"/>
      <c r="Y823" s="1"/>
      <c r="Z823" s="1"/>
    </row>
    <row r="824" spans="1:26" ht="50" customHeight="1" x14ac:dyDescent="0.15">
      <c r="A824" s="1"/>
      <c r="B824" s="1"/>
      <c r="C824" s="1"/>
      <c r="E824" s="1"/>
      <c r="F824" s="1"/>
      <c r="G824" s="1"/>
      <c r="H824" s="1"/>
      <c r="I824" s="1"/>
      <c r="J824" s="1"/>
      <c r="K824" s="1"/>
      <c r="M824" s="1"/>
      <c r="N824" s="1"/>
      <c r="O824" s="1"/>
      <c r="P824" s="1"/>
      <c r="R824" s="1"/>
      <c r="S824" s="1"/>
      <c r="T824" s="1"/>
      <c r="U824" s="1"/>
      <c r="V824" s="1"/>
      <c r="W824" s="1"/>
      <c r="X824" s="1"/>
      <c r="Y824" s="1"/>
      <c r="Z824" s="1"/>
    </row>
    <row r="825" spans="1:26" ht="50" customHeight="1" x14ac:dyDescent="0.15">
      <c r="A825" s="1"/>
      <c r="B825" s="1"/>
      <c r="C825" s="1"/>
      <c r="E825" s="1"/>
      <c r="F825" s="1"/>
      <c r="G825" s="1"/>
      <c r="H825" s="1"/>
      <c r="I825" s="1"/>
      <c r="J825" s="1"/>
      <c r="K825" s="1"/>
      <c r="M825" s="1"/>
      <c r="N825" s="1"/>
      <c r="O825" s="1"/>
      <c r="P825" s="1"/>
      <c r="R825" s="1"/>
      <c r="S825" s="1"/>
      <c r="T825" s="1"/>
      <c r="U825" s="1"/>
      <c r="V825" s="1"/>
      <c r="W825" s="1"/>
      <c r="X825" s="1"/>
      <c r="Y825" s="1"/>
      <c r="Z825" s="1"/>
    </row>
    <row r="826" spans="1:26" ht="50" customHeight="1" x14ac:dyDescent="0.15">
      <c r="A826" s="1"/>
      <c r="B826" s="1"/>
      <c r="C826" s="1"/>
      <c r="E826" s="1"/>
      <c r="F826" s="1"/>
      <c r="G826" s="1"/>
      <c r="H826" s="1"/>
      <c r="I826" s="1"/>
      <c r="J826" s="1"/>
      <c r="K826" s="1"/>
      <c r="M826" s="1"/>
      <c r="N826" s="1"/>
      <c r="O826" s="1"/>
      <c r="P826" s="1"/>
      <c r="R826" s="1"/>
      <c r="S826" s="1"/>
      <c r="T826" s="1"/>
      <c r="U826" s="1"/>
      <c r="V826" s="1"/>
      <c r="W826" s="1"/>
      <c r="X826" s="1"/>
      <c r="Y826" s="1"/>
      <c r="Z826" s="1"/>
    </row>
    <row r="827" spans="1:26" ht="50" customHeight="1" x14ac:dyDescent="0.15">
      <c r="A827" s="1"/>
      <c r="B827" s="1"/>
      <c r="C827" s="1"/>
      <c r="E827" s="1"/>
      <c r="F827" s="1"/>
      <c r="G827" s="1"/>
      <c r="H827" s="1"/>
      <c r="I827" s="1"/>
      <c r="J827" s="1"/>
      <c r="K827" s="1"/>
      <c r="M827" s="1"/>
      <c r="N827" s="1"/>
      <c r="O827" s="1"/>
      <c r="P827" s="1"/>
      <c r="R827" s="1"/>
      <c r="S827" s="1"/>
      <c r="T827" s="1"/>
      <c r="U827" s="1"/>
      <c r="V827" s="1"/>
      <c r="W827" s="1"/>
      <c r="X827" s="1"/>
      <c r="Y827" s="1"/>
      <c r="Z827" s="1"/>
    </row>
    <row r="828" spans="1:26" ht="50" customHeight="1" x14ac:dyDescent="0.15">
      <c r="A828" s="1"/>
      <c r="B828" s="1"/>
      <c r="C828" s="1"/>
      <c r="E828" s="1"/>
      <c r="F828" s="1"/>
      <c r="G828" s="1"/>
      <c r="H828" s="1"/>
      <c r="I828" s="1"/>
      <c r="J828" s="1"/>
      <c r="K828" s="1"/>
      <c r="M828" s="1"/>
      <c r="N828" s="1"/>
      <c r="O828" s="1"/>
      <c r="P828" s="1"/>
      <c r="R828" s="1"/>
      <c r="S828" s="1"/>
      <c r="T828" s="1"/>
      <c r="U828" s="1"/>
      <c r="V828" s="1"/>
      <c r="W828" s="1"/>
      <c r="X828" s="1"/>
      <c r="Y828" s="1"/>
      <c r="Z828" s="1"/>
    </row>
    <row r="829" spans="1:26" ht="50" customHeight="1" x14ac:dyDescent="0.15">
      <c r="A829" s="1"/>
      <c r="B829" s="1"/>
      <c r="C829" s="1"/>
      <c r="E829" s="1"/>
      <c r="F829" s="1"/>
      <c r="G829" s="1"/>
      <c r="H829" s="1"/>
      <c r="I829" s="1"/>
      <c r="J829" s="1"/>
      <c r="K829" s="1"/>
      <c r="M829" s="1"/>
      <c r="N829" s="1"/>
      <c r="O829" s="1"/>
      <c r="P829" s="1"/>
      <c r="R829" s="1"/>
      <c r="S829" s="1"/>
      <c r="T829" s="1"/>
      <c r="U829" s="1"/>
      <c r="V829" s="1"/>
      <c r="W829" s="1"/>
      <c r="X829" s="1"/>
      <c r="Y829" s="1"/>
      <c r="Z829" s="1"/>
    </row>
    <row r="830" spans="1:26" ht="50" customHeight="1" x14ac:dyDescent="0.15">
      <c r="A830" s="1"/>
      <c r="B830" s="1"/>
      <c r="C830" s="1"/>
      <c r="E830" s="1"/>
      <c r="F830" s="1"/>
      <c r="G830" s="1"/>
      <c r="H830" s="1"/>
      <c r="I830" s="1"/>
      <c r="J830" s="1"/>
      <c r="K830" s="1"/>
      <c r="M830" s="1"/>
      <c r="N830" s="1"/>
      <c r="O830" s="1"/>
      <c r="P830" s="1"/>
      <c r="R830" s="1"/>
      <c r="S830" s="1"/>
      <c r="T830" s="1"/>
      <c r="U830" s="1"/>
      <c r="V830" s="1"/>
      <c r="W830" s="1"/>
      <c r="X830" s="1"/>
      <c r="Y830" s="1"/>
      <c r="Z830" s="1"/>
    </row>
    <row r="831" spans="1:26" ht="50" customHeight="1" x14ac:dyDescent="0.15">
      <c r="A831" s="1"/>
      <c r="B831" s="1"/>
      <c r="C831" s="1"/>
      <c r="E831" s="1"/>
      <c r="F831" s="1"/>
      <c r="G831" s="1"/>
      <c r="H831" s="1"/>
      <c r="I831" s="1"/>
      <c r="J831" s="1"/>
      <c r="K831" s="1"/>
      <c r="M831" s="1"/>
      <c r="N831" s="1"/>
      <c r="O831" s="1"/>
      <c r="P831" s="1"/>
      <c r="R831" s="1"/>
      <c r="S831" s="1"/>
      <c r="T831" s="1"/>
      <c r="U831" s="1"/>
      <c r="V831" s="1"/>
      <c r="W831" s="1"/>
      <c r="X831" s="1"/>
      <c r="Y831" s="1"/>
      <c r="Z831" s="1"/>
    </row>
    <row r="832" spans="1:26" ht="50" customHeight="1" x14ac:dyDescent="0.15">
      <c r="A832" s="1"/>
      <c r="B832" s="1"/>
      <c r="C832" s="1"/>
      <c r="E832" s="1"/>
      <c r="F832" s="1"/>
      <c r="G832" s="1"/>
      <c r="H832" s="1"/>
      <c r="I832" s="1"/>
      <c r="J832" s="1"/>
      <c r="K832" s="1"/>
      <c r="M832" s="1"/>
      <c r="N832" s="1"/>
      <c r="O832" s="1"/>
      <c r="P832" s="1"/>
      <c r="R832" s="1"/>
      <c r="S832" s="1"/>
      <c r="T832" s="1"/>
      <c r="U832" s="1"/>
      <c r="V832" s="1"/>
      <c r="W832" s="1"/>
      <c r="X832" s="1"/>
      <c r="Y832" s="1"/>
      <c r="Z832" s="1"/>
    </row>
    <row r="833" spans="1:26" ht="50" customHeight="1" x14ac:dyDescent="0.15">
      <c r="A833" s="1"/>
      <c r="B833" s="1"/>
      <c r="C833" s="1"/>
      <c r="E833" s="1"/>
      <c r="F833" s="1"/>
      <c r="G833" s="1"/>
      <c r="H833" s="1"/>
      <c r="I833" s="1"/>
      <c r="J833" s="1"/>
      <c r="K833" s="1"/>
      <c r="M833" s="1"/>
      <c r="N833" s="1"/>
      <c r="O833" s="1"/>
      <c r="P833" s="1"/>
      <c r="R833" s="1"/>
      <c r="S833" s="1"/>
      <c r="T833" s="1"/>
      <c r="U833" s="1"/>
      <c r="V833" s="1"/>
      <c r="W833" s="1"/>
      <c r="X833" s="1"/>
      <c r="Y833" s="1"/>
      <c r="Z833" s="1"/>
    </row>
    <row r="834" spans="1:26" ht="50" customHeight="1" x14ac:dyDescent="0.15">
      <c r="A834" s="1"/>
      <c r="B834" s="1"/>
      <c r="C834" s="1"/>
      <c r="E834" s="1"/>
      <c r="F834" s="1"/>
      <c r="G834" s="1"/>
      <c r="H834" s="1"/>
      <c r="I834" s="1"/>
      <c r="J834" s="1"/>
      <c r="K834" s="1"/>
      <c r="M834" s="1"/>
      <c r="N834" s="1"/>
      <c r="O834" s="1"/>
      <c r="P834" s="1"/>
      <c r="R834" s="1"/>
      <c r="S834" s="1"/>
      <c r="T834" s="1"/>
      <c r="U834" s="1"/>
      <c r="V834" s="1"/>
      <c r="W834" s="1"/>
      <c r="X834" s="1"/>
      <c r="Y834" s="1"/>
      <c r="Z834" s="1"/>
    </row>
    <row r="835" spans="1:26" ht="50" customHeight="1" x14ac:dyDescent="0.15">
      <c r="A835" s="1"/>
      <c r="B835" s="1"/>
      <c r="C835" s="1"/>
      <c r="E835" s="1"/>
      <c r="F835" s="1"/>
      <c r="G835" s="1"/>
      <c r="H835" s="1"/>
      <c r="I835" s="1"/>
      <c r="J835" s="1"/>
      <c r="K835" s="1"/>
      <c r="M835" s="1"/>
      <c r="N835" s="1"/>
      <c r="O835" s="1"/>
      <c r="P835" s="1"/>
      <c r="R835" s="1"/>
      <c r="S835" s="1"/>
      <c r="T835" s="1"/>
      <c r="U835" s="1"/>
      <c r="V835" s="1"/>
      <c r="W835" s="1"/>
      <c r="X835" s="1"/>
      <c r="Y835" s="1"/>
      <c r="Z835" s="1"/>
    </row>
    <row r="836" spans="1:26" ht="50" customHeight="1" x14ac:dyDescent="0.15">
      <c r="A836" s="1"/>
      <c r="B836" s="1"/>
      <c r="C836" s="1"/>
      <c r="E836" s="1"/>
      <c r="F836" s="1"/>
      <c r="G836" s="1"/>
      <c r="H836" s="1"/>
      <c r="I836" s="1"/>
      <c r="J836" s="1"/>
      <c r="K836" s="1"/>
      <c r="M836" s="1"/>
      <c r="N836" s="1"/>
      <c r="O836" s="1"/>
      <c r="P836" s="1"/>
      <c r="R836" s="1"/>
      <c r="S836" s="1"/>
      <c r="T836" s="1"/>
      <c r="U836" s="1"/>
      <c r="V836" s="1"/>
      <c r="W836" s="1"/>
      <c r="X836" s="1"/>
      <c r="Y836" s="1"/>
      <c r="Z836" s="1"/>
    </row>
    <row r="837" spans="1:26" ht="50" customHeight="1" x14ac:dyDescent="0.15">
      <c r="A837" s="1"/>
      <c r="B837" s="1"/>
      <c r="C837" s="1"/>
      <c r="E837" s="1"/>
      <c r="F837" s="1"/>
      <c r="G837" s="1"/>
      <c r="H837" s="1"/>
      <c r="I837" s="1"/>
      <c r="J837" s="1"/>
      <c r="K837" s="1"/>
      <c r="M837" s="1"/>
      <c r="N837" s="1"/>
      <c r="O837" s="1"/>
      <c r="P837" s="1"/>
      <c r="R837" s="1"/>
      <c r="S837" s="1"/>
      <c r="T837" s="1"/>
      <c r="U837" s="1"/>
      <c r="V837" s="1"/>
      <c r="W837" s="1"/>
      <c r="X837" s="1"/>
      <c r="Y837" s="1"/>
      <c r="Z837" s="1"/>
    </row>
    <row r="838" spans="1:26" ht="50" customHeight="1" x14ac:dyDescent="0.15">
      <c r="A838" s="1"/>
      <c r="B838" s="1"/>
      <c r="C838" s="1"/>
      <c r="E838" s="1"/>
      <c r="F838" s="1"/>
      <c r="G838" s="1"/>
      <c r="H838" s="1"/>
      <c r="I838" s="1"/>
      <c r="J838" s="1"/>
      <c r="K838" s="1"/>
      <c r="M838" s="1"/>
      <c r="N838" s="1"/>
      <c r="O838" s="1"/>
      <c r="P838" s="1"/>
      <c r="R838" s="1"/>
      <c r="S838" s="1"/>
      <c r="T838" s="1"/>
      <c r="U838" s="1"/>
      <c r="V838" s="1"/>
      <c r="W838" s="1"/>
      <c r="X838" s="1"/>
      <c r="Y838" s="1"/>
      <c r="Z838" s="1"/>
    </row>
    <row r="839" spans="1:26" ht="50" customHeight="1" x14ac:dyDescent="0.15">
      <c r="A839" s="1"/>
      <c r="B839" s="1"/>
      <c r="C839" s="1"/>
      <c r="E839" s="1"/>
      <c r="F839" s="1"/>
      <c r="G839" s="1"/>
      <c r="H839" s="1"/>
      <c r="I839" s="1"/>
      <c r="J839" s="1"/>
      <c r="K839" s="1"/>
      <c r="M839" s="1"/>
      <c r="N839" s="1"/>
      <c r="O839" s="1"/>
      <c r="P839" s="1"/>
      <c r="R839" s="1"/>
      <c r="S839" s="1"/>
      <c r="T839" s="1"/>
      <c r="U839" s="1"/>
      <c r="V839" s="1"/>
      <c r="W839" s="1"/>
      <c r="X839" s="1"/>
      <c r="Y839" s="1"/>
      <c r="Z839" s="1"/>
    </row>
    <row r="840" spans="1:26" ht="50" customHeight="1" x14ac:dyDescent="0.15">
      <c r="A840" s="1"/>
      <c r="B840" s="1"/>
      <c r="C840" s="1"/>
      <c r="E840" s="1"/>
      <c r="F840" s="1"/>
      <c r="G840" s="1"/>
      <c r="H840" s="1"/>
      <c r="I840" s="1"/>
      <c r="J840" s="1"/>
      <c r="K840" s="1"/>
      <c r="M840" s="1"/>
      <c r="N840" s="1"/>
      <c r="O840" s="1"/>
      <c r="P840" s="1"/>
      <c r="R840" s="1"/>
      <c r="S840" s="1"/>
      <c r="T840" s="1"/>
      <c r="U840" s="1"/>
      <c r="V840" s="1"/>
      <c r="W840" s="1"/>
      <c r="X840" s="1"/>
      <c r="Y840" s="1"/>
      <c r="Z840" s="1"/>
    </row>
    <row r="841" spans="1:26" ht="50" customHeight="1" x14ac:dyDescent="0.15">
      <c r="A841" s="1"/>
      <c r="B841" s="1"/>
      <c r="C841" s="1"/>
      <c r="E841" s="1"/>
      <c r="F841" s="1"/>
      <c r="G841" s="1"/>
      <c r="H841" s="1"/>
      <c r="I841" s="1"/>
      <c r="J841" s="1"/>
      <c r="K841" s="1"/>
      <c r="M841" s="1"/>
      <c r="N841" s="1"/>
      <c r="O841" s="1"/>
      <c r="P841" s="1"/>
      <c r="R841" s="1"/>
      <c r="S841" s="1"/>
      <c r="T841" s="1"/>
      <c r="U841" s="1"/>
      <c r="V841" s="1"/>
      <c r="W841" s="1"/>
      <c r="X841" s="1"/>
      <c r="Y841" s="1"/>
      <c r="Z841" s="1"/>
    </row>
    <row r="842" spans="1:26" ht="50" customHeight="1" x14ac:dyDescent="0.15">
      <c r="A842" s="1"/>
      <c r="B842" s="1"/>
      <c r="C842" s="1"/>
      <c r="E842" s="1"/>
      <c r="F842" s="1"/>
      <c r="G842" s="1"/>
      <c r="H842" s="1"/>
      <c r="I842" s="1"/>
      <c r="J842" s="1"/>
      <c r="K842" s="1"/>
      <c r="M842" s="1"/>
      <c r="N842" s="1"/>
      <c r="O842" s="1"/>
      <c r="P842" s="1"/>
      <c r="R842" s="1"/>
      <c r="S842" s="1"/>
      <c r="T842" s="1"/>
      <c r="U842" s="1"/>
      <c r="V842" s="1"/>
      <c r="W842" s="1"/>
      <c r="X842" s="1"/>
      <c r="Y842" s="1"/>
      <c r="Z842" s="1"/>
    </row>
    <row r="843" spans="1:26" ht="50" customHeight="1" x14ac:dyDescent="0.15">
      <c r="A843" s="1"/>
      <c r="B843" s="1"/>
      <c r="C843" s="1"/>
      <c r="E843" s="1"/>
      <c r="F843" s="1"/>
      <c r="G843" s="1"/>
      <c r="H843" s="1"/>
      <c r="I843" s="1"/>
      <c r="J843" s="1"/>
      <c r="K843" s="1"/>
      <c r="M843" s="1"/>
      <c r="N843" s="1"/>
      <c r="O843" s="1"/>
      <c r="P843" s="1"/>
      <c r="R843" s="1"/>
      <c r="S843" s="1"/>
      <c r="T843" s="1"/>
      <c r="U843" s="1"/>
      <c r="V843" s="1"/>
      <c r="W843" s="1"/>
      <c r="X843" s="1"/>
      <c r="Y843" s="1"/>
      <c r="Z843" s="1"/>
    </row>
    <row r="844" spans="1:26" ht="50" customHeight="1" x14ac:dyDescent="0.15">
      <c r="A844" s="1"/>
      <c r="B844" s="1"/>
      <c r="C844" s="1"/>
      <c r="E844" s="1"/>
      <c r="F844" s="1"/>
      <c r="G844" s="1"/>
      <c r="H844" s="1"/>
      <c r="I844" s="1"/>
      <c r="J844" s="1"/>
      <c r="K844" s="1"/>
      <c r="M844" s="1"/>
      <c r="N844" s="1"/>
      <c r="O844" s="1"/>
      <c r="P844" s="1"/>
      <c r="R844" s="1"/>
      <c r="S844" s="1"/>
      <c r="T844" s="1"/>
      <c r="U844" s="1"/>
      <c r="V844" s="1"/>
      <c r="W844" s="1"/>
      <c r="X844" s="1"/>
      <c r="Y844" s="1"/>
      <c r="Z844" s="1"/>
    </row>
    <row r="845" spans="1:26" ht="50" customHeight="1" x14ac:dyDescent="0.15">
      <c r="A845" s="1"/>
      <c r="B845" s="1"/>
      <c r="C845" s="1"/>
      <c r="E845" s="1"/>
      <c r="F845" s="1"/>
      <c r="G845" s="1"/>
      <c r="H845" s="1"/>
      <c r="I845" s="1"/>
      <c r="J845" s="1"/>
      <c r="K845" s="1"/>
      <c r="M845" s="1"/>
      <c r="N845" s="1"/>
      <c r="O845" s="1"/>
      <c r="P845" s="1"/>
      <c r="R845" s="1"/>
      <c r="S845" s="1"/>
      <c r="T845" s="1"/>
      <c r="U845" s="1"/>
      <c r="V845" s="1"/>
      <c r="W845" s="1"/>
      <c r="X845" s="1"/>
      <c r="Y845" s="1"/>
      <c r="Z845" s="1"/>
    </row>
    <row r="846" spans="1:26" ht="50" customHeight="1" x14ac:dyDescent="0.15">
      <c r="A846" s="1"/>
      <c r="B846" s="1"/>
      <c r="C846" s="1"/>
      <c r="E846" s="1"/>
      <c r="F846" s="1"/>
      <c r="G846" s="1"/>
      <c r="H846" s="1"/>
      <c r="I846" s="1"/>
      <c r="J846" s="1"/>
      <c r="K846" s="1"/>
      <c r="M846" s="1"/>
      <c r="N846" s="1"/>
      <c r="O846" s="1"/>
      <c r="P846" s="1"/>
      <c r="R846" s="1"/>
      <c r="S846" s="1"/>
      <c r="T846" s="1"/>
      <c r="U846" s="1"/>
      <c r="V846" s="1"/>
      <c r="W846" s="1"/>
      <c r="X846" s="1"/>
      <c r="Y846" s="1"/>
      <c r="Z846" s="1"/>
    </row>
    <row r="847" spans="1:26" ht="50" customHeight="1" x14ac:dyDescent="0.15">
      <c r="A847" s="1"/>
      <c r="B847" s="1"/>
      <c r="C847" s="1"/>
      <c r="E847" s="1"/>
      <c r="F847" s="1"/>
      <c r="G847" s="1"/>
      <c r="H847" s="1"/>
      <c r="I847" s="1"/>
      <c r="J847" s="1"/>
      <c r="K847" s="1"/>
      <c r="M847" s="1"/>
      <c r="N847" s="1"/>
      <c r="O847" s="1"/>
      <c r="P847" s="1"/>
      <c r="R847" s="1"/>
      <c r="S847" s="1"/>
      <c r="T847" s="1"/>
      <c r="U847" s="1"/>
      <c r="V847" s="1"/>
      <c r="W847" s="1"/>
      <c r="X847" s="1"/>
      <c r="Y847" s="1"/>
      <c r="Z847" s="1"/>
    </row>
    <row r="848" spans="1:26" ht="50" customHeight="1" x14ac:dyDescent="0.15">
      <c r="A848" s="1"/>
      <c r="B848" s="1"/>
      <c r="C848" s="1"/>
      <c r="E848" s="1"/>
      <c r="F848" s="1"/>
      <c r="G848" s="1"/>
      <c r="H848" s="1"/>
      <c r="I848" s="1"/>
      <c r="J848" s="1"/>
      <c r="K848" s="1"/>
      <c r="M848" s="1"/>
      <c r="N848" s="1"/>
      <c r="O848" s="1"/>
      <c r="P848" s="1"/>
      <c r="R848" s="1"/>
      <c r="S848" s="1"/>
      <c r="T848" s="1"/>
      <c r="U848" s="1"/>
      <c r="V848" s="1"/>
      <c r="W848" s="1"/>
      <c r="X848" s="1"/>
      <c r="Y848" s="1"/>
      <c r="Z848" s="1"/>
    </row>
    <row r="849" spans="1:26" ht="50" customHeight="1" x14ac:dyDescent="0.15">
      <c r="A849" s="1"/>
      <c r="B849" s="1"/>
      <c r="C849" s="1"/>
      <c r="E849" s="1"/>
      <c r="F849" s="1"/>
      <c r="G849" s="1"/>
      <c r="H849" s="1"/>
      <c r="I849" s="1"/>
      <c r="J849" s="1"/>
      <c r="K849" s="1"/>
      <c r="M849" s="1"/>
      <c r="N849" s="1"/>
      <c r="O849" s="1"/>
      <c r="P849" s="1"/>
      <c r="R849" s="1"/>
      <c r="S849" s="1"/>
      <c r="T849" s="1"/>
      <c r="U849" s="1"/>
      <c r="V849" s="1"/>
      <c r="W849" s="1"/>
      <c r="X849" s="1"/>
      <c r="Y849" s="1"/>
      <c r="Z849" s="1"/>
    </row>
    <row r="850" spans="1:26" ht="50" customHeight="1" x14ac:dyDescent="0.15">
      <c r="A850" s="1"/>
      <c r="B850" s="1"/>
      <c r="C850" s="1"/>
      <c r="E850" s="1"/>
      <c r="F850" s="1"/>
      <c r="G850" s="1"/>
      <c r="H850" s="1"/>
      <c r="I850" s="1"/>
      <c r="J850" s="1"/>
      <c r="K850" s="1"/>
      <c r="M850" s="1"/>
      <c r="N850" s="1"/>
      <c r="O850" s="1"/>
      <c r="P850" s="1"/>
      <c r="R850" s="1"/>
      <c r="S850" s="1"/>
      <c r="T850" s="1"/>
      <c r="U850" s="1"/>
      <c r="V850" s="1"/>
      <c r="W850" s="1"/>
      <c r="X850" s="1"/>
      <c r="Y850" s="1"/>
      <c r="Z850" s="1"/>
    </row>
    <row r="851" spans="1:26" ht="50" customHeight="1" x14ac:dyDescent="0.15">
      <c r="A851" s="1"/>
      <c r="B851" s="1"/>
      <c r="C851" s="1"/>
      <c r="E851" s="1"/>
      <c r="F851" s="1"/>
      <c r="G851" s="1"/>
      <c r="H851" s="1"/>
      <c r="I851" s="1"/>
      <c r="J851" s="1"/>
      <c r="K851" s="1"/>
      <c r="M851" s="1"/>
      <c r="N851" s="1"/>
      <c r="O851" s="1"/>
      <c r="P851" s="1"/>
      <c r="R851" s="1"/>
      <c r="S851" s="1"/>
      <c r="T851" s="1"/>
      <c r="U851" s="1"/>
      <c r="V851" s="1"/>
      <c r="W851" s="1"/>
      <c r="X851" s="1"/>
      <c r="Y851" s="1"/>
      <c r="Z851" s="1"/>
    </row>
    <row r="852" spans="1:26" ht="50" customHeight="1" x14ac:dyDescent="0.15">
      <c r="A852" s="1"/>
      <c r="B852" s="1"/>
      <c r="C852" s="1"/>
      <c r="E852" s="1"/>
      <c r="F852" s="1"/>
      <c r="G852" s="1"/>
      <c r="H852" s="1"/>
      <c r="I852" s="1"/>
      <c r="J852" s="1"/>
      <c r="K852" s="1"/>
      <c r="M852" s="1"/>
      <c r="N852" s="1"/>
      <c r="O852" s="1"/>
      <c r="P852" s="1"/>
      <c r="R852" s="1"/>
      <c r="S852" s="1"/>
      <c r="T852" s="1"/>
      <c r="U852" s="1"/>
      <c r="V852" s="1"/>
      <c r="W852" s="1"/>
      <c r="X852" s="1"/>
      <c r="Y852" s="1"/>
      <c r="Z852" s="1"/>
    </row>
    <row r="853" spans="1:26" ht="50" customHeight="1" x14ac:dyDescent="0.15">
      <c r="A853" s="1"/>
      <c r="B853" s="1"/>
      <c r="C853" s="1"/>
      <c r="E853" s="1"/>
      <c r="F853" s="1"/>
      <c r="G853" s="1"/>
      <c r="H853" s="1"/>
      <c r="I853" s="1"/>
      <c r="J853" s="1"/>
      <c r="K853" s="1"/>
      <c r="M853" s="1"/>
      <c r="N853" s="1"/>
      <c r="O853" s="1"/>
      <c r="P853" s="1"/>
      <c r="R853" s="1"/>
      <c r="S853" s="1"/>
      <c r="T853" s="1"/>
      <c r="U853" s="1"/>
      <c r="V853" s="1"/>
      <c r="W853" s="1"/>
      <c r="X853" s="1"/>
      <c r="Y853" s="1"/>
      <c r="Z853" s="1"/>
    </row>
    <row r="854" spans="1:26" ht="50" customHeight="1" x14ac:dyDescent="0.15">
      <c r="A854" s="1"/>
      <c r="B854" s="1"/>
      <c r="C854" s="1"/>
      <c r="E854" s="1"/>
      <c r="F854" s="1"/>
      <c r="G854" s="1"/>
      <c r="H854" s="1"/>
      <c r="I854" s="1"/>
      <c r="J854" s="1"/>
      <c r="K854" s="1"/>
      <c r="M854" s="1"/>
      <c r="N854" s="1"/>
      <c r="O854" s="1"/>
      <c r="P854" s="1"/>
      <c r="R854" s="1"/>
      <c r="S854" s="1"/>
      <c r="T854" s="1"/>
      <c r="U854" s="1"/>
      <c r="V854" s="1"/>
      <c r="W854" s="1"/>
      <c r="X854" s="1"/>
      <c r="Y854" s="1"/>
      <c r="Z854" s="1"/>
    </row>
    <row r="855" spans="1:26" ht="50" customHeight="1" x14ac:dyDescent="0.15">
      <c r="A855" s="1"/>
      <c r="B855" s="1"/>
      <c r="C855" s="1"/>
      <c r="E855" s="1"/>
      <c r="F855" s="1"/>
      <c r="G855" s="1"/>
      <c r="H855" s="1"/>
      <c r="I855" s="1"/>
      <c r="J855" s="1"/>
      <c r="K855" s="1"/>
      <c r="M855" s="1"/>
      <c r="N855" s="1"/>
      <c r="O855" s="1"/>
      <c r="P855" s="1"/>
      <c r="R855" s="1"/>
      <c r="S855" s="1"/>
      <c r="T855" s="1"/>
      <c r="U855" s="1"/>
      <c r="V855" s="1"/>
      <c r="W855" s="1"/>
      <c r="X855" s="1"/>
      <c r="Y855" s="1"/>
      <c r="Z855" s="1"/>
    </row>
    <row r="856" spans="1:26" ht="50" customHeight="1" x14ac:dyDescent="0.15">
      <c r="A856" s="1"/>
      <c r="B856" s="1"/>
      <c r="C856" s="1"/>
      <c r="E856" s="1"/>
      <c r="F856" s="1"/>
      <c r="G856" s="1"/>
      <c r="H856" s="1"/>
      <c r="I856" s="1"/>
      <c r="J856" s="1"/>
      <c r="K856" s="1"/>
      <c r="M856" s="1"/>
      <c r="N856" s="1"/>
      <c r="O856" s="1"/>
      <c r="P856" s="1"/>
      <c r="R856" s="1"/>
      <c r="S856" s="1"/>
      <c r="T856" s="1"/>
      <c r="U856" s="1"/>
      <c r="V856" s="1"/>
      <c r="W856" s="1"/>
      <c r="X856" s="1"/>
      <c r="Y856" s="1"/>
      <c r="Z856" s="1"/>
    </row>
    <row r="857" spans="1:26" ht="50" customHeight="1" x14ac:dyDescent="0.15">
      <c r="A857" s="1"/>
      <c r="B857" s="1"/>
      <c r="C857" s="1"/>
      <c r="E857" s="1"/>
      <c r="F857" s="1"/>
      <c r="G857" s="1"/>
      <c r="H857" s="1"/>
      <c r="I857" s="1"/>
      <c r="J857" s="1"/>
      <c r="K857" s="1"/>
      <c r="M857" s="1"/>
      <c r="N857" s="1"/>
      <c r="O857" s="1"/>
      <c r="P857" s="1"/>
      <c r="R857" s="1"/>
      <c r="S857" s="1"/>
      <c r="T857" s="1"/>
      <c r="U857" s="1"/>
      <c r="V857" s="1"/>
      <c r="W857" s="1"/>
      <c r="X857" s="1"/>
      <c r="Y857" s="1"/>
      <c r="Z857" s="1"/>
    </row>
    <row r="858" spans="1:26" ht="50" customHeight="1" x14ac:dyDescent="0.15">
      <c r="A858" s="1"/>
      <c r="B858" s="1"/>
      <c r="C858" s="1"/>
      <c r="E858" s="1"/>
      <c r="F858" s="1"/>
      <c r="G858" s="1"/>
      <c r="H858" s="1"/>
      <c r="I858" s="1"/>
      <c r="J858" s="1"/>
      <c r="K858" s="1"/>
      <c r="M858" s="1"/>
      <c r="N858" s="1"/>
      <c r="O858" s="1"/>
      <c r="P858" s="1"/>
      <c r="R858" s="1"/>
      <c r="S858" s="1"/>
      <c r="T858" s="1"/>
      <c r="U858" s="1"/>
      <c r="V858" s="1"/>
      <c r="W858" s="1"/>
      <c r="X858" s="1"/>
      <c r="Y858" s="1"/>
      <c r="Z858" s="1"/>
    </row>
    <row r="859" spans="1:26" ht="50" customHeight="1" x14ac:dyDescent="0.15">
      <c r="A859" s="1"/>
      <c r="B859" s="1"/>
      <c r="C859" s="1"/>
      <c r="E859" s="1"/>
      <c r="F859" s="1"/>
      <c r="G859" s="1"/>
      <c r="H859" s="1"/>
      <c r="I859" s="1"/>
      <c r="J859" s="1"/>
      <c r="K859" s="1"/>
      <c r="M859" s="1"/>
      <c r="N859" s="1"/>
      <c r="O859" s="1"/>
      <c r="P859" s="1"/>
      <c r="R859" s="1"/>
      <c r="S859" s="1"/>
      <c r="T859" s="1"/>
      <c r="U859" s="1"/>
      <c r="V859" s="1"/>
      <c r="W859" s="1"/>
      <c r="X859" s="1"/>
      <c r="Y859" s="1"/>
      <c r="Z859" s="1"/>
    </row>
    <row r="860" spans="1:26" ht="50" customHeight="1" x14ac:dyDescent="0.15">
      <c r="A860" s="1"/>
      <c r="B860" s="1"/>
      <c r="C860" s="1"/>
      <c r="E860" s="1"/>
      <c r="F860" s="1"/>
      <c r="G860" s="1"/>
      <c r="H860" s="1"/>
      <c r="I860" s="1"/>
      <c r="J860" s="1"/>
      <c r="K860" s="1"/>
      <c r="M860" s="1"/>
      <c r="N860" s="1"/>
      <c r="O860" s="1"/>
      <c r="P860" s="1"/>
      <c r="R860" s="1"/>
      <c r="S860" s="1"/>
      <c r="T860" s="1"/>
      <c r="U860" s="1"/>
      <c r="V860" s="1"/>
      <c r="W860" s="1"/>
      <c r="X860" s="1"/>
      <c r="Y860" s="1"/>
      <c r="Z860" s="1"/>
    </row>
    <row r="861" spans="1:26" ht="50" customHeight="1" x14ac:dyDescent="0.15">
      <c r="A861" s="1"/>
      <c r="B861" s="1"/>
      <c r="C861" s="1"/>
      <c r="E861" s="1"/>
      <c r="F861" s="1"/>
      <c r="G861" s="1"/>
      <c r="H861" s="1"/>
      <c r="I861" s="1"/>
      <c r="J861" s="1"/>
      <c r="K861" s="1"/>
      <c r="M861" s="1"/>
      <c r="N861" s="1"/>
      <c r="O861" s="1"/>
      <c r="P861" s="1"/>
      <c r="R861" s="1"/>
      <c r="S861" s="1"/>
      <c r="T861" s="1"/>
      <c r="U861" s="1"/>
      <c r="V861" s="1"/>
      <c r="W861" s="1"/>
      <c r="X861" s="1"/>
      <c r="Y861" s="1"/>
      <c r="Z861" s="1"/>
    </row>
    <row r="862" spans="1:26" ht="50" customHeight="1" x14ac:dyDescent="0.15">
      <c r="A862" s="1"/>
      <c r="B862" s="1"/>
      <c r="C862" s="1"/>
      <c r="E862" s="1"/>
      <c r="F862" s="1"/>
      <c r="G862" s="1"/>
      <c r="H862" s="1"/>
      <c r="I862" s="1"/>
      <c r="J862" s="1"/>
      <c r="K862" s="1"/>
      <c r="M862" s="1"/>
      <c r="N862" s="1"/>
      <c r="O862" s="1"/>
      <c r="P862" s="1"/>
      <c r="R862" s="1"/>
      <c r="S862" s="1"/>
      <c r="T862" s="1"/>
      <c r="U862" s="1"/>
      <c r="V862" s="1"/>
      <c r="W862" s="1"/>
      <c r="X862" s="1"/>
      <c r="Y862" s="1"/>
      <c r="Z862" s="1"/>
    </row>
    <row r="863" spans="1:26" ht="50" customHeight="1" x14ac:dyDescent="0.15">
      <c r="A863" s="1"/>
      <c r="B863" s="1"/>
      <c r="C863" s="1"/>
      <c r="E863" s="1"/>
      <c r="F863" s="1"/>
      <c r="G863" s="1"/>
      <c r="H863" s="1"/>
      <c r="I863" s="1"/>
      <c r="J863" s="1"/>
      <c r="K863" s="1"/>
      <c r="M863" s="1"/>
      <c r="N863" s="1"/>
      <c r="O863" s="1"/>
      <c r="P863" s="1"/>
      <c r="R863" s="1"/>
      <c r="S863" s="1"/>
      <c r="T863" s="1"/>
      <c r="U863" s="1"/>
      <c r="V863" s="1"/>
      <c r="W863" s="1"/>
      <c r="X863" s="1"/>
      <c r="Y863" s="1"/>
      <c r="Z863" s="1"/>
    </row>
    <row r="864" spans="1:26" ht="50" customHeight="1" x14ac:dyDescent="0.15">
      <c r="A864" s="1"/>
      <c r="B864" s="1"/>
      <c r="C864" s="1"/>
      <c r="E864" s="1"/>
      <c r="F864" s="1"/>
      <c r="G864" s="1"/>
      <c r="H864" s="1"/>
      <c r="I864" s="1"/>
      <c r="J864" s="1"/>
      <c r="K864" s="1"/>
      <c r="M864" s="1"/>
      <c r="N864" s="1"/>
      <c r="O864" s="1"/>
      <c r="P864" s="1"/>
      <c r="R864" s="1"/>
      <c r="S864" s="1"/>
      <c r="T864" s="1"/>
      <c r="U864" s="1"/>
      <c r="V864" s="1"/>
      <c r="W864" s="1"/>
      <c r="X864" s="1"/>
      <c r="Y864" s="1"/>
      <c r="Z864" s="1"/>
    </row>
    <row r="865" spans="1:26" ht="50" customHeight="1" x14ac:dyDescent="0.15">
      <c r="A865" s="1"/>
      <c r="B865" s="1"/>
      <c r="C865" s="1"/>
      <c r="E865" s="1"/>
      <c r="F865" s="1"/>
      <c r="G865" s="1"/>
      <c r="H865" s="1"/>
      <c r="I865" s="1"/>
      <c r="J865" s="1"/>
      <c r="K865" s="1"/>
      <c r="M865" s="1"/>
      <c r="N865" s="1"/>
      <c r="O865" s="1"/>
      <c r="P865" s="1"/>
      <c r="R865" s="1"/>
      <c r="S865" s="1"/>
      <c r="T865" s="1"/>
      <c r="U865" s="1"/>
      <c r="V865" s="1"/>
      <c r="W865" s="1"/>
      <c r="X865" s="1"/>
      <c r="Y865" s="1"/>
      <c r="Z865" s="1"/>
    </row>
    <row r="866" spans="1:26" ht="50" customHeight="1" x14ac:dyDescent="0.15">
      <c r="A866" s="1"/>
      <c r="B866" s="1"/>
      <c r="C866" s="1"/>
      <c r="E866" s="1"/>
      <c r="F866" s="1"/>
      <c r="G866" s="1"/>
      <c r="H866" s="1"/>
      <c r="I866" s="1"/>
      <c r="J866" s="1"/>
      <c r="K866" s="1"/>
      <c r="M866" s="1"/>
      <c r="N866" s="1"/>
      <c r="O866" s="1"/>
      <c r="P866" s="1"/>
      <c r="R866" s="1"/>
      <c r="S866" s="1"/>
      <c r="T866" s="1"/>
      <c r="U866" s="1"/>
      <c r="V866" s="1"/>
      <c r="W866" s="1"/>
      <c r="X866" s="1"/>
      <c r="Y866" s="1"/>
      <c r="Z866" s="1"/>
    </row>
    <row r="867" spans="1:26" ht="50" customHeight="1" x14ac:dyDescent="0.15">
      <c r="A867" s="1"/>
      <c r="B867" s="1"/>
      <c r="C867" s="1"/>
      <c r="E867" s="1"/>
      <c r="F867" s="1"/>
      <c r="G867" s="1"/>
      <c r="H867" s="1"/>
      <c r="I867" s="1"/>
      <c r="J867" s="1"/>
      <c r="K867" s="1"/>
      <c r="M867" s="1"/>
      <c r="N867" s="1"/>
      <c r="O867" s="1"/>
      <c r="P867" s="1"/>
      <c r="R867" s="1"/>
      <c r="S867" s="1"/>
      <c r="T867" s="1"/>
      <c r="U867" s="1"/>
      <c r="V867" s="1"/>
      <c r="W867" s="1"/>
      <c r="X867" s="1"/>
      <c r="Y867" s="1"/>
      <c r="Z867" s="1"/>
    </row>
    <row r="868" spans="1:26" ht="50" customHeight="1" x14ac:dyDescent="0.15">
      <c r="A868" s="1"/>
      <c r="B868" s="1"/>
      <c r="C868" s="1"/>
      <c r="E868" s="1"/>
      <c r="F868" s="1"/>
      <c r="G868" s="1"/>
      <c r="H868" s="1"/>
      <c r="I868" s="1"/>
      <c r="J868" s="1"/>
      <c r="K868" s="1"/>
      <c r="M868" s="1"/>
      <c r="N868" s="1"/>
      <c r="O868" s="1"/>
      <c r="P868" s="1"/>
      <c r="R868" s="1"/>
      <c r="S868" s="1"/>
      <c r="T868" s="1"/>
      <c r="U868" s="1"/>
      <c r="V868" s="1"/>
      <c r="W868" s="1"/>
      <c r="X868" s="1"/>
      <c r="Y868" s="1"/>
      <c r="Z868" s="1"/>
    </row>
    <row r="869" spans="1:26" ht="50" customHeight="1" x14ac:dyDescent="0.15">
      <c r="A869" s="1"/>
      <c r="B869" s="1"/>
      <c r="C869" s="1"/>
      <c r="E869" s="1"/>
      <c r="F869" s="1"/>
      <c r="G869" s="1"/>
      <c r="H869" s="1"/>
      <c r="I869" s="1"/>
      <c r="J869" s="1"/>
      <c r="K869" s="1"/>
      <c r="M869" s="1"/>
      <c r="N869" s="1"/>
      <c r="O869" s="1"/>
      <c r="P869" s="1"/>
      <c r="R869" s="1"/>
      <c r="S869" s="1"/>
      <c r="T869" s="1"/>
      <c r="U869" s="1"/>
      <c r="V869" s="1"/>
      <c r="W869" s="1"/>
      <c r="X869" s="1"/>
      <c r="Y869" s="1"/>
      <c r="Z869" s="1"/>
    </row>
    <row r="870" spans="1:26" ht="50" customHeight="1" x14ac:dyDescent="0.15">
      <c r="A870" s="1"/>
      <c r="B870" s="1"/>
      <c r="C870" s="1"/>
      <c r="E870" s="1"/>
      <c r="F870" s="1"/>
      <c r="G870" s="1"/>
      <c r="H870" s="1"/>
      <c r="I870" s="1"/>
      <c r="J870" s="1"/>
      <c r="K870" s="1"/>
      <c r="M870" s="1"/>
      <c r="N870" s="1"/>
      <c r="O870" s="1"/>
      <c r="P870" s="1"/>
      <c r="R870" s="1"/>
      <c r="S870" s="1"/>
      <c r="T870" s="1"/>
      <c r="U870" s="1"/>
      <c r="V870" s="1"/>
      <c r="W870" s="1"/>
      <c r="X870" s="1"/>
      <c r="Y870" s="1"/>
      <c r="Z870" s="1"/>
    </row>
    <row r="871" spans="1:26" ht="50" customHeight="1" x14ac:dyDescent="0.15">
      <c r="A871" s="1"/>
      <c r="B871" s="1"/>
      <c r="C871" s="1"/>
      <c r="E871" s="1"/>
      <c r="F871" s="1"/>
      <c r="G871" s="1"/>
      <c r="H871" s="1"/>
      <c r="I871" s="1"/>
      <c r="J871" s="1"/>
      <c r="K871" s="1"/>
      <c r="M871" s="1"/>
      <c r="N871" s="1"/>
      <c r="O871" s="1"/>
      <c r="P871" s="1"/>
      <c r="R871" s="1"/>
      <c r="S871" s="1"/>
      <c r="T871" s="1"/>
      <c r="U871" s="1"/>
      <c r="V871" s="1"/>
      <c r="W871" s="1"/>
      <c r="X871" s="1"/>
      <c r="Y871" s="1"/>
      <c r="Z871" s="1"/>
    </row>
    <row r="872" spans="1:26" ht="50" customHeight="1" x14ac:dyDescent="0.15">
      <c r="A872" s="1"/>
      <c r="B872" s="1"/>
      <c r="C872" s="1"/>
      <c r="E872" s="1"/>
      <c r="F872" s="1"/>
      <c r="G872" s="1"/>
      <c r="H872" s="1"/>
      <c r="I872" s="1"/>
      <c r="J872" s="1"/>
      <c r="K872" s="1"/>
      <c r="M872" s="1"/>
      <c r="N872" s="1"/>
      <c r="O872" s="1"/>
      <c r="P872" s="1"/>
      <c r="R872" s="1"/>
      <c r="S872" s="1"/>
      <c r="T872" s="1"/>
      <c r="U872" s="1"/>
      <c r="V872" s="1"/>
      <c r="W872" s="1"/>
      <c r="X872" s="1"/>
      <c r="Y872" s="1"/>
      <c r="Z872" s="1"/>
    </row>
    <row r="873" spans="1:26" ht="50" customHeight="1" x14ac:dyDescent="0.15">
      <c r="A873" s="1"/>
      <c r="B873" s="1"/>
      <c r="C873" s="1"/>
      <c r="E873" s="1"/>
      <c r="F873" s="1"/>
      <c r="G873" s="1"/>
      <c r="H873" s="1"/>
      <c r="I873" s="1"/>
      <c r="J873" s="1"/>
      <c r="K873" s="1"/>
      <c r="M873" s="1"/>
      <c r="N873" s="1"/>
      <c r="O873" s="1"/>
      <c r="P873" s="1"/>
      <c r="R873" s="1"/>
      <c r="S873" s="1"/>
      <c r="T873" s="1"/>
      <c r="U873" s="1"/>
      <c r="V873" s="1"/>
      <c r="W873" s="1"/>
      <c r="X873" s="1"/>
      <c r="Y873" s="1"/>
      <c r="Z873" s="1"/>
    </row>
    <row r="874" spans="1:26" ht="50" customHeight="1" x14ac:dyDescent="0.15">
      <c r="A874" s="1"/>
      <c r="B874" s="1"/>
      <c r="C874" s="1"/>
      <c r="E874" s="1"/>
      <c r="F874" s="1"/>
      <c r="G874" s="1"/>
      <c r="H874" s="1"/>
      <c r="I874" s="1"/>
      <c r="J874" s="1"/>
      <c r="K874" s="1"/>
      <c r="M874" s="1"/>
      <c r="N874" s="1"/>
      <c r="O874" s="1"/>
      <c r="P874" s="1"/>
      <c r="R874" s="1"/>
      <c r="S874" s="1"/>
      <c r="T874" s="1"/>
      <c r="U874" s="1"/>
      <c r="V874" s="1"/>
      <c r="W874" s="1"/>
      <c r="X874" s="1"/>
      <c r="Y874" s="1"/>
      <c r="Z874" s="1"/>
    </row>
    <row r="875" spans="1:26" ht="50" customHeight="1" x14ac:dyDescent="0.15">
      <c r="A875" s="1"/>
      <c r="B875" s="1"/>
      <c r="C875" s="1"/>
      <c r="E875" s="1"/>
      <c r="F875" s="1"/>
      <c r="G875" s="1"/>
      <c r="H875" s="1"/>
      <c r="I875" s="1"/>
      <c r="J875" s="1"/>
      <c r="K875" s="1"/>
      <c r="M875" s="1"/>
      <c r="N875" s="1"/>
      <c r="O875" s="1"/>
      <c r="P875" s="1"/>
      <c r="R875" s="1"/>
      <c r="S875" s="1"/>
      <c r="T875" s="1"/>
      <c r="U875" s="1"/>
      <c r="V875" s="1"/>
      <c r="W875" s="1"/>
      <c r="X875" s="1"/>
      <c r="Y875" s="1"/>
      <c r="Z875" s="1"/>
    </row>
    <row r="876" spans="1:26" ht="50" customHeight="1" x14ac:dyDescent="0.15">
      <c r="A876" s="1"/>
      <c r="B876" s="1"/>
      <c r="C876" s="1"/>
      <c r="E876" s="1"/>
      <c r="F876" s="1"/>
      <c r="G876" s="1"/>
      <c r="H876" s="1"/>
      <c r="I876" s="1"/>
      <c r="J876" s="1"/>
      <c r="K876" s="1"/>
      <c r="M876" s="1"/>
      <c r="N876" s="1"/>
      <c r="O876" s="1"/>
      <c r="P876" s="1"/>
      <c r="R876" s="1"/>
      <c r="S876" s="1"/>
      <c r="T876" s="1"/>
      <c r="U876" s="1"/>
      <c r="V876" s="1"/>
      <c r="W876" s="1"/>
      <c r="X876" s="1"/>
      <c r="Y876" s="1"/>
      <c r="Z876" s="1"/>
    </row>
    <row r="877" spans="1:26" ht="50" customHeight="1" x14ac:dyDescent="0.15">
      <c r="A877" s="1"/>
      <c r="B877" s="1"/>
      <c r="C877" s="1"/>
      <c r="E877" s="1"/>
      <c r="F877" s="1"/>
      <c r="G877" s="1"/>
      <c r="H877" s="1"/>
      <c r="I877" s="1"/>
      <c r="J877" s="1"/>
      <c r="K877" s="1"/>
      <c r="M877" s="1"/>
      <c r="N877" s="1"/>
      <c r="O877" s="1"/>
      <c r="P877" s="1"/>
      <c r="R877" s="1"/>
      <c r="S877" s="1"/>
      <c r="T877" s="1"/>
      <c r="U877" s="1"/>
      <c r="V877" s="1"/>
      <c r="W877" s="1"/>
      <c r="X877" s="1"/>
      <c r="Y877" s="1"/>
      <c r="Z877" s="1"/>
    </row>
    <row r="878" spans="1:26" ht="50" customHeight="1" x14ac:dyDescent="0.15">
      <c r="A878" s="1"/>
      <c r="B878" s="1"/>
      <c r="C878" s="1"/>
      <c r="E878" s="1"/>
      <c r="F878" s="1"/>
      <c r="G878" s="1"/>
      <c r="H878" s="1"/>
      <c r="I878" s="1"/>
      <c r="J878" s="1"/>
      <c r="K878" s="1"/>
      <c r="M878" s="1"/>
      <c r="N878" s="1"/>
      <c r="O878" s="1"/>
      <c r="P878" s="1"/>
      <c r="R878" s="1"/>
      <c r="S878" s="1"/>
      <c r="T878" s="1"/>
      <c r="U878" s="1"/>
      <c r="V878" s="1"/>
      <c r="W878" s="1"/>
      <c r="X878" s="1"/>
      <c r="Y878" s="1"/>
      <c r="Z878" s="1"/>
    </row>
    <row r="879" spans="1:26" ht="50" customHeight="1" x14ac:dyDescent="0.15">
      <c r="A879" s="1"/>
      <c r="B879" s="1"/>
      <c r="C879" s="1"/>
      <c r="E879" s="1"/>
      <c r="F879" s="1"/>
      <c r="G879" s="1"/>
      <c r="H879" s="1"/>
      <c r="I879" s="1"/>
      <c r="J879" s="1"/>
      <c r="K879" s="1"/>
      <c r="M879" s="1"/>
      <c r="N879" s="1"/>
      <c r="O879" s="1"/>
      <c r="P879" s="1"/>
      <c r="R879" s="1"/>
      <c r="S879" s="1"/>
      <c r="T879" s="1"/>
      <c r="U879" s="1"/>
      <c r="V879" s="1"/>
      <c r="W879" s="1"/>
      <c r="X879" s="1"/>
      <c r="Y879" s="1"/>
      <c r="Z879" s="1"/>
    </row>
    <row r="880" spans="1:26" ht="50" customHeight="1" x14ac:dyDescent="0.15">
      <c r="A880" s="1"/>
      <c r="B880" s="1"/>
      <c r="C880" s="1"/>
      <c r="E880" s="1"/>
      <c r="F880" s="1"/>
      <c r="G880" s="1"/>
      <c r="H880" s="1"/>
      <c r="I880" s="1"/>
      <c r="J880" s="1"/>
      <c r="K880" s="1"/>
      <c r="M880" s="1"/>
      <c r="N880" s="1"/>
      <c r="O880" s="1"/>
      <c r="P880" s="1"/>
      <c r="R880" s="1"/>
      <c r="S880" s="1"/>
      <c r="T880" s="1"/>
      <c r="U880" s="1"/>
      <c r="V880" s="1"/>
      <c r="W880" s="1"/>
      <c r="X880" s="1"/>
      <c r="Y880" s="1"/>
      <c r="Z880" s="1"/>
    </row>
    <row r="881" spans="1:26" ht="50" customHeight="1" x14ac:dyDescent="0.15">
      <c r="A881" s="1"/>
      <c r="B881" s="1"/>
      <c r="C881" s="1"/>
      <c r="E881" s="1"/>
      <c r="F881" s="1"/>
      <c r="G881" s="1"/>
      <c r="H881" s="1"/>
      <c r="I881" s="1"/>
      <c r="J881" s="1"/>
      <c r="K881" s="1"/>
      <c r="M881" s="1"/>
      <c r="N881" s="1"/>
      <c r="O881" s="1"/>
      <c r="P881" s="1"/>
      <c r="R881" s="1"/>
      <c r="S881" s="1"/>
      <c r="T881" s="1"/>
      <c r="U881" s="1"/>
      <c r="V881" s="1"/>
      <c r="W881" s="1"/>
      <c r="X881" s="1"/>
      <c r="Y881" s="1"/>
      <c r="Z881" s="1"/>
    </row>
    <row r="882" spans="1:26" ht="50" customHeight="1" x14ac:dyDescent="0.15">
      <c r="A882" s="1"/>
      <c r="B882" s="1"/>
      <c r="C882" s="1"/>
      <c r="E882" s="1"/>
      <c r="F882" s="1"/>
      <c r="G882" s="1"/>
      <c r="H882" s="1"/>
      <c r="I882" s="1"/>
      <c r="J882" s="1"/>
      <c r="K882" s="1"/>
      <c r="M882" s="1"/>
      <c r="N882" s="1"/>
      <c r="O882" s="1"/>
      <c r="P882" s="1"/>
      <c r="R882" s="1"/>
      <c r="S882" s="1"/>
      <c r="T882" s="1"/>
      <c r="U882" s="1"/>
      <c r="V882" s="1"/>
      <c r="W882" s="1"/>
      <c r="X882" s="1"/>
      <c r="Y882" s="1"/>
      <c r="Z882" s="1"/>
    </row>
    <row r="883" spans="1:26" ht="50" customHeight="1" x14ac:dyDescent="0.15">
      <c r="A883" s="1"/>
      <c r="B883" s="1"/>
      <c r="C883" s="1"/>
      <c r="E883" s="1"/>
      <c r="F883" s="1"/>
      <c r="G883" s="1"/>
      <c r="H883" s="1"/>
      <c r="I883" s="1"/>
      <c r="J883" s="1"/>
      <c r="K883" s="1"/>
      <c r="M883" s="1"/>
      <c r="N883" s="1"/>
      <c r="O883" s="1"/>
      <c r="P883" s="1"/>
      <c r="R883" s="1"/>
      <c r="S883" s="1"/>
      <c r="T883" s="1"/>
      <c r="U883" s="1"/>
      <c r="V883" s="1"/>
      <c r="W883" s="1"/>
      <c r="X883" s="1"/>
      <c r="Y883" s="1"/>
      <c r="Z883" s="1"/>
    </row>
    <row r="884" spans="1:26" ht="50" customHeight="1" x14ac:dyDescent="0.15">
      <c r="A884" s="1"/>
      <c r="B884" s="1"/>
      <c r="C884" s="1"/>
      <c r="E884" s="1"/>
      <c r="F884" s="1"/>
      <c r="G884" s="1"/>
      <c r="H884" s="1"/>
      <c r="I884" s="1"/>
      <c r="J884" s="1"/>
      <c r="K884" s="1"/>
      <c r="M884" s="1"/>
      <c r="N884" s="1"/>
      <c r="O884" s="1"/>
      <c r="P884" s="1"/>
      <c r="R884" s="1"/>
      <c r="S884" s="1"/>
      <c r="T884" s="1"/>
      <c r="U884" s="1"/>
      <c r="V884" s="1"/>
      <c r="W884" s="1"/>
      <c r="X884" s="1"/>
      <c r="Y884" s="1"/>
      <c r="Z884" s="1"/>
    </row>
    <row r="885" spans="1:26" ht="50" customHeight="1" x14ac:dyDescent="0.15">
      <c r="A885" s="1"/>
      <c r="B885" s="1"/>
      <c r="C885" s="1"/>
      <c r="E885" s="1"/>
      <c r="F885" s="1"/>
      <c r="G885" s="1"/>
      <c r="H885" s="1"/>
      <c r="I885" s="1"/>
      <c r="J885" s="1"/>
      <c r="K885" s="1"/>
      <c r="M885" s="1"/>
      <c r="N885" s="1"/>
      <c r="O885" s="1"/>
      <c r="P885" s="1"/>
      <c r="R885" s="1"/>
      <c r="S885" s="1"/>
      <c r="T885" s="1"/>
      <c r="U885" s="1"/>
      <c r="V885" s="1"/>
      <c r="W885" s="1"/>
      <c r="X885" s="1"/>
      <c r="Y885" s="1"/>
      <c r="Z885" s="1"/>
    </row>
    <row r="886" spans="1:26" ht="50" customHeight="1" x14ac:dyDescent="0.15">
      <c r="A886" s="1"/>
      <c r="B886" s="1"/>
      <c r="C886" s="1"/>
      <c r="E886" s="1"/>
      <c r="F886" s="1"/>
      <c r="G886" s="1"/>
      <c r="H886" s="1"/>
      <c r="I886" s="1"/>
      <c r="J886" s="1"/>
      <c r="K886" s="1"/>
      <c r="M886" s="1"/>
      <c r="N886" s="1"/>
      <c r="O886" s="1"/>
      <c r="P886" s="1"/>
      <c r="R886" s="1"/>
      <c r="S886" s="1"/>
      <c r="T886" s="1"/>
      <c r="U886" s="1"/>
      <c r="V886" s="1"/>
      <c r="W886" s="1"/>
      <c r="X886" s="1"/>
      <c r="Y886" s="1"/>
      <c r="Z886" s="1"/>
    </row>
    <row r="887" spans="1:26" ht="50" customHeight="1" x14ac:dyDescent="0.15">
      <c r="A887" s="1"/>
      <c r="B887" s="1"/>
      <c r="C887" s="1"/>
      <c r="E887" s="1"/>
      <c r="F887" s="1"/>
      <c r="G887" s="1"/>
      <c r="H887" s="1"/>
      <c r="I887" s="1"/>
      <c r="J887" s="1"/>
      <c r="K887" s="1"/>
      <c r="M887" s="1"/>
      <c r="N887" s="1"/>
      <c r="O887" s="1"/>
      <c r="P887" s="1"/>
      <c r="R887" s="1"/>
      <c r="S887" s="1"/>
      <c r="T887" s="1"/>
      <c r="U887" s="1"/>
      <c r="V887" s="1"/>
      <c r="W887" s="1"/>
      <c r="X887" s="1"/>
      <c r="Y887" s="1"/>
      <c r="Z887" s="1"/>
    </row>
    <row r="888" spans="1:26" ht="50" customHeight="1" x14ac:dyDescent="0.15">
      <c r="A888" s="1"/>
      <c r="B888" s="1"/>
      <c r="C888" s="1"/>
      <c r="E888" s="1"/>
      <c r="F888" s="1"/>
      <c r="G888" s="1"/>
      <c r="H888" s="1"/>
      <c r="I888" s="1"/>
      <c r="J888" s="1"/>
      <c r="K888" s="1"/>
      <c r="M888" s="1"/>
      <c r="N888" s="1"/>
      <c r="O888" s="1"/>
      <c r="P888" s="1"/>
      <c r="R888" s="1"/>
      <c r="S888" s="1"/>
      <c r="T888" s="1"/>
      <c r="U888" s="1"/>
      <c r="V888" s="1"/>
      <c r="W888" s="1"/>
      <c r="X888" s="1"/>
      <c r="Y888" s="1"/>
      <c r="Z888" s="1"/>
    </row>
    <row r="889" spans="1:26" ht="50" customHeight="1" x14ac:dyDescent="0.15">
      <c r="A889" s="1"/>
      <c r="B889" s="1"/>
      <c r="C889" s="1"/>
      <c r="E889" s="1"/>
      <c r="F889" s="1"/>
      <c r="G889" s="1"/>
      <c r="H889" s="1"/>
      <c r="I889" s="1"/>
      <c r="J889" s="1"/>
      <c r="K889" s="1"/>
      <c r="M889" s="1"/>
      <c r="N889" s="1"/>
      <c r="O889" s="1"/>
      <c r="P889" s="1"/>
      <c r="R889" s="1"/>
      <c r="S889" s="1"/>
      <c r="T889" s="1"/>
      <c r="U889" s="1"/>
      <c r="V889" s="1"/>
      <c r="W889" s="1"/>
      <c r="X889" s="1"/>
      <c r="Y889" s="1"/>
      <c r="Z889" s="1"/>
    </row>
    <row r="890" spans="1:26" ht="50" customHeight="1" x14ac:dyDescent="0.15">
      <c r="A890" s="1"/>
      <c r="B890" s="1"/>
      <c r="C890" s="1"/>
      <c r="E890" s="1"/>
      <c r="F890" s="1"/>
      <c r="G890" s="1"/>
      <c r="H890" s="1"/>
      <c r="I890" s="1"/>
      <c r="J890" s="1"/>
      <c r="K890" s="1"/>
      <c r="M890" s="1"/>
      <c r="N890" s="1"/>
      <c r="O890" s="1"/>
      <c r="P890" s="1"/>
      <c r="R890" s="1"/>
      <c r="S890" s="1"/>
      <c r="T890" s="1"/>
      <c r="U890" s="1"/>
      <c r="V890" s="1"/>
      <c r="W890" s="1"/>
      <c r="X890" s="1"/>
      <c r="Y890" s="1"/>
      <c r="Z890" s="1"/>
    </row>
    <row r="891" spans="1:26" ht="50" customHeight="1" x14ac:dyDescent="0.15">
      <c r="A891" s="1"/>
      <c r="B891" s="1"/>
      <c r="C891" s="1"/>
      <c r="E891" s="1"/>
      <c r="F891" s="1"/>
      <c r="G891" s="1"/>
      <c r="H891" s="1"/>
      <c r="I891" s="1"/>
      <c r="J891" s="1"/>
      <c r="K891" s="1"/>
      <c r="M891" s="1"/>
      <c r="N891" s="1"/>
      <c r="O891" s="1"/>
      <c r="P891" s="1"/>
      <c r="R891" s="1"/>
      <c r="S891" s="1"/>
      <c r="T891" s="1"/>
      <c r="U891" s="1"/>
      <c r="V891" s="1"/>
      <c r="W891" s="1"/>
      <c r="X891" s="1"/>
      <c r="Y891" s="1"/>
      <c r="Z891" s="1"/>
    </row>
    <row r="892" spans="1:26" ht="50" customHeight="1" x14ac:dyDescent="0.15">
      <c r="A892" s="1"/>
      <c r="B892" s="1"/>
      <c r="C892" s="1"/>
      <c r="E892" s="1"/>
      <c r="F892" s="1"/>
      <c r="G892" s="1"/>
      <c r="H892" s="1"/>
      <c r="I892" s="1"/>
      <c r="J892" s="1"/>
      <c r="K892" s="1"/>
      <c r="M892" s="1"/>
      <c r="N892" s="1"/>
      <c r="O892" s="1"/>
      <c r="P892" s="1"/>
      <c r="R892" s="1"/>
      <c r="S892" s="1"/>
      <c r="T892" s="1"/>
      <c r="U892" s="1"/>
      <c r="V892" s="1"/>
      <c r="W892" s="1"/>
      <c r="X892" s="1"/>
      <c r="Y892" s="1"/>
      <c r="Z892" s="1"/>
    </row>
    <row r="893" spans="1:26" ht="50" customHeight="1" x14ac:dyDescent="0.15">
      <c r="A893" s="1"/>
      <c r="B893" s="1"/>
      <c r="C893" s="1"/>
      <c r="E893" s="1"/>
      <c r="F893" s="1"/>
      <c r="G893" s="1"/>
      <c r="H893" s="1"/>
      <c r="I893" s="1"/>
      <c r="J893" s="1"/>
      <c r="K893" s="1"/>
      <c r="M893" s="1"/>
      <c r="N893" s="1"/>
      <c r="O893" s="1"/>
      <c r="P893" s="1"/>
      <c r="R893" s="1"/>
      <c r="S893" s="1"/>
      <c r="T893" s="1"/>
      <c r="U893" s="1"/>
      <c r="V893" s="1"/>
      <c r="W893" s="1"/>
      <c r="X893" s="1"/>
      <c r="Y893" s="1"/>
      <c r="Z893" s="1"/>
    </row>
    <row r="894" spans="1:26" ht="50" customHeight="1" x14ac:dyDescent="0.15">
      <c r="A894" s="1"/>
      <c r="B894" s="1"/>
      <c r="C894" s="1"/>
      <c r="E894" s="1"/>
      <c r="F894" s="1"/>
      <c r="G894" s="1"/>
      <c r="H894" s="1"/>
      <c r="I894" s="1"/>
      <c r="J894" s="1"/>
      <c r="K894" s="1"/>
      <c r="M894" s="1"/>
      <c r="N894" s="1"/>
      <c r="O894" s="1"/>
      <c r="P894" s="1"/>
      <c r="R894" s="1"/>
      <c r="S894" s="1"/>
      <c r="T894" s="1"/>
      <c r="U894" s="1"/>
      <c r="V894" s="1"/>
      <c r="W894" s="1"/>
      <c r="X894" s="1"/>
      <c r="Y894" s="1"/>
      <c r="Z894" s="1"/>
    </row>
    <row r="895" spans="1:26" ht="50" customHeight="1" x14ac:dyDescent="0.15">
      <c r="A895" s="1"/>
      <c r="B895" s="1"/>
      <c r="C895" s="1"/>
      <c r="E895" s="1"/>
      <c r="F895" s="1"/>
      <c r="G895" s="1"/>
      <c r="H895" s="1"/>
      <c r="I895" s="1"/>
      <c r="J895" s="1"/>
      <c r="K895" s="1"/>
      <c r="M895" s="1"/>
      <c r="N895" s="1"/>
      <c r="O895" s="1"/>
      <c r="P895" s="1"/>
      <c r="R895" s="1"/>
      <c r="S895" s="1"/>
      <c r="T895" s="1"/>
      <c r="U895" s="1"/>
      <c r="V895" s="1"/>
      <c r="W895" s="1"/>
      <c r="X895" s="1"/>
      <c r="Y895" s="1"/>
      <c r="Z895" s="1"/>
    </row>
    <row r="896" spans="1:26" ht="50" customHeight="1" x14ac:dyDescent="0.15">
      <c r="A896" s="1"/>
      <c r="B896" s="1"/>
      <c r="C896" s="1"/>
      <c r="E896" s="1"/>
      <c r="F896" s="1"/>
      <c r="G896" s="1"/>
      <c r="H896" s="1"/>
      <c r="I896" s="1"/>
      <c r="J896" s="1"/>
      <c r="K896" s="1"/>
      <c r="M896" s="1"/>
      <c r="N896" s="1"/>
      <c r="O896" s="1"/>
      <c r="P896" s="1"/>
      <c r="R896" s="1"/>
      <c r="S896" s="1"/>
      <c r="T896" s="1"/>
      <c r="U896" s="1"/>
      <c r="V896" s="1"/>
      <c r="W896" s="1"/>
      <c r="X896" s="1"/>
      <c r="Y896" s="1"/>
      <c r="Z896" s="1"/>
    </row>
    <row r="897" spans="1:26" ht="50" customHeight="1" x14ac:dyDescent="0.15">
      <c r="A897" s="1"/>
      <c r="B897" s="1"/>
      <c r="C897" s="1"/>
      <c r="E897" s="1"/>
      <c r="F897" s="1"/>
      <c r="G897" s="1"/>
      <c r="H897" s="1"/>
      <c r="I897" s="1"/>
      <c r="J897" s="1"/>
      <c r="K897" s="1"/>
      <c r="M897" s="1"/>
      <c r="N897" s="1"/>
      <c r="O897" s="1"/>
      <c r="P897" s="1"/>
      <c r="R897" s="1"/>
      <c r="S897" s="1"/>
      <c r="T897" s="1"/>
      <c r="U897" s="1"/>
      <c r="V897" s="1"/>
      <c r="W897" s="1"/>
      <c r="X897" s="1"/>
      <c r="Y897" s="1"/>
      <c r="Z897" s="1"/>
    </row>
    <row r="898" spans="1:26" ht="50" customHeight="1" x14ac:dyDescent="0.15">
      <c r="A898" s="1"/>
      <c r="B898" s="1"/>
      <c r="C898" s="1"/>
      <c r="E898" s="1"/>
      <c r="F898" s="1"/>
      <c r="G898" s="1"/>
      <c r="H898" s="1"/>
      <c r="I898" s="1"/>
      <c r="J898" s="1"/>
      <c r="K898" s="1"/>
      <c r="M898" s="1"/>
      <c r="N898" s="1"/>
      <c r="O898" s="1"/>
      <c r="P898" s="1"/>
      <c r="R898" s="1"/>
      <c r="S898" s="1"/>
      <c r="T898" s="1"/>
      <c r="U898" s="1"/>
      <c r="V898" s="1"/>
      <c r="W898" s="1"/>
      <c r="X898" s="1"/>
      <c r="Y898" s="1"/>
      <c r="Z898" s="1"/>
    </row>
    <row r="899" spans="1:26" ht="50" customHeight="1" x14ac:dyDescent="0.15">
      <c r="A899" s="1"/>
      <c r="B899" s="1"/>
      <c r="C899" s="1"/>
      <c r="E899" s="1"/>
      <c r="F899" s="1"/>
      <c r="G899" s="1"/>
      <c r="H899" s="1"/>
      <c r="I899" s="1"/>
      <c r="J899" s="1"/>
      <c r="K899" s="1"/>
      <c r="M899" s="1"/>
      <c r="N899" s="1"/>
      <c r="O899" s="1"/>
      <c r="P899" s="1"/>
      <c r="R899" s="1"/>
      <c r="S899" s="1"/>
      <c r="T899" s="1"/>
      <c r="U899" s="1"/>
      <c r="V899" s="1"/>
      <c r="W899" s="1"/>
      <c r="X899" s="1"/>
      <c r="Y899" s="1"/>
      <c r="Z899" s="1"/>
    </row>
    <row r="900" spans="1:26" ht="50" customHeight="1" x14ac:dyDescent="0.15">
      <c r="A900" s="1"/>
      <c r="B900" s="1"/>
      <c r="C900" s="1"/>
      <c r="E900" s="1"/>
      <c r="F900" s="1"/>
      <c r="G900" s="1"/>
      <c r="H900" s="1"/>
      <c r="I900" s="1"/>
      <c r="J900" s="1"/>
      <c r="K900" s="1"/>
      <c r="M900" s="1"/>
      <c r="N900" s="1"/>
      <c r="O900" s="1"/>
      <c r="P900" s="1"/>
      <c r="R900" s="1"/>
      <c r="S900" s="1"/>
      <c r="T900" s="1"/>
      <c r="U900" s="1"/>
      <c r="V900" s="1"/>
      <c r="W900" s="1"/>
      <c r="X900" s="1"/>
      <c r="Y900" s="1"/>
      <c r="Z900" s="1"/>
    </row>
    <row r="901" spans="1:26" ht="50" customHeight="1" x14ac:dyDescent="0.15">
      <c r="A901" s="1"/>
      <c r="B901" s="1"/>
      <c r="C901" s="1"/>
      <c r="E901" s="1"/>
      <c r="F901" s="1"/>
      <c r="G901" s="1"/>
      <c r="H901" s="1"/>
      <c r="I901" s="1"/>
      <c r="J901" s="1"/>
      <c r="K901" s="1"/>
      <c r="M901" s="1"/>
      <c r="N901" s="1"/>
      <c r="O901" s="1"/>
      <c r="P901" s="1"/>
      <c r="R901" s="1"/>
      <c r="S901" s="1"/>
      <c r="T901" s="1"/>
      <c r="U901" s="1"/>
      <c r="V901" s="1"/>
      <c r="W901" s="1"/>
      <c r="X901" s="1"/>
      <c r="Y901" s="1"/>
      <c r="Z901" s="1"/>
    </row>
    <row r="902" spans="1:26" ht="50" customHeight="1" x14ac:dyDescent="0.15">
      <c r="A902" s="1"/>
      <c r="B902" s="1"/>
      <c r="C902" s="1"/>
      <c r="E902" s="1"/>
      <c r="F902" s="1"/>
      <c r="G902" s="1"/>
      <c r="H902" s="1"/>
      <c r="I902" s="1"/>
      <c r="J902" s="1"/>
      <c r="K902" s="1"/>
      <c r="M902" s="1"/>
      <c r="N902" s="1"/>
      <c r="O902" s="1"/>
      <c r="P902" s="1"/>
      <c r="R902" s="1"/>
      <c r="S902" s="1"/>
      <c r="T902" s="1"/>
      <c r="U902" s="1"/>
      <c r="V902" s="1"/>
      <c r="W902" s="1"/>
      <c r="X902" s="1"/>
      <c r="Y902" s="1"/>
      <c r="Z902" s="1"/>
    </row>
    <row r="903" spans="1:26" ht="50" customHeight="1" x14ac:dyDescent="0.15">
      <c r="A903" s="1"/>
      <c r="B903" s="1"/>
      <c r="C903" s="1"/>
      <c r="E903" s="1"/>
      <c r="F903" s="1"/>
      <c r="G903" s="1"/>
      <c r="H903" s="1"/>
      <c r="I903" s="1"/>
      <c r="J903" s="1"/>
      <c r="K903" s="1"/>
      <c r="M903" s="1"/>
      <c r="N903" s="1"/>
      <c r="O903" s="1"/>
      <c r="P903" s="1"/>
      <c r="R903" s="1"/>
      <c r="S903" s="1"/>
      <c r="T903" s="1"/>
      <c r="U903" s="1"/>
      <c r="V903" s="1"/>
      <c r="W903" s="1"/>
      <c r="X903" s="1"/>
      <c r="Y903" s="1"/>
      <c r="Z903" s="1"/>
    </row>
    <row r="904" spans="1:26" ht="50" customHeight="1" x14ac:dyDescent="0.15">
      <c r="A904" s="1"/>
      <c r="B904" s="1"/>
      <c r="C904" s="1"/>
      <c r="E904" s="1"/>
      <c r="F904" s="1"/>
      <c r="G904" s="1"/>
      <c r="H904" s="1"/>
      <c r="I904" s="1"/>
      <c r="J904" s="1"/>
      <c r="K904" s="1"/>
      <c r="M904" s="1"/>
      <c r="N904" s="1"/>
      <c r="O904" s="1"/>
      <c r="P904" s="1"/>
      <c r="R904" s="1"/>
      <c r="S904" s="1"/>
      <c r="T904" s="1"/>
      <c r="U904" s="1"/>
      <c r="V904" s="1"/>
      <c r="W904" s="1"/>
      <c r="X904" s="1"/>
      <c r="Y904" s="1"/>
      <c r="Z904" s="1"/>
    </row>
    <row r="905" spans="1:26" ht="50" customHeight="1" x14ac:dyDescent="0.15">
      <c r="A905" s="1"/>
      <c r="B905" s="1"/>
      <c r="C905" s="1"/>
      <c r="E905" s="1"/>
      <c r="F905" s="1"/>
      <c r="G905" s="1"/>
      <c r="H905" s="1"/>
      <c r="I905" s="1"/>
      <c r="J905" s="1"/>
      <c r="K905" s="1"/>
      <c r="M905" s="1"/>
      <c r="N905" s="1"/>
      <c r="O905" s="1"/>
      <c r="P905" s="1"/>
      <c r="R905" s="1"/>
      <c r="S905" s="1"/>
      <c r="T905" s="1"/>
      <c r="U905" s="1"/>
      <c r="V905" s="1"/>
      <c r="W905" s="1"/>
      <c r="X905" s="1"/>
      <c r="Y905" s="1"/>
      <c r="Z905" s="1"/>
    </row>
    <row r="906" spans="1:26" ht="50" customHeight="1" x14ac:dyDescent="0.15">
      <c r="A906" s="1"/>
      <c r="B906" s="1"/>
      <c r="C906" s="1"/>
      <c r="E906" s="1"/>
      <c r="F906" s="1"/>
      <c r="G906" s="1"/>
      <c r="H906" s="1"/>
      <c r="I906" s="1"/>
      <c r="J906" s="1"/>
      <c r="K906" s="1"/>
      <c r="M906" s="1"/>
      <c r="N906" s="1"/>
      <c r="O906" s="1"/>
      <c r="P906" s="1"/>
      <c r="R906" s="1"/>
      <c r="S906" s="1"/>
      <c r="T906" s="1"/>
      <c r="U906" s="1"/>
      <c r="V906" s="1"/>
      <c r="W906" s="1"/>
      <c r="X906" s="1"/>
      <c r="Y906" s="1"/>
      <c r="Z906" s="1"/>
    </row>
    <row r="907" spans="1:26" ht="50" customHeight="1" x14ac:dyDescent="0.15">
      <c r="A907" s="1"/>
      <c r="B907" s="1"/>
      <c r="C907" s="1"/>
      <c r="E907" s="1"/>
      <c r="F907" s="1"/>
      <c r="G907" s="1"/>
      <c r="H907" s="1"/>
      <c r="I907" s="1"/>
      <c r="J907" s="1"/>
      <c r="K907" s="1"/>
      <c r="M907" s="1"/>
      <c r="N907" s="1"/>
      <c r="O907" s="1"/>
      <c r="P907" s="1"/>
      <c r="R907" s="1"/>
      <c r="S907" s="1"/>
      <c r="T907" s="1"/>
      <c r="U907" s="1"/>
      <c r="V907" s="1"/>
      <c r="W907" s="1"/>
      <c r="X907" s="1"/>
      <c r="Y907" s="1"/>
      <c r="Z907" s="1"/>
    </row>
    <row r="908" spans="1:26" ht="50" customHeight="1" x14ac:dyDescent="0.15">
      <c r="A908" s="1"/>
      <c r="B908" s="1"/>
      <c r="C908" s="1"/>
      <c r="E908" s="1"/>
      <c r="F908" s="1"/>
      <c r="G908" s="1"/>
      <c r="H908" s="1"/>
      <c r="I908" s="1"/>
      <c r="J908" s="1"/>
      <c r="K908" s="1"/>
      <c r="M908" s="1"/>
      <c r="N908" s="1"/>
      <c r="O908" s="1"/>
      <c r="P908" s="1"/>
      <c r="R908" s="1"/>
      <c r="S908" s="1"/>
      <c r="T908" s="1"/>
      <c r="U908" s="1"/>
      <c r="V908" s="1"/>
      <c r="W908" s="1"/>
      <c r="X908" s="1"/>
      <c r="Y908" s="1"/>
      <c r="Z908" s="1"/>
    </row>
    <row r="909" spans="1:26" ht="50" customHeight="1" x14ac:dyDescent="0.15">
      <c r="A909" s="1"/>
      <c r="B909" s="1"/>
      <c r="C909" s="1"/>
      <c r="E909" s="1"/>
      <c r="F909" s="1"/>
      <c r="G909" s="1"/>
      <c r="H909" s="1"/>
      <c r="I909" s="1"/>
      <c r="J909" s="1"/>
      <c r="K909" s="1"/>
      <c r="M909" s="1"/>
      <c r="N909" s="1"/>
      <c r="O909" s="1"/>
      <c r="P909" s="1"/>
      <c r="R909" s="1"/>
      <c r="S909" s="1"/>
      <c r="T909" s="1"/>
      <c r="U909" s="1"/>
      <c r="V909" s="1"/>
      <c r="W909" s="1"/>
      <c r="X909" s="1"/>
      <c r="Y909" s="1"/>
      <c r="Z909" s="1"/>
    </row>
    <row r="910" spans="1:26" ht="50" customHeight="1" x14ac:dyDescent="0.15">
      <c r="A910" s="1"/>
      <c r="B910" s="1"/>
      <c r="C910" s="1"/>
      <c r="E910" s="1"/>
      <c r="F910" s="1"/>
      <c r="G910" s="1"/>
      <c r="H910" s="1"/>
      <c r="I910" s="1"/>
      <c r="J910" s="1"/>
      <c r="K910" s="1"/>
      <c r="M910" s="1"/>
      <c r="N910" s="1"/>
      <c r="O910" s="1"/>
      <c r="P910" s="1"/>
      <c r="R910" s="1"/>
      <c r="S910" s="1"/>
      <c r="T910" s="1"/>
      <c r="U910" s="1"/>
      <c r="V910" s="1"/>
      <c r="W910" s="1"/>
      <c r="X910" s="1"/>
      <c r="Y910" s="1"/>
      <c r="Z910" s="1"/>
    </row>
    <row r="911" spans="1:26" ht="50" customHeight="1" x14ac:dyDescent="0.15">
      <c r="A911" s="1"/>
      <c r="B911" s="1"/>
      <c r="C911" s="1"/>
      <c r="E911" s="1"/>
      <c r="F911" s="1"/>
      <c r="G911" s="1"/>
      <c r="H911" s="1"/>
      <c r="I911" s="1"/>
      <c r="J911" s="1"/>
      <c r="K911" s="1"/>
      <c r="M911" s="1"/>
      <c r="N911" s="1"/>
      <c r="O911" s="1"/>
      <c r="P911" s="1"/>
      <c r="R911" s="1"/>
      <c r="S911" s="1"/>
      <c r="T911" s="1"/>
      <c r="U911" s="1"/>
      <c r="V911" s="1"/>
      <c r="W911" s="1"/>
      <c r="X911" s="1"/>
      <c r="Y911" s="1"/>
      <c r="Z911" s="1"/>
    </row>
    <row r="912" spans="1:26" ht="50" customHeight="1" x14ac:dyDescent="0.15">
      <c r="A912" s="1"/>
      <c r="B912" s="1"/>
      <c r="C912" s="1"/>
      <c r="E912" s="1"/>
      <c r="F912" s="1"/>
      <c r="G912" s="1"/>
      <c r="H912" s="1"/>
      <c r="I912" s="1"/>
      <c r="J912" s="1"/>
      <c r="K912" s="1"/>
      <c r="M912" s="1"/>
      <c r="N912" s="1"/>
      <c r="O912" s="1"/>
      <c r="P912" s="1"/>
      <c r="R912" s="1"/>
      <c r="S912" s="1"/>
      <c r="T912" s="1"/>
      <c r="U912" s="1"/>
      <c r="V912" s="1"/>
      <c r="W912" s="1"/>
      <c r="X912" s="1"/>
      <c r="Y912" s="1"/>
      <c r="Z912" s="1"/>
    </row>
    <row r="913" spans="1:26" ht="50" customHeight="1" x14ac:dyDescent="0.15">
      <c r="A913" s="1"/>
      <c r="B913" s="1"/>
      <c r="C913" s="1"/>
      <c r="E913" s="1"/>
      <c r="F913" s="1"/>
      <c r="G913" s="1"/>
      <c r="H913" s="1"/>
      <c r="I913" s="1"/>
      <c r="J913" s="1"/>
      <c r="K913" s="1"/>
      <c r="M913" s="1"/>
      <c r="N913" s="1"/>
      <c r="O913" s="1"/>
      <c r="P913" s="1"/>
      <c r="R913" s="1"/>
      <c r="S913" s="1"/>
      <c r="T913" s="1"/>
      <c r="U913" s="1"/>
      <c r="V913" s="1"/>
      <c r="W913" s="1"/>
      <c r="X913" s="1"/>
      <c r="Y913" s="1"/>
      <c r="Z913" s="1"/>
    </row>
    <row r="914" spans="1:26" ht="50" customHeight="1" x14ac:dyDescent="0.15">
      <c r="A914" s="1"/>
      <c r="B914" s="1"/>
      <c r="C914" s="1"/>
      <c r="E914" s="1"/>
      <c r="F914" s="1"/>
      <c r="G914" s="1"/>
      <c r="H914" s="1"/>
      <c r="I914" s="1"/>
      <c r="J914" s="1"/>
      <c r="K914" s="1"/>
      <c r="M914" s="1"/>
      <c r="N914" s="1"/>
      <c r="O914" s="1"/>
      <c r="P914" s="1"/>
      <c r="R914" s="1"/>
      <c r="S914" s="1"/>
      <c r="T914" s="1"/>
      <c r="U914" s="1"/>
      <c r="V914" s="1"/>
      <c r="W914" s="1"/>
      <c r="X914" s="1"/>
      <c r="Y914" s="1"/>
      <c r="Z914" s="1"/>
    </row>
    <row r="915" spans="1:26" ht="50" customHeight="1" x14ac:dyDescent="0.15">
      <c r="A915" s="1"/>
      <c r="B915" s="1"/>
      <c r="C915" s="1"/>
      <c r="E915" s="1"/>
      <c r="F915" s="1"/>
      <c r="G915" s="1"/>
      <c r="H915" s="1"/>
      <c r="I915" s="1"/>
      <c r="J915" s="1"/>
      <c r="K915" s="1"/>
      <c r="M915" s="1"/>
      <c r="N915" s="1"/>
      <c r="O915" s="1"/>
      <c r="P915" s="1"/>
      <c r="R915" s="1"/>
      <c r="S915" s="1"/>
      <c r="T915" s="1"/>
      <c r="U915" s="1"/>
      <c r="V915" s="1"/>
      <c r="W915" s="1"/>
      <c r="X915" s="1"/>
      <c r="Y915" s="1"/>
      <c r="Z915" s="1"/>
    </row>
    <row r="916" spans="1:26" ht="50" customHeight="1" x14ac:dyDescent="0.15">
      <c r="A916" s="1"/>
      <c r="B916" s="1"/>
      <c r="C916" s="1"/>
      <c r="E916" s="1"/>
      <c r="F916" s="1"/>
      <c r="G916" s="1"/>
      <c r="H916" s="1"/>
      <c r="I916" s="1"/>
      <c r="J916" s="1"/>
      <c r="K916" s="1"/>
      <c r="M916" s="1"/>
      <c r="N916" s="1"/>
      <c r="O916" s="1"/>
      <c r="P916" s="1"/>
      <c r="R916" s="1"/>
      <c r="S916" s="1"/>
      <c r="T916" s="1"/>
      <c r="U916" s="1"/>
      <c r="V916" s="1"/>
      <c r="W916" s="1"/>
      <c r="X916" s="1"/>
      <c r="Y916" s="1"/>
      <c r="Z916" s="1"/>
    </row>
    <row r="917" spans="1:26" ht="50" customHeight="1" x14ac:dyDescent="0.15">
      <c r="A917" s="1"/>
      <c r="B917" s="1"/>
      <c r="C917" s="1"/>
      <c r="E917" s="1"/>
      <c r="F917" s="1"/>
      <c r="G917" s="1"/>
      <c r="H917" s="1"/>
      <c r="I917" s="1"/>
      <c r="J917" s="1"/>
      <c r="K917" s="1"/>
      <c r="M917" s="1"/>
      <c r="N917" s="1"/>
      <c r="O917" s="1"/>
      <c r="P917" s="1"/>
      <c r="R917" s="1"/>
      <c r="S917" s="1"/>
      <c r="T917" s="1"/>
      <c r="U917" s="1"/>
      <c r="V917" s="1"/>
      <c r="W917" s="1"/>
      <c r="X917" s="1"/>
      <c r="Y917" s="1"/>
      <c r="Z917" s="1"/>
    </row>
    <row r="918" spans="1:26" ht="50" customHeight="1" x14ac:dyDescent="0.15">
      <c r="A918" s="1"/>
      <c r="B918" s="1"/>
      <c r="C918" s="1"/>
      <c r="E918" s="1"/>
      <c r="F918" s="1"/>
      <c r="G918" s="1"/>
      <c r="H918" s="1"/>
      <c r="I918" s="1"/>
      <c r="J918" s="1"/>
      <c r="K918" s="1"/>
      <c r="M918" s="1"/>
      <c r="N918" s="1"/>
      <c r="O918" s="1"/>
      <c r="P918" s="1"/>
      <c r="R918" s="1"/>
      <c r="S918" s="1"/>
      <c r="T918" s="1"/>
      <c r="U918" s="1"/>
      <c r="V918" s="1"/>
      <c r="W918" s="1"/>
      <c r="X918" s="1"/>
      <c r="Y918" s="1"/>
      <c r="Z918" s="1"/>
    </row>
    <row r="919" spans="1:26" ht="50" customHeight="1" x14ac:dyDescent="0.15">
      <c r="A919" s="1"/>
      <c r="B919" s="1"/>
      <c r="C919" s="1"/>
      <c r="E919" s="1"/>
      <c r="F919" s="1"/>
      <c r="G919" s="1"/>
      <c r="H919" s="1"/>
      <c r="I919" s="1"/>
      <c r="J919" s="1"/>
      <c r="K919" s="1"/>
      <c r="M919" s="1"/>
      <c r="N919" s="1"/>
      <c r="O919" s="1"/>
      <c r="P919" s="1"/>
      <c r="R919" s="1"/>
      <c r="S919" s="1"/>
      <c r="T919" s="1"/>
      <c r="U919" s="1"/>
      <c r="V919" s="1"/>
      <c r="W919" s="1"/>
      <c r="X919" s="1"/>
      <c r="Y919" s="1"/>
      <c r="Z919" s="1"/>
    </row>
    <row r="920" spans="1:26" ht="50" customHeight="1" x14ac:dyDescent="0.15">
      <c r="A920" s="1"/>
      <c r="B920" s="1"/>
      <c r="C920" s="1"/>
      <c r="E920" s="1"/>
      <c r="F920" s="1"/>
      <c r="G920" s="1"/>
      <c r="H920" s="1"/>
      <c r="I920" s="1"/>
      <c r="J920" s="1"/>
      <c r="K920" s="1"/>
      <c r="M920" s="1"/>
      <c r="N920" s="1"/>
      <c r="O920" s="1"/>
      <c r="P920" s="1"/>
      <c r="R920" s="1"/>
      <c r="S920" s="1"/>
      <c r="T920" s="1"/>
      <c r="U920" s="1"/>
      <c r="V920" s="1"/>
      <c r="W920" s="1"/>
      <c r="X920" s="1"/>
      <c r="Y920" s="1"/>
      <c r="Z920" s="1"/>
    </row>
    <row r="921" spans="1:26" ht="50" customHeight="1" x14ac:dyDescent="0.15">
      <c r="A921" s="1"/>
      <c r="B921" s="1"/>
      <c r="C921" s="1"/>
      <c r="E921" s="1"/>
      <c r="F921" s="1"/>
      <c r="G921" s="1"/>
      <c r="H921" s="1"/>
      <c r="I921" s="1"/>
      <c r="J921" s="1"/>
      <c r="K921" s="1"/>
      <c r="M921" s="1"/>
      <c r="N921" s="1"/>
      <c r="O921" s="1"/>
      <c r="P921" s="1"/>
      <c r="R921" s="1"/>
      <c r="S921" s="1"/>
      <c r="T921" s="1"/>
      <c r="U921" s="1"/>
      <c r="V921" s="1"/>
      <c r="W921" s="1"/>
      <c r="X921" s="1"/>
      <c r="Y921" s="1"/>
      <c r="Z921" s="1"/>
    </row>
    <row r="922" spans="1:26" ht="50" customHeight="1" x14ac:dyDescent="0.15">
      <c r="A922" s="1"/>
      <c r="B922" s="1"/>
      <c r="C922" s="1"/>
      <c r="E922" s="1"/>
      <c r="F922" s="1"/>
      <c r="G922" s="1"/>
      <c r="H922" s="1"/>
      <c r="I922" s="1"/>
      <c r="J922" s="1"/>
      <c r="K922" s="1"/>
      <c r="M922" s="1"/>
      <c r="N922" s="1"/>
      <c r="O922" s="1"/>
      <c r="P922" s="1"/>
      <c r="R922" s="1"/>
      <c r="S922" s="1"/>
      <c r="T922" s="1"/>
      <c r="U922" s="1"/>
      <c r="V922" s="1"/>
      <c r="W922" s="1"/>
      <c r="X922" s="1"/>
      <c r="Y922" s="1"/>
      <c r="Z922" s="1"/>
    </row>
    <row r="923" spans="1:26" ht="50" customHeight="1" x14ac:dyDescent="0.15">
      <c r="A923" s="1"/>
      <c r="B923" s="1"/>
      <c r="C923" s="1"/>
      <c r="E923" s="1"/>
      <c r="F923" s="1"/>
      <c r="G923" s="1"/>
      <c r="H923" s="1"/>
      <c r="I923" s="1"/>
      <c r="J923" s="1"/>
      <c r="K923" s="1"/>
      <c r="M923" s="1"/>
      <c r="N923" s="1"/>
      <c r="O923" s="1"/>
      <c r="P923" s="1"/>
      <c r="R923" s="1"/>
      <c r="S923" s="1"/>
      <c r="T923" s="1"/>
      <c r="U923" s="1"/>
      <c r="V923" s="1"/>
      <c r="W923" s="1"/>
      <c r="X923" s="1"/>
      <c r="Y923" s="1"/>
      <c r="Z923" s="1"/>
    </row>
    <row r="924" spans="1:26" ht="50" customHeight="1" x14ac:dyDescent="0.15">
      <c r="A924" s="1"/>
      <c r="B924" s="1"/>
      <c r="C924" s="1"/>
      <c r="E924" s="1"/>
      <c r="F924" s="1"/>
      <c r="G924" s="1"/>
      <c r="H924" s="1"/>
      <c r="I924" s="1"/>
      <c r="J924" s="1"/>
      <c r="K924" s="1"/>
      <c r="M924" s="1"/>
      <c r="N924" s="1"/>
      <c r="O924" s="1"/>
      <c r="P924" s="1"/>
      <c r="R924" s="1"/>
      <c r="S924" s="1"/>
      <c r="T924" s="1"/>
      <c r="U924" s="1"/>
      <c r="V924" s="1"/>
      <c r="W924" s="1"/>
      <c r="X924" s="1"/>
      <c r="Y924" s="1"/>
      <c r="Z924" s="1"/>
    </row>
    <row r="925" spans="1:26" ht="50" customHeight="1" x14ac:dyDescent="0.15">
      <c r="A925" s="1"/>
      <c r="B925" s="1"/>
      <c r="C925" s="1"/>
      <c r="E925" s="1"/>
      <c r="F925" s="1"/>
      <c r="G925" s="1"/>
      <c r="H925" s="1"/>
      <c r="I925" s="1"/>
      <c r="J925" s="1"/>
      <c r="K925" s="1"/>
      <c r="M925" s="1"/>
      <c r="N925" s="1"/>
      <c r="O925" s="1"/>
      <c r="P925" s="1"/>
      <c r="R925" s="1"/>
      <c r="S925" s="1"/>
      <c r="T925" s="1"/>
      <c r="U925" s="1"/>
      <c r="V925" s="1"/>
      <c r="W925" s="1"/>
      <c r="X925" s="1"/>
      <c r="Y925" s="1"/>
      <c r="Z925" s="1"/>
    </row>
    <row r="926" spans="1:26" ht="50" customHeight="1" x14ac:dyDescent="0.15">
      <c r="A926" s="1"/>
      <c r="B926" s="1"/>
      <c r="C926" s="1"/>
      <c r="E926" s="1"/>
      <c r="F926" s="1"/>
      <c r="G926" s="1"/>
      <c r="H926" s="1"/>
      <c r="I926" s="1"/>
      <c r="J926" s="1"/>
      <c r="K926" s="1"/>
      <c r="M926" s="1"/>
      <c r="N926" s="1"/>
      <c r="O926" s="1"/>
      <c r="P926" s="1"/>
      <c r="R926" s="1"/>
      <c r="S926" s="1"/>
      <c r="T926" s="1"/>
      <c r="U926" s="1"/>
      <c r="V926" s="1"/>
      <c r="W926" s="1"/>
      <c r="X926" s="1"/>
      <c r="Y926" s="1"/>
      <c r="Z926" s="1"/>
    </row>
    <row r="927" spans="1:26" ht="50" customHeight="1" x14ac:dyDescent="0.15">
      <c r="A927" s="1"/>
      <c r="B927" s="1"/>
      <c r="C927" s="1"/>
      <c r="E927" s="1"/>
      <c r="F927" s="1"/>
      <c r="G927" s="1"/>
      <c r="H927" s="1"/>
      <c r="I927" s="1"/>
      <c r="J927" s="1"/>
      <c r="K927" s="1"/>
      <c r="M927" s="1"/>
      <c r="N927" s="1"/>
      <c r="O927" s="1"/>
      <c r="P927" s="1"/>
      <c r="R927" s="1"/>
      <c r="S927" s="1"/>
      <c r="T927" s="1"/>
      <c r="U927" s="1"/>
      <c r="V927" s="1"/>
      <c r="W927" s="1"/>
      <c r="X927" s="1"/>
      <c r="Y927" s="1"/>
      <c r="Z927" s="1"/>
    </row>
    <row r="928" spans="1:26" ht="50" customHeight="1" x14ac:dyDescent="0.15">
      <c r="A928" s="1"/>
      <c r="B928" s="1"/>
      <c r="C928" s="1"/>
      <c r="E928" s="1"/>
      <c r="F928" s="1"/>
      <c r="G928" s="1"/>
      <c r="H928" s="1"/>
      <c r="I928" s="1"/>
      <c r="J928" s="1"/>
      <c r="K928" s="1"/>
      <c r="M928" s="1"/>
      <c r="N928" s="1"/>
      <c r="O928" s="1"/>
      <c r="P928" s="1"/>
      <c r="R928" s="1"/>
      <c r="S928" s="1"/>
      <c r="T928" s="1"/>
      <c r="U928" s="1"/>
      <c r="V928" s="1"/>
      <c r="W928" s="1"/>
      <c r="X928" s="1"/>
      <c r="Y928" s="1"/>
      <c r="Z928" s="1"/>
    </row>
    <row r="929" spans="1:26" ht="50" customHeight="1" x14ac:dyDescent="0.15">
      <c r="A929" s="1"/>
      <c r="B929" s="1"/>
      <c r="C929" s="1"/>
      <c r="E929" s="1"/>
      <c r="F929" s="1"/>
      <c r="G929" s="1"/>
      <c r="H929" s="1"/>
      <c r="I929" s="1"/>
      <c r="J929" s="1"/>
      <c r="K929" s="1"/>
      <c r="M929" s="1"/>
      <c r="N929" s="1"/>
      <c r="O929" s="1"/>
      <c r="P929" s="1"/>
      <c r="R929" s="1"/>
      <c r="S929" s="1"/>
      <c r="T929" s="1"/>
      <c r="U929" s="1"/>
      <c r="V929" s="1"/>
      <c r="W929" s="1"/>
      <c r="X929" s="1"/>
      <c r="Y929" s="1"/>
      <c r="Z929" s="1"/>
    </row>
    <row r="930" spans="1:26" ht="50" customHeight="1" x14ac:dyDescent="0.15">
      <c r="A930" s="1"/>
      <c r="B930" s="1"/>
      <c r="C930" s="1"/>
      <c r="E930" s="1"/>
      <c r="F930" s="1"/>
      <c r="G930" s="1"/>
      <c r="H930" s="1"/>
      <c r="I930" s="1"/>
      <c r="J930" s="1"/>
      <c r="K930" s="1"/>
      <c r="M930" s="1"/>
      <c r="N930" s="1"/>
      <c r="O930" s="1"/>
      <c r="P930" s="1"/>
      <c r="R930" s="1"/>
      <c r="S930" s="1"/>
      <c r="T930" s="1"/>
      <c r="U930" s="1"/>
      <c r="V930" s="1"/>
      <c r="W930" s="1"/>
      <c r="X930" s="1"/>
      <c r="Y930" s="1"/>
      <c r="Z930" s="1"/>
    </row>
    <row r="931" spans="1:26" ht="50" customHeight="1" x14ac:dyDescent="0.15">
      <c r="A931" s="1"/>
      <c r="B931" s="1"/>
      <c r="C931" s="1"/>
      <c r="E931" s="1"/>
      <c r="F931" s="1"/>
      <c r="G931" s="1"/>
      <c r="H931" s="1"/>
      <c r="I931" s="1"/>
      <c r="J931" s="1"/>
      <c r="K931" s="1"/>
      <c r="M931" s="1"/>
      <c r="N931" s="1"/>
      <c r="O931" s="1"/>
      <c r="P931" s="1"/>
      <c r="R931" s="1"/>
      <c r="S931" s="1"/>
      <c r="T931" s="1"/>
      <c r="U931" s="1"/>
      <c r="V931" s="1"/>
      <c r="W931" s="1"/>
      <c r="X931" s="1"/>
      <c r="Y931" s="1"/>
      <c r="Z931" s="1"/>
    </row>
    <row r="932" spans="1:26" ht="50" customHeight="1" x14ac:dyDescent="0.15">
      <c r="A932" s="1"/>
      <c r="B932" s="1"/>
      <c r="C932" s="1"/>
      <c r="E932" s="1"/>
      <c r="F932" s="1"/>
      <c r="G932" s="1"/>
      <c r="H932" s="1"/>
      <c r="I932" s="1"/>
      <c r="J932" s="1"/>
      <c r="K932" s="1"/>
      <c r="M932" s="1"/>
      <c r="N932" s="1"/>
      <c r="O932" s="1"/>
      <c r="P932" s="1"/>
      <c r="R932" s="1"/>
      <c r="S932" s="1"/>
      <c r="T932" s="1"/>
      <c r="U932" s="1"/>
      <c r="V932" s="1"/>
      <c r="W932" s="1"/>
      <c r="X932" s="1"/>
      <c r="Y932" s="1"/>
      <c r="Z932" s="1"/>
    </row>
    <row r="933" spans="1:26" ht="50" customHeight="1" x14ac:dyDescent="0.15">
      <c r="A933" s="1"/>
      <c r="B933" s="1"/>
      <c r="C933" s="1"/>
      <c r="E933" s="1"/>
      <c r="F933" s="1"/>
      <c r="G933" s="1"/>
      <c r="H933" s="1"/>
      <c r="I933" s="1"/>
      <c r="J933" s="1"/>
      <c r="K933" s="1"/>
      <c r="M933" s="1"/>
      <c r="N933" s="1"/>
      <c r="O933" s="1"/>
      <c r="P933" s="1"/>
      <c r="R933" s="1"/>
      <c r="S933" s="1"/>
      <c r="T933" s="1"/>
      <c r="U933" s="1"/>
      <c r="V933" s="1"/>
      <c r="W933" s="1"/>
      <c r="X933" s="1"/>
      <c r="Y933" s="1"/>
      <c r="Z933" s="1"/>
    </row>
    <row r="934" spans="1:26" ht="50" customHeight="1" x14ac:dyDescent="0.15">
      <c r="A934" s="1"/>
      <c r="B934" s="1"/>
      <c r="C934" s="1"/>
      <c r="E934" s="1"/>
      <c r="F934" s="1"/>
      <c r="G934" s="1"/>
      <c r="H934" s="1"/>
      <c r="I934" s="1"/>
      <c r="J934" s="1"/>
      <c r="K934" s="1"/>
      <c r="M934" s="1"/>
      <c r="N934" s="1"/>
      <c r="O934" s="1"/>
      <c r="P934" s="1"/>
      <c r="R934" s="1"/>
      <c r="S934" s="1"/>
      <c r="T934" s="1"/>
      <c r="U934" s="1"/>
      <c r="V934" s="1"/>
      <c r="W934" s="1"/>
      <c r="X934" s="1"/>
      <c r="Y934" s="1"/>
      <c r="Z934" s="1"/>
    </row>
    <row r="935" spans="1:26" ht="50" customHeight="1" x14ac:dyDescent="0.15">
      <c r="A935" s="1"/>
      <c r="B935" s="1"/>
      <c r="C935" s="1"/>
      <c r="E935" s="1"/>
      <c r="F935" s="1"/>
      <c r="G935" s="1"/>
      <c r="H935" s="1"/>
      <c r="I935" s="1"/>
      <c r="J935" s="1"/>
      <c r="K935" s="1"/>
      <c r="M935" s="1"/>
      <c r="N935" s="1"/>
      <c r="O935" s="1"/>
      <c r="P935" s="1"/>
      <c r="R935" s="1"/>
      <c r="S935" s="1"/>
      <c r="T935" s="1"/>
      <c r="U935" s="1"/>
      <c r="V935" s="1"/>
      <c r="W935" s="1"/>
      <c r="X935" s="1"/>
      <c r="Y935" s="1"/>
      <c r="Z935" s="1"/>
    </row>
    <row r="936" spans="1:26" ht="50" customHeight="1" x14ac:dyDescent="0.15">
      <c r="A936" s="1"/>
      <c r="B936" s="1"/>
      <c r="C936" s="1"/>
      <c r="E936" s="1"/>
      <c r="F936" s="1"/>
      <c r="G936" s="1"/>
      <c r="H936" s="1"/>
      <c r="I936" s="1"/>
      <c r="J936" s="1"/>
      <c r="K936" s="1"/>
      <c r="M936" s="1"/>
      <c r="N936" s="1"/>
      <c r="O936" s="1"/>
      <c r="P936" s="1"/>
      <c r="R936" s="1"/>
      <c r="S936" s="1"/>
      <c r="T936" s="1"/>
      <c r="U936" s="1"/>
      <c r="V936" s="1"/>
      <c r="W936" s="1"/>
      <c r="X936" s="1"/>
      <c r="Y936" s="1"/>
      <c r="Z936" s="1"/>
    </row>
    <row r="937" spans="1:26" ht="50" customHeight="1" x14ac:dyDescent="0.15">
      <c r="A937" s="1"/>
      <c r="B937" s="1"/>
      <c r="C937" s="1"/>
      <c r="E937" s="1"/>
      <c r="F937" s="1"/>
      <c r="G937" s="1"/>
      <c r="H937" s="1"/>
      <c r="I937" s="1"/>
      <c r="J937" s="1"/>
      <c r="K937" s="1"/>
      <c r="M937" s="1"/>
      <c r="N937" s="1"/>
      <c r="O937" s="1"/>
      <c r="P937" s="1"/>
      <c r="R937" s="1"/>
      <c r="S937" s="1"/>
      <c r="T937" s="1"/>
      <c r="U937" s="1"/>
      <c r="V937" s="1"/>
      <c r="W937" s="1"/>
      <c r="X937" s="1"/>
      <c r="Y937" s="1"/>
      <c r="Z937" s="1"/>
    </row>
    <row r="938" spans="1:26" ht="50" customHeight="1" x14ac:dyDescent="0.15">
      <c r="A938" s="1"/>
      <c r="B938" s="1"/>
      <c r="C938" s="1"/>
      <c r="E938" s="1"/>
      <c r="F938" s="1"/>
      <c r="G938" s="1"/>
      <c r="H938" s="1"/>
      <c r="I938" s="1"/>
      <c r="J938" s="1"/>
      <c r="K938" s="1"/>
      <c r="M938" s="1"/>
      <c r="N938" s="1"/>
      <c r="O938" s="1"/>
      <c r="P938" s="1"/>
      <c r="R938" s="1"/>
      <c r="S938" s="1"/>
      <c r="T938" s="1"/>
      <c r="U938" s="1"/>
      <c r="V938" s="1"/>
      <c r="W938" s="1"/>
      <c r="X938" s="1"/>
      <c r="Y938" s="1"/>
      <c r="Z938" s="1"/>
    </row>
    <row r="939" spans="1:26" ht="50" customHeight="1" x14ac:dyDescent="0.15">
      <c r="A939" s="1"/>
      <c r="B939" s="1"/>
      <c r="C939" s="1"/>
      <c r="E939" s="1"/>
      <c r="F939" s="1"/>
      <c r="G939" s="1"/>
      <c r="H939" s="1"/>
      <c r="I939" s="1"/>
      <c r="J939" s="1"/>
      <c r="K939" s="1"/>
      <c r="M939" s="1"/>
      <c r="N939" s="1"/>
      <c r="O939" s="1"/>
      <c r="P939" s="1"/>
      <c r="R939" s="1"/>
      <c r="S939" s="1"/>
      <c r="T939" s="1"/>
      <c r="U939" s="1"/>
      <c r="V939" s="1"/>
      <c r="W939" s="1"/>
      <c r="X939" s="1"/>
      <c r="Y939" s="1"/>
      <c r="Z939" s="1"/>
    </row>
    <row r="940" spans="1:26" ht="50" customHeight="1" x14ac:dyDescent="0.15">
      <c r="A940" s="1"/>
      <c r="B940" s="1"/>
      <c r="C940" s="1"/>
      <c r="E940" s="1"/>
      <c r="F940" s="1"/>
      <c r="G940" s="1"/>
      <c r="H940" s="1"/>
      <c r="I940" s="1"/>
      <c r="J940" s="1"/>
      <c r="K940" s="1"/>
      <c r="M940" s="1"/>
      <c r="N940" s="1"/>
      <c r="O940" s="1"/>
      <c r="P940" s="1"/>
      <c r="R940" s="1"/>
      <c r="S940" s="1"/>
      <c r="T940" s="1"/>
      <c r="U940" s="1"/>
      <c r="V940" s="1"/>
      <c r="W940" s="1"/>
      <c r="X940" s="1"/>
      <c r="Y940" s="1"/>
      <c r="Z940" s="1"/>
    </row>
    <row r="941" spans="1:26" ht="50" customHeight="1" x14ac:dyDescent="0.15">
      <c r="A941" s="1"/>
      <c r="B941" s="1"/>
      <c r="C941" s="1"/>
      <c r="E941" s="1"/>
      <c r="F941" s="1"/>
      <c r="G941" s="1"/>
      <c r="H941" s="1"/>
      <c r="I941" s="1"/>
      <c r="J941" s="1"/>
      <c r="K941" s="1"/>
      <c r="M941" s="1"/>
      <c r="N941" s="1"/>
      <c r="O941" s="1"/>
      <c r="P941" s="1"/>
      <c r="R941" s="1"/>
      <c r="S941" s="1"/>
      <c r="T941" s="1"/>
      <c r="U941" s="1"/>
      <c r="V941" s="1"/>
      <c r="W941" s="1"/>
      <c r="X941" s="1"/>
      <c r="Y941" s="1"/>
      <c r="Z941" s="1"/>
    </row>
    <row r="942" spans="1:26" ht="50" customHeight="1" x14ac:dyDescent="0.15">
      <c r="A942" s="1"/>
      <c r="B942" s="1"/>
      <c r="C942" s="1"/>
      <c r="E942" s="1"/>
      <c r="F942" s="1"/>
      <c r="G942" s="1"/>
      <c r="H942" s="1"/>
      <c r="I942" s="1"/>
      <c r="J942" s="1"/>
      <c r="K942" s="1"/>
      <c r="M942" s="1"/>
      <c r="N942" s="1"/>
      <c r="O942" s="1"/>
      <c r="P942" s="1"/>
      <c r="R942" s="1"/>
      <c r="S942" s="1"/>
      <c r="T942" s="1"/>
      <c r="U942" s="1"/>
      <c r="V942" s="1"/>
      <c r="W942" s="1"/>
      <c r="X942" s="1"/>
      <c r="Y942" s="1"/>
      <c r="Z942" s="1"/>
    </row>
    <row r="943" spans="1:26" ht="50" customHeight="1" x14ac:dyDescent="0.15">
      <c r="A943" s="1"/>
      <c r="B943" s="1"/>
      <c r="C943" s="1"/>
      <c r="E943" s="1"/>
      <c r="F943" s="1"/>
      <c r="G943" s="1"/>
      <c r="H943" s="1"/>
      <c r="I943" s="1"/>
      <c r="J943" s="1"/>
      <c r="K943" s="1"/>
      <c r="M943" s="1"/>
      <c r="N943" s="1"/>
      <c r="O943" s="1"/>
      <c r="P943" s="1"/>
      <c r="R943" s="1"/>
      <c r="S943" s="1"/>
      <c r="T943" s="1"/>
      <c r="U943" s="1"/>
      <c r="V943" s="1"/>
      <c r="W943" s="1"/>
      <c r="X943" s="1"/>
      <c r="Y943" s="1"/>
      <c r="Z943" s="1"/>
    </row>
    <row r="944" spans="1:26" ht="50" customHeight="1" x14ac:dyDescent="0.15">
      <c r="A944" s="1"/>
      <c r="B944" s="1"/>
      <c r="C944" s="1"/>
      <c r="E944" s="1"/>
      <c r="F944" s="1"/>
      <c r="G944" s="1"/>
      <c r="H944" s="1"/>
      <c r="I944" s="1"/>
      <c r="J944" s="1"/>
      <c r="K944" s="1"/>
      <c r="M944" s="1"/>
      <c r="N944" s="1"/>
      <c r="O944" s="1"/>
      <c r="P944" s="1"/>
      <c r="R944" s="1"/>
      <c r="S944" s="1"/>
      <c r="T944" s="1"/>
      <c r="U944" s="1"/>
      <c r="V944" s="1"/>
      <c r="W944" s="1"/>
      <c r="X944" s="1"/>
      <c r="Y944" s="1"/>
      <c r="Z944" s="1"/>
    </row>
    <row r="945" spans="1:26" ht="50" customHeight="1" x14ac:dyDescent="0.15">
      <c r="A945" s="1"/>
      <c r="B945" s="1"/>
      <c r="C945" s="1"/>
      <c r="E945" s="1"/>
      <c r="F945" s="1"/>
      <c r="G945" s="1"/>
      <c r="H945" s="1"/>
      <c r="I945" s="1"/>
      <c r="J945" s="1"/>
      <c r="K945" s="1"/>
      <c r="M945" s="1"/>
      <c r="N945" s="1"/>
      <c r="O945" s="1"/>
      <c r="P945" s="1"/>
      <c r="R945" s="1"/>
      <c r="S945" s="1"/>
      <c r="T945" s="1"/>
      <c r="U945" s="1"/>
      <c r="V945" s="1"/>
      <c r="W945" s="1"/>
      <c r="X945" s="1"/>
      <c r="Y945" s="1"/>
      <c r="Z945" s="1"/>
    </row>
    <row r="946" spans="1:26" ht="50" customHeight="1" x14ac:dyDescent="0.15">
      <c r="A946" s="1"/>
      <c r="B946" s="1"/>
      <c r="C946" s="1"/>
      <c r="E946" s="1"/>
      <c r="F946" s="1"/>
      <c r="G946" s="1"/>
      <c r="H946" s="1"/>
      <c r="I946" s="1"/>
      <c r="J946" s="1"/>
      <c r="K946" s="1"/>
      <c r="M946" s="1"/>
      <c r="N946" s="1"/>
      <c r="O946" s="1"/>
      <c r="P946" s="1"/>
      <c r="R946" s="1"/>
      <c r="S946" s="1"/>
      <c r="T946" s="1"/>
      <c r="U946" s="1"/>
      <c r="V946" s="1"/>
      <c r="W946" s="1"/>
      <c r="X946" s="1"/>
      <c r="Y946" s="1"/>
      <c r="Z946" s="1"/>
    </row>
    <row r="947" spans="1:26" ht="50" customHeight="1" x14ac:dyDescent="0.15">
      <c r="A947" s="1"/>
      <c r="B947" s="1"/>
      <c r="C947" s="1"/>
      <c r="E947" s="1"/>
      <c r="F947" s="1"/>
      <c r="G947" s="1"/>
      <c r="H947" s="1"/>
      <c r="I947" s="1"/>
      <c r="J947" s="1"/>
      <c r="K947" s="1"/>
      <c r="M947" s="1"/>
      <c r="N947" s="1"/>
      <c r="O947" s="1"/>
      <c r="P947" s="1"/>
      <c r="R947" s="1"/>
      <c r="S947" s="1"/>
      <c r="T947" s="1"/>
      <c r="U947" s="1"/>
      <c r="V947" s="1"/>
      <c r="W947" s="1"/>
      <c r="X947" s="1"/>
      <c r="Y947" s="1"/>
      <c r="Z947" s="1"/>
    </row>
    <row r="948" spans="1:26" ht="50" customHeight="1" x14ac:dyDescent="0.15">
      <c r="A948" s="1"/>
      <c r="B948" s="1"/>
      <c r="C948" s="1"/>
      <c r="E948" s="1"/>
      <c r="F948" s="1"/>
      <c r="G948" s="1"/>
      <c r="H948" s="1"/>
      <c r="I948" s="1"/>
      <c r="J948" s="1"/>
      <c r="K948" s="1"/>
      <c r="M948" s="1"/>
      <c r="N948" s="1"/>
      <c r="O948" s="1"/>
      <c r="P948" s="1"/>
      <c r="R948" s="1"/>
      <c r="S948" s="1"/>
      <c r="T948" s="1"/>
      <c r="U948" s="1"/>
      <c r="V948" s="1"/>
      <c r="W948" s="1"/>
      <c r="X948" s="1"/>
      <c r="Y948" s="1"/>
      <c r="Z948" s="1"/>
    </row>
    <row r="949" spans="1:26" ht="50" customHeight="1" x14ac:dyDescent="0.15">
      <c r="A949" s="1"/>
      <c r="B949" s="1"/>
      <c r="C949" s="1"/>
      <c r="E949" s="1"/>
      <c r="F949" s="1"/>
      <c r="G949" s="1"/>
      <c r="H949" s="1"/>
      <c r="I949" s="1"/>
      <c r="J949" s="1"/>
      <c r="K949" s="1"/>
      <c r="M949" s="1"/>
      <c r="N949" s="1"/>
      <c r="O949" s="1"/>
      <c r="P949" s="1"/>
      <c r="R949" s="1"/>
      <c r="S949" s="1"/>
      <c r="T949" s="1"/>
      <c r="U949" s="1"/>
      <c r="V949" s="1"/>
      <c r="W949" s="1"/>
      <c r="X949" s="1"/>
      <c r="Y949" s="1"/>
      <c r="Z949" s="1"/>
    </row>
    <row r="950" spans="1:26" ht="50" customHeight="1" x14ac:dyDescent="0.15">
      <c r="A950" s="1"/>
      <c r="B950" s="1"/>
      <c r="C950" s="1"/>
      <c r="E950" s="1"/>
      <c r="F950" s="1"/>
      <c r="G950" s="1"/>
      <c r="H950" s="1"/>
      <c r="I950" s="1"/>
      <c r="J950" s="1"/>
      <c r="K950" s="1"/>
      <c r="M950" s="1"/>
      <c r="N950" s="1"/>
      <c r="O950" s="1"/>
      <c r="P950" s="1"/>
      <c r="R950" s="1"/>
      <c r="S950" s="1"/>
      <c r="T950" s="1"/>
      <c r="U950" s="1"/>
      <c r="V950" s="1"/>
      <c r="W950" s="1"/>
      <c r="X950" s="1"/>
      <c r="Y950" s="1"/>
      <c r="Z950" s="1"/>
    </row>
    <row r="951" spans="1:26" ht="50" customHeight="1" x14ac:dyDescent="0.15">
      <c r="A951" s="1"/>
      <c r="B951" s="1"/>
      <c r="C951" s="1"/>
      <c r="E951" s="1"/>
      <c r="F951" s="1"/>
      <c r="G951" s="1"/>
      <c r="H951" s="1"/>
      <c r="I951" s="1"/>
      <c r="J951" s="1"/>
      <c r="K951" s="1"/>
      <c r="M951" s="1"/>
      <c r="N951" s="1"/>
      <c r="O951" s="1"/>
      <c r="P951" s="1"/>
      <c r="R951" s="1"/>
      <c r="S951" s="1"/>
      <c r="T951" s="1"/>
      <c r="U951" s="1"/>
      <c r="V951" s="1"/>
      <c r="W951" s="1"/>
      <c r="X951" s="1"/>
      <c r="Y951" s="1"/>
      <c r="Z951" s="1"/>
    </row>
    <row r="952" spans="1:26" ht="50" customHeight="1" x14ac:dyDescent="0.15">
      <c r="A952" s="1"/>
      <c r="B952" s="1"/>
      <c r="C952" s="1"/>
      <c r="E952" s="1"/>
      <c r="F952" s="1"/>
      <c r="G952" s="1"/>
      <c r="H952" s="1"/>
      <c r="I952" s="1"/>
      <c r="J952" s="1"/>
      <c r="K952" s="1"/>
      <c r="M952" s="1"/>
      <c r="N952" s="1"/>
      <c r="O952" s="1"/>
      <c r="P952" s="1"/>
      <c r="R952" s="1"/>
      <c r="S952" s="1"/>
      <c r="T952" s="1"/>
      <c r="U952" s="1"/>
      <c r="V952" s="1"/>
      <c r="W952" s="1"/>
      <c r="X952" s="1"/>
      <c r="Y952" s="1"/>
      <c r="Z952" s="1"/>
    </row>
    <row r="953" spans="1:26" ht="50" customHeight="1" x14ac:dyDescent="0.15">
      <c r="A953" s="1"/>
      <c r="B953" s="1"/>
      <c r="C953" s="1"/>
      <c r="E953" s="1"/>
      <c r="F953" s="1"/>
      <c r="G953" s="1"/>
      <c r="H953" s="1"/>
      <c r="I953" s="1"/>
      <c r="J953" s="1"/>
      <c r="K953" s="1"/>
      <c r="M953" s="1"/>
      <c r="N953" s="1"/>
      <c r="O953" s="1"/>
      <c r="P953" s="1"/>
      <c r="R953" s="1"/>
      <c r="S953" s="1"/>
      <c r="T953" s="1"/>
      <c r="U953" s="1"/>
      <c r="V953" s="1"/>
      <c r="W953" s="1"/>
      <c r="X953" s="1"/>
      <c r="Y953" s="1"/>
      <c r="Z953" s="1"/>
    </row>
    <row r="954" spans="1:26" ht="50" customHeight="1" x14ac:dyDescent="0.15">
      <c r="A954" s="1"/>
      <c r="B954" s="1"/>
      <c r="C954" s="1"/>
      <c r="E954" s="1"/>
      <c r="F954" s="1"/>
      <c r="G954" s="1"/>
      <c r="H954" s="1"/>
      <c r="I954" s="1"/>
      <c r="J954" s="1"/>
      <c r="K954" s="1"/>
      <c r="M954" s="1"/>
      <c r="N954" s="1"/>
      <c r="O954" s="1"/>
      <c r="P954" s="1"/>
      <c r="R954" s="1"/>
      <c r="S954" s="1"/>
      <c r="T954" s="1"/>
      <c r="U954" s="1"/>
      <c r="V954" s="1"/>
      <c r="W954" s="1"/>
      <c r="X954" s="1"/>
      <c r="Y954" s="1"/>
      <c r="Z954" s="1"/>
    </row>
    <row r="955" spans="1:26" ht="50" customHeight="1" x14ac:dyDescent="0.15">
      <c r="A955" s="1"/>
      <c r="B955" s="1"/>
      <c r="C955" s="1"/>
      <c r="E955" s="1"/>
      <c r="F955" s="1"/>
      <c r="G955" s="1"/>
      <c r="H955" s="1"/>
      <c r="I955" s="1"/>
      <c r="J955" s="1"/>
      <c r="K955" s="1"/>
      <c r="M955" s="1"/>
      <c r="N955" s="1"/>
      <c r="O955" s="1"/>
      <c r="P955" s="1"/>
      <c r="R955" s="1"/>
      <c r="S955" s="1"/>
      <c r="T955" s="1"/>
      <c r="U955" s="1"/>
      <c r="V955" s="1"/>
      <c r="W955" s="1"/>
      <c r="X955" s="1"/>
      <c r="Y955" s="1"/>
      <c r="Z955" s="1"/>
    </row>
    <row r="956" spans="1:26" ht="50" customHeight="1" x14ac:dyDescent="0.15">
      <c r="A956" s="1"/>
      <c r="B956" s="1"/>
      <c r="C956" s="1"/>
      <c r="E956" s="1"/>
      <c r="F956" s="1"/>
      <c r="G956" s="1"/>
      <c r="H956" s="1"/>
      <c r="I956" s="1"/>
      <c r="J956" s="1"/>
      <c r="K956" s="1"/>
      <c r="M956" s="1"/>
      <c r="N956" s="1"/>
      <c r="O956" s="1"/>
      <c r="P956" s="1"/>
      <c r="R956" s="1"/>
      <c r="S956" s="1"/>
      <c r="T956" s="1"/>
      <c r="U956" s="1"/>
      <c r="V956" s="1"/>
      <c r="W956" s="1"/>
      <c r="X956" s="1"/>
      <c r="Y956" s="1"/>
      <c r="Z956" s="1"/>
    </row>
    <row r="957" spans="1:26" ht="50" customHeight="1" x14ac:dyDescent="0.15">
      <c r="A957" s="1"/>
      <c r="B957" s="1"/>
      <c r="C957" s="1"/>
      <c r="E957" s="1"/>
      <c r="F957" s="1"/>
      <c r="G957" s="1"/>
      <c r="H957" s="1"/>
      <c r="I957" s="1"/>
      <c r="J957" s="1"/>
      <c r="K957" s="1"/>
      <c r="M957" s="1"/>
      <c r="N957" s="1"/>
      <c r="O957" s="1"/>
      <c r="P957" s="1"/>
      <c r="R957" s="1"/>
      <c r="S957" s="1"/>
      <c r="T957" s="1"/>
      <c r="U957" s="1"/>
      <c r="V957" s="1"/>
      <c r="W957" s="1"/>
      <c r="X957" s="1"/>
      <c r="Y957" s="1"/>
      <c r="Z957" s="1"/>
    </row>
    <row r="958" spans="1:26" ht="50" customHeight="1" x14ac:dyDescent="0.15">
      <c r="A958" s="1"/>
      <c r="B958" s="1"/>
      <c r="C958" s="1"/>
      <c r="E958" s="1"/>
      <c r="F958" s="1"/>
      <c r="G958" s="1"/>
      <c r="H958" s="1"/>
      <c r="I958" s="1"/>
      <c r="J958" s="1"/>
      <c r="K958" s="1"/>
      <c r="M958" s="1"/>
      <c r="N958" s="1"/>
      <c r="O958" s="1"/>
      <c r="P958" s="1"/>
      <c r="R958" s="1"/>
      <c r="S958" s="1"/>
      <c r="T958" s="1"/>
      <c r="U958" s="1"/>
      <c r="V958" s="1"/>
      <c r="W958" s="1"/>
      <c r="X958" s="1"/>
      <c r="Y958" s="1"/>
      <c r="Z958" s="1"/>
    </row>
    <row r="959" spans="1:26" ht="50" customHeight="1" x14ac:dyDescent="0.15">
      <c r="A959" s="1"/>
      <c r="B959" s="1"/>
      <c r="C959" s="1"/>
      <c r="E959" s="1"/>
      <c r="F959" s="1"/>
      <c r="G959" s="1"/>
      <c r="H959" s="1"/>
      <c r="I959" s="1"/>
      <c r="J959" s="1"/>
      <c r="K959" s="1"/>
      <c r="M959" s="1"/>
      <c r="N959" s="1"/>
      <c r="O959" s="1"/>
      <c r="P959" s="1"/>
      <c r="R959" s="1"/>
      <c r="S959" s="1"/>
      <c r="T959" s="1"/>
      <c r="U959" s="1"/>
      <c r="V959" s="1"/>
      <c r="W959" s="1"/>
      <c r="X959" s="1"/>
      <c r="Y959" s="1"/>
      <c r="Z959" s="1"/>
    </row>
    <row r="960" spans="1:26" ht="50" customHeight="1" x14ac:dyDescent="0.15">
      <c r="A960" s="1"/>
      <c r="B960" s="1"/>
      <c r="C960" s="1"/>
      <c r="E960" s="1"/>
      <c r="F960" s="1"/>
      <c r="G960" s="1"/>
      <c r="H960" s="1"/>
      <c r="I960" s="1"/>
      <c r="J960" s="1"/>
      <c r="K960" s="1"/>
      <c r="M960" s="1"/>
      <c r="N960" s="1"/>
      <c r="O960" s="1"/>
      <c r="P960" s="1"/>
      <c r="R960" s="1"/>
      <c r="S960" s="1"/>
      <c r="T960" s="1"/>
      <c r="U960" s="1"/>
      <c r="V960" s="1"/>
      <c r="W960" s="1"/>
      <c r="X960" s="1"/>
      <c r="Y960" s="1"/>
      <c r="Z960" s="1"/>
    </row>
    <row r="961" spans="1:26" ht="50" customHeight="1" x14ac:dyDescent="0.15">
      <c r="A961" s="1"/>
      <c r="B961" s="1"/>
      <c r="C961" s="1"/>
      <c r="E961" s="1"/>
      <c r="F961" s="1"/>
      <c r="G961" s="1"/>
      <c r="H961" s="1"/>
      <c r="I961" s="1"/>
      <c r="J961" s="1"/>
      <c r="K961" s="1"/>
      <c r="M961" s="1"/>
      <c r="N961" s="1"/>
      <c r="O961" s="1"/>
      <c r="P961" s="1"/>
      <c r="R961" s="1"/>
      <c r="S961" s="1"/>
      <c r="T961" s="1"/>
      <c r="U961" s="1"/>
      <c r="V961" s="1"/>
      <c r="W961" s="1"/>
      <c r="X961" s="1"/>
      <c r="Y961" s="1"/>
      <c r="Z961" s="1"/>
    </row>
    <row r="962" spans="1:26" ht="50" customHeight="1" x14ac:dyDescent="0.15">
      <c r="A962" s="1"/>
      <c r="B962" s="1"/>
      <c r="C962" s="1"/>
      <c r="E962" s="1"/>
      <c r="F962" s="1"/>
      <c r="G962" s="1"/>
      <c r="H962" s="1"/>
      <c r="I962" s="1"/>
      <c r="J962" s="1"/>
      <c r="K962" s="1"/>
      <c r="M962" s="1"/>
      <c r="N962" s="1"/>
      <c r="O962" s="1"/>
      <c r="P962" s="1"/>
      <c r="R962" s="1"/>
      <c r="S962" s="1"/>
      <c r="T962" s="1"/>
      <c r="U962" s="1"/>
      <c r="V962" s="1"/>
      <c r="W962" s="1"/>
      <c r="X962" s="1"/>
      <c r="Y962" s="1"/>
      <c r="Z962" s="1"/>
    </row>
    <row r="963" spans="1:26" ht="50" customHeight="1" x14ac:dyDescent="0.15">
      <c r="A963" s="1"/>
      <c r="B963" s="1"/>
      <c r="C963" s="1"/>
      <c r="E963" s="1"/>
      <c r="F963" s="1"/>
      <c r="G963" s="1"/>
      <c r="H963" s="1"/>
      <c r="I963" s="1"/>
      <c r="J963" s="1"/>
      <c r="K963" s="1"/>
      <c r="M963" s="1"/>
      <c r="N963" s="1"/>
      <c r="O963" s="1"/>
      <c r="P963" s="1"/>
      <c r="R963" s="1"/>
      <c r="S963" s="1"/>
      <c r="T963" s="1"/>
      <c r="U963" s="1"/>
      <c r="V963" s="1"/>
      <c r="W963" s="1"/>
      <c r="X963" s="1"/>
      <c r="Y963" s="1"/>
      <c r="Z963" s="1"/>
    </row>
    <row r="964" spans="1:26" ht="50" customHeight="1" x14ac:dyDescent="0.15">
      <c r="A964" s="1"/>
      <c r="B964" s="1"/>
      <c r="C964" s="1"/>
      <c r="E964" s="1"/>
      <c r="F964" s="1"/>
      <c r="G964" s="1"/>
      <c r="H964" s="1"/>
      <c r="I964" s="1"/>
      <c r="J964" s="1"/>
      <c r="K964" s="1"/>
      <c r="M964" s="1"/>
      <c r="N964" s="1"/>
      <c r="O964" s="1"/>
      <c r="P964" s="1"/>
      <c r="R964" s="1"/>
      <c r="S964" s="1"/>
      <c r="T964" s="1"/>
      <c r="U964" s="1"/>
      <c r="V964" s="1"/>
      <c r="W964" s="1"/>
      <c r="X964" s="1"/>
      <c r="Y964" s="1"/>
      <c r="Z964" s="1"/>
    </row>
    <row r="965" spans="1:26" ht="50" customHeight="1" x14ac:dyDescent="0.15">
      <c r="A965" s="1"/>
      <c r="B965" s="1"/>
      <c r="C965" s="1"/>
      <c r="E965" s="1"/>
      <c r="F965" s="1"/>
      <c r="G965" s="1"/>
      <c r="H965" s="1"/>
      <c r="I965" s="1"/>
      <c r="J965" s="1"/>
      <c r="K965" s="1"/>
      <c r="M965" s="1"/>
      <c r="N965" s="1"/>
      <c r="O965" s="1"/>
      <c r="P965" s="1"/>
      <c r="R965" s="1"/>
      <c r="S965" s="1"/>
      <c r="T965" s="1"/>
      <c r="U965" s="1"/>
      <c r="V965" s="1"/>
      <c r="W965" s="1"/>
      <c r="X965" s="1"/>
      <c r="Y965" s="1"/>
      <c r="Z965" s="1"/>
    </row>
    <row r="966" spans="1:26" ht="50" customHeight="1" x14ac:dyDescent="0.15">
      <c r="A966" s="1"/>
      <c r="B966" s="1"/>
      <c r="C966" s="1"/>
      <c r="E966" s="1"/>
      <c r="F966" s="1"/>
      <c r="G966" s="1"/>
      <c r="H966" s="1"/>
      <c r="I966" s="1"/>
      <c r="J966" s="1"/>
      <c r="K966" s="1"/>
      <c r="M966" s="1"/>
      <c r="N966" s="1"/>
      <c r="O966" s="1"/>
      <c r="P966" s="1"/>
      <c r="R966" s="1"/>
      <c r="S966" s="1"/>
      <c r="T966" s="1"/>
      <c r="U966" s="1"/>
      <c r="V966" s="1"/>
      <c r="W966" s="1"/>
      <c r="X966" s="1"/>
      <c r="Y966" s="1"/>
      <c r="Z966" s="1"/>
    </row>
    <row r="967" spans="1:26" ht="50" customHeight="1" x14ac:dyDescent="0.15">
      <c r="A967" s="1"/>
      <c r="B967" s="1"/>
      <c r="C967" s="1"/>
      <c r="E967" s="1"/>
      <c r="F967" s="1"/>
      <c r="G967" s="1"/>
      <c r="H967" s="1"/>
      <c r="I967" s="1"/>
      <c r="J967" s="1"/>
      <c r="K967" s="1"/>
      <c r="M967" s="1"/>
      <c r="N967" s="1"/>
      <c r="O967" s="1"/>
      <c r="P967" s="1"/>
      <c r="R967" s="1"/>
      <c r="S967" s="1"/>
      <c r="T967" s="1"/>
      <c r="U967" s="1"/>
      <c r="V967" s="1"/>
      <c r="W967" s="1"/>
      <c r="X967" s="1"/>
      <c r="Y967" s="1"/>
      <c r="Z967" s="1"/>
    </row>
    <row r="968" spans="1:26" ht="50" customHeight="1" x14ac:dyDescent="0.15">
      <c r="A968" s="1"/>
      <c r="B968" s="1"/>
      <c r="C968" s="1"/>
      <c r="E968" s="1"/>
      <c r="F968" s="1"/>
      <c r="G968" s="1"/>
      <c r="H968" s="1"/>
      <c r="I968" s="1"/>
      <c r="J968" s="1"/>
      <c r="K968" s="1"/>
      <c r="M968" s="1"/>
      <c r="N968" s="1"/>
      <c r="O968" s="1"/>
      <c r="P968" s="1"/>
      <c r="R968" s="1"/>
      <c r="S968" s="1"/>
      <c r="T968" s="1"/>
      <c r="U968" s="1"/>
      <c r="V968" s="1"/>
      <c r="W968" s="1"/>
      <c r="X968" s="1"/>
      <c r="Y968" s="1"/>
      <c r="Z968" s="1"/>
    </row>
    <row r="969" spans="1:26" ht="50" customHeight="1" x14ac:dyDescent="0.15">
      <c r="A969" s="1"/>
      <c r="B969" s="1"/>
      <c r="C969" s="1"/>
      <c r="E969" s="1"/>
      <c r="F969" s="1"/>
      <c r="G969" s="1"/>
      <c r="H969" s="1"/>
      <c r="I969" s="1"/>
      <c r="J969" s="1"/>
      <c r="K969" s="1"/>
      <c r="M969" s="1"/>
      <c r="N969" s="1"/>
      <c r="O969" s="1"/>
      <c r="P969" s="1"/>
      <c r="R969" s="1"/>
      <c r="S969" s="1"/>
      <c r="T969" s="1"/>
      <c r="U969" s="1"/>
      <c r="V969" s="1"/>
      <c r="W969" s="1"/>
      <c r="X969" s="1"/>
      <c r="Y969" s="1"/>
      <c r="Z969" s="1"/>
    </row>
    <row r="970" spans="1:26" ht="50" customHeight="1" x14ac:dyDescent="0.15">
      <c r="A970" s="1"/>
      <c r="B970" s="1"/>
      <c r="C970" s="1"/>
      <c r="E970" s="1"/>
      <c r="F970" s="1"/>
      <c r="G970" s="1"/>
      <c r="H970" s="1"/>
      <c r="I970" s="1"/>
      <c r="J970" s="1"/>
      <c r="K970" s="1"/>
      <c r="M970" s="1"/>
      <c r="N970" s="1"/>
      <c r="O970" s="1"/>
      <c r="P970" s="1"/>
      <c r="R970" s="1"/>
      <c r="S970" s="1"/>
      <c r="T970" s="1"/>
      <c r="U970" s="1"/>
      <c r="V970" s="1"/>
      <c r="W970" s="1"/>
      <c r="X970" s="1"/>
      <c r="Y970" s="1"/>
      <c r="Z970" s="1"/>
    </row>
    <row r="971" spans="1:26" ht="50" customHeight="1" x14ac:dyDescent="0.15">
      <c r="A971" s="1"/>
      <c r="B971" s="1"/>
      <c r="C971" s="1"/>
      <c r="E971" s="1"/>
      <c r="F971" s="1"/>
      <c r="G971" s="1"/>
      <c r="H971" s="1"/>
      <c r="I971" s="1"/>
      <c r="J971" s="1"/>
      <c r="K971" s="1"/>
      <c r="M971" s="1"/>
      <c r="N971" s="1"/>
      <c r="O971" s="1"/>
      <c r="P971" s="1"/>
      <c r="R971" s="1"/>
      <c r="S971" s="1"/>
      <c r="T971" s="1"/>
      <c r="U971" s="1"/>
      <c r="V971" s="1"/>
      <c r="W971" s="1"/>
      <c r="X971" s="1"/>
      <c r="Y971" s="1"/>
      <c r="Z971" s="1"/>
    </row>
    <row r="972" spans="1:26" ht="50" customHeight="1" x14ac:dyDescent="0.15">
      <c r="A972" s="1"/>
      <c r="B972" s="1"/>
      <c r="C972" s="1"/>
      <c r="E972" s="1"/>
      <c r="F972" s="1"/>
      <c r="G972" s="1"/>
      <c r="H972" s="1"/>
      <c r="I972" s="1"/>
      <c r="J972" s="1"/>
      <c r="K972" s="1"/>
      <c r="M972" s="1"/>
      <c r="N972" s="1"/>
      <c r="O972" s="1"/>
      <c r="P972" s="1"/>
      <c r="R972" s="1"/>
      <c r="S972" s="1"/>
      <c r="T972" s="1"/>
      <c r="U972" s="1"/>
      <c r="V972" s="1"/>
      <c r="W972" s="1"/>
      <c r="X972" s="1"/>
      <c r="Y972" s="1"/>
      <c r="Z972" s="1"/>
    </row>
    <row r="973" spans="1:26" ht="50" customHeight="1" x14ac:dyDescent="0.15">
      <c r="A973" s="1"/>
      <c r="B973" s="1"/>
      <c r="C973" s="1"/>
      <c r="E973" s="1"/>
      <c r="F973" s="1"/>
      <c r="G973" s="1"/>
      <c r="H973" s="1"/>
      <c r="K973" s="1"/>
      <c r="M973" s="1"/>
      <c r="N973" s="1"/>
      <c r="O973" s="1"/>
      <c r="P973" s="1"/>
      <c r="R973" s="1"/>
      <c r="S973" s="1"/>
      <c r="T973" s="1"/>
      <c r="U973" s="1"/>
      <c r="V973" s="1"/>
      <c r="W973" s="1"/>
      <c r="X973" s="1"/>
      <c r="Y973" s="1"/>
      <c r="Z973" s="1"/>
    </row>
    <row r="974" spans="1:26" ht="50" customHeight="1" x14ac:dyDescent="0.15">
      <c r="A974" s="1"/>
      <c r="B974" s="1"/>
      <c r="C974" s="1"/>
      <c r="E974" s="1"/>
      <c r="F974" s="1"/>
      <c r="G974" s="1"/>
      <c r="H974" s="1"/>
      <c r="K974" s="1"/>
      <c r="M974" s="1"/>
      <c r="N974" s="1"/>
      <c r="O974" s="1"/>
      <c r="P974" s="1"/>
      <c r="R974" s="1"/>
      <c r="S974" s="1"/>
      <c r="T974" s="1"/>
      <c r="U974" s="1"/>
      <c r="V974" s="1"/>
      <c r="W974" s="1"/>
      <c r="X974" s="1"/>
      <c r="Y974" s="1"/>
      <c r="Z974" s="1"/>
    </row>
    <row r="975" spans="1:26" ht="50" customHeight="1" x14ac:dyDescent="0.15">
      <c r="A975" s="1"/>
      <c r="B975" s="1"/>
      <c r="C975" s="1"/>
      <c r="E975" s="1"/>
      <c r="F975" s="1"/>
      <c r="G975" s="1"/>
      <c r="H975" s="1"/>
      <c r="K975" s="1"/>
      <c r="M975" s="1"/>
      <c r="N975" s="1"/>
      <c r="O975" s="1"/>
      <c r="P975" s="1"/>
      <c r="R975" s="1"/>
      <c r="S975" s="1"/>
      <c r="T975" s="1"/>
      <c r="U975" s="1"/>
      <c r="V975" s="1"/>
      <c r="W975" s="1"/>
      <c r="X975" s="1"/>
      <c r="Y975" s="1"/>
      <c r="Z975" s="1"/>
    </row>
    <row r="976" spans="1:26" ht="50" customHeight="1" x14ac:dyDescent="0.15">
      <c r="A976" s="1"/>
      <c r="B976" s="1"/>
      <c r="C976" s="1"/>
      <c r="E976" s="1"/>
      <c r="F976" s="1"/>
      <c r="G976" s="1"/>
      <c r="H976" s="1"/>
      <c r="K976" s="1"/>
      <c r="M976" s="1"/>
      <c r="N976" s="1"/>
      <c r="O976" s="1"/>
      <c r="P976" s="1"/>
      <c r="R976" s="1"/>
      <c r="S976" s="1"/>
      <c r="T976" s="1"/>
      <c r="U976" s="1"/>
      <c r="V976" s="1"/>
      <c r="W976" s="1"/>
      <c r="X976" s="1"/>
      <c r="Y976" s="1"/>
      <c r="Z976" s="1"/>
    </row>
    <row r="977" spans="1:26" ht="50" customHeight="1" x14ac:dyDescent="0.15">
      <c r="A977" s="1"/>
      <c r="B977" s="1"/>
      <c r="C977" s="1"/>
      <c r="E977" s="1"/>
      <c r="F977" s="1"/>
      <c r="G977" s="1"/>
      <c r="H977" s="1"/>
      <c r="K977" s="1"/>
      <c r="M977" s="1"/>
      <c r="N977" s="1"/>
      <c r="O977" s="1"/>
      <c r="P977" s="1"/>
      <c r="R977" s="1"/>
      <c r="S977" s="1"/>
      <c r="T977" s="1"/>
      <c r="U977" s="1"/>
      <c r="V977" s="1"/>
      <c r="W977" s="1"/>
      <c r="X977" s="1"/>
      <c r="Y977" s="1"/>
      <c r="Z977" s="1"/>
    </row>
    <row r="978" spans="1:26" ht="50" customHeight="1" x14ac:dyDescent="0.15">
      <c r="A978" s="1"/>
      <c r="B978" s="1"/>
      <c r="C978" s="1"/>
      <c r="E978" s="1"/>
      <c r="F978" s="1"/>
      <c r="G978" s="1"/>
      <c r="H978" s="1"/>
      <c r="K978" s="1"/>
      <c r="M978" s="1"/>
      <c r="N978" s="1"/>
      <c r="O978" s="1"/>
      <c r="P978" s="1"/>
      <c r="R978" s="1"/>
      <c r="S978" s="1"/>
      <c r="T978" s="1"/>
      <c r="U978" s="1"/>
      <c r="V978" s="1"/>
      <c r="W978" s="1"/>
      <c r="X978" s="1"/>
      <c r="Y978" s="1"/>
      <c r="Z978" s="1"/>
    </row>
    <row r="979" spans="1:26" ht="50" customHeight="1" x14ac:dyDescent="0.15">
      <c r="A979" s="1"/>
      <c r="B979" s="1"/>
      <c r="C979" s="1"/>
      <c r="E979" s="1"/>
      <c r="F979" s="1"/>
      <c r="G979" s="1"/>
      <c r="H979" s="1"/>
      <c r="K979" s="1"/>
      <c r="M979" s="1"/>
      <c r="N979" s="1"/>
      <c r="O979" s="1"/>
      <c r="P979" s="1"/>
      <c r="R979" s="1"/>
      <c r="S979" s="1"/>
      <c r="T979" s="1"/>
      <c r="U979" s="1"/>
      <c r="V979" s="1"/>
      <c r="W979" s="1"/>
      <c r="X979" s="1"/>
      <c r="Y979" s="1"/>
      <c r="Z979" s="1"/>
    </row>
    <row r="980" spans="1:26" ht="50" customHeight="1" x14ac:dyDescent="0.15">
      <c r="A980" s="1"/>
      <c r="B980" s="1"/>
      <c r="C980" s="1"/>
      <c r="E980" s="1"/>
      <c r="F980" s="1"/>
      <c r="G980" s="1"/>
      <c r="H980" s="1"/>
      <c r="K980" s="1"/>
      <c r="M980" s="1"/>
      <c r="N980" s="1"/>
      <c r="O980" s="1"/>
      <c r="P980" s="1"/>
      <c r="R980" s="1"/>
      <c r="S980" s="1"/>
      <c r="T980" s="1"/>
      <c r="U980" s="1"/>
      <c r="V980" s="1"/>
      <c r="W980" s="1"/>
      <c r="X980" s="1"/>
      <c r="Y980" s="1"/>
      <c r="Z980" s="1"/>
    </row>
    <row r="981" spans="1:26" ht="50" customHeight="1" x14ac:dyDescent="0.15">
      <c r="A981" s="1"/>
      <c r="B981" s="1"/>
      <c r="C981" s="1"/>
      <c r="E981" s="1"/>
      <c r="F981" s="1"/>
      <c r="G981" s="1"/>
      <c r="H981" s="1"/>
      <c r="K981" s="1"/>
      <c r="M981" s="1"/>
      <c r="N981" s="1"/>
      <c r="O981" s="1"/>
      <c r="P981" s="1"/>
      <c r="R981" s="1"/>
      <c r="S981" s="1"/>
      <c r="T981" s="1"/>
      <c r="U981" s="1"/>
      <c r="V981" s="1"/>
      <c r="W981" s="1"/>
      <c r="X981" s="1"/>
      <c r="Y981" s="1"/>
      <c r="Z981" s="1"/>
    </row>
    <row r="982" spans="1:26" ht="50" customHeight="1" x14ac:dyDescent="0.15">
      <c r="A982" s="1"/>
      <c r="B982" s="1"/>
      <c r="C982" s="1"/>
      <c r="E982" s="1"/>
      <c r="F982" s="1"/>
      <c r="G982" s="1"/>
      <c r="H982" s="1"/>
      <c r="K982" s="1"/>
      <c r="M982" s="1"/>
      <c r="N982" s="1"/>
      <c r="O982" s="1"/>
      <c r="P982" s="1"/>
      <c r="R982" s="1"/>
      <c r="S982" s="1"/>
      <c r="T982" s="1"/>
      <c r="U982" s="1"/>
      <c r="V982" s="1"/>
      <c r="W982" s="1"/>
      <c r="X982" s="1"/>
      <c r="Y982" s="1"/>
      <c r="Z982" s="1"/>
    </row>
    <row r="983" spans="1:26" ht="50" customHeight="1" x14ac:dyDescent="0.15">
      <c r="A983" s="1"/>
      <c r="B983" s="1"/>
      <c r="C983" s="1"/>
      <c r="E983" s="1"/>
      <c r="F983" s="1"/>
      <c r="G983" s="1"/>
      <c r="H983" s="1"/>
      <c r="K983" s="1"/>
      <c r="M983" s="1"/>
      <c r="N983" s="1"/>
      <c r="O983" s="1"/>
      <c r="P983" s="1"/>
      <c r="R983" s="1"/>
      <c r="S983" s="1"/>
      <c r="T983" s="1"/>
      <c r="U983" s="1"/>
      <c r="V983" s="1"/>
      <c r="W983" s="1"/>
      <c r="X983" s="1"/>
      <c r="Y983" s="1"/>
      <c r="Z983" s="1"/>
    </row>
    <row r="984" spans="1:26" ht="50" customHeight="1" x14ac:dyDescent="0.15">
      <c r="A984" s="1"/>
      <c r="B984" s="1"/>
      <c r="C984" s="1"/>
      <c r="E984" s="1"/>
      <c r="F984" s="1"/>
      <c r="G984" s="1"/>
      <c r="H984" s="1"/>
      <c r="K984" s="1"/>
      <c r="M984" s="1"/>
      <c r="N984" s="1"/>
      <c r="O984" s="1"/>
      <c r="P984" s="1"/>
      <c r="R984" s="1"/>
      <c r="S984" s="1"/>
      <c r="T984" s="1"/>
      <c r="U984" s="1"/>
      <c r="V984" s="1"/>
      <c r="W984" s="1"/>
      <c r="X984" s="1"/>
      <c r="Y984" s="1"/>
      <c r="Z984" s="1"/>
    </row>
    <row r="985" spans="1:26" ht="50" customHeight="1" x14ac:dyDescent="0.15">
      <c r="A985" s="1"/>
      <c r="B985" s="1"/>
      <c r="C985" s="1"/>
      <c r="E985" s="1"/>
      <c r="F985" s="1"/>
      <c r="G985" s="1"/>
      <c r="H985" s="1"/>
      <c r="K985" s="1"/>
      <c r="M985" s="1"/>
      <c r="N985" s="1"/>
      <c r="O985" s="1"/>
      <c r="P985" s="1"/>
      <c r="R985" s="1"/>
      <c r="S985" s="1"/>
      <c r="T985" s="1"/>
      <c r="U985" s="1"/>
      <c r="V985" s="1"/>
      <c r="W985" s="1"/>
      <c r="X985" s="1"/>
      <c r="Y985" s="1"/>
      <c r="Z985" s="1"/>
    </row>
    <row r="986" spans="1:26" ht="50" customHeight="1" x14ac:dyDescent="0.15">
      <c r="A986" s="1"/>
      <c r="B986" s="1"/>
      <c r="C986" s="1"/>
      <c r="E986" s="1"/>
      <c r="F986" s="1"/>
      <c r="G986" s="1"/>
      <c r="H986" s="1"/>
      <c r="K986" s="1"/>
      <c r="M986" s="1"/>
      <c r="N986" s="1"/>
      <c r="O986" s="1"/>
      <c r="P986" s="1"/>
      <c r="R986" s="1"/>
      <c r="S986" s="1"/>
      <c r="T986" s="1"/>
      <c r="U986" s="1"/>
      <c r="V986" s="1"/>
      <c r="W986" s="1"/>
      <c r="X986" s="1"/>
      <c r="Y986" s="1"/>
      <c r="Z986" s="1"/>
    </row>
    <row r="987" spans="1:26" ht="50" customHeight="1" x14ac:dyDescent="0.15">
      <c r="A987" s="1"/>
      <c r="B987" s="1"/>
      <c r="C987" s="1"/>
      <c r="E987" s="1"/>
      <c r="F987" s="1"/>
      <c r="G987" s="1"/>
      <c r="H987" s="1"/>
      <c r="K987" s="1"/>
      <c r="M987" s="1"/>
      <c r="N987" s="1"/>
      <c r="O987" s="1"/>
      <c r="P987" s="1"/>
      <c r="R987" s="1"/>
      <c r="S987" s="1"/>
      <c r="T987" s="1"/>
      <c r="U987" s="1"/>
      <c r="V987" s="1"/>
      <c r="W987" s="1"/>
      <c r="X987" s="1"/>
      <c r="Y987" s="1"/>
      <c r="Z987" s="1"/>
    </row>
    <row r="988" spans="1:26" ht="50" customHeight="1" x14ac:dyDescent="0.15">
      <c r="A988" s="1"/>
      <c r="B988" s="1"/>
      <c r="C988" s="1"/>
      <c r="E988" s="1"/>
      <c r="F988" s="1"/>
      <c r="G988" s="1"/>
      <c r="H988" s="1"/>
      <c r="K988" s="1"/>
      <c r="M988" s="1"/>
      <c r="N988" s="1"/>
      <c r="O988" s="1"/>
      <c r="P988" s="1"/>
      <c r="R988" s="1"/>
      <c r="S988" s="1"/>
      <c r="T988" s="1"/>
      <c r="U988" s="1"/>
      <c r="V988" s="1"/>
      <c r="W988" s="1"/>
      <c r="X988" s="1"/>
      <c r="Y988" s="1"/>
      <c r="Z988" s="1"/>
    </row>
    <row r="989" spans="1:26" ht="50" customHeight="1" x14ac:dyDescent="0.15">
      <c r="A989" s="1"/>
      <c r="B989" s="1"/>
      <c r="C989" s="1"/>
      <c r="E989" s="1"/>
      <c r="F989" s="1"/>
      <c r="G989" s="1"/>
      <c r="H989" s="1"/>
      <c r="K989" s="1"/>
      <c r="M989" s="1"/>
      <c r="N989" s="1"/>
      <c r="O989" s="1"/>
      <c r="P989" s="1"/>
      <c r="R989" s="1"/>
      <c r="S989" s="1"/>
      <c r="T989" s="1"/>
      <c r="U989" s="1"/>
      <c r="V989" s="1"/>
      <c r="W989" s="1"/>
      <c r="X989" s="1"/>
      <c r="Y989" s="1"/>
      <c r="Z989" s="1"/>
    </row>
    <row r="990" spans="1:26" ht="50" customHeight="1" x14ac:dyDescent="0.15">
      <c r="A990" s="1"/>
      <c r="B990" s="1"/>
      <c r="C990" s="1"/>
      <c r="E990" s="1"/>
      <c r="F990" s="1"/>
      <c r="G990" s="1"/>
      <c r="H990" s="1"/>
      <c r="K990" s="1"/>
      <c r="M990" s="1"/>
      <c r="N990" s="1"/>
      <c r="O990" s="1"/>
      <c r="P990" s="1"/>
      <c r="R990" s="1"/>
      <c r="S990" s="1"/>
      <c r="T990" s="1"/>
      <c r="U990" s="1"/>
      <c r="V990" s="1"/>
      <c r="W990" s="1"/>
      <c r="X990" s="1"/>
      <c r="Y990" s="1"/>
      <c r="Z990" s="1"/>
    </row>
    <row r="991" spans="1:26" ht="50" customHeight="1" x14ac:dyDescent="0.15">
      <c r="A991" s="1"/>
      <c r="B991" s="1"/>
      <c r="C991" s="1"/>
      <c r="E991" s="1"/>
      <c r="F991" s="1"/>
      <c r="G991" s="1"/>
      <c r="H991" s="1"/>
      <c r="K991" s="1"/>
      <c r="M991" s="1"/>
      <c r="N991" s="1"/>
      <c r="O991" s="1"/>
      <c r="P991" s="1"/>
      <c r="R991" s="1"/>
      <c r="S991" s="1"/>
      <c r="T991" s="1"/>
      <c r="U991" s="1"/>
      <c r="V991" s="1"/>
      <c r="W991" s="1"/>
      <c r="X991" s="1"/>
      <c r="Y991" s="1"/>
      <c r="Z991" s="1"/>
    </row>
    <row r="992" spans="1:26" ht="50" customHeight="1" x14ac:dyDescent="0.15">
      <c r="A992" s="1"/>
      <c r="B992" s="1"/>
      <c r="C992" s="1"/>
      <c r="E992" s="1"/>
      <c r="F992" s="1"/>
      <c r="G992" s="1"/>
      <c r="H992" s="1"/>
      <c r="K992" s="1"/>
      <c r="M992" s="1"/>
      <c r="N992" s="1"/>
      <c r="O992" s="1"/>
      <c r="P992" s="1"/>
      <c r="R992" s="1"/>
      <c r="S992" s="1"/>
      <c r="T992" s="1"/>
      <c r="U992" s="1"/>
      <c r="V992" s="1"/>
      <c r="W992" s="1"/>
      <c r="X992" s="1"/>
      <c r="Y992" s="1"/>
      <c r="Z992" s="1"/>
    </row>
    <row r="993" spans="1:26" ht="50" customHeight="1" x14ac:dyDescent="0.15">
      <c r="A993" s="1"/>
      <c r="B993" s="1"/>
      <c r="C993" s="1"/>
      <c r="E993" s="1"/>
      <c r="F993" s="1"/>
      <c r="G993" s="1"/>
      <c r="H993" s="1"/>
      <c r="K993" s="1"/>
      <c r="M993" s="1"/>
      <c r="N993" s="1"/>
      <c r="O993" s="1"/>
      <c r="P993" s="1"/>
      <c r="R993" s="1"/>
      <c r="S993" s="1"/>
      <c r="T993" s="1"/>
      <c r="U993" s="1"/>
      <c r="V993" s="1"/>
      <c r="W993" s="1"/>
      <c r="X993" s="1"/>
      <c r="Y993" s="1"/>
      <c r="Z993" s="1"/>
    </row>
    <row r="994" spans="1:26" ht="50" customHeight="1" x14ac:dyDescent="0.15">
      <c r="A994" s="1"/>
      <c r="B994" s="1"/>
      <c r="C994" s="1"/>
      <c r="E994" s="1"/>
      <c r="F994" s="1"/>
      <c r="G994" s="1"/>
      <c r="H994" s="1"/>
      <c r="K994" s="1"/>
      <c r="M994" s="1"/>
      <c r="N994" s="1"/>
      <c r="O994" s="1"/>
      <c r="P994" s="1"/>
      <c r="R994" s="1"/>
      <c r="S994" s="1"/>
      <c r="T994" s="1"/>
      <c r="U994" s="1"/>
      <c r="V994" s="1"/>
      <c r="W994" s="1"/>
      <c r="X994" s="1"/>
      <c r="Y994" s="1"/>
      <c r="Z994" s="1"/>
    </row>
    <row r="995" spans="1:26" ht="50" customHeight="1" x14ac:dyDescent="0.15">
      <c r="A995" s="1"/>
      <c r="B995" s="1"/>
      <c r="C995" s="1"/>
      <c r="E995" s="1"/>
      <c r="F995" s="1"/>
      <c r="G995" s="1"/>
      <c r="H995" s="1"/>
      <c r="K995" s="1"/>
      <c r="M995" s="1"/>
      <c r="N995" s="1"/>
      <c r="O995" s="1"/>
      <c r="P995" s="1"/>
      <c r="R995" s="1"/>
      <c r="S995" s="1"/>
      <c r="T995" s="1"/>
      <c r="U995" s="1"/>
      <c r="V995" s="1"/>
      <c r="W995" s="1"/>
      <c r="X995" s="1"/>
      <c r="Y995" s="1"/>
      <c r="Z995" s="1"/>
    </row>
    <row r="996" spans="1:26" ht="50" customHeight="1" x14ac:dyDescent="0.15">
      <c r="A996" s="1"/>
      <c r="B996" s="1"/>
      <c r="C996" s="1"/>
      <c r="E996" s="1"/>
      <c r="F996" s="1"/>
      <c r="G996" s="1"/>
      <c r="H996" s="1"/>
      <c r="K996" s="1"/>
      <c r="M996" s="1"/>
      <c r="N996" s="1"/>
      <c r="O996" s="1"/>
      <c r="P996" s="1"/>
      <c r="R996" s="1"/>
      <c r="S996" s="1"/>
      <c r="T996" s="1"/>
      <c r="U996" s="1"/>
      <c r="V996" s="1"/>
      <c r="W996" s="1"/>
      <c r="X996" s="1"/>
      <c r="Y996" s="1"/>
      <c r="Z996" s="1"/>
    </row>
    <row r="997" spans="1:26" ht="50" customHeight="1" x14ac:dyDescent="0.15">
      <c r="A997" s="1"/>
      <c r="B997" s="1"/>
      <c r="C997" s="1"/>
      <c r="E997" s="1"/>
      <c r="F997" s="1"/>
      <c r="G997" s="1"/>
      <c r="H997" s="1"/>
      <c r="K997" s="1"/>
      <c r="M997" s="1"/>
      <c r="N997" s="1"/>
      <c r="O997" s="1"/>
      <c r="P997" s="1"/>
      <c r="R997" s="1"/>
      <c r="S997" s="1"/>
      <c r="T997" s="1"/>
      <c r="U997" s="1"/>
      <c r="V997" s="1"/>
      <c r="W997" s="1"/>
      <c r="X997" s="1"/>
      <c r="Y997" s="1"/>
      <c r="Z997" s="1"/>
    </row>
    <row r="998" spans="1:26" ht="50" customHeight="1" x14ac:dyDescent="0.15">
      <c r="B998" s="1"/>
    </row>
  </sheetData>
  <conditionalFormatting sqref="A1:AA1 C2:C49 C51:C167 C169:C1048576">
    <cfRule type="duplicateValues" dxfId="5" priority="8" stopIfTrue="1"/>
  </conditionalFormatting>
  <conditionalFormatting sqref="C2:C49 C51:C167 C169:C537">
    <cfRule type="duplicateValues" dxfId="4" priority="28"/>
  </conditionalFormatting>
  <conditionalFormatting sqref="C565:C1048576 A1:AA1 C2:C49 C51:C167 C169:C561">
    <cfRule type="duplicateValues" dxfId="3" priority="9"/>
  </conditionalFormatting>
  <conditionalFormatting sqref="H1:H49 M13 H51:H167 H169:H264 M265:M267 H267:H561 M269:M271 J372:J373 H565:H1048576">
    <cfRule type="cellIs" dxfId="2" priority="7" operator="equal">
      <formula>$H$15</formula>
    </cfRule>
  </conditionalFormatting>
  <conditionalFormatting sqref="J169:J561 J2:J49 J51:J167 J565:J1048576">
    <cfRule type="notContainsBlanks" dxfId="1" priority="29">
      <formula>LEN(TRIM(J2))&gt;0</formula>
    </cfRule>
  </conditionalFormatting>
  <conditionalFormatting sqref="U1">
    <cfRule type="cellIs" dxfId="0" priority="1" operator="equal">
      <formula>$H$15</formula>
    </cfRule>
  </conditionalFormatting>
  <hyperlinks>
    <hyperlink ref="F2" r:id="rId1" location="sec0007" xr:uid="{00000000-0004-0000-0000-000000000000}"/>
    <hyperlink ref="F4" r:id="rId2" xr:uid="{00000000-0004-0000-0000-000001000000}"/>
    <hyperlink ref="F6" r:id="rId3" xr:uid="{B8D1BAAB-3ABA-A04D-AC66-EE59EBA565AD}"/>
    <hyperlink ref="F5" r:id="rId4" location="s0035" xr:uid="{8E8BB3A9-0823-7C40-A472-AF74FA84E6B1}"/>
    <hyperlink ref="F7" r:id="rId5" xr:uid="{7718F340-6A05-7E40-ADBB-D909C46A88AE}"/>
    <hyperlink ref="F8" r:id="rId6" xr:uid="{BB533F09-D525-AE40-A3D9-D6F19C865644}"/>
    <hyperlink ref="F9" r:id="rId7" xr:uid="{C06E2756-C5D9-1946-91B1-63BB7868748E}"/>
    <hyperlink ref="F13" r:id="rId8" xr:uid="{34B4C91A-80AE-D747-A39C-DC1C51E5E608}"/>
    <hyperlink ref="F14" r:id="rId9" xr:uid="{9A344D37-7593-E341-9533-3F81C42DC8BC}"/>
    <hyperlink ref="F15" r:id="rId10" xr:uid="{B9EEFE5D-F13F-414F-8134-66399922F5AB}"/>
    <hyperlink ref="F17" r:id="rId11" xr:uid="{A473D589-8579-354E-8359-450B2BFF3ABC}"/>
    <hyperlink ref="F19" r:id="rId12" location="bib6" xr:uid="{15FE3873-7067-FA4D-9BFC-4BC3FC864D25}"/>
    <hyperlink ref="F20" r:id="rId13" xr:uid="{3EBDCDE6-4DEC-2940-9A3A-53AA822904AB}"/>
    <hyperlink ref="F21" r:id="rId14" xr:uid="{9009A53A-1236-6841-8DB4-9526ED0C1F6E}"/>
    <hyperlink ref="F22" r:id="rId15" xr:uid="{548A2D0F-BA0C-764F-A8BD-ED127282BD29}"/>
    <hyperlink ref="F39" r:id="rId16" xr:uid="{B9A2C189-023B-1048-A2BB-4F618957FF6D}"/>
    <hyperlink ref="F47" r:id="rId17" xr:uid="{1609E14B-F492-9E42-8907-1D667C99B8D0}"/>
    <hyperlink ref="F53" r:id="rId18" xr:uid="{4FDABCAC-380C-3044-82EE-9C3A60E9F577}"/>
    <hyperlink ref="F60" r:id="rId19" xr:uid="{10A82BB1-BB72-3548-8722-8B619D953F69}"/>
    <hyperlink ref="F64" r:id="rId20" xr:uid="{7AD2F51D-3696-9C43-B061-2BB69C70DCC8}"/>
    <hyperlink ref="F65" r:id="rId21" xr:uid="{A56DA4A7-3C7F-5C45-8124-2D19C2CFC0C8}"/>
    <hyperlink ref="F37" r:id="rId22" xr:uid="{3EC3E4A6-C44E-554E-B4DF-A118F68BDF96}"/>
    <hyperlink ref="F83" r:id="rId23" xr:uid="{2949CB49-3877-9849-9C34-DE0AB7690885}"/>
    <hyperlink ref="F100" r:id="rId24" xr:uid="{AE8C479D-ABF4-F342-AF18-E2CCB7479C7C}"/>
    <hyperlink ref="F107" r:id="rId25" xr:uid="{A1238F31-AECE-DF40-B9FA-C5D66B2B0847}"/>
    <hyperlink ref="F117" r:id="rId26" xr:uid="{4331F351-5331-5049-A1D3-92336C22673E}"/>
    <hyperlink ref="F119" r:id="rId27" xr:uid="{E955A62D-7AED-8546-BBAB-8F15B4777423}"/>
    <hyperlink ref="F118" r:id="rId28" xr:uid="{B16863D0-43AB-F340-9173-6683773FD060}"/>
    <hyperlink ref="F71" r:id="rId29" xr:uid="{013E63BB-FA89-A04C-A3CA-EF7A55F8DAE0}"/>
    <hyperlink ref="F70" r:id="rId30" xr:uid="{7F84596D-FAD1-F648-AAF1-9B4FF2F1AF16}"/>
    <hyperlink ref="F128" r:id="rId31" xr:uid="{FD6C262B-93D6-8E4A-BE9C-D2A5CE0EE513}"/>
    <hyperlink ref="F133" r:id="rId32" xr:uid="{CA62AD60-3570-EE43-8BC4-B36F5FB17B75}"/>
    <hyperlink ref="F138" r:id="rId33" xr:uid="{E5F1095B-A063-8242-A6A6-473E111032B5}"/>
    <hyperlink ref="F115" r:id="rId34" xr:uid="{E60CDAB8-C3BB-864E-9FB3-33C0D704D9B1}"/>
    <hyperlink ref="F146" r:id="rId35" xr:uid="{217CD936-6B14-B34E-B91F-7666CFF260AD}"/>
    <hyperlink ref="F141" r:id="rId36" xr:uid="{2F341D11-6F71-744D-9A9B-06309449DEE6}"/>
    <hyperlink ref="F139" r:id="rId37" xr:uid="{4EDA901B-B86E-724F-9280-D3367818DB8E}"/>
    <hyperlink ref="F153" r:id="rId38" xr:uid="{95DC3459-5826-0C42-B755-D51D97A26D4C}"/>
    <hyperlink ref="F154" r:id="rId39" xr:uid="{8D6C04FF-4B49-EF46-B94A-993B347CE39F}"/>
    <hyperlink ref="F158" r:id="rId40" xr:uid="{DAA1B9BD-D2D5-4D47-B4FF-6692FAB3FF3A}"/>
    <hyperlink ref="F151" r:id="rId41" xr:uid="{BED8A7DD-6830-F346-9D9A-0FD544880B1B}"/>
    <hyperlink ref="F178" r:id="rId42" xr:uid="{C71F27E3-F988-734D-8F89-E6FD6D2F62FC}"/>
    <hyperlink ref="F182" r:id="rId43" xr:uid="{4F64179D-52A1-B64A-AB69-3FCC0EA9A49E}"/>
    <hyperlink ref="F212" r:id="rId44" xr:uid="{FDE3D109-9842-8644-BCEA-AD56ADED7451}"/>
    <hyperlink ref="F372" r:id="rId45" xr:uid="{957329C5-5A93-704E-82EB-8E5B72021DD9}"/>
    <hyperlink ref="F229" r:id="rId46" xr:uid="{297DEB4B-43F0-204B-B407-D392BBDB4CAA}"/>
    <hyperlink ref="F25" r:id="rId47" xr:uid="{D70CEA6E-467F-9348-B3D8-C74D917A418B}"/>
    <hyperlink ref="F26" r:id="rId48" xr:uid="{87C57450-775D-764B-A536-BC1950D3CFB8}"/>
    <hyperlink ref="F231" r:id="rId49" xr:uid="{5ECD88D4-6814-C546-987A-6F3BA45232DE}"/>
    <hyperlink ref="F143" r:id="rId50" xr:uid="{8B3A58DB-0B72-734A-BE6D-9D5DB4EB903D}"/>
    <hyperlink ref="F27" r:id="rId51" xr:uid="{6FF4C738-7E83-6540-8108-5D776B784EFB}"/>
    <hyperlink ref="F31" r:id="rId52" xr:uid="{5B1EB168-D054-8042-96BC-CC2868C776F6}"/>
    <hyperlink ref="F268" r:id="rId53" xr:uid="{DF3B9EA5-919C-FB42-BEC2-7C4BB252EC58}"/>
    <hyperlink ref="F272" r:id="rId54" display="https://www.sciencedirect.com/science/article/pii/S0022407319300342" xr:uid="{E70A8E73-6A71-EE46-A271-D464AB7A8A82}"/>
    <hyperlink ref="F156" r:id="rId55" xr:uid="{166AA9B8-AECB-2F4C-82BD-B912BC1B8D18}"/>
    <hyperlink ref="F280" r:id="rId56" xr:uid="{07B48827-C795-1943-A405-F045110FF25E}"/>
    <hyperlink ref="F281" r:id="rId57" xr:uid="{5E6AF4C5-6996-4A4C-B3A9-9636FACD89DC}"/>
    <hyperlink ref="F282" r:id="rId58" xr:uid="{BB925564-D9EC-E444-8178-68E56E6966F5}"/>
    <hyperlink ref="F286" r:id="rId59" xr:uid="{5CD2E387-13F6-7E4D-88A3-8A848E745E0B}"/>
    <hyperlink ref="F113" r:id="rId60" xr:uid="{C8A54FF2-5D4D-844A-8726-B62D02843583}"/>
    <hyperlink ref="F101" r:id="rId61" xr:uid="{7E97420A-5F30-F340-8F0D-3C9B51536127}"/>
    <hyperlink ref="F103" r:id="rId62" xr:uid="{44D8E74D-AE2A-8E42-AB96-697B3D4AB0FF}"/>
    <hyperlink ref="F104" r:id="rId63" xr:uid="{5E05EBC4-2985-C34A-9C09-74BD608B01F4}"/>
    <hyperlink ref="F214" r:id="rId64" xr:uid="{532EEE8E-E15A-2C48-B0AD-D8B1B2D9289A}"/>
    <hyperlink ref="F215" r:id="rId65" xr:uid="{56D44EEB-83B8-0945-AC11-C783EEFCA555}"/>
    <hyperlink ref="F216" r:id="rId66" xr:uid="{A6FA4592-7A38-1444-9DCE-13496274EEB8}"/>
    <hyperlink ref="F217" r:id="rId67" xr:uid="{A97796B6-AFA1-4B43-956B-59B99D81D856}"/>
    <hyperlink ref="F218" r:id="rId68" xr:uid="{A2A71CDA-EFE8-AD4F-AB73-37C6B8C8F77E}"/>
    <hyperlink ref="F299" r:id="rId69" xr:uid="{7254B12C-64AE-704D-B19B-1DE80A481B70}"/>
    <hyperlink ref="F296" r:id="rId70" xr:uid="{587689D1-C90C-F545-A47F-266F401AC186}"/>
    <hyperlink ref="F302" r:id="rId71" xr:uid="{AD6287C6-C308-064F-9BF5-49699F538BE3}"/>
    <hyperlink ref="F311" r:id="rId72" xr:uid="{7E5B4AB2-A903-2641-A38F-D908E8EC74FE}"/>
    <hyperlink ref="F145" r:id="rId73" xr:uid="{35DF6348-1135-EB43-BE75-A39EBDE5F154}"/>
    <hyperlink ref="F148" r:id="rId74" xr:uid="{DA1C9703-A7CB-3948-AC6D-00611D6A97C1}"/>
    <hyperlink ref="F131" r:id="rId75" xr:uid="{6A9FC546-38FE-6447-8DB2-7004265A3D7F}"/>
    <hyperlink ref="F189" r:id="rId76" xr:uid="{0B9F61EB-D69C-254D-AD84-853447FAB701}"/>
    <hyperlink ref="F213" r:id="rId77" xr:uid="{7CA1347B-401E-9048-AE32-5B21C0EBF0CF}"/>
    <hyperlink ref="F235" r:id="rId78" xr:uid="{810C0742-AC43-5144-9A05-E310F39FDC91}"/>
    <hyperlink ref="F132" r:id="rId79" xr:uid="{38B0B9E5-ED66-F14B-BB01-FE11FB329810}"/>
    <hyperlink ref="F186" r:id="rId80" xr:uid="{36B66628-CF99-F743-A611-B9DE87606B77}"/>
    <hyperlink ref="F198" r:id="rId81" xr:uid="{D3FCF4C5-1739-624B-9C27-73CB9C0C78D8}"/>
    <hyperlink ref="F244" r:id="rId82" xr:uid="{D131F13B-EB0A-6E40-B669-E6680DE92C4E}"/>
    <hyperlink ref="F251" r:id="rId83" xr:uid="{38C14315-D657-CD4F-A5E2-2E5943E10334}"/>
    <hyperlink ref="F288" r:id="rId84" display="https://pubs.aip.org/aip/jcp/article/133/4/044311/190446/Cross-sections-for-rotational-decoherence-of?getftrtoken=AQECAHi208BE49Ooan9kkhW_Ercy7Dm3ZL_9Cf3qfKAc485ysgAAALIwga8GCSqGSIb3DQEHBqCBoTCBngIBADCBmAYJKoZIhvcNAQcBMB4GCWCGSAFlAwQBLjARBAxepGZ3kwGW8moA7uMCARCAazp10RUPVtLTUMR0Oou8LZMDShue0kCeJNA4QpYdI94mbYNGUmcKlsXMDRzWU-EWpKgT2SYGAFA4h3RiqsFU4IAu4IYxKgHBL7X5UvOZYsAs-9baPqzzqRXYxrvtpGhqpUDsQTRFZCwT_jBn" xr:uid="{528B8CED-B4B9-CC47-8E4B-00D05F00101C}"/>
    <hyperlink ref="F289" r:id="rId85" display="https://pubs.aip.org/aip/jcp/article/137/7/074302/192063/Direct-measurement-of-S-branch-N2-H2-Raman?getftrtoken=AQECAHi208BE49Ooan9kkhW_Ercy7Dm3ZL_9Cf3qfKAc485ysgAAALIwga8GCSqGSIb3DQEHBqCBoTCBngIBADCBmAYJKoZIhvcNAQcBMB4GCWCGSAFlAwQBLjARBAzaIa-UdTIXUfbjJjkCARCAay0VdxaJ446VcdWB39iKeTZ6DtUlSEE8jrvqhNuIACQvMDlnD6Ws0c58ojV-YN4D9bvNgvIhoKM9vNulq_MtxqpuOoR82tSCPj9CSRWVxi1Zl_OZo-FjDvHIWnXUBDO6XDQERabXSsrPiBrS" xr:uid="{223180F8-73DE-1949-9DFE-6C058C57BD0C}"/>
    <hyperlink ref="F290" r:id="rId86" xr:uid="{0A67C74E-4EDE-7642-A872-8E4F123C0BCB}"/>
    <hyperlink ref="F291" r:id="rId87" xr:uid="{51A52669-11CC-5249-95DE-2073B1028B5B}"/>
    <hyperlink ref="F292" r:id="rId88" xr:uid="{3138E353-C61F-2E4F-8289-B9C4F2334CAB}"/>
    <hyperlink ref="F293" r:id="rId89" xr:uid="{ADF2EA52-0767-3C43-A015-E8BFC962DE54}"/>
    <hyperlink ref="F294" r:id="rId90" xr:uid="{24D8DD6A-2A17-A643-8EF4-88A5007C91C3}"/>
    <hyperlink ref="F295" r:id="rId91" xr:uid="{19E913AE-C2D8-6F4E-BFDB-1927E9458791}"/>
    <hyperlink ref="F297" r:id="rId92" xr:uid="{76ACDBE1-7736-EB44-9F7F-36387C7EE43A}"/>
    <hyperlink ref="F298" r:id="rId93" xr:uid="{533EB265-D399-4945-8B0C-4C445AC449F5}"/>
    <hyperlink ref="F300" r:id="rId94" xr:uid="{0B280764-CF94-7649-8F74-5E10701C2E96}"/>
    <hyperlink ref="F301" r:id="rId95" location="bib15" xr:uid="{B515F315-B7C3-954A-BBCF-0A72AB6DC259}"/>
    <hyperlink ref="F303" r:id="rId96" xr:uid="{C3CE3354-5411-E645-9304-ECEB57E4A877}"/>
    <hyperlink ref="F304" r:id="rId97" xr:uid="{BC5CEDE5-4FD4-2848-AD74-94AB0FAA152B}"/>
    <hyperlink ref="F305" r:id="rId98" xr:uid="{0A804B42-EF64-704A-81D5-21B8AD0CC732}"/>
    <hyperlink ref="F306" r:id="rId99" xr:uid="{87D145BD-29E7-4B4F-9004-02086404C93C}"/>
    <hyperlink ref="F307" r:id="rId100" xr:uid="{B3BEAAF4-F9E3-6F42-ACDA-78F7F594ADD5}"/>
    <hyperlink ref="F308" r:id="rId101" xr:uid="{D5E059FA-2302-8841-9092-4D6ACE93712C}"/>
    <hyperlink ref="F309" r:id="rId102" xr:uid="{D231C9E1-4D50-1046-B039-3AF416588E77}"/>
    <hyperlink ref="F310" r:id="rId103" xr:uid="{E3AB44A0-CB27-1449-9AF0-9FF070630A58}"/>
    <hyperlink ref="F313" r:id="rId104" xr:uid="{38F41473-1775-5646-B679-911519E100C7}"/>
    <hyperlink ref="F315" r:id="rId105" xr:uid="{0D64428B-DEFB-A542-89F1-9151C23DDEED}"/>
    <hyperlink ref="F30" r:id="rId106" xr:uid="{2E9ABD7A-3314-7B4A-BD15-5AFF492ECC28}"/>
    <hyperlink ref="F106" r:id="rId107" xr:uid="{D7C8D066-1A92-FA4C-B613-D983950C0951}"/>
    <hyperlink ref="F58" r:id="rId108" xr:uid="{53EB9332-8EF4-9D4B-8945-893120AB4115}"/>
    <hyperlink ref="F341" r:id="rId109" xr:uid="{8662C301-ED46-154F-9956-4B6948D4F1D7}"/>
    <hyperlink ref="F61" r:id="rId110" xr:uid="{3D19812B-F075-3D4C-8270-2D11D50A31F3}"/>
    <hyperlink ref="F110" r:id="rId111" xr:uid="{2CCE7BED-16FE-1F40-AEE8-3F14564F038A}"/>
    <hyperlink ref="F111" r:id="rId112" xr:uid="{3C5EE082-1607-594C-A873-2510FDBEE886}"/>
    <hyperlink ref="F144" r:id="rId113" xr:uid="{7512F8A7-B378-2C46-9AE5-6E8FB265045D}"/>
    <hyperlink ref="F175" r:id="rId114" xr:uid="{7F4C1123-898C-0C4E-A37D-AEECDBBB1CDD}"/>
    <hyperlink ref="F191" r:id="rId115" xr:uid="{8CE0DD10-0693-2743-83A4-F8152FACC6DF}"/>
    <hyperlink ref="F193" r:id="rId116" xr:uid="{DF0BCC64-3857-1A48-8572-0E82826BBEEE}"/>
    <hyperlink ref="F208" r:id="rId117" xr:uid="{EEB0CCF4-5A47-3E42-8650-F4A1D9AE05B6}"/>
    <hyperlink ref="F232" r:id="rId118" xr:uid="{2E5D04E3-9C27-6040-BA90-65BCCE1EF3F5}"/>
    <hyperlink ref="F238" r:id="rId119" xr:uid="{28C8B77A-894E-C14C-BD87-D59C25C884C0}"/>
    <hyperlink ref="F263" r:id="rId120" xr:uid="{901A62F6-7E3D-AB4A-A37E-F93A7D7A536E}"/>
    <hyperlink ref="F318" r:id="rId121" location="articleTables" xr:uid="{62FB8FA7-CEA3-0B4C-B837-6FA5D09243A9}"/>
    <hyperlink ref="F320" r:id="rId122" xr:uid="{8AA41658-524B-AC44-8BF6-C5EDF011ABC8}"/>
    <hyperlink ref="F239" r:id="rId123" xr:uid="{8F887594-E795-594A-B4DD-DAEC5CC80FB6}"/>
    <hyperlink ref="F241" r:id="rId124" xr:uid="{4C3A2948-587C-064D-8130-6122EE14CF48}"/>
    <hyperlink ref="F12" r:id="rId125" xr:uid="{2CE77AD2-0223-7545-91FD-B05B26EC4207}"/>
    <hyperlink ref="K291" r:id="rId126" location="fn1" display="https://analyticalsciencejournals.onlinelibrary.wiley.com/doi/10.1002/jrs.2663 - fn1" xr:uid="{5D7BECD2-0631-BC4D-805F-FE802C9DF2C0}"/>
    <hyperlink ref="F16" r:id="rId127" xr:uid="{89A46EE9-29CE-B745-B36C-D5288FA1E6DF}"/>
    <hyperlink ref="F18" r:id="rId128" xr:uid="{C551F837-3DA2-0A4D-B60B-11FF10F09C22}"/>
    <hyperlink ref="F23" r:id="rId129" xr:uid="{9A21D99D-BC4D-3843-A18D-2A89860D5751}"/>
    <hyperlink ref="F24" r:id="rId130" xr:uid="{8FA37EF6-29AC-BC4D-960E-6FDEF997DB59}"/>
    <hyperlink ref="F28" r:id="rId131" xr:uid="{0D854B2D-608A-8F4B-92CC-41F246A78A79}"/>
    <hyperlink ref="F32" r:id="rId132" xr:uid="{21E845A7-9915-7246-A98B-A34D89E21926}"/>
    <hyperlink ref="F33" r:id="rId133" xr:uid="{AA1DC140-A976-1543-98CA-7DF2CB70FB81}"/>
    <hyperlink ref="F34" r:id="rId134" xr:uid="{244F82CC-B977-5048-8A25-9EABFC9F4FAB}"/>
    <hyperlink ref="F35" r:id="rId135" xr:uid="{C1891E5C-2B10-DE4D-B837-9C2452F95009}"/>
    <hyperlink ref="F36" r:id="rId136" xr:uid="{CA9BAE48-BB70-7D42-B68E-A115B0CB085B}"/>
    <hyperlink ref="F38" r:id="rId137" xr:uid="{C9F477A0-53C0-4141-BE01-199D8DEE120B}"/>
    <hyperlink ref="F40" r:id="rId138" xr:uid="{CCBD34B2-40B4-D74B-BFC5-0FE44A789AC1}"/>
    <hyperlink ref="F41" r:id="rId139" xr:uid="{93451710-4636-7543-8FB2-6D4F10ACC7C8}"/>
    <hyperlink ref="F42" r:id="rId140" xr:uid="{12F10510-66B6-1A46-8F7E-4091B1C4BC33}"/>
    <hyperlink ref="F44" r:id="rId141" xr:uid="{8055792E-D76D-914D-9714-7CCDC1D2BBD2}"/>
    <hyperlink ref="F45" r:id="rId142" xr:uid="{30DFB43D-760B-E14C-9905-0436FED340C3}"/>
    <hyperlink ref="F46" r:id="rId143" xr:uid="{D9A37770-FD49-604B-9514-D89225F18E59}"/>
    <hyperlink ref="F48" r:id="rId144" xr:uid="{28CF80D7-4134-9048-8D2D-3039DC37EE03}"/>
    <hyperlink ref="F49" r:id="rId145" xr:uid="{D7EC9A36-E76E-884B-908C-62E313687931}"/>
    <hyperlink ref="F51" r:id="rId146" xr:uid="{4DF19BCD-DE6A-A849-BC5C-323200045BD4}"/>
    <hyperlink ref="F52" r:id="rId147" xr:uid="{7E6C5113-B314-374F-8F77-43FB5325143D}"/>
    <hyperlink ref="F54" r:id="rId148" xr:uid="{DE356D37-33C9-1C40-993F-DB89D7EE4B66}"/>
    <hyperlink ref="F59" r:id="rId149" xr:uid="{C4FBC8AF-072B-5946-84C0-1E84B607E3BE}"/>
    <hyperlink ref="F62" r:id="rId150" xr:uid="{C642A2E8-CC55-3C44-AFEC-F11EACCF9D7C}"/>
    <hyperlink ref="F63" r:id="rId151" xr:uid="{EBA30454-2328-8241-AA6B-81509E82618E}"/>
    <hyperlink ref="F66" r:id="rId152" xr:uid="{E6C4CD67-2EC8-9B47-9C9A-467A95F3030E}"/>
    <hyperlink ref="F67" r:id="rId153" xr:uid="{1159B99E-6751-3E49-9EAF-0CE07DA34537}"/>
    <hyperlink ref="F68" r:id="rId154" xr:uid="{CB14BB00-DF0D-134A-8AF7-7C8F492317A8}"/>
    <hyperlink ref="F69" r:id="rId155" xr:uid="{C9FA6477-9112-5646-8BDC-1CEA3E3564AB}"/>
    <hyperlink ref="F72" r:id="rId156" xr:uid="{EAFD1665-7B86-2B4D-A350-0AC247478C3D}"/>
    <hyperlink ref="F73" r:id="rId157" xr:uid="{7D9C30B3-DC33-3640-A413-CE0962B250CA}"/>
    <hyperlink ref="F74" r:id="rId158" xr:uid="{7EA56A1D-1850-5B49-AAF0-3ED691ACDC7D}"/>
    <hyperlink ref="F75" r:id="rId159" xr:uid="{AC9E8873-FACE-6749-93F2-F8A0F0FC991D}"/>
    <hyperlink ref="F76" r:id="rId160" xr:uid="{A702931C-B520-FF49-9D2E-371AE0B08F0B}"/>
    <hyperlink ref="F77" r:id="rId161" xr:uid="{E3F855A2-E28D-2845-91FB-A59086B66BF3}"/>
    <hyperlink ref="F78" r:id="rId162" xr:uid="{131AB121-752B-B144-AE5C-692E284C229F}"/>
    <hyperlink ref="F79" r:id="rId163" xr:uid="{B1010370-757C-D845-BE58-D3D41A420065}"/>
    <hyperlink ref="F80" r:id="rId164" xr:uid="{2F311748-8496-BD46-A95B-5CF3ABE3AE5C}"/>
    <hyperlink ref="F81" r:id="rId165" xr:uid="{014D6C70-C2BC-3C49-B250-78A762B52464}"/>
    <hyperlink ref="F82" r:id="rId166" xr:uid="{FFD10042-B722-0C42-A107-045A253F04F0}"/>
    <hyperlink ref="F84" r:id="rId167" xr:uid="{823E6AC3-EF03-9A40-99CB-1F5C0AAB508A}"/>
    <hyperlink ref="F85" r:id="rId168" xr:uid="{FE03B28E-7DC4-CD44-B088-24DEE403EAA8}"/>
    <hyperlink ref="F86" r:id="rId169" xr:uid="{3D32D36F-840B-254B-AAC1-CC5E09D509CA}"/>
    <hyperlink ref="F87" r:id="rId170" xr:uid="{5B1CDC52-B251-C840-8AB0-2DDCDFE54827}"/>
    <hyperlink ref="F88" r:id="rId171" xr:uid="{DDDE412D-C6F3-274A-8C78-977036462820}"/>
    <hyperlink ref="F89" r:id="rId172" xr:uid="{11592374-F633-3E42-9743-D22876616219}"/>
    <hyperlink ref="F90" r:id="rId173" xr:uid="{E3F4D48C-A4C2-E040-817B-9B552E8C0A91}"/>
    <hyperlink ref="F91" r:id="rId174" xr:uid="{C72D20C0-2B24-664F-BF63-1501455170CD}"/>
    <hyperlink ref="F92" r:id="rId175" xr:uid="{C3C47B8B-46A1-8947-821D-8321FC71B625}"/>
    <hyperlink ref="F93" r:id="rId176" xr:uid="{D533474F-B8CB-C24E-BC5F-EEBA7CDD0ED9}"/>
    <hyperlink ref="F94" r:id="rId177" xr:uid="{C30AC04D-8B90-054D-9C08-614474803D8D}"/>
    <hyperlink ref="F95" r:id="rId178" xr:uid="{433CCF45-9967-FE41-8930-521DE9A62DEE}"/>
    <hyperlink ref="F96" r:id="rId179" xr:uid="{C02BC352-84C9-144C-B8D2-2C17B64FB2B1}"/>
    <hyperlink ref="F97" r:id="rId180" xr:uid="{80EBF95C-9D81-1642-B70A-A184EBDBC0FC}"/>
    <hyperlink ref="F98" r:id="rId181" xr:uid="{1C642629-839D-B34B-9213-14C33E456177}"/>
    <hyperlink ref="F99" r:id="rId182" xr:uid="{F5821744-842C-FF46-BC50-0BA09E7FB961}"/>
    <hyperlink ref="F102" r:id="rId183" xr:uid="{32D7634E-8450-8040-975E-DB45D9497606}"/>
    <hyperlink ref="F105" r:id="rId184" xr:uid="{CF50E190-C51B-2F42-801D-90FDEA6A6972}"/>
    <hyperlink ref="F108" r:id="rId185" xr:uid="{93F29775-C34F-8F4F-B605-76A675861DCF}"/>
    <hyperlink ref="F109" r:id="rId186" xr:uid="{8E6B9BFC-1D42-0349-A8FB-C3BF6B5B514F}"/>
    <hyperlink ref="F112" r:id="rId187" xr:uid="{1FA3F984-7118-6541-9D1D-53550C280C3A}"/>
    <hyperlink ref="F114" r:id="rId188" xr:uid="{E6D16F62-3D54-C24E-9078-86205B2FADF4}"/>
    <hyperlink ref="F116" r:id="rId189" xr:uid="{15F0446C-3375-BD4D-B974-E3D9590A6DA1}"/>
    <hyperlink ref="F120" r:id="rId190" xr:uid="{4016F911-D215-D145-81D5-475716BC760A}"/>
    <hyperlink ref="F121" r:id="rId191" xr:uid="{3C1D6D44-7B01-6F49-9395-2E1C1DFCE231}"/>
    <hyperlink ref="F122" r:id="rId192" xr:uid="{D9F743E3-67D5-4C40-A75E-3CBC2C3F92F0}"/>
    <hyperlink ref="F123" r:id="rId193" xr:uid="{082CF20D-4E69-1F49-BBB5-384E3A1D5235}"/>
    <hyperlink ref="F124" r:id="rId194" xr:uid="{627D36F1-D439-574E-A933-2756E305A14B}"/>
    <hyperlink ref="F125" r:id="rId195" xr:uid="{611DF0CA-3AE3-1447-A4B6-5E6FB06A9A0B}"/>
    <hyperlink ref="F127" r:id="rId196" xr:uid="{66A4DE39-E932-5C41-9AEE-9D5A2CBD6267}"/>
    <hyperlink ref="F129" r:id="rId197" xr:uid="{C6915929-68ED-1247-9086-D0A922D303CE}"/>
    <hyperlink ref="F130" r:id="rId198" xr:uid="{4C2C0609-EF0F-1844-94B6-9A922AC16818}"/>
    <hyperlink ref="F134" r:id="rId199" xr:uid="{52FED85C-9A58-F14D-8102-64C64E2C3311}"/>
    <hyperlink ref="F135" r:id="rId200" xr:uid="{10F54D7A-ACCB-BC4E-A92D-AAFAD44A1CB5}"/>
    <hyperlink ref="F136" r:id="rId201" xr:uid="{7EEF3E48-AA4E-BC49-BE23-28005FF42C86}"/>
    <hyperlink ref="F137" r:id="rId202" xr:uid="{3C1E8A1A-7B45-4D48-A124-C439720E3BE2}"/>
    <hyperlink ref="F140" r:id="rId203" xr:uid="{881333F5-1EF0-044F-A64F-53C4F212DE33}"/>
    <hyperlink ref="F142" r:id="rId204" xr:uid="{A611FD62-7D30-6340-8B6A-6F494CAEBF61}"/>
    <hyperlink ref="F147" r:id="rId205" xr:uid="{89DB012E-1759-5C4F-8C46-E88F51FD40E3}"/>
    <hyperlink ref="F149" r:id="rId206" xr:uid="{0EEFB4A1-DFA2-B447-B7D0-6B70E06DB8EB}"/>
    <hyperlink ref="F150" r:id="rId207" xr:uid="{63848BF7-1D33-CD43-B27C-58068E7AD3FC}"/>
    <hyperlink ref="F152" r:id="rId208" xr:uid="{127B97BE-D38D-8E44-877A-BC1869CD1A27}"/>
    <hyperlink ref="F155" r:id="rId209" xr:uid="{9D6DE317-6584-2C41-93FB-50380E4A1BEE}"/>
    <hyperlink ref="F157" r:id="rId210" xr:uid="{745AB745-FC40-B043-8680-281E8186BE41}"/>
    <hyperlink ref="F159" r:id="rId211" xr:uid="{7A82ADE2-E1D5-2E46-9BAE-513C7CDFD6C8}"/>
    <hyperlink ref="F160" r:id="rId212" xr:uid="{48FE3602-9E1C-7145-A5BE-1E37801C28AA}"/>
    <hyperlink ref="F161" r:id="rId213" xr:uid="{E6A4CFFC-5F12-2846-B329-2153166371CF}"/>
    <hyperlink ref="F162" r:id="rId214" xr:uid="{198FBB64-88C8-984E-820C-C2A0580E4EC5}"/>
    <hyperlink ref="F163" r:id="rId215" xr:uid="{4F72D913-EC40-7443-A961-1A0D293C8F6E}"/>
    <hyperlink ref="F164" r:id="rId216" xr:uid="{534D4AE0-E701-0E43-92C4-46C5CCC83747}"/>
    <hyperlink ref="F169" r:id="rId217" xr:uid="{A64FE72F-5EE4-7A4D-B794-8656D99EAC48}"/>
    <hyperlink ref="F170" r:id="rId218" xr:uid="{7CFEB1EB-B896-E44F-BC71-9BF75CDB0505}"/>
    <hyperlink ref="F171" r:id="rId219" xr:uid="{3C41D810-E222-4843-8549-76FBB2D3BEDF}"/>
    <hyperlink ref="F172" r:id="rId220" xr:uid="{82895AE9-4D93-E148-BDCD-BFEDA8C07FD9}"/>
    <hyperlink ref="F173" r:id="rId221" xr:uid="{B4D9CC15-BD17-9848-9760-DF46568EA514}"/>
    <hyperlink ref="F174" r:id="rId222" xr:uid="{0DA782A1-66B2-9F4D-A750-D7D30901B45B}"/>
    <hyperlink ref="F176" r:id="rId223" xr:uid="{C244BB65-376E-9B4D-A450-2B23692C44C6}"/>
    <hyperlink ref="F177" r:id="rId224" xr:uid="{440C31D4-237A-F14D-9E89-78E4AC9ACAAE}"/>
    <hyperlink ref="F179" r:id="rId225" xr:uid="{E1E8ED87-4357-124D-8742-5FB9F451F7AC}"/>
    <hyperlink ref="F180" r:id="rId226" xr:uid="{2C3ADD55-C3F8-FE42-9CC8-6C37DB086C5C}"/>
    <hyperlink ref="F181" r:id="rId227" xr:uid="{CC594B82-9D13-8443-8625-1E789F4F1648}"/>
    <hyperlink ref="F183" r:id="rId228" xr:uid="{8492D0FE-8F16-684D-A4CD-2FF43E219CE0}"/>
    <hyperlink ref="F184" r:id="rId229" xr:uid="{55BCC185-29BF-8640-8800-79160A634DBD}"/>
    <hyperlink ref="F185" r:id="rId230" xr:uid="{CA7F9CEB-99DA-0143-B1F8-33C2866F9C22}"/>
    <hyperlink ref="F187" r:id="rId231" xr:uid="{4108B734-74CF-F24C-A0D5-48A0A8C4E7BB}"/>
    <hyperlink ref="F188" r:id="rId232" xr:uid="{45E8DAA8-043C-4249-A5F6-110DD190E33E}"/>
    <hyperlink ref="F192" r:id="rId233" xr:uid="{89F1ECC7-E815-824C-8D57-61CF1248D433}"/>
    <hyperlink ref="F194" r:id="rId234" xr:uid="{36D46661-2E65-D14E-91D4-589EC167E0F9}"/>
    <hyperlink ref="F195" r:id="rId235" xr:uid="{39DB7907-D921-4E46-AAB8-CF03A88A2C77}"/>
    <hyperlink ref="F197" r:id="rId236" xr:uid="{71689A73-174F-DF47-BAD3-F6C99FDB4D79}"/>
    <hyperlink ref="F199" r:id="rId237" xr:uid="{5DB2B3AC-7275-D74C-B937-11E5A7128D3B}"/>
    <hyperlink ref="F202" r:id="rId238" xr:uid="{BD9BF7FA-27F8-274C-AF89-47D544020B89}"/>
    <hyperlink ref="F203" r:id="rId239" xr:uid="{DEF78176-A496-5B4D-B0F2-8E5E0AE002D7}"/>
    <hyperlink ref="F204" r:id="rId240" xr:uid="{911D6438-8FFD-674D-8FA9-B1FF804D78CA}"/>
    <hyperlink ref="F205" r:id="rId241" xr:uid="{AB8694BE-3E9A-7D41-A054-C1BBAC75B73B}"/>
    <hyperlink ref="F206" r:id="rId242" xr:uid="{30C75359-DADA-0C45-9B7C-7F2804E4889B}"/>
    <hyperlink ref="F207" r:id="rId243" xr:uid="{E7C8597B-83E3-A248-8B01-0D9AADE44AFF}"/>
    <hyperlink ref="F209" r:id="rId244" xr:uid="{63274808-8B60-004F-A193-6E9B8CA9FF5F}"/>
    <hyperlink ref="F210" r:id="rId245" xr:uid="{EBCEEA81-E0D6-2143-A2E8-9FE893DC37D0}"/>
    <hyperlink ref="F211" r:id="rId246" xr:uid="{23C75D9D-E2F4-824C-AF9B-04674CE8D315}"/>
    <hyperlink ref="F219" r:id="rId247" xr:uid="{AFCD9BB2-C0D5-DD4E-841A-5A3F893DCE38}"/>
    <hyperlink ref="F223" r:id="rId248" xr:uid="{35F79181-C39F-DE42-B73A-FF743E20E27C}"/>
    <hyperlink ref="F224" r:id="rId249" xr:uid="{DD16790F-0714-AC4D-8DC5-E54EEEF48C88}"/>
    <hyperlink ref="F225" r:id="rId250" xr:uid="{1628850C-3310-6343-B8FA-EEB27095F8A3}"/>
    <hyperlink ref="F220" r:id="rId251" xr:uid="{959CCB36-DA42-A04C-8A44-78D783FDB828}"/>
    <hyperlink ref="F221" r:id="rId252" xr:uid="{D10D7059-AD91-6F4D-916D-0E3966B29F8E}"/>
    <hyperlink ref="F226" r:id="rId253" xr:uid="{9539E55D-4D6D-944E-80CD-2C0337E61463}"/>
    <hyperlink ref="F230" r:id="rId254" xr:uid="{F354A005-2B60-1541-9B5D-29396480DBC1}"/>
    <hyperlink ref="F233" r:id="rId255" xr:uid="{C08C711E-9B96-E04A-94C6-86B04416C3D5}"/>
    <hyperlink ref="F234" r:id="rId256" xr:uid="{8B2B9BC9-8211-3243-9AE1-894BC5216CB9}"/>
    <hyperlink ref="F236" r:id="rId257" xr:uid="{B1C25384-00BC-354A-B724-075A73382AB0}"/>
    <hyperlink ref="F237" r:id="rId258" xr:uid="{52D86BA2-6F2B-8F4A-981D-10516FDFC34B}"/>
    <hyperlink ref="F245" r:id="rId259" xr:uid="{AABB5912-2B9A-CB48-9E47-367873DC3843}"/>
    <hyperlink ref="F246" r:id="rId260" xr:uid="{288C0120-649E-B849-ADB2-AF442D8101EA}"/>
    <hyperlink ref="F248" r:id="rId261" xr:uid="{42D0C928-29A0-4A46-A142-346159D2D5DF}"/>
    <hyperlink ref="F252" r:id="rId262" xr:uid="{84DBA381-2EC6-C94A-BDF5-5F346C4A6B67}"/>
    <hyperlink ref="F253" r:id="rId263" xr:uid="{59F4AAFD-EA21-E649-93E5-F9E72F7BDFF7}"/>
    <hyperlink ref="F254" r:id="rId264" xr:uid="{BA5623A1-A959-2344-BDDE-EDE87A3EBA55}"/>
    <hyperlink ref="F255" r:id="rId265" xr:uid="{ED990E82-6F00-BD45-8EC7-5E3F7F6CE1C2}"/>
    <hyperlink ref="F256" r:id="rId266" xr:uid="{65EF0C69-85D0-8D48-AFF1-2358989A4FE7}"/>
    <hyperlink ref="F257" r:id="rId267" xr:uid="{D6A6DED8-FDD5-CF4F-864E-086678A3AE38}"/>
    <hyperlink ref="F258" r:id="rId268" xr:uid="{F1501D95-DCD8-4A45-A366-6A3E47979D37}"/>
    <hyperlink ref="F259" r:id="rId269" xr:uid="{01D946B9-7E0E-5543-BCFC-8AD3318FCD04}"/>
    <hyperlink ref="F260" r:id="rId270" location="f0005" xr:uid="{53A5851B-1A43-8B41-B62C-DB95BFB44F2B}"/>
    <hyperlink ref="F261" r:id="rId271" xr:uid="{59558A98-9530-1D4C-9E92-523E5878E282}"/>
    <hyperlink ref="F262" r:id="rId272" xr:uid="{E3C8A156-24D8-0A42-97D4-A9F1CF3E786C}"/>
    <hyperlink ref="F264" r:id="rId273" xr:uid="{A106BD60-483E-3343-A131-1BE1FB894287}"/>
    <hyperlink ref="F265" r:id="rId274" xr:uid="{E7820CFE-8C8D-BD46-8BB3-B805E04276FF}"/>
    <hyperlink ref="F266" r:id="rId275" xr:uid="{BD7733E9-44FC-6045-B7B8-325D872A1C84}"/>
    <hyperlink ref="F267" r:id="rId276" xr:uid="{5098F34E-482B-7648-993E-B5490A2EC8EB}"/>
    <hyperlink ref="F270" r:id="rId277" xr:uid="{8D62525E-6604-4E4B-8663-A8B853A06E90}"/>
    <hyperlink ref="F275" r:id="rId278" xr:uid="{39894A96-98F1-0248-9A8C-7405EF2AE999}"/>
    <hyperlink ref="F276" r:id="rId279" xr:uid="{C214EFFE-22BD-454A-A5CB-7011B46B3600}"/>
    <hyperlink ref="F278" r:id="rId280" xr:uid="{FA97F505-BAF6-A446-B9ED-27DE94072501}"/>
    <hyperlink ref="F279" r:id="rId281" xr:uid="{07020B5A-9AE9-5442-BA69-426CCC0DD5D9}"/>
    <hyperlink ref="F283" r:id="rId282" xr:uid="{EE1612E2-5ADC-F748-B3CC-39FE1B5756AD}"/>
    <hyperlink ref="F284" r:id="rId283" xr:uid="{4BCA1C11-8E1E-EE4C-AFDE-E2BD8483703D}"/>
    <hyperlink ref="F285" r:id="rId284" xr:uid="{11491754-8166-8F46-8E7C-DB6766CA6150}"/>
    <hyperlink ref="F287" r:id="rId285" xr:uid="{DE3A1DFD-E441-3C4C-AB80-504697F94753}"/>
    <hyperlink ref="F317" r:id="rId286" xr:uid="{FA0C40B0-A224-0345-A7AE-72847BD272B9}"/>
    <hyperlink ref="F319" r:id="rId287" location="articleTables" xr:uid="{2200F762-2800-054D-AA95-48CFA72B596A}"/>
    <hyperlink ref="F329" r:id="rId288" xr:uid="{6D07DF2E-31DD-E84B-820A-2E80042EF1AA}"/>
    <hyperlink ref="F330" r:id="rId289" xr:uid="{E59B6F50-9EEC-934C-A8B2-3B5457C3BFD4}"/>
    <hyperlink ref="F332" r:id="rId290" xr:uid="{C2B50A7F-84A1-8145-8608-69D5443E3A8E}"/>
    <hyperlink ref="F336" r:id="rId291" xr:uid="{71EDEFC5-3C41-2B4C-A02F-36CBD13BF21D}"/>
    <hyperlink ref="F337" r:id="rId292" xr:uid="{2CCD0750-91A2-8B41-B191-9C9B94D09253}"/>
    <hyperlink ref="F338" r:id="rId293" xr:uid="{B88AE6F4-700C-9D43-A60E-64F0271050AB}"/>
    <hyperlink ref="F339" r:id="rId294" xr:uid="{39C00684-2EBC-214C-ACD8-2483EF8D48F6}"/>
    <hyperlink ref="F340" r:id="rId295" location="d1e248" xr:uid="{4A5F64D5-EAA6-3040-8CDD-E1E3DAC2797D}"/>
    <hyperlink ref="F342" r:id="rId296" xr:uid="{FE9DF2BD-C23F-F447-A54D-045EBAEB013E}"/>
    <hyperlink ref="F343" r:id="rId297" xr:uid="{768A70ED-7D85-E940-BB29-C8EA4ABCDC2D}"/>
    <hyperlink ref="F344" r:id="rId298" xr:uid="{2849893D-F238-E147-95E3-5818887F818D}"/>
    <hyperlink ref="F345" r:id="rId299" xr:uid="{D0AFDEE7-E499-C64A-A536-512A5462BC27}"/>
    <hyperlink ref="F346" r:id="rId300" xr:uid="{97AB5259-65AF-AA46-A2A7-DEB0667267CD}"/>
    <hyperlink ref="F347" r:id="rId301" xr:uid="{81F93D00-A927-244C-A1EC-A5CB61A1FD0A}"/>
    <hyperlink ref="F348" r:id="rId302" xr:uid="{BD940D14-9506-384D-9ED6-D1C1E20618B9}"/>
    <hyperlink ref="F349" r:id="rId303" xr:uid="{3259190E-26F5-7B43-ABBA-4F0FE84AC2AE}"/>
    <hyperlink ref="F350" r:id="rId304" xr:uid="{BCDCBBF5-489B-6044-A812-1A8C091EAF07}"/>
    <hyperlink ref="F351" r:id="rId305" xr:uid="{686BD63E-EA76-0545-A4B6-AC96AD673EB2}"/>
    <hyperlink ref="F352" r:id="rId306" xr:uid="{B8C2DA91-3EC0-044D-89EC-B987BB14800E}"/>
    <hyperlink ref="F354" r:id="rId307" xr:uid="{AB7934A3-E51C-1343-B837-66880867D7EE}"/>
    <hyperlink ref="F355" r:id="rId308" xr:uid="{29D0F871-9A00-6E4D-B0AE-F07DC28C25D6}"/>
    <hyperlink ref="F356" r:id="rId309" xr:uid="{DA2FDF6F-D038-0E46-8230-6927938494DD}"/>
    <hyperlink ref="F358" r:id="rId310" xr:uid="{890F78EA-479C-AD47-B1FB-FAB0B9734AB2}"/>
    <hyperlink ref="F359" r:id="rId311" xr:uid="{EF00D7C8-F8D4-254C-827B-39E92740739A}"/>
    <hyperlink ref="F360" r:id="rId312" xr:uid="{AE07F562-5686-6649-A109-F98A7AE1FD65}"/>
    <hyperlink ref="F361" r:id="rId313" xr:uid="{FB3E8037-3ACD-9D43-8751-24EED667BF0F}"/>
    <hyperlink ref="F365" r:id="rId314" xr:uid="{513E29E0-9957-4F41-A2A5-153F56F58881}"/>
    <hyperlink ref="F367" r:id="rId315" xr:uid="{067BDD17-7FEA-D84F-B557-7062FC64501D}"/>
    <hyperlink ref="F370" r:id="rId316" xr:uid="{47F464D0-0BDE-8747-87FE-576A2199A993}"/>
    <hyperlink ref="F371" r:id="rId317" xr:uid="{DC82E393-5EBD-7F41-BDD9-F08F67870B20}"/>
    <hyperlink ref="F316" r:id="rId318" xr:uid="{42A4C8A9-A8BA-5141-845F-4A8D60471F26}"/>
    <hyperlink ref="F321" r:id="rId319" xr:uid="{E2807D45-EEC0-144F-B3FB-D0EC53C7DC83}"/>
    <hyperlink ref="F322" r:id="rId320" xr:uid="{8741FEC6-4723-2E48-AADF-71C55ECDFCF4}"/>
    <hyperlink ref="F323" r:id="rId321" xr:uid="{3C66C19D-3448-5C40-A52F-CE38BD0A8082}"/>
    <hyperlink ref="F324" r:id="rId322" location="tbl0003" xr:uid="{E2DEC2BB-2E3E-A948-84F9-713C3A99224B}"/>
    <hyperlink ref="F325" r:id="rId323" location="tbl0001" xr:uid="{466BEC91-F205-624F-8AE2-69171CFA07F1}"/>
    <hyperlink ref="F326" r:id="rId324" xr:uid="{393012D4-9A12-6B41-84BF-968EB3FAE706}"/>
    <hyperlink ref="F327" r:id="rId325" xr:uid="{DFFC2018-CF29-0549-8115-91F3355F8436}"/>
    <hyperlink ref="F328" r:id="rId326" xr:uid="{C1DB4698-6748-9D46-97E7-30F2C0304575}"/>
    <hyperlink ref="F331" r:id="rId327" xr:uid="{61B9B843-7BA3-CE40-9892-15CE9E2179C4}"/>
    <hyperlink ref="F333" r:id="rId328" xr:uid="{C53FF6D1-9920-F24C-90EF-27322EA654E5}"/>
    <hyperlink ref="F334" r:id="rId329" xr:uid="{81D47D5B-C405-DF42-8DB4-5F0D5BFD490F}"/>
    <hyperlink ref="F335" r:id="rId330" xr:uid="{3688C9C6-071E-8946-8C7D-7815EE80EB20}"/>
    <hyperlink ref="F10" r:id="rId331" xr:uid="{94235CA6-C74E-4D47-850B-0E06684BD449}"/>
    <hyperlink ref="F11" r:id="rId332" xr:uid="{7F9325EB-5D43-0743-B68E-636BDFB30110}"/>
    <hyperlink ref="F353" r:id="rId333" xr:uid="{3F206C1F-FCEB-6841-A3AA-BD1341571EF2}"/>
    <hyperlink ref="F357" r:id="rId334" xr:uid="{06A0D26B-AE6D-8D45-B9C8-0B724571F117}"/>
    <hyperlink ref="F362" r:id="rId335" xr:uid="{9EF2EB1C-E9C8-9F41-B16A-D23CB9DC3F1C}"/>
    <hyperlink ref="F363" r:id="rId336" xr:uid="{52212536-5814-9C4F-A5F9-DF5FA853E0E0}"/>
    <hyperlink ref="F364" r:id="rId337" xr:uid="{2003205A-EA61-D24F-A7C8-26433E91F825}"/>
    <hyperlink ref="F366" r:id="rId338" xr:uid="{7FF242D4-B920-3B45-B92B-B84F6A5B591B}"/>
    <hyperlink ref="F368" r:id="rId339" xr:uid="{8C203C2B-4DBD-FA4C-A0A5-54F8CB0C0990}"/>
    <hyperlink ref="F369" r:id="rId340" xr:uid="{54855F0A-D12A-7449-AF53-73191B4C01BC}"/>
    <hyperlink ref="A1" r:id="rId341" xr:uid="{F3D27577-DAF9-0B4A-A090-B66DE786A2CC}"/>
    <hyperlink ref="F29" r:id="rId342" xr:uid="{76973451-D185-FC46-8098-B30D2A371421}"/>
    <hyperlink ref="F43" r:id="rId343" xr:uid="{5A751692-9CA7-8743-B0A7-84331BE6F6B3}"/>
    <hyperlink ref="F56" r:id="rId344" xr:uid="{28516124-ED1A-764F-BECD-54E603747E83}"/>
    <hyperlink ref="F55" r:id="rId345" xr:uid="{ABD1B782-D773-5F46-9BA9-0B98E3B4A237}"/>
    <hyperlink ref="F165" r:id="rId346" xr:uid="{86A6F94F-61C4-EA4C-A9EA-38DF5850F3AF}"/>
    <hyperlink ref="F166" r:id="rId347" xr:uid="{5D9B2527-A1A1-5041-BA14-BE4B447CD623}"/>
    <hyperlink ref="F167" r:id="rId348" xr:uid="{6484A5EA-0844-4E42-B410-5616D518915E}"/>
    <hyperlink ref="F222" r:id="rId349" xr:uid="{A7C8A098-1B02-D744-8806-5EB2259CAD28}"/>
    <hyperlink ref="F227" r:id="rId350" xr:uid="{49D2409F-7C4E-B74F-ADEF-455F19C23519}"/>
    <hyperlink ref="F228" r:id="rId351" xr:uid="{716F3299-F291-E146-BED4-619CDAF078B7}"/>
    <hyperlink ref="F240" r:id="rId352" xr:uid="{1A22C598-B640-0A40-B831-0E068775CD8D}"/>
    <hyperlink ref="F242" r:id="rId353" xr:uid="{481D5D3E-B975-CE4F-ADAD-D4ED91681F19}"/>
    <hyperlink ref="F243" r:id="rId354" xr:uid="{F580464F-F1A4-F64C-B12B-06F7B3F175DD}"/>
    <hyperlink ref="F247" r:id="rId355" xr:uid="{60BD65FC-3011-1C41-9989-E37D706FF3AF}"/>
    <hyperlink ref="F249" r:id="rId356" xr:uid="{FF877F64-F116-0044-A5B4-072AF116009B}"/>
    <hyperlink ref="F250" r:id="rId357" xr:uid="{1B4A309F-0DDD-974A-8554-524D263DF029}"/>
    <hyperlink ref="F269" r:id="rId358" xr:uid="{1D865D9B-7ADF-044C-B37F-DF840B9B2702}"/>
    <hyperlink ref="F271" r:id="rId359" xr:uid="{6447E0F9-D3AC-2440-9F29-A0ACD81E195F}"/>
    <hyperlink ref="F312" r:id="rId360" xr:uid="{A3730C57-CB3C-D943-B875-85DB05726C0D}"/>
    <hyperlink ref="F314" r:id="rId361" xr:uid="{2DCF2EEF-1E21-1947-B1D9-CAED95B3D398}"/>
    <hyperlink ref="F373" r:id="rId362" xr:uid="{609891DD-83AA-7844-8156-5BADD12EF9E9}"/>
    <hyperlink ref="F374" r:id="rId363" xr:uid="{1CAE1380-FDD7-E043-87A6-9DC0BB7A0584}"/>
    <hyperlink ref="F375" r:id="rId364" xr:uid="{B105D2B0-3118-204E-AD22-67403FC35025}"/>
    <hyperlink ref="F376" r:id="rId365" xr:uid="{4D82CAA9-AE8E-784B-9499-EB21745D6711}"/>
    <hyperlink ref="F377" r:id="rId366" xr:uid="{E555EF67-3A59-344B-9475-871BBCC5E95E}"/>
    <hyperlink ref="F378" r:id="rId367" xr:uid="{8DAA6CB9-182E-134D-9DA9-EBFE58BA5736}"/>
    <hyperlink ref="F379" r:id="rId368" xr:uid="{0E46D07F-C1F1-C74E-A1A4-CC41B4DCD274}"/>
    <hyperlink ref="F380" r:id="rId369" xr:uid="{1B61EE5C-DF99-C94D-9FEB-37A6A3637CA6}"/>
    <hyperlink ref="F381" r:id="rId370" xr:uid="{7FFA9E1B-B5E7-3C4F-93AA-0F3081BFA83D}"/>
    <hyperlink ref="F382" r:id="rId371" xr:uid="{6F69FE9C-80C1-1C46-8CA2-21834C7F460F}"/>
    <hyperlink ref="F383" r:id="rId372" xr:uid="{9B18181C-7713-DD45-BE0C-FE69A75099E4}"/>
    <hyperlink ref="F384" r:id="rId373" xr:uid="{7F7DB764-5A03-D045-A1CD-BCBF175D64CB}"/>
    <hyperlink ref="F385" r:id="rId374" xr:uid="{5EC45880-BDD1-D04A-A8AE-9DA39288D0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Guest, Elizabeth</cp:lastModifiedBy>
  <dcterms:created xsi:type="dcterms:W3CDTF">2024-05-13T15:46:59Z</dcterms:created>
  <dcterms:modified xsi:type="dcterms:W3CDTF">2025-12-02T12:56:05Z</dcterms:modified>
</cp:coreProperties>
</file>