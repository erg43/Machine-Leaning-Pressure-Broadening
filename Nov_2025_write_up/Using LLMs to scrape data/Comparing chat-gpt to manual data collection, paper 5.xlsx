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/Desktop/line_broadening.nosync/line_broadening/Using LLMs to scrape data/"/>
    </mc:Choice>
  </mc:AlternateContent>
  <xr:revisionPtr revIDLastSave="0" documentId="13_ncr:1_{C337F857-E602-B246-B170-B031E49B4F94}" xr6:coauthVersionLast="47" xr6:coauthVersionMax="47" xr10:uidLastSave="{00000000-0000-0000-0000-000000000000}"/>
  <bookViews>
    <workbookView xWindow="0" yWindow="500" windowWidth="28800" windowHeight="16220" xr2:uid="{4EA30962-7E7D-9143-8A17-5971C28CB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0" i="1" l="1"/>
  <c r="O90" i="1"/>
  <c r="P90" i="1"/>
  <c r="N91" i="1"/>
  <c r="O91" i="1"/>
  <c r="P91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N79" i="1"/>
  <c r="N80" i="1"/>
  <c r="N81" i="1"/>
  <c r="N82" i="1"/>
  <c r="N83" i="1"/>
  <c r="N84" i="1"/>
  <c r="N85" i="1"/>
  <c r="N86" i="1"/>
  <c r="N87" i="1"/>
  <c r="N88" i="1"/>
  <c r="N89" i="1"/>
  <c r="N78" i="1"/>
  <c r="N18" i="1"/>
  <c r="N19" i="1"/>
  <c r="N20" i="1"/>
  <c r="N21" i="1"/>
  <c r="O21" i="1"/>
  <c r="N22" i="1"/>
  <c r="N23" i="1"/>
  <c r="N24" i="1"/>
  <c r="N25" i="1"/>
  <c r="N26" i="1"/>
  <c r="N27" i="1"/>
  <c r="N28" i="1"/>
  <c r="N29" i="1"/>
  <c r="P42" i="1"/>
  <c r="P31" i="1"/>
  <c r="P32" i="1"/>
  <c r="P33" i="1"/>
  <c r="P34" i="1"/>
  <c r="P35" i="1"/>
  <c r="P36" i="1"/>
  <c r="P37" i="1"/>
  <c r="P38" i="1"/>
  <c r="P39" i="1"/>
  <c r="P40" i="1"/>
  <c r="P41" i="1"/>
  <c r="O32" i="1"/>
  <c r="O42" i="1"/>
  <c r="N32" i="1"/>
  <c r="N33" i="1"/>
  <c r="N34" i="1"/>
  <c r="N35" i="1"/>
  <c r="N36" i="1"/>
  <c r="N37" i="1"/>
  <c r="N38" i="1"/>
  <c r="N39" i="1"/>
  <c r="N40" i="1"/>
  <c r="N41" i="1"/>
  <c r="N42" i="1"/>
  <c r="N31" i="1"/>
  <c r="F4" i="1"/>
  <c r="O19" i="1" s="1"/>
  <c r="F5" i="1"/>
  <c r="O33" i="1" s="1"/>
  <c r="F6" i="1"/>
  <c r="O34" i="1" s="1"/>
  <c r="F7" i="1"/>
  <c r="O35" i="1" s="1"/>
  <c r="F8" i="1"/>
  <c r="O23" i="1" s="1"/>
  <c r="F9" i="1"/>
  <c r="O37" i="1" s="1"/>
  <c r="F10" i="1"/>
  <c r="O25" i="1" s="1"/>
  <c r="F11" i="1"/>
  <c r="O26" i="1" s="1"/>
  <c r="F12" i="1"/>
  <c r="O40" i="1" s="1"/>
  <c r="F13" i="1"/>
  <c r="O28" i="1" s="1"/>
  <c r="F14" i="1"/>
  <c r="O29" i="1" s="1"/>
  <c r="F3" i="1"/>
  <c r="O31" i="1" s="1"/>
  <c r="O27" i="1" l="1"/>
  <c r="O41" i="1"/>
  <c r="O20" i="1"/>
  <c r="O38" i="1"/>
  <c r="O36" i="1"/>
  <c r="O39" i="1"/>
  <c r="O18" i="1"/>
  <c r="O24" i="1"/>
  <c r="O22" i="1"/>
</calcChain>
</file>

<file path=xl/sharedStrings.xml><?xml version="1.0" encoding="utf-8"?>
<sst xmlns="http://schemas.openxmlformats.org/spreadsheetml/2006/main" count="414" uniqueCount="56">
  <si>
    <t>NO</t>
  </si>
  <si>
    <t>N2</t>
  </si>
  <si>
    <t>------------</t>
  </si>
  <si>
    <t>Voigt</t>
  </si>
  <si>
    <t>CO2</t>
  </si>
  <si>
    <t>Ar</t>
  </si>
  <si>
    <t>H2</t>
  </si>
  <si>
    <t>O2</t>
  </si>
  <si>
    <t>He</t>
  </si>
  <si>
    <t>n</t>
  </si>
  <si>
    <t>T</t>
  </si>
  <si>
    <t>profile</t>
  </si>
  <si>
    <t>Notes</t>
  </si>
  <si>
    <t>1 &lt;- 0 band - 2 lines measured, (Ω3/2)      n not measured</t>
  </si>
  <si>
    <t>(Ω1/2).  &lt;- Omega here is due to unpaired electron (spin angular momentum)</t>
  </si>
  <si>
    <t>(Ω3/2)      &lt;-, and Pi ground state (orbital angular momentum)</t>
  </si>
  <si>
    <t>(Ω1/2)</t>
  </si>
  <si>
    <t>(Ω3/2)</t>
  </si>
  <si>
    <t>active species</t>
  </si>
  <si>
    <t>perturbing species</t>
  </si>
  <si>
    <t>J'</t>
  </si>
  <si>
    <t>J"</t>
  </si>
  <si>
    <t>percentage error in gamma</t>
  </si>
  <si>
    <t>n (temperature exponent)</t>
  </si>
  <si>
    <t>temperature (K)</t>
  </si>
  <si>
    <t>line profile</t>
  </si>
  <si>
    <t>notes</t>
  </si>
  <si>
    <t>N₂</t>
  </si>
  <si>
    <t>Ω = 1/2</t>
  </si>
  <si>
    <t>Ω = 3/2</t>
  </si>
  <si>
    <t>CO₂</t>
  </si>
  <si>
    <t>H₂</t>
  </si>
  <si>
    <t>O₂</t>
  </si>
  <si>
    <t>Error in ΔƔ</t>
  </si>
  <si>
    <t>Error in Ɣ by chat-gpt</t>
  </si>
  <si>
    <t>Ɣ (/cm⁻¹ atm⁻¹)</t>
  </si>
  <si>
    <t xml:space="preserve"> ΔƔ (/cm⁻¹ atm⁻¹)</t>
  </si>
  <si>
    <t>absolute uncertainty in gamma ( ΔƔ )</t>
  </si>
  <si>
    <t xml:space="preserve"> ΔƔ (/%)</t>
  </si>
  <si>
    <t>Hand collected</t>
  </si>
  <si>
    <t>Chat-GPT collected</t>
  </si>
  <si>
    <t>Gemini collected</t>
  </si>
  <si>
    <t>gamma (cm⁻¹ atm⁻¹)</t>
  </si>
  <si>
    <t>absolute uncertainty in gamma</t>
  </si>
  <si>
    <t>Air</t>
  </si>
  <si>
    <t>N/A</t>
  </si>
  <si>
    <t>Data from Table 2. Temperature exponent from Table 5.</t>
  </si>
  <si>
    <t>Data from Table 2.</t>
  </si>
  <si>
    <t>Data from Table 3. Temperature exponent from Table 5.</t>
  </si>
  <si>
    <t>Data from Table 3.</t>
  </si>
  <si>
    <t>Data from Table 4.</t>
  </si>
  <si>
    <t>gamma (cm-1 atm-1)</t>
  </si>
  <si>
    <t>absolute uncertainty in gamma (cm-1 atm-1)</t>
  </si>
  <si>
    <t>Source: Table 2 [1]; Transition: R11.5 Ω3/2; K quantum numbers N/A for diatomic NO; Temperature exponent n not provided</t>
  </si>
  <si>
    <t>Source: Table 2 [1]; Transition: R11.5 Ω1/2; K quantum numbers N/A for diatomic NO; Temperature exponent n not provided</t>
  </si>
  <si>
    <t>Gemini with deep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</si>
</sst>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1F1F1F"/>
      <name val="Georgia"/>
      <family val="1"/>
    </font>
    <font>
      <sz val="14"/>
      <color rgb="FF1F1F1F"/>
      <name val="Georgia"/>
      <family val="1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/>
    <xf numFmtId="0" fontId="4" fillId="0" borderId="0" xfId="0" applyFont="1"/>
    <xf numFmtId="0" fontId="6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7" fillId="0" borderId="0" xfId="0" applyFon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1" fillId="0" borderId="0" xfId="0" applyFont="1"/>
    <xf numFmtId="165" fontId="4" fillId="0" borderId="0" xfId="0" applyNumberFormat="1" applyFont="1"/>
    <xf numFmtId="165" fontId="3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0507-5CFF-EE43-9275-906068BF76D0}">
  <dimension ref="A1:P102"/>
  <sheetViews>
    <sheetView tabSelected="1" topLeftCell="A45" zoomScale="82" workbookViewId="0">
      <selection activeCell="E89" sqref="E84:E89"/>
    </sheetView>
  </sheetViews>
  <sheetFormatPr baseColWidth="10" defaultRowHeight="16" x14ac:dyDescent="0.2"/>
  <cols>
    <col min="1" max="1" width="12.83203125" bestFit="1" customWidth="1"/>
    <col min="2" max="2" width="16.5" bestFit="1" customWidth="1"/>
    <col min="5" max="5" width="18.33203125" bestFit="1" customWidth="1"/>
    <col min="6" max="6" width="23.83203125" bestFit="1" customWidth="1"/>
    <col min="7" max="7" width="31.6640625" customWidth="1"/>
    <col min="10" max="10" width="16.1640625" customWidth="1"/>
    <col min="14" max="14" width="23.83203125" bestFit="1" customWidth="1"/>
    <col min="15" max="15" width="14.33203125" bestFit="1" customWidth="1"/>
  </cols>
  <sheetData>
    <row r="1" spans="1:11" ht="27" x14ac:dyDescent="0.35">
      <c r="A1" s="7" t="s">
        <v>39</v>
      </c>
    </row>
    <row r="2" spans="1:11" x14ac:dyDescent="0.2">
      <c r="A2" s="1" t="s">
        <v>18</v>
      </c>
      <c r="B2" s="1" t="s">
        <v>19</v>
      </c>
      <c r="C2" s="11" t="s">
        <v>20</v>
      </c>
      <c r="D2" s="11" t="s">
        <v>21</v>
      </c>
      <c r="E2" s="11" t="s">
        <v>35</v>
      </c>
      <c r="F2" s="11" t="s">
        <v>38</v>
      </c>
      <c r="G2" s="11" t="s">
        <v>36</v>
      </c>
      <c r="H2" s="11" t="s">
        <v>9</v>
      </c>
      <c r="I2" s="11" t="s">
        <v>10</v>
      </c>
      <c r="J2" s="11" t="s">
        <v>11</v>
      </c>
      <c r="K2" s="11" t="s">
        <v>12</v>
      </c>
    </row>
    <row r="3" spans="1:11" ht="18" x14ac:dyDescent="0.2">
      <c r="A3" t="s">
        <v>0</v>
      </c>
      <c r="B3" t="s">
        <v>1</v>
      </c>
      <c r="C3" s="8">
        <v>12.5</v>
      </c>
      <c r="D3" s="9">
        <v>11.5</v>
      </c>
      <c r="E3" s="13">
        <v>5.8130000000000001E-2</v>
      </c>
      <c r="F3" s="6">
        <f>100*G3/E3</f>
        <v>0.53328745914329945</v>
      </c>
      <c r="G3" s="9">
        <v>3.1E-4</v>
      </c>
      <c r="H3" s="10" t="s">
        <v>2</v>
      </c>
      <c r="I3" s="9">
        <v>294</v>
      </c>
      <c r="J3" s="9" t="s">
        <v>3</v>
      </c>
      <c r="K3" t="s">
        <v>13</v>
      </c>
    </row>
    <row r="4" spans="1:11" ht="18" x14ac:dyDescent="0.2">
      <c r="A4" t="s">
        <v>0</v>
      </c>
      <c r="B4" t="s">
        <v>1</v>
      </c>
      <c r="C4" s="8">
        <v>12.5</v>
      </c>
      <c r="D4" s="9">
        <v>11.5</v>
      </c>
      <c r="E4" s="13">
        <v>5.0799999999999998E-2</v>
      </c>
      <c r="F4" s="6">
        <f t="shared" ref="F4:F14" si="0">100*G4/E4</f>
        <v>0.53149606299212604</v>
      </c>
      <c r="G4" s="9">
        <v>2.7E-4</v>
      </c>
      <c r="H4" s="10" t="s">
        <v>2</v>
      </c>
      <c r="I4" s="9">
        <v>294</v>
      </c>
      <c r="J4" s="9" t="s">
        <v>3</v>
      </c>
      <c r="K4" t="s">
        <v>14</v>
      </c>
    </row>
    <row r="5" spans="1:11" ht="18" x14ac:dyDescent="0.2">
      <c r="A5" t="s">
        <v>0</v>
      </c>
      <c r="B5" t="s">
        <v>4</v>
      </c>
      <c r="C5" s="8">
        <v>12.5</v>
      </c>
      <c r="D5" s="9">
        <v>11.5</v>
      </c>
      <c r="E5" s="13">
        <v>7.9990000000000006E-2</v>
      </c>
      <c r="F5" s="6">
        <f t="shared" si="0"/>
        <v>0.5500687585948244</v>
      </c>
      <c r="G5" s="9">
        <v>4.4000000000000002E-4</v>
      </c>
      <c r="H5" s="10" t="s">
        <v>2</v>
      </c>
      <c r="I5" s="9">
        <v>294</v>
      </c>
      <c r="J5" s="9" t="s">
        <v>3</v>
      </c>
      <c r="K5" t="s">
        <v>15</v>
      </c>
    </row>
    <row r="6" spans="1:11" ht="18" x14ac:dyDescent="0.2">
      <c r="A6" t="s">
        <v>0</v>
      </c>
      <c r="B6" t="s">
        <v>4</v>
      </c>
      <c r="C6" s="8">
        <v>12.5</v>
      </c>
      <c r="D6" s="9">
        <v>11.5</v>
      </c>
      <c r="E6" s="13">
        <v>7.2919999999999999E-2</v>
      </c>
      <c r="F6" s="6">
        <f t="shared" si="0"/>
        <v>0.7131102578167855</v>
      </c>
      <c r="G6" s="9">
        <v>5.1999999999999995E-4</v>
      </c>
      <c r="H6" s="10" t="s">
        <v>2</v>
      </c>
      <c r="I6" s="9">
        <v>294</v>
      </c>
      <c r="J6" s="9" t="s">
        <v>3</v>
      </c>
      <c r="K6" t="s">
        <v>16</v>
      </c>
    </row>
    <row r="7" spans="1:11" ht="18" x14ac:dyDescent="0.2">
      <c r="A7" t="s">
        <v>0</v>
      </c>
      <c r="B7" t="s">
        <v>5</v>
      </c>
      <c r="C7" s="8">
        <v>12.5</v>
      </c>
      <c r="D7" s="9">
        <v>11.5</v>
      </c>
      <c r="E7" s="13">
        <v>4.2639999999999997E-2</v>
      </c>
      <c r="F7" s="6">
        <f t="shared" si="0"/>
        <v>0.51594746716697948</v>
      </c>
      <c r="G7" s="9">
        <v>2.2000000000000001E-4</v>
      </c>
      <c r="H7" s="10" t="s">
        <v>2</v>
      </c>
      <c r="I7" s="9">
        <v>294</v>
      </c>
      <c r="J7" s="9" t="s">
        <v>3</v>
      </c>
      <c r="K7" t="s">
        <v>17</v>
      </c>
    </row>
    <row r="8" spans="1:11" ht="18" x14ac:dyDescent="0.2">
      <c r="A8" t="s">
        <v>0</v>
      </c>
      <c r="B8" t="s">
        <v>5</v>
      </c>
      <c r="C8" s="8">
        <v>12.5</v>
      </c>
      <c r="D8" s="9">
        <v>11.5</v>
      </c>
      <c r="E8" s="13">
        <v>3.7670000000000002E-2</v>
      </c>
      <c r="F8" s="6">
        <f t="shared" si="0"/>
        <v>0.50438014335014592</v>
      </c>
      <c r="G8" s="9">
        <v>1.9000000000000001E-4</v>
      </c>
      <c r="H8" s="10" t="s">
        <v>2</v>
      </c>
      <c r="I8" s="9">
        <v>294</v>
      </c>
      <c r="J8" s="9" t="s">
        <v>3</v>
      </c>
      <c r="K8" t="s">
        <v>16</v>
      </c>
    </row>
    <row r="9" spans="1:11" ht="18" x14ac:dyDescent="0.2">
      <c r="A9" t="s">
        <v>0</v>
      </c>
      <c r="B9" t="s">
        <v>6</v>
      </c>
      <c r="C9" s="8">
        <v>12.5</v>
      </c>
      <c r="D9" s="9">
        <v>11.5</v>
      </c>
      <c r="E9" s="13">
        <v>7.1669999999999998E-2</v>
      </c>
      <c r="F9" s="6">
        <f t="shared" si="0"/>
        <v>0.59997209432119436</v>
      </c>
      <c r="G9" s="9">
        <v>4.2999999999999999E-4</v>
      </c>
      <c r="H9" s="10" t="s">
        <v>2</v>
      </c>
      <c r="I9" s="9">
        <v>294</v>
      </c>
      <c r="J9" s="9" t="s">
        <v>3</v>
      </c>
      <c r="K9" t="s">
        <v>17</v>
      </c>
    </row>
    <row r="10" spans="1:11" ht="18" x14ac:dyDescent="0.2">
      <c r="A10" t="s">
        <v>0</v>
      </c>
      <c r="B10" t="s">
        <v>6</v>
      </c>
      <c r="C10" s="8">
        <v>12.5</v>
      </c>
      <c r="D10" s="9">
        <v>11.5</v>
      </c>
      <c r="E10" s="13">
        <v>6.2770000000000006E-2</v>
      </c>
      <c r="F10" s="6">
        <f t="shared" si="0"/>
        <v>0.6053847379321331</v>
      </c>
      <c r="G10" s="9">
        <v>3.8000000000000002E-4</v>
      </c>
      <c r="H10" s="10" t="s">
        <v>2</v>
      </c>
      <c r="I10" s="9">
        <v>294</v>
      </c>
      <c r="J10" s="9" t="s">
        <v>3</v>
      </c>
      <c r="K10" t="s">
        <v>16</v>
      </c>
    </row>
    <row r="11" spans="1:11" ht="18" x14ac:dyDescent="0.2">
      <c r="A11" t="s">
        <v>0</v>
      </c>
      <c r="B11" t="s">
        <v>7</v>
      </c>
      <c r="C11" s="8">
        <v>12.5</v>
      </c>
      <c r="D11" s="9">
        <v>11.5</v>
      </c>
      <c r="E11" s="13">
        <v>5.7680000000000002E-2</v>
      </c>
      <c r="F11" s="6">
        <f t="shared" si="0"/>
        <v>1.1442441054091539</v>
      </c>
      <c r="G11" s="9">
        <v>6.6E-4</v>
      </c>
      <c r="H11" s="10" t="s">
        <v>2</v>
      </c>
      <c r="I11" s="9">
        <v>294</v>
      </c>
      <c r="J11" s="9" t="s">
        <v>3</v>
      </c>
      <c r="K11" t="s">
        <v>17</v>
      </c>
    </row>
    <row r="12" spans="1:11" ht="18" x14ac:dyDescent="0.2">
      <c r="A12" t="s">
        <v>0</v>
      </c>
      <c r="B12" t="s">
        <v>7</v>
      </c>
      <c r="C12" s="8">
        <v>12.5</v>
      </c>
      <c r="D12" s="9">
        <v>11.5</v>
      </c>
      <c r="E12" s="13">
        <v>5.0880000000000002E-2</v>
      </c>
      <c r="F12" s="6">
        <f t="shared" si="0"/>
        <v>1.0416666666666665</v>
      </c>
      <c r="G12" s="9">
        <v>5.2999999999999998E-4</v>
      </c>
      <c r="H12" s="10" t="s">
        <v>2</v>
      </c>
      <c r="I12" s="9">
        <v>294</v>
      </c>
      <c r="J12" s="9" t="s">
        <v>3</v>
      </c>
      <c r="K12" t="s">
        <v>16</v>
      </c>
    </row>
    <row r="13" spans="1:11" ht="18" x14ac:dyDescent="0.2">
      <c r="A13" t="s">
        <v>0</v>
      </c>
      <c r="B13" t="s">
        <v>8</v>
      </c>
      <c r="C13" s="8">
        <v>12.5</v>
      </c>
      <c r="D13" s="9">
        <v>11.5</v>
      </c>
      <c r="E13" s="13">
        <v>4.4170000000000001E-2</v>
      </c>
      <c r="F13" s="6">
        <f t="shared" si="0"/>
        <v>0.52071541770432417</v>
      </c>
      <c r="G13" s="9">
        <v>2.3000000000000001E-4</v>
      </c>
      <c r="H13" s="10" t="s">
        <v>2</v>
      </c>
      <c r="I13" s="9">
        <v>294</v>
      </c>
      <c r="J13" s="9" t="s">
        <v>3</v>
      </c>
      <c r="K13" t="s">
        <v>17</v>
      </c>
    </row>
    <row r="14" spans="1:11" ht="18" x14ac:dyDescent="0.2">
      <c r="A14" t="s">
        <v>0</v>
      </c>
      <c r="B14" t="s">
        <v>8</v>
      </c>
      <c r="C14" s="8">
        <v>12.5</v>
      </c>
      <c r="D14" s="9">
        <v>11.5</v>
      </c>
      <c r="E14" s="13">
        <v>3.7789999999999997E-2</v>
      </c>
      <c r="F14" s="6">
        <f t="shared" si="0"/>
        <v>0.58216459380788577</v>
      </c>
      <c r="G14" s="9">
        <v>2.2000000000000001E-4</v>
      </c>
      <c r="H14" s="10" t="s">
        <v>2</v>
      </c>
      <c r="I14" s="9">
        <v>294</v>
      </c>
      <c r="J14" s="9" t="s">
        <v>3</v>
      </c>
      <c r="K14" t="s">
        <v>16</v>
      </c>
    </row>
    <row r="16" spans="1:11" ht="27" x14ac:dyDescent="0.35">
      <c r="A16" s="7" t="s">
        <v>40</v>
      </c>
    </row>
    <row r="17" spans="1:16" x14ac:dyDescent="0.2">
      <c r="A17" s="1" t="s">
        <v>18</v>
      </c>
      <c r="B17" s="1" t="s">
        <v>19</v>
      </c>
      <c r="C17" s="1" t="s">
        <v>20</v>
      </c>
      <c r="D17" s="1" t="s">
        <v>21</v>
      </c>
      <c r="E17" s="1" t="s">
        <v>35</v>
      </c>
      <c r="F17" s="1" t="s">
        <v>22</v>
      </c>
      <c r="G17" s="1" t="s">
        <v>37</v>
      </c>
      <c r="H17" s="1" t="s">
        <v>23</v>
      </c>
      <c r="I17" s="1" t="s">
        <v>24</v>
      </c>
      <c r="J17" s="1" t="s">
        <v>25</v>
      </c>
      <c r="K17" s="1" t="s">
        <v>26</v>
      </c>
      <c r="N17" s="1" t="s">
        <v>34</v>
      </c>
      <c r="O17" s="1" t="s">
        <v>33</v>
      </c>
    </row>
    <row r="18" spans="1:16" x14ac:dyDescent="0.2">
      <c r="A18" s="1" t="s">
        <v>0</v>
      </c>
      <c r="B18" s="2" t="s">
        <v>27</v>
      </c>
      <c r="C18" s="2">
        <v>12.5</v>
      </c>
      <c r="D18" s="2">
        <v>11.5</v>
      </c>
      <c r="E18" s="12">
        <v>7.4999999999999997E-2</v>
      </c>
      <c r="F18" s="2">
        <v>1</v>
      </c>
      <c r="G18" s="14">
        <v>7.5000000000000002E-4</v>
      </c>
      <c r="H18" s="3"/>
      <c r="I18" s="2">
        <v>294</v>
      </c>
      <c r="J18" s="2" t="s">
        <v>3</v>
      </c>
      <c r="K18" s="2" t="s">
        <v>28</v>
      </c>
      <c r="N18" s="5">
        <f>E18 - E3</f>
        <v>1.6869999999999996E-2</v>
      </c>
      <c r="O18" s="6">
        <f>F18 - F3</f>
        <v>0.46671254085670055</v>
      </c>
    </row>
    <row r="19" spans="1:16" x14ac:dyDescent="0.2">
      <c r="A19" s="1" t="s">
        <v>0</v>
      </c>
      <c r="B19" s="2" t="s">
        <v>27</v>
      </c>
      <c r="C19" s="2">
        <v>12.5</v>
      </c>
      <c r="D19" s="2">
        <v>11.5</v>
      </c>
      <c r="E19" s="12">
        <v>7.2999999999999995E-2</v>
      </c>
      <c r="F19" s="2">
        <v>1</v>
      </c>
      <c r="G19" s="14">
        <v>7.2999999999999996E-4</v>
      </c>
      <c r="H19" s="3"/>
      <c r="I19" s="2">
        <v>294</v>
      </c>
      <c r="J19" s="2" t="s">
        <v>3</v>
      </c>
      <c r="K19" s="2" t="s">
        <v>29</v>
      </c>
      <c r="N19" s="5">
        <f t="shared" ref="N19:O19" si="1">E19 - E4</f>
        <v>2.2199999999999998E-2</v>
      </c>
      <c r="O19" s="6">
        <f t="shared" si="1"/>
        <v>0.46850393700787396</v>
      </c>
    </row>
    <row r="20" spans="1:16" x14ac:dyDescent="0.2">
      <c r="A20" s="1" t="s">
        <v>0</v>
      </c>
      <c r="B20" s="2" t="s">
        <v>30</v>
      </c>
      <c r="C20" s="2">
        <v>12.5</v>
      </c>
      <c r="D20" s="2">
        <v>11.5</v>
      </c>
      <c r="E20" s="12">
        <v>0.08</v>
      </c>
      <c r="F20" s="2">
        <v>1</v>
      </c>
      <c r="G20" s="14">
        <v>8.0000000000000004E-4</v>
      </c>
      <c r="H20" s="3"/>
      <c r="I20" s="2">
        <v>294</v>
      </c>
      <c r="J20" s="2" t="s">
        <v>3</v>
      </c>
      <c r="K20" s="2" t="s">
        <v>28</v>
      </c>
      <c r="N20" s="5">
        <f t="shared" ref="N20:O20" si="2">E20 - E5</f>
        <v>9.9999999999961231E-6</v>
      </c>
      <c r="O20" s="6">
        <f t="shared" si="2"/>
        <v>0.4499312414051756</v>
      </c>
    </row>
    <row r="21" spans="1:16" x14ac:dyDescent="0.2">
      <c r="A21" s="1" t="s">
        <v>0</v>
      </c>
      <c r="B21" s="2" t="s">
        <v>30</v>
      </c>
      <c r="C21" s="2">
        <v>12.5</v>
      </c>
      <c r="D21" s="2">
        <v>11.5</v>
      </c>
      <c r="E21" s="12">
        <v>7.8E-2</v>
      </c>
      <c r="F21" s="2">
        <v>1</v>
      </c>
      <c r="G21" s="14">
        <v>7.7999999999999999E-4</v>
      </c>
      <c r="H21" s="3"/>
      <c r="I21" s="2">
        <v>294</v>
      </c>
      <c r="J21" s="2" t="s">
        <v>3</v>
      </c>
      <c r="K21" s="2" t="s">
        <v>29</v>
      </c>
      <c r="N21" s="5">
        <f t="shared" ref="N21:O21" si="3">E21 - E6</f>
        <v>5.0800000000000012E-3</v>
      </c>
      <c r="O21" s="6">
        <f t="shared" si="3"/>
        <v>0.2868897421832145</v>
      </c>
    </row>
    <row r="22" spans="1:16" x14ac:dyDescent="0.2">
      <c r="A22" s="1" t="s">
        <v>0</v>
      </c>
      <c r="B22" s="2" t="s">
        <v>5</v>
      </c>
      <c r="C22" s="2">
        <v>12.5</v>
      </c>
      <c r="D22" s="2">
        <v>11.5</v>
      </c>
      <c r="E22" s="12">
        <v>6.5000000000000002E-2</v>
      </c>
      <c r="F22" s="2">
        <v>1</v>
      </c>
      <c r="G22" s="14">
        <v>6.4999999999999997E-4</v>
      </c>
      <c r="H22" s="3"/>
      <c r="I22" s="2">
        <v>294</v>
      </c>
      <c r="J22" s="2" t="s">
        <v>3</v>
      </c>
      <c r="K22" s="2" t="s">
        <v>28</v>
      </c>
      <c r="N22" s="5">
        <f t="shared" ref="N22:O22" si="4">E22 - E7</f>
        <v>2.2360000000000005E-2</v>
      </c>
      <c r="O22" s="6">
        <f t="shared" si="4"/>
        <v>0.48405253283302052</v>
      </c>
    </row>
    <row r="23" spans="1:16" x14ac:dyDescent="0.2">
      <c r="A23" s="1" t="s">
        <v>0</v>
      </c>
      <c r="B23" s="2" t="s">
        <v>5</v>
      </c>
      <c r="C23" s="2">
        <v>12.5</v>
      </c>
      <c r="D23" s="2">
        <v>11.5</v>
      </c>
      <c r="E23" s="12">
        <v>6.3E-2</v>
      </c>
      <c r="F23" s="2">
        <v>1</v>
      </c>
      <c r="G23" s="14">
        <v>6.3000000000000003E-4</v>
      </c>
      <c r="H23" s="3"/>
      <c r="I23" s="2">
        <v>294</v>
      </c>
      <c r="J23" s="2" t="s">
        <v>3</v>
      </c>
      <c r="K23" s="2" t="s">
        <v>29</v>
      </c>
      <c r="N23" s="5">
        <f t="shared" ref="N23:O23" si="5">E23 - E8</f>
        <v>2.5329999999999998E-2</v>
      </c>
      <c r="O23" s="6">
        <f t="shared" si="5"/>
        <v>0.49561985664985408</v>
      </c>
    </row>
    <row r="24" spans="1:16" x14ac:dyDescent="0.2">
      <c r="A24" s="1" t="s">
        <v>0</v>
      </c>
      <c r="B24" s="2" t="s">
        <v>31</v>
      </c>
      <c r="C24" s="2">
        <v>12.5</v>
      </c>
      <c r="D24" s="2">
        <v>11.5</v>
      </c>
      <c r="E24" s="12">
        <v>7.0000000000000007E-2</v>
      </c>
      <c r="F24" s="2">
        <v>1</v>
      </c>
      <c r="G24" s="14">
        <v>6.9999999999999999E-4</v>
      </c>
      <c r="H24" s="3"/>
      <c r="I24" s="2">
        <v>294</v>
      </c>
      <c r="J24" s="2" t="s">
        <v>3</v>
      </c>
      <c r="K24" s="2" t="s">
        <v>28</v>
      </c>
      <c r="N24" s="5">
        <f t="shared" ref="N24:O24" si="6">E24 - E9</f>
        <v>-1.6699999999999909E-3</v>
      </c>
      <c r="O24" s="6">
        <f t="shared" si="6"/>
        <v>0.40002790567880564</v>
      </c>
    </row>
    <row r="25" spans="1:16" x14ac:dyDescent="0.2">
      <c r="A25" s="1" t="s">
        <v>0</v>
      </c>
      <c r="B25" s="2" t="s">
        <v>31</v>
      </c>
      <c r="C25" s="2">
        <v>12.5</v>
      </c>
      <c r="D25" s="2">
        <v>11.5</v>
      </c>
      <c r="E25" s="12">
        <v>6.8000000000000005E-2</v>
      </c>
      <c r="F25" s="2">
        <v>1</v>
      </c>
      <c r="G25" s="14">
        <v>6.8000000000000005E-4</v>
      </c>
      <c r="H25" s="3"/>
      <c r="I25" s="2">
        <v>294</v>
      </c>
      <c r="J25" s="2" t="s">
        <v>3</v>
      </c>
      <c r="K25" s="2" t="s">
        <v>29</v>
      </c>
      <c r="N25" s="5">
        <f t="shared" ref="N25:O25" si="7">E25 - E10</f>
        <v>5.2299999999999985E-3</v>
      </c>
      <c r="O25" s="6">
        <f t="shared" si="7"/>
        <v>0.3946152620678669</v>
      </c>
    </row>
    <row r="26" spans="1:16" x14ac:dyDescent="0.2">
      <c r="A26" s="1" t="s">
        <v>0</v>
      </c>
      <c r="B26" s="2" t="s">
        <v>32</v>
      </c>
      <c r="C26" s="2">
        <v>12.5</v>
      </c>
      <c r="D26" s="2">
        <v>11.5</v>
      </c>
      <c r="E26" s="12">
        <v>7.6999999999999999E-2</v>
      </c>
      <c r="F26" s="2">
        <v>1</v>
      </c>
      <c r="G26" s="14">
        <v>7.6999999999999996E-4</v>
      </c>
      <c r="H26" s="3"/>
      <c r="I26" s="2">
        <v>294</v>
      </c>
      <c r="J26" s="2" t="s">
        <v>3</v>
      </c>
      <c r="K26" s="2" t="s">
        <v>28</v>
      </c>
      <c r="N26" s="5">
        <f t="shared" ref="N26:O26" si="8">E26 - E11</f>
        <v>1.9319999999999997E-2</v>
      </c>
      <c r="O26" s="6">
        <f t="shared" si="8"/>
        <v>-0.14424410540915389</v>
      </c>
    </row>
    <row r="27" spans="1:16" x14ac:dyDescent="0.2">
      <c r="A27" s="1" t="s">
        <v>0</v>
      </c>
      <c r="B27" s="2" t="s">
        <v>32</v>
      </c>
      <c r="C27" s="2">
        <v>12.5</v>
      </c>
      <c r="D27" s="2">
        <v>11.5</v>
      </c>
      <c r="E27" s="12">
        <v>7.4999999999999997E-2</v>
      </c>
      <c r="F27" s="2">
        <v>1</v>
      </c>
      <c r="G27" s="14">
        <v>7.5000000000000002E-4</v>
      </c>
      <c r="H27" s="3"/>
      <c r="I27" s="2">
        <v>294</v>
      </c>
      <c r="J27" s="2" t="s">
        <v>3</v>
      </c>
      <c r="K27" s="2" t="s">
        <v>29</v>
      </c>
      <c r="N27" s="5">
        <f t="shared" ref="N27:O27" si="9">E27 - E12</f>
        <v>2.4119999999999996E-2</v>
      </c>
      <c r="O27" s="6">
        <f t="shared" si="9"/>
        <v>-4.1666666666666519E-2</v>
      </c>
    </row>
    <row r="28" spans="1:16" x14ac:dyDescent="0.2">
      <c r="A28" s="1" t="s">
        <v>0</v>
      </c>
      <c r="B28" s="2" t="s">
        <v>8</v>
      </c>
      <c r="C28" s="2">
        <v>12.5</v>
      </c>
      <c r="D28" s="2">
        <v>11.5</v>
      </c>
      <c r="E28" s="12">
        <v>0.06</v>
      </c>
      <c r="F28" s="2">
        <v>1</v>
      </c>
      <c r="G28" s="14">
        <v>5.9999999999999995E-4</v>
      </c>
      <c r="H28" s="3"/>
      <c r="I28" s="2">
        <v>294</v>
      </c>
      <c r="J28" s="2" t="s">
        <v>3</v>
      </c>
      <c r="K28" s="2" t="s">
        <v>28</v>
      </c>
      <c r="N28" s="5">
        <f t="shared" ref="N28:O28" si="10">E28 - E13</f>
        <v>1.5829999999999997E-2</v>
      </c>
      <c r="O28" s="6">
        <f t="shared" si="10"/>
        <v>0.47928458229567583</v>
      </c>
    </row>
    <row r="29" spans="1:16" x14ac:dyDescent="0.2">
      <c r="A29" s="1" t="s">
        <v>0</v>
      </c>
      <c r="B29" s="2" t="s">
        <v>8</v>
      </c>
      <c r="C29" s="2">
        <v>12.5</v>
      </c>
      <c r="D29" s="2">
        <v>11.5</v>
      </c>
      <c r="E29" s="12">
        <v>5.8000000000000003E-2</v>
      </c>
      <c r="F29" s="2">
        <v>1</v>
      </c>
      <c r="G29" s="14">
        <v>5.8E-4</v>
      </c>
      <c r="H29" s="3"/>
      <c r="I29" s="2">
        <v>294</v>
      </c>
      <c r="J29" s="2" t="s">
        <v>3</v>
      </c>
      <c r="K29" s="2" t="s">
        <v>29</v>
      </c>
      <c r="N29" s="5">
        <f t="shared" ref="N29:O29" si="11">E29 - E14</f>
        <v>2.0210000000000006E-2</v>
      </c>
      <c r="O29" s="6">
        <f t="shared" si="11"/>
        <v>0.41783540619211423</v>
      </c>
    </row>
    <row r="31" spans="1:16" x14ac:dyDescent="0.2">
      <c r="A31" s="1" t="s">
        <v>0</v>
      </c>
      <c r="B31" s="2" t="s">
        <v>27</v>
      </c>
      <c r="C31" s="2">
        <v>12.5</v>
      </c>
      <c r="D31" s="2">
        <v>11.5</v>
      </c>
      <c r="E31" s="12">
        <v>5.8130000000000001E-2</v>
      </c>
      <c r="F31" s="2">
        <v>0.53</v>
      </c>
      <c r="G31" s="14">
        <v>3.08089E-4</v>
      </c>
      <c r="H31" s="3"/>
      <c r="I31" s="2">
        <v>294</v>
      </c>
      <c r="J31" s="2" t="s">
        <v>3</v>
      </c>
      <c r="K31" s="2" t="s">
        <v>29</v>
      </c>
      <c r="N31" s="4">
        <f t="shared" ref="N31:N42" si="12">E31-E3</f>
        <v>0</v>
      </c>
      <c r="O31" s="6">
        <f t="shared" ref="O31:O42" si="13">F31-F3</f>
        <v>-3.2874591432994205E-3</v>
      </c>
      <c r="P31" s="4">
        <f t="shared" ref="P31:P42" si="14">G31-G3</f>
        <v>-1.9110000000000025E-6</v>
      </c>
    </row>
    <row r="32" spans="1:16" x14ac:dyDescent="0.2">
      <c r="A32" s="1" t="s">
        <v>0</v>
      </c>
      <c r="B32" s="2" t="s">
        <v>27</v>
      </c>
      <c r="C32" s="2">
        <v>12.5</v>
      </c>
      <c r="D32" s="2">
        <v>11.5</v>
      </c>
      <c r="E32" s="12">
        <v>5.0799999999999998E-2</v>
      </c>
      <c r="F32" s="2">
        <v>0.53</v>
      </c>
      <c r="G32" s="14">
        <v>2.6924000000000002E-4</v>
      </c>
      <c r="H32" s="3"/>
      <c r="I32" s="2">
        <v>294</v>
      </c>
      <c r="J32" s="2" t="s">
        <v>3</v>
      </c>
      <c r="K32" s="2" t="s">
        <v>28</v>
      </c>
      <c r="N32" s="4">
        <f t="shared" si="12"/>
        <v>0</v>
      </c>
      <c r="O32" s="6">
        <f t="shared" si="13"/>
        <v>-1.4960629921260127E-3</v>
      </c>
      <c r="P32" s="4">
        <f t="shared" si="14"/>
        <v>-7.5999999999998595E-7</v>
      </c>
    </row>
    <row r="33" spans="1:16" x14ac:dyDescent="0.2">
      <c r="A33" s="1" t="s">
        <v>0</v>
      </c>
      <c r="B33" s="2" t="s">
        <v>30</v>
      </c>
      <c r="C33" s="2">
        <v>12.5</v>
      </c>
      <c r="D33" s="2">
        <v>11.5</v>
      </c>
      <c r="E33" s="12">
        <v>7.9990000000000006E-2</v>
      </c>
      <c r="F33" s="2">
        <v>0.55000000000000004</v>
      </c>
      <c r="G33" s="14">
        <v>4.3994500000000002E-4</v>
      </c>
      <c r="H33" s="3"/>
      <c r="I33" s="2">
        <v>294</v>
      </c>
      <c r="J33" s="2" t="s">
        <v>3</v>
      </c>
      <c r="K33" s="2" t="s">
        <v>29</v>
      </c>
      <c r="N33" s="4">
        <f t="shared" si="12"/>
        <v>0</v>
      </c>
      <c r="O33" s="6">
        <f t="shared" si="13"/>
        <v>-6.8758594824358532E-5</v>
      </c>
      <c r="P33" s="4">
        <f t="shared" si="14"/>
        <v>-5.4999999999998626E-8</v>
      </c>
    </row>
    <row r="34" spans="1:16" x14ac:dyDescent="0.2">
      <c r="A34" s="1" t="s">
        <v>0</v>
      </c>
      <c r="B34" s="2" t="s">
        <v>30</v>
      </c>
      <c r="C34" s="2">
        <v>12.5</v>
      </c>
      <c r="D34" s="2">
        <v>11.5</v>
      </c>
      <c r="E34" s="12">
        <v>7.2919999999999999E-2</v>
      </c>
      <c r="F34" s="2">
        <v>0.71</v>
      </c>
      <c r="G34" s="14">
        <v>5.1773200000000002E-4</v>
      </c>
      <c r="H34" s="3"/>
      <c r="I34" s="2">
        <v>294</v>
      </c>
      <c r="J34" s="2" t="s">
        <v>3</v>
      </c>
      <c r="K34" s="2" t="s">
        <v>28</v>
      </c>
      <c r="N34" s="4">
        <f t="shared" si="12"/>
        <v>0</v>
      </c>
      <c r="O34" s="6">
        <f t="shared" si="13"/>
        <v>-3.1102578167855333E-3</v>
      </c>
      <c r="P34" s="4">
        <f t="shared" si="14"/>
        <v>-2.2679999999999315E-6</v>
      </c>
    </row>
    <row r="35" spans="1:16" x14ac:dyDescent="0.2">
      <c r="A35" s="1" t="s">
        <v>0</v>
      </c>
      <c r="B35" s="2" t="s">
        <v>5</v>
      </c>
      <c r="C35" s="2">
        <v>12.5</v>
      </c>
      <c r="D35" s="2">
        <v>11.5</v>
      </c>
      <c r="E35" s="12">
        <v>4.2639999999999997E-2</v>
      </c>
      <c r="F35" s="2">
        <v>0.52</v>
      </c>
      <c r="G35" s="14">
        <v>2.21728E-4</v>
      </c>
      <c r="H35" s="3"/>
      <c r="I35" s="2">
        <v>294</v>
      </c>
      <c r="J35" s="2" t="s">
        <v>3</v>
      </c>
      <c r="K35" s="2" t="s">
        <v>29</v>
      </c>
      <c r="N35" s="4">
        <f t="shared" si="12"/>
        <v>0</v>
      </c>
      <c r="O35" s="6">
        <f t="shared" si="13"/>
        <v>4.052532833020539E-3</v>
      </c>
      <c r="P35" s="4">
        <f t="shared" si="14"/>
        <v>1.7279999999999943E-6</v>
      </c>
    </row>
    <row r="36" spans="1:16" x14ac:dyDescent="0.2">
      <c r="A36" s="1" t="s">
        <v>0</v>
      </c>
      <c r="B36" s="2" t="s">
        <v>5</v>
      </c>
      <c r="C36" s="2">
        <v>12.5</v>
      </c>
      <c r="D36" s="2">
        <v>11.5</v>
      </c>
      <c r="E36" s="12">
        <v>3.7670000000000002E-2</v>
      </c>
      <c r="F36" s="2">
        <v>0.5</v>
      </c>
      <c r="G36" s="14">
        <v>1.8835E-4</v>
      </c>
      <c r="H36" s="3"/>
      <c r="I36" s="2">
        <v>294</v>
      </c>
      <c r="J36" s="2" t="s">
        <v>3</v>
      </c>
      <c r="K36" s="2" t="s">
        <v>28</v>
      </c>
      <c r="N36" s="4">
        <f t="shared" si="12"/>
        <v>0</v>
      </c>
      <c r="O36" s="6">
        <f t="shared" si="13"/>
        <v>-4.3801433501459153E-3</v>
      </c>
      <c r="P36" s="4">
        <f t="shared" si="14"/>
        <v>-1.650000000000013E-6</v>
      </c>
    </row>
    <row r="37" spans="1:16" x14ac:dyDescent="0.2">
      <c r="A37" s="1" t="s">
        <v>0</v>
      </c>
      <c r="B37" s="2" t="s">
        <v>31</v>
      </c>
      <c r="C37" s="2">
        <v>12.5</v>
      </c>
      <c r="D37" s="2">
        <v>11.5</v>
      </c>
      <c r="E37" s="12">
        <v>7.1669999999999998E-2</v>
      </c>
      <c r="F37" s="2">
        <v>0.6</v>
      </c>
      <c r="G37" s="14">
        <v>4.3001999999999998E-4</v>
      </c>
      <c r="H37" s="3"/>
      <c r="I37" s="2">
        <v>294</v>
      </c>
      <c r="J37" s="2" t="s">
        <v>3</v>
      </c>
      <c r="K37" s="2" t="s">
        <v>29</v>
      </c>
      <c r="N37" s="4">
        <f t="shared" si="12"/>
        <v>0</v>
      </c>
      <c r="O37" s="6">
        <f t="shared" si="13"/>
        <v>2.7905678805617562E-5</v>
      </c>
      <c r="P37" s="4">
        <f t="shared" si="14"/>
        <v>1.9999999999989644E-8</v>
      </c>
    </row>
    <row r="38" spans="1:16" x14ac:dyDescent="0.2">
      <c r="A38" s="1" t="s">
        <v>0</v>
      </c>
      <c r="B38" s="2" t="s">
        <v>31</v>
      </c>
      <c r="C38" s="2">
        <v>12.5</v>
      </c>
      <c r="D38" s="2">
        <v>11.5</v>
      </c>
      <c r="E38" s="12">
        <v>6.2770000000000006E-2</v>
      </c>
      <c r="F38" s="2">
        <v>0.61</v>
      </c>
      <c r="G38" s="14">
        <v>3.8289699999999999E-4</v>
      </c>
      <c r="H38" s="3"/>
      <c r="I38" s="2">
        <v>294</v>
      </c>
      <c r="J38" s="2" t="s">
        <v>3</v>
      </c>
      <c r="K38" s="2" t="s">
        <v>28</v>
      </c>
      <c r="N38" s="4">
        <f t="shared" si="12"/>
        <v>0</v>
      </c>
      <c r="O38" s="6">
        <f t="shared" si="13"/>
        <v>4.6152620678668876E-3</v>
      </c>
      <c r="P38" s="4">
        <f t="shared" si="14"/>
        <v>2.896999999999969E-6</v>
      </c>
    </row>
    <row r="39" spans="1:16" x14ac:dyDescent="0.2">
      <c r="A39" s="1" t="s">
        <v>0</v>
      </c>
      <c r="B39" s="2" t="s">
        <v>32</v>
      </c>
      <c r="C39" s="2">
        <v>12.5</v>
      </c>
      <c r="D39" s="2">
        <v>11.5</v>
      </c>
      <c r="E39" s="12">
        <v>5.7680000000000002E-2</v>
      </c>
      <c r="F39" s="2">
        <v>1.1399999999999999</v>
      </c>
      <c r="G39" s="14">
        <v>6.5755200000000005E-4</v>
      </c>
      <c r="H39" s="3"/>
      <c r="I39" s="2">
        <v>294</v>
      </c>
      <c r="J39" s="2" t="s">
        <v>3</v>
      </c>
      <c r="K39" s="2" t="s">
        <v>29</v>
      </c>
      <c r="N39" s="4">
        <f t="shared" si="12"/>
        <v>0</v>
      </c>
      <c r="O39" s="6">
        <f t="shared" si="13"/>
        <v>-4.2441054091539865E-3</v>
      </c>
      <c r="P39" s="4">
        <f t="shared" si="14"/>
        <v>-2.4479999999999467E-6</v>
      </c>
    </row>
    <row r="40" spans="1:16" x14ac:dyDescent="0.2">
      <c r="A40" s="1" t="s">
        <v>0</v>
      </c>
      <c r="B40" s="2" t="s">
        <v>32</v>
      </c>
      <c r="C40" s="2">
        <v>12.5</v>
      </c>
      <c r="D40" s="2">
        <v>11.5</v>
      </c>
      <c r="E40" s="12">
        <v>5.0880000000000002E-2</v>
      </c>
      <c r="F40" s="2">
        <v>1.04</v>
      </c>
      <c r="G40" s="14">
        <v>5.2895999999999998E-4</v>
      </c>
      <c r="H40" s="3"/>
      <c r="I40" s="2">
        <v>294</v>
      </c>
      <c r="J40" s="2" t="s">
        <v>3</v>
      </c>
      <c r="K40" s="2" t="s">
        <v>28</v>
      </c>
      <c r="N40" s="4">
        <f t="shared" si="12"/>
        <v>0</v>
      </c>
      <c r="O40" s="6">
        <f t="shared" si="13"/>
        <v>-1.6666666666664831E-3</v>
      </c>
      <c r="P40" s="4">
        <f t="shared" si="14"/>
        <v>-1.0400000000000036E-6</v>
      </c>
    </row>
    <row r="41" spans="1:16" x14ac:dyDescent="0.2">
      <c r="A41" s="1" t="s">
        <v>0</v>
      </c>
      <c r="B41" s="2" t="s">
        <v>8</v>
      </c>
      <c r="C41" s="2">
        <v>12.5</v>
      </c>
      <c r="D41" s="2">
        <v>11.5</v>
      </c>
      <c r="E41" s="12">
        <v>4.4170000000000001E-2</v>
      </c>
      <c r="F41" s="2">
        <v>0.52</v>
      </c>
      <c r="G41" s="14">
        <v>2.2968399999999999E-4</v>
      </c>
      <c r="H41" s="3"/>
      <c r="I41" s="2">
        <v>294</v>
      </c>
      <c r="J41" s="2" t="s">
        <v>3</v>
      </c>
      <c r="K41" s="2" t="s">
        <v>29</v>
      </c>
      <c r="N41" s="4">
        <f t="shared" si="12"/>
        <v>0</v>
      </c>
      <c r="O41" s="6">
        <f t="shared" si="13"/>
        <v>-7.1541770432415053E-4</v>
      </c>
      <c r="P41" s="4">
        <f t="shared" si="14"/>
        <v>-3.1600000000001527E-7</v>
      </c>
    </row>
    <row r="42" spans="1:16" x14ac:dyDescent="0.2">
      <c r="A42" s="1" t="s">
        <v>0</v>
      </c>
      <c r="B42" s="2" t="s">
        <v>8</v>
      </c>
      <c r="C42" s="2">
        <v>12.5</v>
      </c>
      <c r="D42" s="2">
        <v>11.5</v>
      </c>
      <c r="E42" s="12">
        <v>3.7789999999999997E-2</v>
      </c>
      <c r="F42" s="2">
        <v>0.53</v>
      </c>
      <c r="G42" s="14">
        <v>2.00387E-4</v>
      </c>
      <c r="H42" s="3"/>
      <c r="I42" s="2">
        <v>294</v>
      </c>
      <c r="J42" s="2" t="s">
        <v>3</v>
      </c>
      <c r="K42" s="2" t="s">
        <v>28</v>
      </c>
      <c r="N42" s="4">
        <f t="shared" si="12"/>
        <v>0</v>
      </c>
      <c r="O42" s="6">
        <f t="shared" si="13"/>
        <v>-5.216459380788574E-2</v>
      </c>
      <c r="P42" s="4">
        <f t="shared" si="14"/>
        <v>-1.9613000000000003E-5</v>
      </c>
    </row>
    <row r="44" spans="1:16" ht="27" x14ac:dyDescent="0.35">
      <c r="A44" s="7" t="s">
        <v>41</v>
      </c>
    </row>
    <row r="45" spans="1:16" x14ac:dyDescent="0.2">
      <c r="A45" s="1" t="s">
        <v>18</v>
      </c>
      <c r="B45" s="1" t="s">
        <v>19</v>
      </c>
      <c r="C45" s="1" t="s">
        <v>20</v>
      </c>
      <c r="D45" s="1" t="s">
        <v>21</v>
      </c>
      <c r="E45" s="1" t="s">
        <v>42</v>
      </c>
      <c r="F45" s="1" t="s">
        <v>22</v>
      </c>
      <c r="G45" s="1" t="s">
        <v>43</v>
      </c>
      <c r="H45" s="1" t="s">
        <v>23</v>
      </c>
      <c r="I45" s="1" t="s">
        <v>24</v>
      </c>
      <c r="J45" s="1" t="s">
        <v>25</v>
      </c>
      <c r="K45" s="1" t="s">
        <v>26</v>
      </c>
    </row>
    <row r="46" spans="1:16" x14ac:dyDescent="0.2">
      <c r="A46" s="1" t="s">
        <v>0</v>
      </c>
      <c r="B46" s="2" t="s">
        <v>44</v>
      </c>
      <c r="C46" s="2">
        <v>7.5</v>
      </c>
      <c r="D46" s="2">
        <v>6.5</v>
      </c>
      <c r="E46" s="2">
        <v>6.3200000000000006E-2</v>
      </c>
      <c r="F46" s="2">
        <v>1.9</v>
      </c>
      <c r="G46" s="2">
        <v>1.1999999999999999E-3</v>
      </c>
      <c r="H46" s="2">
        <v>0.67</v>
      </c>
      <c r="I46" s="2">
        <v>296</v>
      </c>
      <c r="J46" s="2" t="s">
        <v>3</v>
      </c>
      <c r="K46" s="2" t="s">
        <v>46</v>
      </c>
    </row>
    <row r="47" spans="1:16" x14ac:dyDescent="0.2">
      <c r="A47" s="1" t="s">
        <v>0</v>
      </c>
      <c r="B47" s="2" t="s">
        <v>44</v>
      </c>
      <c r="C47" s="2">
        <v>4.5</v>
      </c>
      <c r="D47" s="2">
        <v>5.5</v>
      </c>
      <c r="E47" s="2">
        <v>6.5500000000000003E-2</v>
      </c>
      <c r="F47" s="2">
        <v>1.53</v>
      </c>
      <c r="G47" s="2">
        <v>1E-3</v>
      </c>
      <c r="H47" s="2">
        <v>0.72</v>
      </c>
      <c r="I47" s="2">
        <v>296</v>
      </c>
      <c r="J47" s="2" t="s">
        <v>3</v>
      </c>
      <c r="K47" s="2" t="s">
        <v>46</v>
      </c>
    </row>
    <row r="48" spans="1:16" x14ac:dyDescent="0.2">
      <c r="A48" s="1" t="s">
        <v>0</v>
      </c>
      <c r="B48" s="2" t="s">
        <v>44</v>
      </c>
      <c r="C48" s="2">
        <v>3.5</v>
      </c>
      <c r="D48" s="2">
        <v>2.5</v>
      </c>
      <c r="E48" s="2">
        <v>6.5299999999999997E-2</v>
      </c>
      <c r="F48" s="2">
        <v>1.38</v>
      </c>
      <c r="G48" s="2">
        <v>8.9999999999999998E-4</v>
      </c>
      <c r="H48" s="2" t="s">
        <v>45</v>
      </c>
      <c r="I48" s="2">
        <v>296</v>
      </c>
      <c r="J48" s="2" t="s">
        <v>3</v>
      </c>
      <c r="K48" s="2" t="s">
        <v>47</v>
      </c>
    </row>
    <row r="49" spans="1:11" x14ac:dyDescent="0.2">
      <c r="A49" s="1" t="s">
        <v>0</v>
      </c>
      <c r="B49" s="2" t="s">
        <v>44</v>
      </c>
      <c r="C49" s="2">
        <v>2.5</v>
      </c>
      <c r="D49" s="2">
        <v>3.5</v>
      </c>
      <c r="E49" s="2">
        <v>6.7299999999999999E-2</v>
      </c>
      <c r="F49" s="2">
        <v>1.49</v>
      </c>
      <c r="G49" s="2">
        <v>1E-3</v>
      </c>
      <c r="H49" s="2" t="s">
        <v>45</v>
      </c>
      <c r="I49" s="2">
        <v>296</v>
      </c>
      <c r="J49" s="2" t="s">
        <v>3</v>
      </c>
      <c r="K49" s="2" t="s">
        <v>47</v>
      </c>
    </row>
    <row r="50" spans="1:11" x14ac:dyDescent="0.2">
      <c r="A50" s="1" t="s">
        <v>0</v>
      </c>
      <c r="B50" s="2" t="s">
        <v>1</v>
      </c>
      <c r="C50" s="2">
        <v>7.5</v>
      </c>
      <c r="D50" s="2">
        <v>6.5</v>
      </c>
      <c r="E50" s="2">
        <v>6.2799999999999995E-2</v>
      </c>
      <c r="F50" s="2">
        <v>1.59</v>
      </c>
      <c r="G50" s="2">
        <v>1E-3</v>
      </c>
      <c r="H50" s="2">
        <v>0.69</v>
      </c>
      <c r="I50" s="2">
        <v>296</v>
      </c>
      <c r="J50" s="2" t="s">
        <v>3</v>
      </c>
      <c r="K50" s="2" t="s">
        <v>48</v>
      </c>
    </row>
    <row r="51" spans="1:11" x14ac:dyDescent="0.2">
      <c r="A51" s="1" t="s">
        <v>0</v>
      </c>
      <c r="B51" s="2" t="s">
        <v>1</v>
      </c>
      <c r="C51" s="2">
        <v>4.5</v>
      </c>
      <c r="D51" s="2">
        <v>5.5</v>
      </c>
      <c r="E51" s="2">
        <v>6.5100000000000005E-2</v>
      </c>
      <c r="F51" s="2">
        <v>1.54</v>
      </c>
      <c r="G51" s="2">
        <v>1E-3</v>
      </c>
      <c r="H51" s="2">
        <v>0.74</v>
      </c>
      <c r="I51" s="2">
        <v>296</v>
      </c>
      <c r="J51" s="2" t="s">
        <v>3</v>
      </c>
      <c r="K51" s="2" t="s">
        <v>48</v>
      </c>
    </row>
    <row r="52" spans="1:11" x14ac:dyDescent="0.2">
      <c r="A52" s="1" t="s">
        <v>0</v>
      </c>
      <c r="B52" s="2" t="s">
        <v>1</v>
      </c>
      <c r="C52" s="2">
        <v>3.5</v>
      </c>
      <c r="D52" s="2">
        <v>2.5</v>
      </c>
      <c r="E52" s="2">
        <v>6.4899999999999999E-2</v>
      </c>
      <c r="F52" s="2">
        <v>1.54</v>
      </c>
      <c r="G52" s="2">
        <v>1E-3</v>
      </c>
      <c r="H52" s="2" t="s">
        <v>45</v>
      </c>
      <c r="I52" s="2">
        <v>296</v>
      </c>
      <c r="J52" s="2" t="s">
        <v>3</v>
      </c>
      <c r="K52" s="2" t="s">
        <v>49</v>
      </c>
    </row>
    <row r="53" spans="1:11" x14ac:dyDescent="0.2">
      <c r="A53" s="1" t="s">
        <v>0</v>
      </c>
      <c r="B53" s="2" t="s">
        <v>1</v>
      </c>
      <c r="C53" s="2">
        <v>2.5</v>
      </c>
      <c r="D53" s="2">
        <v>3.5</v>
      </c>
      <c r="E53" s="2">
        <v>6.7199999999999996E-2</v>
      </c>
      <c r="F53" s="2">
        <v>1.34</v>
      </c>
      <c r="G53" s="2">
        <v>8.9999999999999998E-4</v>
      </c>
      <c r="H53" s="2" t="s">
        <v>45</v>
      </c>
      <c r="I53" s="2">
        <v>296</v>
      </c>
      <c r="J53" s="2" t="s">
        <v>3</v>
      </c>
      <c r="K53" s="2" t="s">
        <v>49</v>
      </c>
    </row>
    <row r="54" spans="1:11" x14ac:dyDescent="0.2">
      <c r="A54" s="1" t="s">
        <v>0</v>
      </c>
      <c r="B54" s="2" t="s">
        <v>4</v>
      </c>
      <c r="C54" s="2">
        <v>7.5</v>
      </c>
      <c r="D54" s="2">
        <v>6.5</v>
      </c>
      <c r="E54" s="2">
        <v>8.6300000000000002E-2</v>
      </c>
      <c r="F54" s="2">
        <v>1.39</v>
      </c>
      <c r="G54" s="2">
        <v>1.1999999999999999E-3</v>
      </c>
      <c r="H54" s="2" t="s">
        <v>45</v>
      </c>
      <c r="I54" s="2">
        <v>296</v>
      </c>
      <c r="J54" s="2" t="s">
        <v>3</v>
      </c>
      <c r="K54" s="2" t="s">
        <v>49</v>
      </c>
    </row>
    <row r="55" spans="1:11" x14ac:dyDescent="0.2">
      <c r="A55" s="1" t="s">
        <v>0</v>
      </c>
      <c r="B55" s="2" t="s">
        <v>4</v>
      </c>
      <c r="C55" s="2">
        <v>4.5</v>
      </c>
      <c r="D55" s="2">
        <v>5.5</v>
      </c>
      <c r="E55" s="2">
        <v>9.11E-2</v>
      </c>
      <c r="F55" s="2">
        <v>1.32</v>
      </c>
      <c r="G55" s="2">
        <v>1.1999999999999999E-3</v>
      </c>
      <c r="H55" s="2" t="s">
        <v>45</v>
      </c>
      <c r="I55" s="2">
        <v>296</v>
      </c>
      <c r="J55" s="2" t="s">
        <v>3</v>
      </c>
      <c r="K55" s="2" t="s">
        <v>49</v>
      </c>
    </row>
    <row r="56" spans="1:11" x14ac:dyDescent="0.2">
      <c r="A56" s="1" t="s">
        <v>0</v>
      </c>
      <c r="B56" s="2" t="s">
        <v>4</v>
      </c>
      <c r="C56" s="2">
        <v>3.5</v>
      </c>
      <c r="D56" s="2">
        <v>2.5</v>
      </c>
      <c r="E56" s="2">
        <v>9.1300000000000006E-2</v>
      </c>
      <c r="F56" s="2">
        <v>1.31</v>
      </c>
      <c r="G56" s="2">
        <v>1.1999999999999999E-3</v>
      </c>
      <c r="H56" s="2" t="s">
        <v>45</v>
      </c>
      <c r="I56" s="2">
        <v>296</v>
      </c>
      <c r="J56" s="2" t="s">
        <v>3</v>
      </c>
      <c r="K56" s="2" t="s">
        <v>49</v>
      </c>
    </row>
    <row r="57" spans="1:11" x14ac:dyDescent="0.2">
      <c r="A57" s="1" t="s">
        <v>0</v>
      </c>
      <c r="B57" s="2" t="s">
        <v>4</v>
      </c>
      <c r="C57" s="2">
        <v>2.5</v>
      </c>
      <c r="D57" s="2">
        <v>3.5</v>
      </c>
      <c r="E57" s="2">
        <v>9.5399999999999999E-2</v>
      </c>
      <c r="F57" s="2">
        <v>1.1499999999999999</v>
      </c>
      <c r="G57" s="2">
        <v>1.1000000000000001E-3</v>
      </c>
      <c r="H57" s="2" t="s">
        <v>45</v>
      </c>
      <c r="I57" s="2">
        <v>296</v>
      </c>
      <c r="J57" s="2" t="s">
        <v>3</v>
      </c>
      <c r="K57" s="2" t="s">
        <v>49</v>
      </c>
    </row>
    <row r="58" spans="1:11" x14ac:dyDescent="0.2">
      <c r="A58" s="1" t="s">
        <v>0</v>
      </c>
      <c r="B58" s="2" t="s">
        <v>5</v>
      </c>
      <c r="C58" s="2">
        <v>7.5</v>
      </c>
      <c r="D58" s="2">
        <v>6.5</v>
      </c>
      <c r="E58" s="2">
        <v>4.36E-2</v>
      </c>
      <c r="F58" s="2">
        <v>2.29</v>
      </c>
      <c r="G58" s="2">
        <v>1E-3</v>
      </c>
      <c r="H58" s="2" t="s">
        <v>45</v>
      </c>
      <c r="I58" s="2">
        <v>296</v>
      </c>
      <c r="J58" s="2" t="s">
        <v>3</v>
      </c>
      <c r="K58" s="2" t="s">
        <v>49</v>
      </c>
    </row>
    <row r="59" spans="1:11" x14ac:dyDescent="0.2">
      <c r="A59" s="1" t="s">
        <v>0</v>
      </c>
      <c r="B59" s="2" t="s">
        <v>5</v>
      </c>
      <c r="C59" s="2">
        <v>4.5</v>
      </c>
      <c r="D59" s="2">
        <v>5.5</v>
      </c>
      <c r="E59" s="2">
        <v>4.6100000000000002E-2</v>
      </c>
      <c r="F59" s="2">
        <v>2.17</v>
      </c>
      <c r="G59" s="2">
        <v>1E-3</v>
      </c>
      <c r="H59" s="2" t="s">
        <v>45</v>
      </c>
      <c r="I59" s="2">
        <v>296</v>
      </c>
      <c r="J59" s="2" t="s">
        <v>3</v>
      </c>
      <c r="K59" s="2" t="s">
        <v>49</v>
      </c>
    </row>
    <row r="60" spans="1:11" x14ac:dyDescent="0.2">
      <c r="A60" s="1" t="s">
        <v>0</v>
      </c>
      <c r="B60" s="2" t="s">
        <v>5</v>
      </c>
      <c r="C60" s="2">
        <v>3.5</v>
      </c>
      <c r="D60" s="2">
        <v>2.5</v>
      </c>
      <c r="E60" s="2">
        <v>4.6300000000000001E-2</v>
      </c>
      <c r="F60" s="2">
        <v>2.16</v>
      </c>
      <c r="G60" s="2">
        <v>1E-3</v>
      </c>
      <c r="H60" s="2" t="s">
        <v>45</v>
      </c>
      <c r="I60" s="2">
        <v>296</v>
      </c>
      <c r="J60" s="2" t="s">
        <v>3</v>
      </c>
      <c r="K60" s="2" t="s">
        <v>49</v>
      </c>
    </row>
    <row r="61" spans="1:11" x14ac:dyDescent="0.2">
      <c r="A61" s="1" t="s">
        <v>0</v>
      </c>
      <c r="B61" s="2" t="s">
        <v>5</v>
      </c>
      <c r="C61" s="2">
        <v>2.5</v>
      </c>
      <c r="D61" s="2">
        <v>3.5</v>
      </c>
      <c r="E61" s="2">
        <v>4.8500000000000001E-2</v>
      </c>
      <c r="F61" s="2">
        <v>2.27</v>
      </c>
      <c r="G61" s="2">
        <v>1.1000000000000001E-3</v>
      </c>
      <c r="H61" s="2" t="s">
        <v>45</v>
      </c>
      <c r="I61" s="2">
        <v>296</v>
      </c>
      <c r="J61" s="2" t="s">
        <v>3</v>
      </c>
      <c r="K61" s="2" t="s">
        <v>49</v>
      </c>
    </row>
    <row r="62" spans="1:11" x14ac:dyDescent="0.2">
      <c r="A62" s="1" t="s">
        <v>0</v>
      </c>
      <c r="B62" s="2" t="s">
        <v>6</v>
      </c>
      <c r="C62" s="2">
        <v>7.5</v>
      </c>
      <c r="D62" s="2">
        <v>6.5</v>
      </c>
      <c r="E62" s="2">
        <v>6.3100000000000003E-2</v>
      </c>
      <c r="F62" s="2">
        <v>2.06</v>
      </c>
      <c r="G62" s="2">
        <v>1.2999999999999999E-3</v>
      </c>
      <c r="H62" s="2" t="s">
        <v>45</v>
      </c>
      <c r="I62" s="2">
        <v>296</v>
      </c>
      <c r="J62" s="2" t="s">
        <v>3</v>
      </c>
      <c r="K62" s="2" t="s">
        <v>49</v>
      </c>
    </row>
    <row r="63" spans="1:11" x14ac:dyDescent="0.2">
      <c r="A63" s="1" t="s">
        <v>0</v>
      </c>
      <c r="B63" s="2" t="s">
        <v>6</v>
      </c>
      <c r="C63" s="2">
        <v>4.5</v>
      </c>
      <c r="D63" s="2">
        <v>5.5</v>
      </c>
      <c r="E63" s="2">
        <v>5.9200000000000003E-2</v>
      </c>
      <c r="F63" s="2">
        <v>2.36</v>
      </c>
      <c r="G63" s="2">
        <v>1.4E-3</v>
      </c>
      <c r="H63" s="2" t="s">
        <v>45</v>
      </c>
      <c r="I63" s="2">
        <v>296</v>
      </c>
      <c r="J63" s="2" t="s">
        <v>3</v>
      </c>
      <c r="K63" s="2" t="s">
        <v>49</v>
      </c>
    </row>
    <row r="64" spans="1:11" x14ac:dyDescent="0.2">
      <c r="A64" s="1" t="s">
        <v>0</v>
      </c>
      <c r="B64" s="2" t="s">
        <v>6</v>
      </c>
      <c r="C64" s="2">
        <v>3.5</v>
      </c>
      <c r="D64" s="2">
        <v>2.5</v>
      </c>
      <c r="E64" s="2">
        <v>5.7299999999999997E-2</v>
      </c>
      <c r="F64" s="2">
        <v>2.44</v>
      </c>
      <c r="G64" s="2">
        <v>1.4E-3</v>
      </c>
      <c r="H64" s="2" t="s">
        <v>45</v>
      </c>
      <c r="I64" s="2">
        <v>296</v>
      </c>
      <c r="J64" s="2" t="s">
        <v>3</v>
      </c>
      <c r="K64" s="2" t="s">
        <v>49</v>
      </c>
    </row>
    <row r="65" spans="1:16" x14ac:dyDescent="0.2">
      <c r="A65" s="1" t="s">
        <v>0</v>
      </c>
      <c r="B65" s="2" t="s">
        <v>6</v>
      </c>
      <c r="C65" s="2">
        <v>2.5</v>
      </c>
      <c r="D65" s="2">
        <v>3.5</v>
      </c>
      <c r="E65" s="2">
        <v>5.5100000000000003E-2</v>
      </c>
      <c r="F65" s="2">
        <v>2.54</v>
      </c>
      <c r="G65" s="2">
        <v>1.4E-3</v>
      </c>
      <c r="H65" s="2" t="s">
        <v>45</v>
      </c>
      <c r="I65" s="2">
        <v>296</v>
      </c>
      <c r="J65" s="2" t="s">
        <v>3</v>
      </c>
      <c r="K65" s="2" t="s">
        <v>49</v>
      </c>
    </row>
    <row r="66" spans="1:16" x14ac:dyDescent="0.2">
      <c r="A66" s="1" t="s">
        <v>0</v>
      </c>
      <c r="B66" s="2" t="s">
        <v>7</v>
      </c>
      <c r="C66" s="2">
        <v>7.5</v>
      </c>
      <c r="D66" s="2">
        <v>6.5</v>
      </c>
      <c r="E66" s="2">
        <v>5.21E-2</v>
      </c>
      <c r="F66" s="2">
        <v>2.5</v>
      </c>
      <c r="G66" s="2">
        <v>1.2999999999999999E-3</v>
      </c>
      <c r="H66" s="2" t="s">
        <v>45</v>
      </c>
      <c r="I66" s="2">
        <v>296</v>
      </c>
      <c r="J66" s="2" t="s">
        <v>3</v>
      </c>
      <c r="K66" s="2" t="s">
        <v>49</v>
      </c>
    </row>
    <row r="67" spans="1:16" x14ac:dyDescent="0.2">
      <c r="A67" s="1" t="s">
        <v>0</v>
      </c>
      <c r="B67" s="2" t="s">
        <v>7</v>
      </c>
      <c r="C67" s="2">
        <v>4.5</v>
      </c>
      <c r="D67" s="2">
        <v>5.5</v>
      </c>
      <c r="E67" s="2">
        <v>5.5800000000000002E-2</v>
      </c>
      <c r="F67" s="2">
        <v>2.15</v>
      </c>
      <c r="G67" s="2">
        <v>1.1999999999999999E-3</v>
      </c>
      <c r="H67" s="2" t="s">
        <v>45</v>
      </c>
      <c r="I67" s="2">
        <v>296</v>
      </c>
      <c r="J67" s="2" t="s">
        <v>3</v>
      </c>
      <c r="K67" s="2" t="s">
        <v>49</v>
      </c>
    </row>
    <row r="68" spans="1:16" x14ac:dyDescent="0.2">
      <c r="A68" s="1" t="s">
        <v>0</v>
      </c>
      <c r="B68" s="2" t="s">
        <v>7</v>
      </c>
      <c r="C68" s="2">
        <v>3.5</v>
      </c>
      <c r="D68" s="2">
        <v>2.5</v>
      </c>
      <c r="E68" s="2">
        <v>5.5899999999999998E-2</v>
      </c>
      <c r="F68" s="2">
        <v>2.15</v>
      </c>
      <c r="G68" s="2">
        <v>1.1999999999999999E-3</v>
      </c>
      <c r="H68" s="2" t="s">
        <v>45</v>
      </c>
      <c r="I68" s="2">
        <v>296</v>
      </c>
      <c r="J68" s="2" t="s">
        <v>3</v>
      </c>
      <c r="K68" s="2" t="s">
        <v>49</v>
      </c>
    </row>
    <row r="69" spans="1:16" x14ac:dyDescent="0.2">
      <c r="A69" s="1" t="s">
        <v>0</v>
      </c>
      <c r="B69" s="2" t="s">
        <v>7</v>
      </c>
      <c r="C69" s="2">
        <v>2.5</v>
      </c>
      <c r="D69" s="2">
        <v>3.5</v>
      </c>
      <c r="E69" s="2">
        <v>5.8299999999999998E-2</v>
      </c>
      <c r="F69" s="2">
        <v>2.06</v>
      </c>
      <c r="G69" s="2">
        <v>1.1999999999999999E-3</v>
      </c>
      <c r="H69" s="2" t="s">
        <v>45</v>
      </c>
      <c r="I69" s="2">
        <v>296</v>
      </c>
      <c r="J69" s="2" t="s">
        <v>3</v>
      </c>
      <c r="K69" s="2" t="s">
        <v>49</v>
      </c>
    </row>
    <row r="70" spans="1:16" x14ac:dyDescent="0.2">
      <c r="A70" s="1" t="s">
        <v>0</v>
      </c>
      <c r="B70" s="2" t="s">
        <v>8</v>
      </c>
      <c r="C70" s="2">
        <v>7.5</v>
      </c>
      <c r="D70" s="2">
        <v>6.5</v>
      </c>
      <c r="E70" s="2">
        <v>4.9500000000000002E-2</v>
      </c>
      <c r="F70" s="2">
        <v>2.42</v>
      </c>
      <c r="G70" s="2">
        <v>1.1999999999999999E-3</v>
      </c>
      <c r="H70" s="2" t="s">
        <v>45</v>
      </c>
      <c r="I70" s="2">
        <v>296</v>
      </c>
      <c r="J70" s="2" t="s">
        <v>3</v>
      </c>
      <c r="K70" s="2" t="s">
        <v>50</v>
      </c>
    </row>
    <row r="71" spans="1:16" x14ac:dyDescent="0.2">
      <c r="A71" s="1" t="s">
        <v>0</v>
      </c>
      <c r="B71" s="2" t="s">
        <v>8</v>
      </c>
      <c r="C71" s="2">
        <v>4.5</v>
      </c>
      <c r="D71" s="2">
        <v>5.5</v>
      </c>
      <c r="E71" s="2">
        <v>5.1900000000000002E-2</v>
      </c>
      <c r="F71" s="2">
        <v>2.31</v>
      </c>
      <c r="G71" s="2">
        <v>1.1999999999999999E-3</v>
      </c>
      <c r="H71" s="2" t="s">
        <v>45</v>
      </c>
      <c r="I71" s="2">
        <v>296</v>
      </c>
      <c r="J71" s="2" t="s">
        <v>3</v>
      </c>
      <c r="K71" s="2" t="s">
        <v>50</v>
      </c>
    </row>
    <row r="72" spans="1:16" x14ac:dyDescent="0.2">
      <c r="A72" s="1" t="s">
        <v>0</v>
      </c>
      <c r="B72" s="2" t="s">
        <v>8</v>
      </c>
      <c r="C72" s="2">
        <v>3.5</v>
      </c>
      <c r="D72" s="2">
        <v>2.5</v>
      </c>
      <c r="E72" s="2">
        <v>5.1799999999999999E-2</v>
      </c>
      <c r="F72" s="2">
        <v>2.3199999999999998</v>
      </c>
      <c r="G72" s="2">
        <v>1.1999999999999999E-3</v>
      </c>
      <c r="H72" s="2" t="s">
        <v>45</v>
      </c>
      <c r="I72" s="2">
        <v>296</v>
      </c>
      <c r="J72" s="2" t="s">
        <v>3</v>
      </c>
      <c r="K72" s="2" t="s">
        <v>50</v>
      </c>
    </row>
    <row r="73" spans="1:16" x14ac:dyDescent="0.2">
      <c r="A73" s="1" t="s">
        <v>0</v>
      </c>
      <c r="B73" s="2" t="s">
        <v>8</v>
      </c>
      <c r="C73" s="2">
        <v>2.5</v>
      </c>
      <c r="D73" s="2">
        <v>3.5</v>
      </c>
      <c r="E73" s="2">
        <v>5.4300000000000001E-2</v>
      </c>
      <c r="F73" s="2">
        <v>2.4</v>
      </c>
      <c r="G73" s="2">
        <v>1.2999999999999999E-3</v>
      </c>
      <c r="H73" s="2" t="s">
        <v>45</v>
      </c>
      <c r="I73" s="2">
        <v>296</v>
      </c>
      <c r="J73" s="2" t="s">
        <v>3</v>
      </c>
      <c r="K73" s="2" t="s">
        <v>50</v>
      </c>
    </row>
    <row r="76" spans="1:16" ht="27" x14ac:dyDescent="0.35">
      <c r="A76" s="7" t="s">
        <v>55</v>
      </c>
    </row>
    <row r="77" spans="1:16" x14ac:dyDescent="0.2">
      <c r="A77" s="1" t="s">
        <v>18</v>
      </c>
      <c r="B77" s="1" t="s">
        <v>19</v>
      </c>
      <c r="C77" s="1" t="s">
        <v>20</v>
      </c>
      <c r="D77" s="1" t="s">
        <v>21</v>
      </c>
      <c r="E77" s="1" t="s">
        <v>51</v>
      </c>
      <c r="F77" s="1" t="s">
        <v>22</v>
      </c>
      <c r="G77" s="1" t="s">
        <v>52</v>
      </c>
      <c r="H77" s="1" t="s">
        <v>9</v>
      </c>
      <c r="I77" s="1" t="s">
        <v>24</v>
      </c>
      <c r="J77" s="1" t="s">
        <v>25</v>
      </c>
      <c r="K77" s="1" t="s">
        <v>26</v>
      </c>
      <c r="N77" s="1" t="s">
        <v>34</v>
      </c>
      <c r="O77" s="1" t="s">
        <v>33</v>
      </c>
    </row>
    <row r="78" spans="1:16" x14ac:dyDescent="0.2">
      <c r="A78" s="1" t="s">
        <v>0</v>
      </c>
      <c r="B78" s="2" t="s">
        <v>1</v>
      </c>
      <c r="C78" s="2">
        <v>12.5</v>
      </c>
      <c r="D78" s="2">
        <v>11.5</v>
      </c>
      <c r="E78" s="2">
        <v>5.8130000000000001E-2</v>
      </c>
      <c r="F78" s="2">
        <v>0.53</v>
      </c>
      <c r="G78" s="2">
        <v>3.1E-4</v>
      </c>
      <c r="H78" s="2" t="s">
        <v>45</v>
      </c>
      <c r="I78" s="2">
        <v>294</v>
      </c>
      <c r="J78" s="2" t="s">
        <v>3</v>
      </c>
      <c r="K78" s="2" t="s">
        <v>53</v>
      </c>
      <c r="N78" s="5">
        <f>E78 - E3</f>
        <v>0</v>
      </c>
      <c r="O78" s="5">
        <f>F78 - F3</f>
        <v>-3.2874591432994205E-3</v>
      </c>
      <c r="P78" s="5">
        <f t="shared" ref="O78:P91" si="15">G78 - G3</f>
        <v>0</v>
      </c>
    </row>
    <row r="79" spans="1:16" x14ac:dyDescent="0.2">
      <c r="A79" s="1" t="s">
        <v>0</v>
      </c>
      <c r="B79" s="2" t="s">
        <v>1</v>
      </c>
      <c r="C79" s="2">
        <v>12.5</v>
      </c>
      <c r="D79" s="2">
        <v>11.5</v>
      </c>
      <c r="E79" s="2">
        <v>5.0799999999999998E-2</v>
      </c>
      <c r="F79" s="2">
        <v>0.53</v>
      </c>
      <c r="G79" s="2">
        <v>2.7E-4</v>
      </c>
      <c r="H79" s="2" t="s">
        <v>45</v>
      </c>
      <c r="I79" s="2">
        <v>294</v>
      </c>
      <c r="J79" s="2" t="s">
        <v>3</v>
      </c>
      <c r="K79" s="2" t="s">
        <v>54</v>
      </c>
      <c r="N79" s="5">
        <f t="shared" ref="N79:N91" si="16">E79 - E4</f>
        <v>0</v>
      </c>
      <c r="O79" s="5">
        <f t="shared" si="15"/>
        <v>-1.4960629921260127E-3</v>
      </c>
      <c r="P79" s="5">
        <f t="shared" si="15"/>
        <v>0</v>
      </c>
    </row>
    <row r="80" spans="1:16" x14ac:dyDescent="0.2">
      <c r="A80" s="1" t="s">
        <v>0</v>
      </c>
      <c r="B80" s="2" t="s">
        <v>4</v>
      </c>
      <c r="C80" s="2">
        <v>12.5</v>
      </c>
      <c r="D80" s="2">
        <v>11.5</v>
      </c>
      <c r="E80" s="2">
        <v>7.9990000000000006E-2</v>
      </c>
      <c r="F80" s="2">
        <v>0.55000000000000004</v>
      </c>
      <c r="G80" s="2">
        <v>4.4000000000000002E-4</v>
      </c>
      <c r="H80" s="2" t="s">
        <v>45</v>
      </c>
      <c r="I80" s="2">
        <v>294</v>
      </c>
      <c r="J80" s="2" t="s">
        <v>3</v>
      </c>
      <c r="K80" s="2" t="s">
        <v>53</v>
      </c>
      <c r="N80" s="5">
        <f t="shared" si="16"/>
        <v>0</v>
      </c>
      <c r="O80" s="5">
        <f t="shared" si="15"/>
        <v>-6.8758594824358532E-5</v>
      </c>
      <c r="P80" s="5">
        <f t="shared" si="15"/>
        <v>0</v>
      </c>
    </row>
    <row r="81" spans="1:16" x14ac:dyDescent="0.2">
      <c r="A81" s="1" t="s">
        <v>0</v>
      </c>
      <c r="B81" s="2" t="s">
        <v>4</v>
      </c>
      <c r="C81" s="2">
        <v>12.5</v>
      </c>
      <c r="D81" s="2">
        <v>11.5</v>
      </c>
      <c r="E81" s="2">
        <v>7.2919999999999999E-2</v>
      </c>
      <c r="F81" s="2">
        <v>0.71</v>
      </c>
      <c r="G81" s="2">
        <v>5.1999999999999995E-4</v>
      </c>
      <c r="H81" s="2" t="s">
        <v>45</v>
      </c>
      <c r="I81" s="2">
        <v>294</v>
      </c>
      <c r="J81" s="2" t="s">
        <v>3</v>
      </c>
      <c r="K81" s="2" t="s">
        <v>54</v>
      </c>
      <c r="N81" s="5">
        <f t="shared" si="16"/>
        <v>0</v>
      </c>
      <c r="O81" s="5">
        <f t="shared" si="15"/>
        <v>-3.1102578167855333E-3</v>
      </c>
      <c r="P81" s="5">
        <f t="shared" si="15"/>
        <v>0</v>
      </c>
    </row>
    <row r="82" spans="1:16" x14ac:dyDescent="0.2">
      <c r="A82" s="1" t="s">
        <v>0</v>
      </c>
      <c r="B82" s="2" t="s">
        <v>5</v>
      </c>
      <c r="C82" s="2">
        <v>12.5</v>
      </c>
      <c r="D82" s="2">
        <v>11.5</v>
      </c>
      <c r="E82" s="2">
        <v>4.2639999999999997E-2</v>
      </c>
      <c r="F82" s="2">
        <v>0.52</v>
      </c>
      <c r="G82" s="2">
        <v>2.2000000000000001E-4</v>
      </c>
      <c r="H82" s="2" t="s">
        <v>45</v>
      </c>
      <c r="I82" s="2">
        <v>294</v>
      </c>
      <c r="J82" s="2" t="s">
        <v>3</v>
      </c>
      <c r="K82" s="2" t="s">
        <v>53</v>
      </c>
      <c r="N82" s="5">
        <f t="shared" si="16"/>
        <v>0</v>
      </c>
      <c r="O82" s="5">
        <f t="shared" si="15"/>
        <v>4.052532833020539E-3</v>
      </c>
      <c r="P82" s="5">
        <f t="shared" si="15"/>
        <v>0</v>
      </c>
    </row>
    <row r="83" spans="1:16" x14ac:dyDescent="0.2">
      <c r="A83" s="1" t="s">
        <v>0</v>
      </c>
      <c r="B83" s="2" t="s">
        <v>5</v>
      </c>
      <c r="C83" s="2">
        <v>12.5</v>
      </c>
      <c r="D83" s="2">
        <v>11.5</v>
      </c>
      <c r="E83" s="2">
        <v>3.7670000000000002E-2</v>
      </c>
      <c r="F83" s="2">
        <v>0.5</v>
      </c>
      <c r="G83" s="2">
        <v>1.9000000000000001E-4</v>
      </c>
      <c r="H83" s="2" t="s">
        <v>45</v>
      </c>
      <c r="I83" s="2">
        <v>294</v>
      </c>
      <c r="J83" s="2" t="s">
        <v>3</v>
      </c>
      <c r="K83" s="2" t="s">
        <v>54</v>
      </c>
      <c r="N83" s="5">
        <f t="shared" si="16"/>
        <v>0</v>
      </c>
      <c r="O83" s="5">
        <f t="shared" si="15"/>
        <v>-4.3801433501459153E-3</v>
      </c>
      <c r="P83" s="5">
        <f t="shared" si="15"/>
        <v>0</v>
      </c>
    </row>
    <row r="84" spans="1:16" x14ac:dyDescent="0.2">
      <c r="A84" s="1" t="s">
        <v>0</v>
      </c>
      <c r="B84" s="2" t="s">
        <v>6</v>
      </c>
      <c r="C84" s="2">
        <v>12.5</v>
      </c>
      <c r="D84" s="2">
        <v>11.5</v>
      </c>
      <c r="E84" s="2">
        <v>7.1669999999999998E-2</v>
      </c>
      <c r="F84" s="2">
        <v>0.6</v>
      </c>
      <c r="G84" s="2">
        <v>4.2999999999999999E-4</v>
      </c>
      <c r="H84" s="2" t="s">
        <v>45</v>
      </c>
      <c r="I84" s="2">
        <v>294</v>
      </c>
      <c r="J84" s="2" t="s">
        <v>3</v>
      </c>
      <c r="K84" s="2" t="s">
        <v>53</v>
      </c>
      <c r="N84" s="5">
        <f t="shared" si="16"/>
        <v>0</v>
      </c>
      <c r="O84" s="5">
        <f t="shared" si="15"/>
        <v>2.7905678805617562E-5</v>
      </c>
      <c r="P84" s="5">
        <f t="shared" si="15"/>
        <v>0</v>
      </c>
    </row>
    <row r="85" spans="1:16" x14ac:dyDescent="0.2">
      <c r="A85" s="1" t="s">
        <v>0</v>
      </c>
      <c r="B85" s="2" t="s">
        <v>6</v>
      </c>
      <c r="C85" s="2">
        <v>12.5</v>
      </c>
      <c r="D85" s="2">
        <v>11.5</v>
      </c>
      <c r="E85" s="2">
        <v>6.2770000000000006E-2</v>
      </c>
      <c r="F85" s="2">
        <v>0.61</v>
      </c>
      <c r="G85" s="2">
        <v>3.8000000000000002E-4</v>
      </c>
      <c r="H85" s="2" t="s">
        <v>45</v>
      </c>
      <c r="I85" s="2">
        <v>294</v>
      </c>
      <c r="J85" s="2" t="s">
        <v>3</v>
      </c>
      <c r="K85" s="2" t="s">
        <v>54</v>
      </c>
      <c r="N85" s="5">
        <f t="shared" si="16"/>
        <v>0</v>
      </c>
      <c r="O85" s="5">
        <f t="shared" si="15"/>
        <v>4.6152620678668876E-3</v>
      </c>
      <c r="P85" s="5">
        <f t="shared" si="15"/>
        <v>0</v>
      </c>
    </row>
    <row r="86" spans="1:16" x14ac:dyDescent="0.2">
      <c r="A86" s="1" t="s">
        <v>0</v>
      </c>
      <c r="B86" s="2" t="s">
        <v>7</v>
      </c>
      <c r="C86" s="2">
        <v>12.5</v>
      </c>
      <c r="D86" s="2">
        <v>11.5</v>
      </c>
      <c r="E86" s="2">
        <v>5.7680000000000002E-2</v>
      </c>
      <c r="F86" s="2">
        <v>1.1399999999999999</v>
      </c>
      <c r="G86" s="2">
        <v>6.6E-4</v>
      </c>
      <c r="H86" s="2" t="s">
        <v>45</v>
      </c>
      <c r="I86" s="2">
        <v>294</v>
      </c>
      <c r="J86" s="2" t="s">
        <v>3</v>
      </c>
      <c r="K86" s="2" t="s">
        <v>53</v>
      </c>
      <c r="N86" s="5">
        <f t="shared" si="16"/>
        <v>0</v>
      </c>
      <c r="O86" s="5">
        <f t="shared" si="15"/>
        <v>-4.2441054091539865E-3</v>
      </c>
      <c r="P86" s="5">
        <f t="shared" si="15"/>
        <v>0</v>
      </c>
    </row>
    <row r="87" spans="1:16" x14ac:dyDescent="0.2">
      <c r="A87" s="1" t="s">
        <v>0</v>
      </c>
      <c r="B87" s="2" t="s">
        <v>7</v>
      </c>
      <c r="C87" s="2">
        <v>12.5</v>
      </c>
      <c r="D87" s="2">
        <v>11.5</v>
      </c>
      <c r="E87" s="2">
        <v>5.0880000000000002E-2</v>
      </c>
      <c r="F87" s="2">
        <v>1.04</v>
      </c>
      <c r="G87" s="2">
        <v>5.2999999999999998E-4</v>
      </c>
      <c r="H87" s="2" t="s">
        <v>45</v>
      </c>
      <c r="I87" s="2">
        <v>294</v>
      </c>
      <c r="J87" s="2" t="s">
        <v>3</v>
      </c>
      <c r="K87" s="2" t="s">
        <v>54</v>
      </c>
      <c r="N87" s="5">
        <f t="shared" si="16"/>
        <v>0</v>
      </c>
      <c r="O87" s="5">
        <f t="shared" si="15"/>
        <v>-1.6666666666664831E-3</v>
      </c>
      <c r="P87" s="5">
        <f t="shared" si="15"/>
        <v>0</v>
      </c>
    </row>
    <row r="88" spans="1:16" x14ac:dyDescent="0.2">
      <c r="A88" s="1" t="s">
        <v>0</v>
      </c>
      <c r="B88" s="2" t="s">
        <v>8</v>
      </c>
      <c r="C88" s="2">
        <v>12.5</v>
      </c>
      <c r="D88" s="2">
        <v>11.5</v>
      </c>
      <c r="E88" s="2">
        <v>4.4170000000000001E-2</v>
      </c>
      <c r="F88" s="2">
        <v>0.52</v>
      </c>
      <c r="G88" s="2">
        <v>2.3000000000000001E-4</v>
      </c>
      <c r="H88" s="2" t="s">
        <v>45</v>
      </c>
      <c r="I88" s="2">
        <v>294</v>
      </c>
      <c r="J88" s="2" t="s">
        <v>3</v>
      </c>
      <c r="K88" s="2" t="s">
        <v>53</v>
      </c>
      <c r="N88" s="5">
        <f t="shared" si="16"/>
        <v>0</v>
      </c>
      <c r="O88" s="5">
        <f t="shared" si="15"/>
        <v>-7.1541770432415053E-4</v>
      </c>
      <c r="P88" s="5">
        <f t="shared" si="15"/>
        <v>0</v>
      </c>
    </row>
    <row r="89" spans="1:16" x14ac:dyDescent="0.2">
      <c r="A89" s="1" t="s">
        <v>0</v>
      </c>
      <c r="B89" s="2" t="s">
        <v>8</v>
      </c>
      <c r="C89" s="2">
        <v>12.5</v>
      </c>
      <c r="D89" s="2">
        <v>11.5</v>
      </c>
      <c r="E89" s="2">
        <v>3.7789999999999997E-2</v>
      </c>
      <c r="F89" s="2">
        <v>0.53</v>
      </c>
      <c r="G89" s="2">
        <v>2.0000000000000001E-4</v>
      </c>
      <c r="H89" s="2" t="s">
        <v>45</v>
      </c>
      <c r="I89" s="2">
        <v>294</v>
      </c>
      <c r="J89" s="2" t="s">
        <v>3</v>
      </c>
      <c r="K89" s="2" t="s">
        <v>54</v>
      </c>
      <c r="N89" s="5">
        <f t="shared" si="16"/>
        <v>0</v>
      </c>
      <c r="O89" s="5">
        <f t="shared" si="15"/>
        <v>-5.216459380788574E-2</v>
      </c>
      <c r="P89" s="5">
        <f t="shared" si="15"/>
        <v>-1.9999999999999998E-5</v>
      </c>
    </row>
    <row r="90" spans="1:16" x14ac:dyDescent="0.2">
      <c r="A90" s="1" t="s">
        <v>0</v>
      </c>
      <c r="B90" s="2" t="s">
        <v>44</v>
      </c>
      <c r="C90" s="2">
        <v>12.5</v>
      </c>
      <c r="D90" s="2">
        <v>11.5</v>
      </c>
      <c r="E90" s="2">
        <v>5.8040000000000001E-2</v>
      </c>
      <c r="F90" s="2">
        <v>1.23</v>
      </c>
      <c r="G90" s="2">
        <v>7.1000000000000002E-4</v>
      </c>
      <c r="H90" s="2" t="s">
        <v>45</v>
      </c>
      <c r="I90" s="2">
        <v>294</v>
      </c>
      <c r="J90" s="2" t="s">
        <v>3</v>
      </c>
      <c r="K90" s="2" t="s">
        <v>53</v>
      </c>
      <c r="N90" s="5">
        <f t="shared" si="16"/>
        <v>5.8040000000000001E-2</v>
      </c>
      <c r="O90" s="5">
        <f t="shared" si="15"/>
        <v>1.23</v>
      </c>
      <c r="P90" s="5">
        <f t="shared" si="15"/>
        <v>7.1000000000000002E-4</v>
      </c>
    </row>
    <row r="91" spans="1:16" x14ac:dyDescent="0.2">
      <c r="A91" s="1" t="s">
        <v>0</v>
      </c>
      <c r="B91" s="2" t="s">
        <v>44</v>
      </c>
      <c r="C91" s="2">
        <v>12.5</v>
      </c>
      <c r="D91" s="2">
        <v>11.5</v>
      </c>
      <c r="E91" s="2">
        <v>5.0819999999999997E-2</v>
      </c>
      <c r="F91" s="2">
        <v>1.23</v>
      </c>
      <c r="G91" s="2">
        <v>6.3000000000000003E-4</v>
      </c>
      <c r="H91" s="2" t="s">
        <v>45</v>
      </c>
      <c r="I91" s="2">
        <v>294</v>
      </c>
      <c r="J91" s="2" t="s">
        <v>3</v>
      </c>
      <c r="K91" s="2" t="s">
        <v>54</v>
      </c>
      <c r="N91" s="5">
        <f t="shared" si="16"/>
        <v>5.0819999999999997E-2</v>
      </c>
      <c r="O91" s="5">
        <f t="shared" si="15"/>
        <v>1.23</v>
      </c>
      <c r="P91" s="5">
        <f t="shared" si="15"/>
        <v>6.3000000000000003E-4</v>
      </c>
    </row>
    <row r="92" spans="1:16" x14ac:dyDescent="0.2">
      <c r="N92" s="4"/>
      <c r="O92" s="6"/>
      <c r="P92" s="4"/>
    </row>
    <row r="93" spans="1:16" x14ac:dyDescent="0.2">
      <c r="N93" s="4"/>
      <c r="O93" s="6"/>
      <c r="P93" s="4"/>
    </row>
    <row r="94" spans="1:16" x14ac:dyDescent="0.2">
      <c r="O94" s="6"/>
      <c r="P94" s="4"/>
    </row>
    <row r="95" spans="1:16" x14ac:dyDescent="0.2">
      <c r="O95" s="6"/>
      <c r="P95" s="4"/>
    </row>
    <row r="96" spans="1:16" x14ac:dyDescent="0.2">
      <c r="N96" s="4"/>
      <c r="O96" s="6"/>
      <c r="P96" s="4"/>
    </row>
    <row r="97" spans="14:16" x14ac:dyDescent="0.2">
      <c r="N97" s="4"/>
      <c r="O97" s="6"/>
      <c r="P97" s="4"/>
    </row>
    <row r="98" spans="14:16" x14ac:dyDescent="0.2">
      <c r="N98" s="4"/>
      <c r="O98" s="6"/>
      <c r="P98" s="4"/>
    </row>
    <row r="99" spans="14:16" x14ac:dyDescent="0.2">
      <c r="N99" s="4"/>
      <c r="O99" s="6"/>
      <c r="P99" s="4"/>
    </row>
    <row r="100" spans="14:16" x14ac:dyDescent="0.2">
      <c r="N100" s="4"/>
      <c r="O100" s="6"/>
      <c r="P100" s="4"/>
    </row>
    <row r="101" spans="14:16" x14ac:dyDescent="0.2">
      <c r="N101" s="4"/>
      <c r="O101" s="6"/>
      <c r="P101" s="4"/>
    </row>
    <row r="102" spans="14:16" x14ac:dyDescent="0.2">
      <c r="N102" s="4"/>
      <c r="O102" s="6"/>
      <c r="P10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Guest, Elizabeth</dc:creator>
  <cp:lastModifiedBy>Guest, Elizabeth</cp:lastModifiedBy>
  <dcterms:created xsi:type="dcterms:W3CDTF">2025-05-16T15:47:31Z</dcterms:created>
  <dcterms:modified xsi:type="dcterms:W3CDTF">2025-06-13T13:34:36Z</dcterms:modified>
</cp:coreProperties>
</file>