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/Desktop/line_broadening.nosync/line_broadening/Using LLMs to scrape data/"/>
    </mc:Choice>
  </mc:AlternateContent>
  <xr:revisionPtr revIDLastSave="0" documentId="13_ncr:1_{8B292CD4-F835-6340-9BCB-BB5B61FFC738}" xr6:coauthVersionLast="47" xr6:coauthVersionMax="47" xr10:uidLastSave="{00000000-0000-0000-0000-000000000000}"/>
  <bookViews>
    <workbookView xWindow="0" yWindow="0" windowWidth="28800" windowHeight="18000" xr2:uid="{4EA30962-7E7D-9143-8A17-5971C28CB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1" l="1"/>
  <c r="E91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F91" i="1"/>
  <c r="G91" i="1"/>
  <c r="H91" i="1"/>
  <c r="N50" i="1"/>
  <c r="N51" i="1"/>
  <c r="N52" i="1"/>
  <c r="N53" i="1"/>
  <c r="N54" i="1"/>
  <c r="N55" i="1"/>
  <c r="N56" i="1"/>
  <c r="N58" i="1"/>
  <c r="N59" i="1"/>
  <c r="N60" i="1"/>
  <c r="N61" i="1"/>
  <c r="N106" i="1"/>
  <c r="N105" i="1"/>
  <c r="N44" i="1"/>
  <c r="N45" i="1"/>
  <c r="N46" i="1"/>
  <c r="N47" i="1"/>
  <c r="N48" i="1"/>
  <c r="N49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F65" i="1"/>
  <c r="G65" i="1"/>
  <c r="H65" i="1"/>
  <c r="D65" i="1"/>
  <c r="E65" i="1"/>
  <c r="C65" i="1"/>
  <c r="N104" i="1"/>
  <c r="N36" i="1"/>
  <c r="N37" i="1"/>
  <c r="N38" i="1"/>
  <c r="N39" i="1"/>
  <c r="N40" i="1"/>
  <c r="N41" i="1"/>
  <c r="N42" i="1"/>
  <c r="N43" i="1"/>
  <c r="N35" i="1"/>
</calcChain>
</file>

<file path=xl/sharedStrings.xml><?xml version="1.0" encoding="utf-8"?>
<sst xmlns="http://schemas.openxmlformats.org/spreadsheetml/2006/main" count="323" uniqueCount="92">
  <si>
    <t>CO2</t>
  </si>
  <si>
    <t>n</t>
  </si>
  <si>
    <t>active species</t>
  </si>
  <si>
    <t>perturbing species</t>
  </si>
  <si>
    <t>J'</t>
  </si>
  <si>
    <t>J"</t>
  </si>
  <si>
    <t>percentage error in gamma</t>
  </si>
  <si>
    <t>temperature (K)</t>
  </si>
  <si>
    <t>line profile</t>
  </si>
  <si>
    <t>notes</t>
  </si>
  <si>
    <t>absolute uncertainty in gamma</t>
  </si>
  <si>
    <t>N/A</t>
  </si>
  <si>
    <t>Ka'</t>
  </si>
  <si>
    <t>Kc'</t>
  </si>
  <si>
    <t>Ka"</t>
  </si>
  <si>
    <t>Kc"</t>
  </si>
  <si>
    <t>gamma</t>
  </si>
  <si>
    <t>H2O</t>
  </si>
  <si>
    <t>uncertain</t>
  </si>
  <si>
    <t>Source: Table 3. Error values, temperature exponent 'n', and line profile not reported. Temperature is a representative value for the 6um experiments from Table 1.</t>
  </si>
  <si>
    <t>Source: Table 3. Rotational assignment inferred from paired transition text '+13+422'. Error values, temperature exponent 'n', and line profile not reported. Temperature is a representative value for the 6um experiments from Table 1.</t>
  </si>
  <si>
    <t>Source: Table 3. Rotational assignment inferred from paired transition text '212-321'. Error values, temperature exponent 'n', and line profile not reported. Temperature is a representative value for the 6um experiments from Table 1.</t>
  </si>
  <si>
    <t>Source: Table 3. Rotational assignment inferred from text '10 4 &lt;- 3 1 3', assumed typo for '4 0 4'. Error values, 'n', and profile not reported. Temperature is from Table 1.</t>
  </si>
  <si>
    <t>Source: Table 3. Rotational assignment inferred from paired transition text '12+321'. Error values, temperature exponent 'n', and line profile not reported. Temperature is a representative value for the 6um experiments from Table 1.</t>
  </si>
  <si>
    <t>Source: Table 3. Rotational assignment inferred from paired transition text '202-111'. Error values, temperature exponent 'n', and line profile not reported. Temperature is a representative value for the 6um experiments from Table 1.</t>
  </si>
  <si>
    <t>Source: Table 3. Rotational assignment inferred from text '2.5&lt;-5.4' and Jm/Km values. Error values, 'n', and profile not reported. Temperature is from Table 1.</t>
  </si>
  <si>
    <t>Source: Table 3. Rotational assignment inferred from text '1 6 &lt;- 7 0 7'. Error values, temperature exponent 'n', and line profile not reported. Temperature is a representative value for the 6um experiments from Table 1.</t>
  </si>
  <si>
    <t>Source: Table 3. Rotational assignment inferred from text '1 8 &lt;- 7 0 7'. Error values, temperature exponent 'n', and line profile not reported. Temperature is a representative value for the 6um experiments from Table 1.</t>
  </si>
  <si>
    <t>Source: Table 3. Rotational assignment '606 717' is ambiguous. Error values, 'n', and profile not reported. Temperature is a representative value from Table 1.</t>
  </si>
  <si>
    <t>Source: Table 3. Rotational assignment text is jumbled and appears to be a duplicate of another transition; value is uncertain. Error values, 'n', and profile not reported. Temperature is from Table 1.</t>
  </si>
  <si>
    <t>−0.03270</t>
  </si>
  <si>
    <t>−0.03144</t>
  </si>
  <si>
    <t>−0.01060</t>
  </si>
  <si>
    <t>−0.00610</t>
  </si>
  <si>
    <t>−0.00393</t>
  </si>
  <si>
    <t>−0.01370</t>
  </si>
  <si>
    <t>−0.00934</t>
  </si>
  <si>
    <t>−0.02590</t>
  </si>
  <si>
    <t>−0.01575</t>
  </si>
  <si>
    <t>−0.03820</t>
  </si>
  <si>
    <t>−0.02234</t>
  </si>
  <si>
    <t>−0.00528</t>
  </si>
  <si>
    <t>−0.00038</t>
  </si>
  <si>
    <t>−0.00341</t>
  </si>
  <si>
    <t>−0.01342</t>
  </si>
  <si>
    <t>−0.03750</t>
  </si>
  <si>
    <t>−0.02604</t>
  </si>
  <si>
    <t>−0.00883</t>
  </si>
  <si>
    <t>−0.02920</t>
  </si>
  <si>
    <t>−0.01647</t>
  </si>
  <si>
    <t>−0.01770</t>
  </si>
  <si>
    <t>−0.01626</t>
  </si>
  <si>
    <t>−0.03240</t>
  </si>
  <si>
    <t>−0.01947</t>
  </si>
  <si>
    <t>−0.01280</t>
  </si>
  <si>
    <t>−0.00807</t>
  </si>
  <si>
    <t>−0.00583</t>
  </si>
  <si>
    <t>−0.00562</t>
  </si>
  <si>
    <t>−0.01010</t>
  </si>
  <si>
    <t>−0.00614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</si>
  <si>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</si>
  <si>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</si>
  <si>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</si>
  <si>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</si>
  <si>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</si>
  <si>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</si>
  <si>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</si>
  <si>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</si>
  <si>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</si>
  <si>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</si>
  <si>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CO13</t>
  </si>
  <si>
    <t>CO14</t>
  </si>
  <si>
    <t>CO15</t>
  </si>
  <si>
    <t>CO16</t>
  </si>
  <si>
    <t>CO17</t>
  </si>
  <si>
    <t>CO18</t>
  </si>
  <si>
    <t>CO19</t>
  </si>
  <si>
    <t>CO20</t>
  </si>
  <si>
    <t>CO21</t>
  </si>
  <si>
    <t>CO22</t>
  </si>
  <si>
    <t>CO23</t>
  </si>
  <si>
    <t>CO24</t>
  </si>
  <si>
    <t>CO25</t>
  </si>
  <si>
    <t>CO26</t>
  </si>
  <si>
    <t>CO27</t>
  </si>
  <si>
    <t>CO28</t>
  </si>
  <si>
    <t>CO29</t>
  </si>
  <si>
    <t>CO30</t>
  </si>
  <si>
    <t>CO31</t>
  </si>
  <si>
    <t>Error in Ɣ by gemini</t>
  </si>
  <si>
    <t>Error in rotational numbers by gemini</t>
  </si>
  <si>
    <t>Some lines had to be removed to match gemini's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</si>
</sst>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6" x14ac:knownFonts="1">
    <font>
      <sz val="12"/>
      <color theme="1"/>
      <name val="Aptos Narrow"/>
      <family val="2"/>
      <scheme val="minor"/>
    </font>
    <font>
      <sz val="14"/>
      <color rgb="FF1F1F1F"/>
      <name val="Georgia"/>
      <family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165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0507-5CFF-EE43-9275-906068BF76D0}">
  <dimension ref="A1:P106"/>
  <sheetViews>
    <sheetView tabSelected="1" topLeftCell="A64" zoomScale="82" workbookViewId="0">
      <selection activeCell="H93" sqref="H93"/>
    </sheetView>
  </sheetViews>
  <sheetFormatPr baseColWidth="10" defaultRowHeight="16" x14ac:dyDescent="0.2"/>
  <cols>
    <col min="1" max="1" width="12.83203125" bestFit="1" customWidth="1"/>
    <col min="2" max="2" width="16.5" bestFit="1" customWidth="1"/>
    <col min="3" max="3" width="18.33203125" customWidth="1"/>
    <col min="5" max="5" width="18.33203125" bestFit="1" customWidth="1"/>
    <col min="6" max="6" width="23.83203125" bestFit="1" customWidth="1"/>
    <col min="7" max="7" width="31.6640625" customWidth="1"/>
    <col min="10" max="10" width="16.1640625" customWidth="1"/>
    <col min="14" max="14" width="23.83203125" bestFit="1" customWidth="1"/>
    <col min="15" max="15" width="14.33203125" bestFit="1" customWidth="1"/>
  </cols>
  <sheetData>
    <row r="1" spans="1:15" x14ac:dyDescent="0.2">
      <c r="A1" s="1" t="s">
        <v>2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6</v>
      </c>
      <c r="K1" s="1" t="s">
        <v>10</v>
      </c>
      <c r="L1" s="1" t="s">
        <v>1</v>
      </c>
      <c r="M1" s="1" t="s">
        <v>7</v>
      </c>
      <c r="N1" s="1" t="s">
        <v>8</v>
      </c>
      <c r="O1" s="1" t="s">
        <v>9</v>
      </c>
    </row>
    <row r="2" spans="1:15" x14ac:dyDescent="0.2">
      <c r="A2" s="1" t="s">
        <v>17</v>
      </c>
      <c r="B2" s="2" t="s">
        <v>0</v>
      </c>
      <c r="C2" s="2">
        <v>1</v>
      </c>
      <c r="D2" s="2">
        <v>1</v>
      </c>
      <c r="E2" s="2">
        <v>0</v>
      </c>
      <c r="F2" s="2">
        <v>1</v>
      </c>
      <c r="G2" s="2">
        <v>0</v>
      </c>
      <c r="H2" s="2">
        <v>1</v>
      </c>
      <c r="I2" s="2">
        <v>0.20369999999999999</v>
      </c>
      <c r="J2" s="2" t="s">
        <v>11</v>
      </c>
      <c r="K2" s="2" t="s">
        <v>11</v>
      </c>
      <c r="L2" s="2" t="s">
        <v>11</v>
      </c>
      <c r="M2" s="2">
        <v>295.5</v>
      </c>
      <c r="N2" s="2" t="s">
        <v>11</v>
      </c>
      <c r="O2" s="2" t="s">
        <v>19</v>
      </c>
    </row>
    <row r="3" spans="1:15" x14ac:dyDescent="0.2">
      <c r="A3" s="1" t="s">
        <v>17</v>
      </c>
      <c r="B3" s="2" t="s">
        <v>0</v>
      </c>
      <c r="C3" s="2">
        <v>1</v>
      </c>
      <c r="D3" s="2">
        <v>0</v>
      </c>
      <c r="E3" s="2">
        <v>1</v>
      </c>
      <c r="F3" s="2">
        <v>1</v>
      </c>
      <c r="G3" s="2">
        <v>1</v>
      </c>
      <c r="H3" s="2">
        <v>0</v>
      </c>
      <c r="I3" s="2">
        <v>0.20399999999999999</v>
      </c>
      <c r="J3" s="2" t="s">
        <v>11</v>
      </c>
      <c r="K3" s="2" t="s">
        <v>11</v>
      </c>
      <c r="L3" s="2" t="s">
        <v>11</v>
      </c>
      <c r="M3" s="2">
        <v>295.5</v>
      </c>
      <c r="N3" s="2" t="s">
        <v>11</v>
      </c>
      <c r="O3" s="2" t="s">
        <v>19</v>
      </c>
    </row>
    <row r="4" spans="1:15" x14ac:dyDescent="0.2">
      <c r="A4" s="1" t="s">
        <v>17</v>
      </c>
      <c r="B4" s="2" t="s">
        <v>0</v>
      </c>
      <c r="C4" s="2">
        <v>4</v>
      </c>
      <c r="D4" s="2">
        <v>4</v>
      </c>
      <c r="E4" s="2">
        <v>0</v>
      </c>
      <c r="F4" s="2">
        <v>3</v>
      </c>
      <c r="G4" s="2">
        <v>3</v>
      </c>
      <c r="H4" s="2">
        <v>1</v>
      </c>
      <c r="I4" s="2">
        <v>9.8900000000000002E-2</v>
      </c>
      <c r="J4" s="2" t="s">
        <v>11</v>
      </c>
      <c r="K4" s="2" t="s">
        <v>11</v>
      </c>
      <c r="L4" s="2" t="s">
        <v>11</v>
      </c>
      <c r="M4" s="2">
        <v>295.5</v>
      </c>
      <c r="N4" s="2" t="s">
        <v>11</v>
      </c>
      <c r="O4" s="2" t="s">
        <v>19</v>
      </c>
    </row>
    <row r="5" spans="1:15" x14ac:dyDescent="0.2">
      <c r="A5" s="1" t="s">
        <v>17</v>
      </c>
      <c r="B5" s="2" t="s">
        <v>0</v>
      </c>
      <c r="C5" s="2">
        <v>3</v>
      </c>
      <c r="D5" s="2">
        <v>3</v>
      </c>
      <c r="E5" s="2">
        <v>1</v>
      </c>
      <c r="F5" s="2">
        <v>4</v>
      </c>
      <c r="G5" s="2">
        <v>4</v>
      </c>
      <c r="H5" s="2">
        <v>0</v>
      </c>
      <c r="I5" s="2">
        <v>9.6299999999999997E-2</v>
      </c>
      <c r="J5" s="2" t="s">
        <v>11</v>
      </c>
      <c r="K5" s="2" t="s">
        <v>11</v>
      </c>
      <c r="L5" s="2" t="s">
        <v>11</v>
      </c>
      <c r="M5" s="2">
        <v>295.5</v>
      </c>
      <c r="N5" s="2" t="s">
        <v>11</v>
      </c>
      <c r="O5" s="2" t="s">
        <v>19</v>
      </c>
    </row>
    <row r="6" spans="1:15" x14ac:dyDescent="0.2">
      <c r="A6" s="1" t="s">
        <v>17</v>
      </c>
      <c r="B6" s="2" t="s">
        <v>0</v>
      </c>
      <c r="C6" s="2">
        <v>4</v>
      </c>
      <c r="D6" s="2">
        <v>4</v>
      </c>
      <c r="E6" s="2">
        <v>1</v>
      </c>
      <c r="F6" s="2">
        <v>3</v>
      </c>
      <c r="G6" s="2">
        <v>3</v>
      </c>
      <c r="H6" s="2">
        <v>0</v>
      </c>
      <c r="I6" s="2">
        <v>0.10249999999999999</v>
      </c>
      <c r="J6" s="2" t="s">
        <v>11</v>
      </c>
      <c r="K6" s="2" t="s">
        <v>11</v>
      </c>
      <c r="L6" s="2" t="s">
        <v>11</v>
      </c>
      <c r="M6" s="2">
        <v>295.5</v>
      </c>
      <c r="N6" s="2" t="s">
        <v>11</v>
      </c>
      <c r="O6" s="2" t="s">
        <v>19</v>
      </c>
    </row>
    <row r="7" spans="1:15" x14ac:dyDescent="0.2">
      <c r="A7" s="1" t="s">
        <v>17</v>
      </c>
      <c r="B7" s="2" t="s">
        <v>0</v>
      </c>
      <c r="C7" s="2">
        <v>3</v>
      </c>
      <c r="D7" s="2">
        <v>3</v>
      </c>
      <c r="E7" s="2">
        <v>0</v>
      </c>
      <c r="F7" s="2">
        <v>4</v>
      </c>
      <c r="G7" s="2">
        <v>4</v>
      </c>
      <c r="H7" s="2">
        <v>1</v>
      </c>
      <c r="I7" s="2">
        <v>9.4600000000000004E-2</v>
      </c>
      <c r="J7" s="2" t="s">
        <v>11</v>
      </c>
      <c r="K7" s="2" t="s">
        <v>11</v>
      </c>
      <c r="L7" s="2" t="s">
        <v>11</v>
      </c>
      <c r="M7" s="2">
        <v>295.5</v>
      </c>
      <c r="N7" s="2" t="s">
        <v>11</v>
      </c>
      <c r="O7" s="2" t="s">
        <v>19</v>
      </c>
    </row>
    <row r="8" spans="1:15" x14ac:dyDescent="0.2">
      <c r="A8" s="1" t="s">
        <v>17</v>
      </c>
      <c r="B8" s="2" t="s">
        <v>0</v>
      </c>
      <c r="C8" s="2">
        <v>4</v>
      </c>
      <c r="D8" s="2">
        <v>3</v>
      </c>
      <c r="E8" s="2">
        <v>1</v>
      </c>
      <c r="F8" s="2">
        <v>3</v>
      </c>
      <c r="G8" s="2">
        <v>2</v>
      </c>
      <c r="H8" s="2">
        <v>2</v>
      </c>
      <c r="I8" s="2">
        <v>0.1094</v>
      </c>
      <c r="J8" s="2" t="s">
        <v>11</v>
      </c>
      <c r="K8" s="2" t="s">
        <v>11</v>
      </c>
      <c r="L8" s="2" t="s">
        <v>11</v>
      </c>
      <c r="M8" s="2">
        <v>295.5</v>
      </c>
      <c r="N8" s="2" t="s">
        <v>11</v>
      </c>
      <c r="O8" s="2" t="s">
        <v>19</v>
      </c>
    </row>
    <row r="9" spans="1:15" x14ac:dyDescent="0.2">
      <c r="A9" s="1" t="s">
        <v>17</v>
      </c>
      <c r="B9" s="2" t="s">
        <v>0</v>
      </c>
      <c r="C9" s="2">
        <v>3</v>
      </c>
      <c r="D9" s="2">
        <v>2</v>
      </c>
      <c r="E9" s="2">
        <v>2</v>
      </c>
      <c r="F9" s="2">
        <v>4</v>
      </c>
      <c r="G9" s="2">
        <v>3</v>
      </c>
      <c r="H9" s="2">
        <v>1</v>
      </c>
      <c r="I9" s="2">
        <v>0.10920000000000001</v>
      </c>
      <c r="J9" s="2" t="s">
        <v>11</v>
      </c>
      <c r="K9" s="2" t="s">
        <v>11</v>
      </c>
      <c r="L9" s="2" t="s">
        <v>11</v>
      </c>
      <c r="M9" s="2">
        <v>295.5</v>
      </c>
      <c r="N9" s="2" t="s">
        <v>11</v>
      </c>
      <c r="O9" s="2" t="s">
        <v>19</v>
      </c>
    </row>
    <row r="10" spans="1:15" x14ac:dyDescent="0.2">
      <c r="A10" s="1" t="s">
        <v>17</v>
      </c>
      <c r="B10" s="2" t="s">
        <v>0</v>
      </c>
      <c r="C10" s="2">
        <v>4</v>
      </c>
      <c r="D10" s="2">
        <v>2</v>
      </c>
      <c r="E10" s="2">
        <v>2</v>
      </c>
      <c r="F10" s="2">
        <v>4</v>
      </c>
      <c r="G10" s="2">
        <v>1</v>
      </c>
      <c r="H10" s="2">
        <v>3</v>
      </c>
      <c r="I10" s="2">
        <v>0.1681</v>
      </c>
      <c r="J10" s="2" t="s">
        <v>11</v>
      </c>
      <c r="K10" s="2" t="s">
        <v>11</v>
      </c>
      <c r="L10" s="2" t="s">
        <v>11</v>
      </c>
      <c r="M10" s="2">
        <v>295.5</v>
      </c>
      <c r="N10" s="2" t="s">
        <v>11</v>
      </c>
      <c r="O10" s="2" t="s">
        <v>19</v>
      </c>
    </row>
    <row r="11" spans="1:15" x14ac:dyDescent="0.2">
      <c r="A11" s="1" t="s">
        <v>17</v>
      </c>
      <c r="B11" s="2" t="s">
        <v>0</v>
      </c>
      <c r="C11" s="2">
        <v>4</v>
      </c>
      <c r="D11" s="2">
        <v>1</v>
      </c>
      <c r="E11" s="2">
        <v>3</v>
      </c>
      <c r="F11" s="2">
        <v>4</v>
      </c>
      <c r="G11" s="2">
        <v>2</v>
      </c>
      <c r="H11" s="2">
        <v>2</v>
      </c>
      <c r="I11" s="2">
        <v>0.16889999999999999</v>
      </c>
      <c r="J11" s="2" t="s">
        <v>11</v>
      </c>
      <c r="K11" s="2" t="s">
        <v>11</v>
      </c>
      <c r="L11" s="2" t="s">
        <v>11</v>
      </c>
      <c r="M11" s="2">
        <v>295.5</v>
      </c>
      <c r="N11" s="2" t="s">
        <v>11</v>
      </c>
      <c r="O11" s="2" t="s">
        <v>20</v>
      </c>
    </row>
    <row r="12" spans="1:15" x14ac:dyDescent="0.2">
      <c r="A12" s="1" t="s">
        <v>17</v>
      </c>
      <c r="B12" s="2" t="s">
        <v>0</v>
      </c>
      <c r="C12" s="2">
        <v>3</v>
      </c>
      <c r="D12" s="2">
        <v>1</v>
      </c>
      <c r="E12" s="2">
        <v>2</v>
      </c>
      <c r="F12" s="2">
        <v>4</v>
      </c>
      <c r="G12" s="2">
        <v>2</v>
      </c>
      <c r="H12" s="2">
        <v>3</v>
      </c>
      <c r="I12" s="2">
        <v>0.14280000000000001</v>
      </c>
      <c r="J12" s="2" t="s">
        <v>11</v>
      </c>
      <c r="K12" s="2" t="s">
        <v>11</v>
      </c>
      <c r="L12" s="2" t="s">
        <v>11</v>
      </c>
      <c r="M12" s="2">
        <v>295.5</v>
      </c>
      <c r="N12" s="2" t="s">
        <v>11</v>
      </c>
      <c r="O12" s="2" t="s">
        <v>19</v>
      </c>
    </row>
    <row r="13" spans="1:15" x14ac:dyDescent="0.2">
      <c r="A13" s="1" t="s">
        <v>17</v>
      </c>
      <c r="B13" s="2" t="s">
        <v>0</v>
      </c>
      <c r="C13" s="2">
        <v>4</v>
      </c>
      <c r="D13" s="2">
        <v>2</v>
      </c>
      <c r="E13" s="2">
        <v>3</v>
      </c>
      <c r="F13" s="2">
        <v>3</v>
      </c>
      <c r="G13" s="2">
        <v>1</v>
      </c>
      <c r="H13" s="2">
        <v>2</v>
      </c>
      <c r="I13" s="2">
        <v>0.1535</v>
      </c>
      <c r="J13" s="2" t="s">
        <v>11</v>
      </c>
      <c r="K13" s="2" t="s">
        <v>11</v>
      </c>
      <c r="L13" s="2" t="s">
        <v>11</v>
      </c>
      <c r="M13" s="2">
        <v>295.5</v>
      </c>
      <c r="N13" s="2" t="s">
        <v>11</v>
      </c>
      <c r="O13" s="2" t="s">
        <v>19</v>
      </c>
    </row>
    <row r="14" spans="1:15" x14ac:dyDescent="0.2">
      <c r="A14" s="1" t="s">
        <v>17</v>
      </c>
      <c r="B14" s="2" t="s">
        <v>0</v>
      </c>
      <c r="C14" s="2">
        <v>4</v>
      </c>
      <c r="D14" s="2">
        <v>2</v>
      </c>
      <c r="E14" s="2">
        <v>3</v>
      </c>
      <c r="F14" s="2">
        <v>4</v>
      </c>
      <c r="G14" s="2">
        <v>1</v>
      </c>
      <c r="H14" s="2">
        <v>4</v>
      </c>
      <c r="I14" s="2">
        <v>0.1104</v>
      </c>
      <c r="J14" s="2" t="s">
        <v>11</v>
      </c>
      <c r="K14" s="2" t="s">
        <v>11</v>
      </c>
      <c r="L14" s="2" t="s">
        <v>11</v>
      </c>
      <c r="M14" s="2">
        <v>295.5</v>
      </c>
      <c r="N14" s="2" t="s">
        <v>11</v>
      </c>
      <c r="O14" s="2" t="s">
        <v>19</v>
      </c>
    </row>
    <row r="15" spans="1:15" x14ac:dyDescent="0.2">
      <c r="A15" s="1" t="s">
        <v>17</v>
      </c>
      <c r="B15" s="2" t="s">
        <v>0</v>
      </c>
      <c r="C15" s="2">
        <v>3</v>
      </c>
      <c r="D15" s="2">
        <v>2</v>
      </c>
      <c r="E15" s="2">
        <v>1</v>
      </c>
      <c r="F15" s="2">
        <v>2</v>
      </c>
      <c r="G15" s="2">
        <v>1</v>
      </c>
      <c r="H15" s="2">
        <v>2</v>
      </c>
      <c r="I15" s="2">
        <v>0.1615</v>
      </c>
      <c r="J15" s="2" t="s">
        <v>11</v>
      </c>
      <c r="K15" s="2" t="s">
        <v>11</v>
      </c>
      <c r="L15" s="2" t="s">
        <v>11</v>
      </c>
      <c r="M15" s="2">
        <v>295.5</v>
      </c>
      <c r="N15" s="2" t="s">
        <v>11</v>
      </c>
      <c r="O15" s="2" t="s">
        <v>19</v>
      </c>
    </row>
    <row r="16" spans="1:15" x14ac:dyDescent="0.2">
      <c r="A16" s="1" t="s">
        <v>17</v>
      </c>
      <c r="B16" s="2" t="s">
        <v>0</v>
      </c>
      <c r="C16" s="2">
        <v>2</v>
      </c>
      <c r="D16" s="2">
        <v>1</v>
      </c>
      <c r="E16" s="2">
        <v>2</v>
      </c>
      <c r="F16" s="2">
        <v>3</v>
      </c>
      <c r="G16" s="2">
        <v>2</v>
      </c>
      <c r="H16" s="2">
        <v>1</v>
      </c>
      <c r="I16" s="2">
        <v>0.1595</v>
      </c>
      <c r="J16" s="2" t="s">
        <v>11</v>
      </c>
      <c r="K16" s="2" t="s">
        <v>11</v>
      </c>
      <c r="L16" s="2" t="s">
        <v>11</v>
      </c>
      <c r="M16" s="2">
        <v>295.5</v>
      </c>
      <c r="N16" s="2" t="s">
        <v>11</v>
      </c>
      <c r="O16" s="2" t="s">
        <v>21</v>
      </c>
    </row>
    <row r="17" spans="1:16" x14ac:dyDescent="0.2">
      <c r="A17" s="1" t="s">
        <v>17</v>
      </c>
      <c r="B17" s="2" t="s">
        <v>0</v>
      </c>
      <c r="C17" s="2">
        <v>4</v>
      </c>
      <c r="D17" s="2">
        <v>0</v>
      </c>
      <c r="E17" s="2">
        <v>4</v>
      </c>
      <c r="F17" s="2">
        <v>3</v>
      </c>
      <c r="G17" s="2">
        <v>1</v>
      </c>
      <c r="H17" s="2">
        <v>3</v>
      </c>
      <c r="I17" s="2">
        <v>0.1182</v>
      </c>
      <c r="J17" s="2" t="s">
        <v>11</v>
      </c>
      <c r="K17" s="2" t="s">
        <v>11</v>
      </c>
      <c r="L17" s="2" t="s">
        <v>11</v>
      </c>
      <c r="M17" s="2">
        <v>295.5</v>
      </c>
      <c r="N17" s="2" t="s">
        <v>11</v>
      </c>
      <c r="O17" s="2" t="s">
        <v>22</v>
      </c>
    </row>
    <row r="18" spans="1:16" x14ac:dyDescent="0.2">
      <c r="A18" s="1" t="s">
        <v>17</v>
      </c>
      <c r="B18" s="2" t="s">
        <v>0</v>
      </c>
      <c r="C18" s="2">
        <v>3</v>
      </c>
      <c r="D18" s="2">
        <v>1</v>
      </c>
      <c r="E18" s="2">
        <v>3</v>
      </c>
      <c r="F18" s="2">
        <v>4</v>
      </c>
      <c r="G18" s="2">
        <v>0</v>
      </c>
      <c r="H18" s="2">
        <v>4</v>
      </c>
      <c r="I18" s="2">
        <v>0.1236</v>
      </c>
      <c r="J18" s="2" t="s">
        <v>11</v>
      </c>
      <c r="K18" s="2" t="s">
        <v>11</v>
      </c>
      <c r="L18" s="2" t="s">
        <v>11</v>
      </c>
      <c r="M18" s="2">
        <v>295.5</v>
      </c>
      <c r="N18" s="2" t="s">
        <v>11</v>
      </c>
      <c r="O18" s="2" t="s">
        <v>19</v>
      </c>
    </row>
    <row r="19" spans="1:16" x14ac:dyDescent="0.2">
      <c r="A19" s="1" t="s">
        <v>17</v>
      </c>
      <c r="B19" s="2" t="s">
        <v>0</v>
      </c>
      <c r="C19" s="2">
        <v>3</v>
      </c>
      <c r="D19" s="2">
        <v>2</v>
      </c>
      <c r="E19" s="2">
        <v>1</v>
      </c>
      <c r="F19" s="2">
        <v>3</v>
      </c>
      <c r="G19" s="2">
        <v>1</v>
      </c>
      <c r="H19" s="2">
        <v>2</v>
      </c>
      <c r="I19" s="2">
        <v>0.16789999999999999</v>
      </c>
      <c r="J19" s="2" t="s">
        <v>11</v>
      </c>
      <c r="K19" s="2" t="s">
        <v>11</v>
      </c>
      <c r="L19" s="2" t="s">
        <v>11</v>
      </c>
      <c r="M19" s="2">
        <v>295.5</v>
      </c>
      <c r="N19" s="2" t="s">
        <v>11</v>
      </c>
      <c r="O19" s="2" t="s">
        <v>19</v>
      </c>
    </row>
    <row r="20" spans="1:16" x14ac:dyDescent="0.2">
      <c r="A20" s="1" t="s">
        <v>17</v>
      </c>
      <c r="B20" s="2" t="s">
        <v>0</v>
      </c>
      <c r="C20" s="2">
        <v>3</v>
      </c>
      <c r="D20" s="2">
        <v>1</v>
      </c>
      <c r="E20" s="2">
        <v>2</v>
      </c>
      <c r="F20" s="2">
        <v>3</v>
      </c>
      <c r="G20" s="2">
        <v>2</v>
      </c>
      <c r="H20" s="2">
        <v>1</v>
      </c>
      <c r="I20" s="2">
        <v>0.1641</v>
      </c>
      <c r="J20" s="2" t="s">
        <v>11</v>
      </c>
      <c r="K20" s="2" t="s">
        <v>11</v>
      </c>
      <c r="L20" s="2" t="s">
        <v>11</v>
      </c>
      <c r="M20" s="2">
        <v>295.5</v>
      </c>
      <c r="N20" s="2" t="s">
        <v>11</v>
      </c>
      <c r="O20" s="2" t="s">
        <v>23</v>
      </c>
    </row>
    <row r="21" spans="1:16" x14ac:dyDescent="0.2">
      <c r="A21" s="1" t="s">
        <v>17</v>
      </c>
      <c r="B21" s="2" t="s">
        <v>0</v>
      </c>
      <c r="C21" s="2">
        <v>2</v>
      </c>
      <c r="D21" s="2">
        <v>0</v>
      </c>
      <c r="E21" s="2">
        <v>2</v>
      </c>
      <c r="F21" s="2">
        <v>1</v>
      </c>
      <c r="G21" s="2">
        <v>1</v>
      </c>
      <c r="H21" s="2">
        <v>1</v>
      </c>
      <c r="I21" s="2">
        <v>0.18010000000000001</v>
      </c>
      <c r="J21" s="2" t="s">
        <v>11</v>
      </c>
      <c r="K21" s="2" t="s">
        <v>11</v>
      </c>
      <c r="L21" s="2" t="s">
        <v>11</v>
      </c>
      <c r="M21" s="2">
        <v>295.5</v>
      </c>
      <c r="N21" s="2" t="s">
        <v>11</v>
      </c>
      <c r="O21" s="2" t="s">
        <v>24</v>
      </c>
    </row>
    <row r="22" spans="1:16" x14ac:dyDescent="0.2">
      <c r="A22" s="1" t="s">
        <v>17</v>
      </c>
      <c r="B22" s="2" t="s">
        <v>0</v>
      </c>
      <c r="C22" s="2">
        <v>1</v>
      </c>
      <c r="D22" s="2">
        <v>1</v>
      </c>
      <c r="E22" s="2">
        <v>1</v>
      </c>
      <c r="F22" s="2">
        <v>2</v>
      </c>
      <c r="G22" s="2">
        <v>0</v>
      </c>
      <c r="H22" s="2">
        <v>2</v>
      </c>
      <c r="I22" s="2">
        <v>0.18329999999999999</v>
      </c>
      <c r="J22" s="2" t="s">
        <v>11</v>
      </c>
      <c r="K22" s="2" t="s">
        <v>11</v>
      </c>
      <c r="L22" s="2" t="s">
        <v>11</v>
      </c>
      <c r="M22" s="2">
        <v>295.5</v>
      </c>
      <c r="N22" s="2" t="s">
        <v>11</v>
      </c>
      <c r="O22" s="2" t="s">
        <v>19</v>
      </c>
    </row>
    <row r="23" spans="1:16" x14ac:dyDescent="0.2">
      <c r="A23" s="1" t="s">
        <v>17</v>
      </c>
      <c r="B23" s="2" t="s">
        <v>0</v>
      </c>
      <c r="C23" s="2">
        <v>6</v>
      </c>
      <c r="D23" s="2">
        <v>2</v>
      </c>
      <c r="E23" s="2">
        <v>5</v>
      </c>
      <c r="F23" s="2">
        <v>5</v>
      </c>
      <c r="G23" s="2">
        <v>1</v>
      </c>
      <c r="H23" s="2">
        <v>4</v>
      </c>
      <c r="I23" s="2">
        <v>0.13320000000000001</v>
      </c>
      <c r="J23" s="2" t="s">
        <v>11</v>
      </c>
      <c r="K23" s="2" t="s">
        <v>11</v>
      </c>
      <c r="L23" s="2" t="s">
        <v>11</v>
      </c>
      <c r="M23" s="2">
        <v>295.5</v>
      </c>
      <c r="N23" s="2" t="s">
        <v>11</v>
      </c>
      <c r="O23" s="2" t="s">
        <v>25</v>
      </c>
    </row>
    <row r="24" spans="1:16" x14ac:dyDescent="0.2">
      <c r="A24" s="1" t="s">
        <v>17</v>
      </c>
      <c r="B24" s="2" t="s">
        <v>0</v>
      </c>
      <c r="C24" s="2">
        <v>6</v>
      </c>
      <c r="D24" s="2">
        <v>1</v>
      </c>
      <c r="E24" s="2">
        <v>6</v>
      </c>
      <c r="F24" s="2">
        <v>7</v>
      </c>
      <c r="G24" s="2">
        <v>0</v>
      </c>
      <c r="H24" s="2">
        <v>7</v>
      </c>
      <c r="I24" s="2">
        <v>0.1201</v>
      </c>
      <c r="J24" s="2" t="s">
        <v>11</v>
      </c>
      <c r="K24" s="2" t="s">
        <v>11</v>
      </c>
      <c r="L24" s="2" t="s">
        <v>11</v>
      </c>
      <c r="M24" s="2">
        <v>295.5</v>
      </c>
      <c r="N24" s="2" t="s">
        <v>11</v>
      </c>
      <c r="O24" s="2" t="s">
        <v>26</v>
      </c>
    </row>
    <row r="25" spans="1:16" x14ac:dyDescent="0.2">
      <c r="A25" s="1" t="s">
        <v>17</v>
      </c>
      <c r="B25" s="2" t="s">
        <v>0</v>
      </c>
      <c r="C25" s="2">
        <v>7</v>
      </c>
      <c r="D25" s="2">
        <v>0</v>
      </c>
      <c r="E25" s="2">
        <v>7</v>
      </c>
      <c r="F25" s="2">
        <v>6</v>
      </c>
      <c r="G25" s="2">
        <v>1</v>
      </c>
      <c r="H25" s="2">
        <v>6</v>
      </c>
      <c r="I25" s="2">
        <v>8.1799999999999998E-2</v>
      </c>
      <c r="J25" s="2" t="s">
        <v>11</v>
      </c>
      <c r="K25" s="2" t="s">
        <v>11</v>
      </c>
      <c r="L25" s="2" t="s">
        <v>11</v>
      </c>
      <c r="M25" s="2">
        <v>295.5</v>
      </c>
      <c r="N25" s="2" t="s">
        <v>11</v>
      </c>
      <c r="O25" s="2" t="s">
        <v>19</v>
      </c>
    </row>
    <row r="26" spans="1:16" x14ac:dyDescent="0.2">
      <c r="A26" s="1" t="s">
        <v>17</v>
      </c>
      <c r="B26" s="2" t="s">
        <v>0</v>
      </c>
      <c r="C26" s="2">
        <v>8</v>
      </c>
      <c r="D26" s="2">
        <v>1</v>
      </c>
      <c r="E26" s="2">
        <v>8</v>
      </c>
      <c r="F26" s="2">
        <v>7</v>
      </c>
      <c r="G26" s="2">
        <v>0</v>
      </c>
      <c r="H26" s="2">
        <v>7</v>
      </c>
      <c r="I26" s="2">
        <v>8.14E-2</v>
      </c>
      <c r="J26" s="2" t="s">
        <v>11</v>
      </c>
      <c r="K26" s="2" t="s">
        <v>11</v>
      </c>
      <c r="L26" s="2" t="s">
        <v>11</v>
      </c>
      <c r="M26" s="2">
        <v>295.5</v>
      </c>
      <c r="N26" s="2" t="s">
        <v>11</v>
      </c>
      <c r="O26" s="2" t="s">
        <v>27</v>
      </c>
    </row>
    <row r="27" spans="1:16" x14ac:dyDescent="0.2">
      <c r="A27" s="1" t="s">
        <v>17</v>
      </c>
      <c r="B27" s="2" t="s">
        <v>0</v>
      </c>
      <c r="C27" s="2">
        <v>7</v>
      </c>
      <c r="D27" s="2">
        <v>0</v>
      </c>
      <c r="E27" s="2">
        <v>7</v>
      </c>
      <c r="F27" s="2">
        <v>8</v>
      </c>
      <c r="G27" s="2">
        <v>1</v>
      </c>
      <c r="H27" s="2">
        <v>8</v>
      </c>
      <c r="I27" s="2">
        <v>8.1199999999999994E-2</v>
      </c>
      <c r="J27" s="2" t="s">
        <v>11</v>
      </c>
      <c r="K27" s="2" t="s">
        <v>11</v>
      </c>
      <c r="L27" s="2" t="s">
        <v>11</v>
      </c>
      <c r="M27" s="2">
        <v>295.5</v>
      </c>
      <c r="N27" s="2" t="s">
        <v>11</v>
      </c>
      <c r="O27" s="2" t="s">
        <v>19</v>
      </c>
    </row>
    <row r="28" spans="1:16" x14ac:dyDescent="0.2">
      <c r="A28" s="1" t="s">
        <v>17</v>
      </c>
      <c r="B28" s="2" t="s">
        <v>0</v>
      </c>
      <c r="C28" s="2">
        <v>6</v>
      </c>
      <c r="D28" s="2">
        <v>0</v>
      </c>
      <c r="E28" s="2">
        <v>6</v>
      </c>
      <c r="F28" s="2">
        <v>7</v>
      </c>
      <c r="G28" s="2">
        <v>1</v>
      </c>
      <c r="H28" s="2">
        <v>7</v>
      </c>
      <c r="I28" s="2">
        <v>8.6199999999999999E-2</v>
      </c>
      <c r="J28" s="2" t="s">
        <v>11</v>
      </c>
      <c r="K28" s="2" t="s">
        <v>11</v>
      </c>
      <c r="L28" s="2" t="s">
        <v>11</v>
      </c>
      <c r="M28" s="2">
        <v>295.5</v>
      </c>
      <c r="N28" s="2" t="s">
        <v>11</v>
      </c>
      <c r="O28" s="2" t="s">
        <v>28</v>
      </c>
    </row>
    <row r="29" spans="1:16" x14ac:dyDescent="0.2">
      <c r="A29" s="1" t="s">
        <v>17</v>
      </c>
      <c r="B29" s="2" t="s">
        <v>0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>
        <v>7.5499999999999998E-2</v>
      </c>
      <c r="J29" s="2" t="s">
        <v>11</v>
      </c>
      <c r="K29" s="2" t="s">
        <v>11</v>
      </c>
      <c r="L29" s="2" t="s">
        <v>11</v>
      </c>
      <c r="M29" s="2">
        <v>295.5</v>
      </c>
      <c r="N29" s="2" t="s">
        <v>11</v>
      </c>
      <c r="O29" s="2" t="s">
        <v>29</v>
      </c>
    </row>
    <row r="30" spans="1:16" x14ac:dyDescent="0.2">
      <c r="A30" s="1" t="s">
        <v>17</v>
      </c>
      <c r="B30" s="2" t="s">
        <v>0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>
        <v>7.7399999999999997E-2</v>
      </c>
      <c r="J30" s="2" t="s">
        <v>11</v>
      </c>
      <c r="K30" s="2" t="s">
        <v>11</v>
      </c>
      <c r="L30" s="2" t="s">
        <v>11</v>
      </c>
      <c r="M30" s="2">
        <v>295.5</v>
      </c>
      <c r="N30" s="2" t="s">
        <v>11</v>
      </c>
      <c r="O30" s="2" t="s">
        <v>29</v>
      </c>
    </row>
    <row r="31" spans="1:16" x14ac:dyDescent="0.2">
      <c r="A31" s="1"/>
      <c r="B31" s="2"/>
      <c r="C31" s="2"/>
      <c r="D31" s="2"/>
      <c r="E31" s="8"/>
      <c r="F31" s="2"/>
      <c r="G31" s="9"/>
      <c r="H31" s="3"/>
      <c r="I31" s="2"/>
      <c r="J31" s="2"/>
      <c r="K31" s="2"/>
      <c r="N31" s="4"/>
      <c r="O31" s="6"/>
      <c r="P31" s="4"/>
    </row>
    <row r="32" spans="1:16" x14ac:dyDescent="0.2">
      <c r="A32" s="1"/>
      <c r="B32" s="2"/>
      <c r="C32" s="2"/>
      <c r="D32" s="2"/>
      <c r="E32" s="8"/>
      <c r="F32" s="2"/>
      <c r="G32" s="9"/>
      <c r="H32" s="3"/>
      <c r="I32" s="2"/>
      <c r="J32" s="2"/>
      <c r="K32" s="2"/>
      <c r="N32" s="4"/>
      <c r="O32" s="6"/>
      <c r="P32" s="4"/>
    </row>
    <row r="33" spans="1:16" x14ac:dyDescent="0.2">
      <c r="A33" s="1"/>
      <c r="B33" s="2"/>
      <c r="C33" s="2"/>
      <c r="D33" s="2"/>
      <c r="E33" s="8"/>
      <c r="F33" s="2"/>
      <c r="G33" s="9"/>
      <c r="H33" s="3"/>
      <c r="I33" s="2"/>
      <c r="J33" s="2"/>
      <c r="K33" s="2"/>
      <c r="N33" s="4"/>
      <c r="O33" s="6"/>
      <c r="P33" s="4"/>
    </row>
    <row r="34" spans="1:16" x14ac:dyDescent="0.2">
      <c r="A34" s="1"/>
      <c r="B34" s="2"/>
      <c r="C34" s="2"/>
      <c r="D34" s="2"/>
      <c r="E34" s="8"/>
      <c r="F34" s="2"/>
      <c r="G34" s="9"/>
      <c r="H34" s="3"/>
      <c r="I34" s="2"/>
      <c r="J34" s="2"/>
      <c r="K34" s="2"/>
      <c r="N34" s="1" t="s">
        <v>89</v>
      </c>
      <c r="O34" s="6"/>
      <c r="P34" s="4"/>
    </row>
    <row r="35" spans="1:16" ht="18" x14ac:dyDescent="0.2">
      <c r="A35" s="1" t="s">
        <v>17</v>
      </c>
      <c r="B35" s="2" t="s">
        <v>0</v>
      </c>
      <c r="C35" s="7">
        <v>1</v>
      </c>
      <c r="D35" s="7">
        <v>1</v>
      </c>
      <c r="E35" s="7">
        <v>0</v>
      </c>
      <c r="F35" s="7">
        <v>1</v>
      </c>
      <c r="G35" s="7">
        <v>0</v>
      </c>
      <c r="H35" s="7">
        <v>1</v>
      </c>
      <c r="I35" s="7">
        <v>0.20369999999999999</v>
      </c>
      <c r="J35" s="7">
        <v>0.21060000000000001</v>
      </c>
      <c r="K35" s="7">
        <v>2.3400000000000001E-2</v>
      </c>
      <c r="L35" s="7">
        <v>3.2710000000000003E-2</v>
      </c>
      <c r="N35" s="4">
        <f>I35-I2</f>
        <v>0</v>
      </c>
      <c r="O35" s="6"/>
      <c r="P35" s="4"/>
    </row>
    <row r="36" spans="1:16" ht="18" x14ac:dyDescent="0.2">
      <c r="A36" s="1" t="s">
        <v>17</v>
      </c>
      <c r="B36" s="2" t="s">
        <v>60</v>
      </c>
      <c r="C36" s="7">
        <v>1</v>
      </c>
      <c r="D36" s="7">
        <v>0</v>
      </c>
      <c r="E36" s="7">
        <v>1</v>
      </c>
      <c r="F36" s="7">
        <v>1</v>
      </c>
      <c r="G36" s="7">
        <v>1</v>
      </c>
      <c r="H36" s="7">
        <v>0</v>
      </c>
      <c r="I36" s="7">
        <v>0.20399999999999999</v>
      </c>
      <c r="J36" s="7">
        <v>0.20979999999999999</v>
      </c>
      <c r="K36" s="7" t="s">
        <v>30</v>
      </c>
      <c r="L36" s="7" t="s">
        <v>31</v>
      </c>
      <c r="N36" s="4">
        <f t="shared" ref="N36:N66" si="0">I36-I3</f>
        <v>0</v>
      </c>
      <c r="O36" s="6"/>
      <c r="P36" s="4"/>
    </row>
    <row r="37" spans="1:16" ht="18" x14ac:dyDescent="0.2">
      <c r="A37" s="1" t="s">
        <v>17</v>
      </c>
      <c r="B37" s="2" t="s">
        <v>61</v>
      </c>
      <c r="C37" s="7">
        <v>4</v>
      </c>
      <c r="D37" s="7">
        <v>4</v>
      </c>
      <c r="E37" s="7">
        <v>0</v>
      </c>
      <c r="F37" s="7">
        <v>3</v>
      </c>
      <c r="G37" s="7">
        <v>3</v>
      </c>
      <c r="H37" s="7">
        <v>1</v>
      </c>
      <c r="I37" s="7">
        <v>9.8900000000000002E-2</v>
      </c>
      <c r="J37" s="7">
        <v>9.8799999999999999E-2</v>
      </c>
      <c r="K37" s="7" t="s">
        <v>32</v>
      </c>
      <c r="L37" s="7" t="s">
        <v>33</v>
      </c>
      <c r="N37" s="4">
        <f t="shared" si="0"/>
        <v>0</v>
      </c>
      <c r="O37" s="6"/>
      <c r="P37" s="4"/>
    </row>
    <row r="38" spans="1:16" ht="18" x14ac:dyDescent="0.2">
      <c r="A38" s="1" t="s">
        <v>17</v>
      </c>
      <c r="B38" s="2" t="s">
        <v>62</v>
      </c>
      <c r="C38" s="7">
        <v>3</v>
      </c>
      <c r="D38" s="7">
        <v>3</v>
      </c>
      <c r="E38" s="7">
        <v>1</v>
      </c>
      <c r="F38" s="7">
        <v>4</v>
      </c>
      <c r="G38" s="7">
        <v>4</v>
      </c>
      <c r="H38" s="7">
        <v>0</v>
      </c>
      <c r="I38" s="7">
        <v>9.6299999999999997E-2</v>
      </c>
      <c r="J38" s="7">
        <v>9.8000000000000004E-2</v>
      </c>
      <c r="K38" s="7" t="s">
        <v>34</v>
      </c>
      <c r="L38" s="7">
        <v>1.57E-3</v>
      </c>
      <c r="N38" s="4">
        <f t="shared" si="0"/>
        <v>0</v>
      </c>
      <c r="O38" s="6"/>
      <c r="P38" s="4"/>
    </row>
    <row r="39" spans="1:16" ht="18" x14ac:dyDescent="0.2">
      <c r="A39" s="1" t="s">
        <v>17</v>
      </c>
      <c r="B39" s="2" t="s">
        <v>63</v>
      </c>
      <c r="C39" s="7">
        <v>4</v>
      </c>
      <c r="D39" s="7">
        <v>4</v>
      </c>
      <c r="E39" s="7">
        <v>1</v>
      </c>
      <c r="F39" s="7">
        <v>3</v>
      </c>
      <c r="G39" s="7">
        <v>3</v>
      </c>
      <c r="H39" s="7">
        <v>0</v>
      </c>
      <c r="I39" s="7">
        <v>0.10249999999999999</v>
      </c>
      <c r="J39" s="7">
        <v>0.1027</v>
      </c>
      <c r="K39" s="7" t="s">
        <v>35</v>
      </c>
      <c r="L39" s="7" t="s">
        <v>36</v>
      </c>
      <c r="N39" s="4">
        <f t="shared" si="0"/>
        <v>0</v>
      </c>
      <c r="O39" s="6"/>
      <c r="P39" s="4"/>
    </row>
    <row r="40" spans="1:16" ht="18" x14ac:dyDescent="0.2">
      <c r="A40" s="1" t="s">
        <v>17</v>
      </c>
      <c r="B40" s="2" t="s">
        <v>64</v>
      </c>
      <c r="C40" s="7">
        <v>3</v>
      </c>
      <c r="D40" s="7">
        <v>3</v>
      </c>
      <c r="E40" s="7">
        <v>0</v>
      </c>
      <c r="F40" s="7">
        <v>4</v>
      </c>
      <c r="G40" s="7">
        <v>4</v>
      </c>
      <c r="H40" s="7">
        <v>1</v>
      </c>
      <c r="I40" s="7">
        <v>9.4600000000000004E-2</v>
      </c>
      <c r="J40" s="7">
        <v>9.8699999999999996E-2</v>
      </c>
      <c r="K40" s="7">
        <v>3.1199999999999999E-3</v>
      </c>
      <c r="L40" s="7">
        <v>7.4700000000000001E-3</v>
      </c>
      <c r="N40" s="4">
        <f t="shared" si="0"/>
        <v>0</v>
      </c>
      <c r="O40" s="6"/>
      <c r="P40" s="4"/>
    </row>
    <row r="41" spans="1:16" ht="18" x14ac:dyDescent="0.2">
      <c r="A41" s="1" t="s">
        <v>17</v>
      </c>
      <c r="B41" s="2" t="s">
        <v>65</v>
      </c>
      <c r="C41" s="7">
        <v>4</v>
      </c>
      <c r="D41" s="7">
        <v>3</v>
      </c>
      <c r="E41" s="7">
        <v>1</v>
      </c>
      <c r="F41" s="7">
        <v>3</v>
      </c>
      <c r="G41" s="7">
        <v>2</v>
      </c>
      <c r="H41" s="7">
        <v>2</v>
      </c>
      <c r="I41" s="7">
        <v>0.1094</v>
      </c>
      <c r="J41" s="7">
        <v>0.1198</v>
      </c>
      <c r="K41" s="7">
        <v>9.4800000000000006E-3</v>
      </c>
      <c r="L41" s="7">
        <v>9.9000000000000008E-3</v>
      </c>
      <c r="N41" s="4">
        <f t="shared" si="0"/>
        <v>0</v>
      </c>
      <c r="O41" s="6"/>
      <c r="P41" s="4"/>
    </row>
    <row r="42" spans="1:16" ht="18" x14ac:dyDescent="0.2">
      <c r="A42" s="1" t="s">
        <v>17</v>
      </c>
      <c r="B42" s="2" t="s">
        <v>66</v>
      </c>
      <c r="C42" s="7">
        <v>3</v>
      </c>
      <c r="D42" s="7">
        <v>2</v>
      </c>
      <c r="E42" s="7">
        <v>2</v>
      </c>
      <c r="F42" s="7">
        <v>4</v>
      </c>
      <c r="G42" s="7">
        <v>3</v>
      </c>
      <c r="H42" s="7">
        <v>1</v>
      </c>
      <c r="I42" s="7">
        <v>0.10920000000000001</v>
      </c>
      <c r="J42" s="7">
        <v>0.1203</v>
      </c>
      <c r="K42" s="7" t="s">
        <v>37</v>
      </c>
      <c r="L42" s="7" t="s">
        <v>38</v>
      </c>
      <c r="N42" s="4">
        <f t="shared" si="0"/>
        <v>0</v>
      </c>
      <c r="O42" s="6"/>
      <c r="P42" s="4"/>
    </row>
    <row r="43" spans="1:16" ht="18" x14ac:dyDescent="0.2">
      <c r="A43" s="1" t="s">
        <v>17</v>
      </c>
      <c r="B43" s="2" t="s">
        <v>67</v>
      </c>
      <c r="C43" s="7">
        <v>4</v>
      </c>
      <c r="D43" s="7">
        <v>2</v>
      </c>
      <c r="E43" s="7">
        <v>2</v>
      </c>
      <c r="F43" s="7">
        <v>4</v>
      </c>
      <c r="G43" s="7">
        <v>1</v>
      </c>
      <c r="H43" s="7">
        <v>3</v>
      </c>
      <c r="I43" s="7">
        <v>0.1681</v>
      </c>
      <c r="J43" s="7">
        <v>0.17119999999999999</v>
      </c>
      <c r="K43" s="7">
        <v>3.0499999999999999E-2</v>
      </c>
      <c r="L43" s="7">
        <v>2.4129999999999999E-2</v>
      </c>
      <c r="N43" s="4">
        <f t="shared" si="0"/>
        <v>0</v>
      </c>
    </row>
    <row r="44" spans="1:16" ht="18" x14ac:dyDescent="0.2">
      <c r="A44" s="1" t="s">
        <v>17</v>
      </c>
      <c r="B44" s="2" t="s">
        <v>68</v>
      </c>
      <c r="C44" s="7">
        <v>4</v>
      </c>
      <c r="D44" s="7">
        <v>1</v>
      </c>
      <c r="E44" s="7">
        <v>3</v>
      </c>
      <c r="F44" s="7">
        <v>4</v>
      </c>
      <c r="G44" s="7">
        <v>2</v>
      </c>
      <c r="H44" s="7">
        <v>2</v>
      </c>
      <c r="I44" s="7">
        <v>0.16889999999999999</v>
      </c>
      <c r="J44" s="7">
        <v>0.17150000000000001</v>
      </c>
      <c r="K44" s="7" t="s">
        <v>39</v>
      </c>
      <c r="L44" s="7" t="s">
        <v>40</v>
      </c>
      <c r="N44" s="4">
        <f t="shared" si="0"/>
        <v>0</v>
      </c>
    </row>
    <row r="45" spans="1:16" ht="18" x14ac:dyDescent="0.2">
      <c r="A45" s="1" t="s">
        <v>17</v>
      </c>
      <c r="B45" s="2" t="s">
        <v>69</v>
      </c>
      <c r="C45" s="7">
        <v>3</v>
      </c>
      <c r="D45" s="7">
        <v>1</v>
      </c>
      <c r="E45" s="7">
        <v>2</v>
      </c>
      <c r="F45" s="7">
        <v>4</v>
      </c>
      <c r="G45" s="7">
        <v>2</v>
      </c>
      <c r="H45" s="7">
        <v>3</v>
      </c>
      <c r="I45" s="7">
        <v>0.14280000000000001</v>
      </c>
      <c r="J45" s="7">
        <v>0.15240000000000001</v>
      </c>
      <c r="K45" s="7" t="s">
        <v>41</v>
      </c>
      <c r="L45" s="7" t="s">
        <v>42</v>
      </c>
      <c r="N45" s="4">
        <f t="shared" si="0"/>
        <v>0</v>
      </c>
    </row>
    <row r="46" spans="1:16" ht="18" x14ac:dyDescent="0.2">
      <c r="A46" s="1" t="s">
        <v>17</v>
      </c>
      <c r="B46" s="2" t="s">
        <v>70</v>
      </c>
      <c r="C46" s="7">
        <v>4</v>
      </c>
      <c r="D46" s="7">
        <v>2</v>
      </c>
      <c r="E46" s="7">
        <v>3</v>
      </c>
      <c r="F46" s="7">
        <v>3</v>
      </c>
      <c r="G46" s="7">
        <v>1</v>
      </c>
      <c r="H46" s="7">
        <v>2</v>
      </c>
      <c r="I46" s="7">
        <v>0.1535</v>
      </c>
      <c r="J46" s="7">
        <v>0.15609999999999999</v>
      </c>
      <c r="K46" s="7" t="s">
        <v>43</v>
      </c>
      <c r="L46" s="7">
        <v>1.1000000000000001E-3</v>
      </c>
      <c r="N46" s="4">
        <f t="shared" si="0"/>
        <v>0</v>
      </c>
    </row>
    <row r="47" spans="1:16" ht="18" x14ac:dyDescent="0.2">
      <c r="A47" s="1" t="s">
        <v>17</v>
      </c>
      <c r="B47" s="2" t="s">
        <v>71</v>
      </c>
      <c r="C47" s="7">
        <v>4</v>
      </c>
      <c r="D47" s="7">
        <v>2</v>
      </c>
      <c r="E47" s="7">
        <v>3</v>
      </c>
      <c r="F47" s="7">
        <v>4</v>
      </c>
      <c r="G47" s="7">
        <v>1</v>
      </c>
      <c r="H47" s="7">
        <v>4</v>
      </c>
      <c r="I47" s="7">
        <v>0.1104</v>
      </c>
      <c r="J47" s="7">
        <v>0.1245</v>
      </c>
      <c r="K47" s="7">
        <v>8.6999999999999994E-3</v>
      </c>
      <c r="L47" s="7">
        <v>1.069E-2</v>
      </c>
      <c r="N47" s="4">
        <f t="shared" si="0"/>
        <v>0</v>
      </c>
    </row>
    <row r="48" spans="1:16" ht="18" x14ac:dyDescent="0.2">
      <c r="A48" s="1" t="s">
        <v>17</v>
      </c>
      <c r="B48" s="2" t="s">
        <v>73</v>
      </c>
      <c r="C48" s="7">
        <v>3</v>
      </c>
      <c r="D48" s="7">
        <v>2</v>
      </c>
      <c r="E48" s="7">
        <v>1</v>
      </c>
      <c r="F48" s="7">
        <v>2</v>
      </c>
      <c r="G48" s="7">
        <v>1</v>
      </c>
      <c r="H48" s="7">
        <v>2</v>
      </c>
      <c r="I48" s="7">
        <v>0.1615</v>
      </c>
      <c r="J48" s="7">
        <v>0.16850000000000001</v>
      </c>
      <c r="K48" s="7">
        <v>3.39E-2</v>
      </c>
      <c r="L48" s="7">
        <v>2.8760000000000001E-2</v>
      </c>
      <c r="N48" s="4">
        <f t="shared" si="0"/>
        <v>0</v>
      </c>
    </row>
    <row r="49" spans="1:14" ht="18" x14ac:dyDescent="0.2">
      <c r="A49" s="1" t="s">
        <v>17</v>
      </c>
      <c r="B49" s="2" t="s">
        <v>74</v>
      </c>
      <c r="C49" s="7">
        <v>2</v>
      </c>
      <c r="D49" s="7">
        <v>1</v>
      </c>
      <c r="E49" s="7">
        <v>2</v>
      </c>
      <c r="F49" s="7">
        <v>3</v>
      </c>
      <c r="G49" s="7">
        <v>2</v>
      </c>
      <c r="H49" s="7">
        <v>1</v>
      </c>
      <c r="I49" s="7">
        <v>0.1595</v>
      </c>
      <c r="J49" s="7">
        <v>0.1711</v>
      </c>
      <c r="K49" s="7" t="s">
        <v>45</v>
      </c>
      <c r="L49" s="7" t="s">
        <v>46</v>
      </c>
      <c r="N49" s="4">
        <f t="shared" si="0"/>
        <v>0</v>
      </c>
    </row>
    <row r="50" spans="1:14" ht="18" x14ac:dyDescent="0.2">
      <c r="A50" s="1" t="s">
        <v>17</v>
      </c>
      <c r="B50" s="2" t="s">
        <v>75</v>
      </c>
      <c r="C50" s="7">
        <v>4</v>
      </c>
      <c r="D50" s="7">
        <v>0</v>
      </c>
      <c r="E50" s="7">
        <v>4</v>
      </c>
      <c r="F50" s="7">
        <v>3</v>
      </c>
      <c r="G50" s="7">
        <v>1</v>
      </c>
      <c r="H50" s="7">
        <v>3</v>
      </c>
      <c r="I50" s="7">
        <v>0.1182</v>
      </c>
      <c r="J50" s="7">
        <v>0.13569999999999999</v>
      </c>
      <c r="K50" s="7" t="s">
        <v>47</v>
      </c>
      <c r="L50" s="7">
        <v>9.2000000000000003E-4</v>
      </c>
      <c r="N50" s="4">
        <f t="shared" si="0"/>
        <v>0</v>
      </c>
    </row>
    <row r="51" spans="1:14" ht="18" x14ac:dyDescent="0.2">
      <c r="A51" s="1" t="s">
        <v>17</v>
      </c>
      <c r="B51" s="2" t="s">
        <v>76</v>
      </c>
      <c r="C51" s="7">
        <v>3</v>
      </c>
      <c r="D51" s="7">
        <v>1</v>
      </c>
      <c r="E51" s="7">
        <v>3</v>
      </c>
      <c r="F51" s="7">
        <v>4</v>
      </c>
      <c r="G51" s="7">
        <v>0</v>
      </c>
      <c r="H51" s="7">
        <v>4</v>
      </c>
      <c r="I51" s="7">
        <v>0.1236</v>
      </c>
      <c r="J51" s="7">
        <v>0.1348</v>
      </c>
      <c r="K51" s="7">
        <v>2.7999999999999998E-4</v>
      </c>
      <c r="L51" s="7">
        <v>2.5999999999999998E-4</v>
      </c>
      <c r="N51" s="4">
        <f t="shared" si="0"/>
        <v>0</v>
      </c>
    </row>
    <row r="52" spans="1:14" ht="18" x14ac:dyDescent="0.2">
      <c r="A52" s="1" t="s">
        <v>17</v>
      </c>
      <c r="B52" s="2" t="s">
        <v>77</v>
      </c>
      <c r="C52" s="7">
        <v>3</v>
      </c>
      <c r="D52" s="7">
        <v>2</v>
      </c>
      <c r="E52" s="7">
        <v>1</v>
      </c>
      <c r="F52" s="7">
        <v>3</v>
      </c>
      <c r="G52" s="7">
        <v>1</v>
      </c>
      <c r="H52" s="7">
        <v>2</v>
      </c>
      <c r="I52" s="7">
        <v>0.16789999999999999</v>
      </c>
      <c r="J52" s="7">
        <v>0.17100000000000001</v>
      </c>
      <c r="K52" s="7">
        <v>8.0300000000000007E-3</v>
      </c>
      <c r="L52" s="7">
        <v>1.7749999999999998E-2</v>
      </c>
      <c r="N52" s="4">
        <f t="shared" si="0"/>
        <v>0</v>
      </c>
    </row>
    <row r="53" spans="1:14" ht="18" x14ac:dyDescent="0.2">
      <c r="A53" s="1" t="s">
        <v>17</v>
      </c>
      <c r="B53" s="2" t="s">
        <v>78</v>
      </c>
      <c r="C53" s="7">
        <v>3</v>
      </c>
      <c r="D53" s="7">
        <v>1</v>
      </c>
      <c r="E53" s="7">
        <v>2</v>
      </c>
      <c r="F53" s="7">
        <v>3</v>
      </c>
      <c r="G53" s="7">
        <v>2</v>
      </c>
      <c r="H53" s="7">
        <v>1</v>
      </c>
      <c r="I53" s="7">
        <v>0.1641</v>
      </c>
      <c r="J53" s="7">
        <v>0.17080000000000001</v>
      </c>
      <c r="K53" s="7" t="s">
        <v>48</v>
      </c>
      <c r="L53" s="7" t="s">
        <v>49</v>
      </c>
      <c r="N53" s="4">
        <f t="shared" si="0"/>
        <v>0</v>
      </c>
    </row>
    <row r="54" spans="1:14" ht="18" x14ac:dyDescent="0.2">
      <c r="A54" s="1" t="s">
        <v>17</v>
      </c>
      <c r="B54" s="2" t="s">
        <v>79</v>
      </c>
      <c r="C54" s="7">
        <v>2</v>
      </c>
      <c r="D54" s="7">
        <v>0</v>
      </c>
      <c r="E54" s="7">
        <v>2</v>
      </c>
      <c r="F54" s="7">
        <v>1</v>
      </c>
      <c r="G54" s="7">
        <v>1</v>
      </c>
      <c r="H54" s="7">
        <v>1</v>
      </c>
      <c r="I54" s="7">
        <v>0.18010000000000001</v>
      </c>
      <c r="J54" s="7">
        <v>0.18890000000000001</v>
      </c>
      <c r="K54" s="7" t="s">
        <v>50</v>
      </c>
      <c r="L54" s="7" t="s">
        <v>51</v>
      </c>
      <c r="N54" s="4">
        <f t="shared" si="0"/>
        <v>0</v>
      </c>
    </row>
    <row r="55" spans="1:14" ht="18" x14ac:dyDescent="0.2">
      <c r="A55" s="1" t="s">
        <v>17</v>
      </c>
      <c r="B55" s="2" t="s">
        <v>80</v>
      </c>
      <c r="C55" s="7">
        <v>1</v>
      </c>
      <c r="D55" s="7">
        <v>1</v>
      </c>
      <c r="E55" s="7">
        <v>1</v>
      </c>
      <c r="F55" s="7">
        <v>2</v>
      </c>
      <c r="G55" s="7">
        <v>0</v>
      </c>
      <c r="H55" s="7">
        <v>2</v>
      </c>
      <c r="I55" s="7">
        <v>0.18329999999999999</v>
      </c>
      <c r="J55" s="7">
        <v>0.19020000000000001</v>
      </c>
      <c r="K55" s="7">
        <v>1.38E-2</v>
      </c>
      <c r="L55" s="7">
        <v>1.6580000000000001E-2</v>
      </c>
      <c r="N55" s="4">
        <f t="shared" si="0"/>
        <v>0</v>
      </c>
    </row>
    <row r="56" spans="1:14" ht="18" x14ac:dyDescent="0.2">
      <c r="A56" s="1" t="s">
        <v>17</v>
      </c>
      <c r="B56" s="2" t="s">
        <v>81</v>
      </c>
      <c r="C56" s="7">
        <v>6</v>
      </c>
      <c r="D56" s="7">
        <v>2</v>
      </c>
      <c r="E56" s="7">
        <v>5</v>
      </c>
      <c r="F56" s="7">
        <v>5</v>
      </c>
      <c r="G56" s="7">
        <v>1</v>
      </c>
      <c r="H56" s="7">
        <v>4</v>
      </c>
      <c r="I56" s="7">
        <v>0.13320000000000001</v>
      </c>
      <c r="J56" s="7">
        <v>0.1326</v>
      </c>
      <c r="K56" s="7">
        <v>2.1899999999999999E-2</v>
      </c>
      <c r="L56" s="7">
        <v>1.9E-2</v>
      </c>
      <c r="N56" s="4">
        <f t="shared" si="0"/>
        <v>0</v>
      </c>
    </row>
    <row r="57" spans="1:14" ht="18" x14ac:dyDescent="0.2">
      <c r="A57" s="1" t="s">
        <v>17</v>
      </c>
      <c r="B57" s="2" t="s">
        <v>86</v>
      </c>
      <c r="C57" s="7">
        <v>6</v>
      </c>
      <c r="D57" s="7">
        <v>1</v>
      </c>
      <c r="E57" s="7">
        <v>6</v>
      </c>
      <c r="F57" s="7">
        <v>7</v>
      </c>
      <c r="G57" s="7">
        <v>0</v>
      </c>
      <c r="H57" s="7">
        <v>7</v>
      </c>
      <c r="I57" s="7">
        <v>8.1199999999999994E-2</v>
      </c>
      <c r="J57" s="7">
        <v>7.9899999999999999E-2</v>
      </c>
      <c r="K57" s="7" t="s">
        <v>56</v>
      </c>
      <c r="L57" s="7" t="s">
        <v>57</v>
      </c>
      <c r="N57" s="4">
        <f>I57-I24</f>
        <v>-3.8900000000000004E-2</v>
      </c>
    </row>
    <row r="58" spans="1:14" ht="18" x14ac:dyDescent="0.2">
      <c r="A58" s="1" t="s">
        <v>17</v>
      </c>
      <c r="B58" s="2" t="s">
        <v>85</v>
      </c>
      <c r="C58" s="7">
        <v>7</v>
      </c>
      <c r="D58" s="7">
        <v>0</v>
      </c>
      <c r="E58" s="7">
        <v>7</v>
      </c>
      <c r="F58" s="7">
        <v>6</v>
      </c>
      <c r="G58" s="7">
        <v>1</v>
      </c>
      <c r="H58" s="7">
        <v>6</v>
      </c>
      <c r="I58" s="7">
        <v>8.14E-2</v>
      </c>
      <c r="J58" s="7">
        <v>8.2000000000000003E-2</v>
      </c>
      <c r="K58" s="7">
        <v>1.6000000000000001E-3</v>
      </c>
      <c r="L58" s="7">
        <v>8.9999999999999993E-3</v>
      </c>
      <c r="N58" s="4">
        <f t="shared" si="0"/>
        <v>-3.9999999999999758E-4</v>
      </c>
    </row>
    <row r="59" spans="1:14" ht="18" x14ac:dyDescent="0.2">
      <c r="A59" s="1" t="s">
        <v>17</v>
      </c>
      <c r="B59" s="2" t="s">
        <v>87</v>
      </c>
      <c r="C59" s="7">
        <v>8</v>
      </c>
      <c r="D59" s="7">
        <v>1</v>
      </c>
      <c r="E59" s="7">
        <v>8</v>
      </c>
      <c r="F59" s="7">
        <v>7</v>
      </c>
      <c r="G59" s="7">
        <v>0</v>
      </c>
      <c r="H59" s="7">
        <v>7</v>
      </c>
      <c r="I59" s="7">
        <v>7.5499999999999998E-2</v>
      </c>
      <c r="J59" s="7">
        <v>7.1199999999999999E-2</v>
      </c>
      <c r="K59" s="7">
        <v>6.0099999999999997E-3</v>
      </c>
      <c r="L59" s="7">
        <v>1.111E-2</v>
      </c>
      <c r="N59" s="4">
        <f t="shared" si="0"/>
        <v>-5.9000000000000025E-3</v>
      </c>
    </row>
    <row r="60" spans="1:14" ht="18" x14ac:dyDescent="0.2">
      <c r="A60" s="1" t="s">
        <v>17</v>
      </c>
      <c r="B60" s="2" t="s">
        <v>88</v>
      </c>
      <c r="C60" s="7">
        <v>7</v>
      </c>
      <c r="D60" s="7">
        <v>0</v>
      </c>
      <c r="E60" s="7">
        <v>7</v>
      </c>
      <c r="F60" s="7">
        <v>8</v>
      </c>
      <c r="G60" s="7">
        <v>1</v>
      </c>
      <c r="H60" s="7">
        <v>8</v>
      </c>
      <c r="I60" s="7">
        <v>7.7399999999999997E-2</v>
      </c>
      <c r="J60" s="7">
        <v>6.8500000000000005E-2</v>
      </c>
      <c r="K60" s="7" t="s">
        <v>58</v>
      </c>
      <c r="L60" s="7" t="s">
        <v>59</v>
      </c>
      <c r="N60" s="4">
        <f t="shared" si="0"/>
        <v>-3.7999999999999978E-3</v>
      </c>
    </row>
    <row r="61" spans="1:14" ht="18" x14ac:dyDescent="0.2">
      <c r="A61" s="1" t="s">
        <v>17</v>
      </c>
      <c r="B61" s="2" t="s">
        <v>84</v>
      </c>
      <c r="C61" s="7">
        <v>6</v>
      </c>
      <c r="D61" s="7">
        <v>0</v>
      </c>
      <c r="E61" s="7">
        <v>6</v>
      </c>
      <c r="F61" s="7">
        <v>7</v>
      </c>
      <c r="G61" s="7">
        <v>1</v>
      </c>
      <c r="H61" s="7">
        <v>7</v>
      </c>
      <c r="I61" s="7">
        <v>8.1799999999999998E-2</v>
      </c>
      <c r="J61" s="7">
        <v>8.0500000000000002E-2</v>
      </c>
      <c r="K61" s="7" t="s">
        <v>54</v>
      </c>
      <c r="L61" s="7" t="s">
        <v>55</v>
      </c>
      <c r="N61" s="4">
        <f t="shared" si="0"/>
        <v>-4.4000000000000011E-3</v>
      </c>
    </row>
    <row r="62" spans="1:14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N62" s="4"/>
    </row>
    <row r="63" spans="1:14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N63" s="4"/>
    </row>
    <row r="64" spans="1:14" x14ac:dyDescent="0.2">
      <c r="A64" s="1"/>
      <c r="B64" s="2"/>
      <c r="C64" s="1" t="s">
        <v>90</v>
      </c>
      <c r="D64" s="2"/>
      <c r="E64" s="2"/>
      <c r="F64" s="2"/>
      <c r="G64" s="2"/>
      <c r="H64" s="2"/>
      <c r="I64" s="2"/>
      <c r="J64" s="2"/>
      <c r="K64" s="2"/>
      <c r="N64" s="4"/>
    </row>
    <row r="65" spans="1:16" x14ac:dyDescent="0.2">
      <c r="A65" s="1"/>
      <c r="B65" s="2"/>
      <c r="C65" s="2">
        <f>C35-C2</f>
        <v>0</v>
      </c>
      <c r="D65" s="2">
        <f>D35-D2</f>
        <v>0</v>
      </c>
      <c r="E65" s="2">
        <f>E35-E2</f>
        <v>0</v>
      </c>
      <c r="F65" s="2">
        <f>F35-F2</f>
        <v>0</v>
      </c>
      <c r="G65" s="2">
        <f>G35-G2</f>
        <v>0</v>
      </c>
      <c r="H65" s="2">
        <f>H35-H2</f>
        <v>0</v>
      </c>
      <c r="I65" s="2"/>
      <c r="J65" s="2"/>
      <c r="K65" s="2"/>
      <c r="N65" s="4"/>
    </row>
    <row r="66" spans="1:16" x14ac:dyDescent="0.2">
      <c r="A66" s="1"/>
      <c r="B66" s="2"/>
      <c r="C66" s="2">
        <f>C36-C3</f>
        <v>0</v>
      </c>
      <c r="D66" s="2">
        <f>D36-D3</f>
        <v>0</v>
      </c>
      <c r="E66" s="2">
        <f>E36-E3</f>
        <v>0</v>
      </c>
      <c r="F66" s="2">
        <f>F36-F3</f>
        <v>0</v>
      </c>
      <c r="G66" s="2">
        <f>G36-G3</f>
        <v>0</v>
      </c>
      <c r="H66" s="2">
        <f>H36-H3</f>
        <v>0</v>
      </c>
      <c r="I66" s="2"/>
      <c r="J66" s="2"/>
      <c r="K66" s="2"/>
      <c r="N66" s="4"/>
    </row>
    <row r="67" spans="1:16" x14ac:dyDescent="0.2">
      <c r="A67" s="1"/>
      <c r="B67" s="2"/>
      <c r="C67" s="2">
        <f>C37-C4</f>
        <v>0</v>
      </c>
      <c r="D67" s="2">
        <f>D37-D4</f>
        <v>0</v>
      </c>
      <c r="E67" s="2">
        <f>E37-E4</f>
        <v>0</v>
      </c>
      <c r="F67" s="2">
        <f>F37-F4</f>
        <v>0</v>
      </c>
      <c r="G67" s="2">
        <f>G37-G4</f>
        <v>0</v>
      </c>
      <c r="H67" s="2">
        <f>H37-H4</f>
        <v>0</v>
      </c>
      <c r="I67" s="2"/>
      <c r="J67" s="2"/>
      <c r="K67" s="2"/>
    </row>
    <row r="68" spans="1:16" x14ac:dyDescent="0.2">
      <c r="A68" s="1"/>
      <c r="B68" s="2"/>
      <c r="C68" s="2">
        <f>C38-C5</f>
        <v>0</v>
      </c>
      <c r="D68" s="2">
        <f>D38-D5</f>
        <v>0</v>
      </c>
      <c r="E68" s="2">
        <f>E38-E5</f>
        <v>0</v>
      </c>
      <c r="F68" s="2">
        <f>F38-F5</f>
        <v>0</v>
      </c>
      <c r="G68" s="2">
        <f>G38-G5</f>
        <v>0</v>
      </c>
      <c r="H68" s="2">
        <f>H38-H5</f>
        <v>0</v>
      </c>
      <c r="I68" s="2"/>
      <c r="J68" s="2"/>
      <c r="K68" s="2"/>
    </row>
    <row r="69" spans="1:16" x14ac:dyDescent="0.2">
      <c r="A69" s="1"/>
      <c r="B69" s="2"/>
      <c r="C69" s="2">
        <f>C39-C6</f>
        <v>0</v>
      </c>
      <c r="D69" s="2">
        <f>D39-D6</f>
        <v>0</v>
      </c>
      <c r="E69" s="2">
        <f>E39-E6</f>
        <v>0</v>
      </c>
      <c r="F69" s="2">
        <f>F39-F6</f>
        <v>0</v>
      </c>
      <c r="G69" s="2">
        <f>G39-G6</f>
        <v>0</v>
      </c>
      <c r="H69" s="2">
        <f>H39-H6</f>
        <v>0</v>
      </c>
      <c r="I69" s="2"/>
      <c r="J69" s="2"/>
      <c r="K69" s="2"/>
    </row>
    <row r="70" spans="1:16" x14ac:dyDescent="0.2">
      <c r="C70" s="2">
        <f>C40-C7</f>
        <v>0</v>
      </c>
      <c r="D70" s="2">
        <f>D40-D7</f>
        <v>0</v>
      </c>
      <c r="E70" s="2">
        <f>E40-E7</f>
        <v>0</v>
      </c>
      <c r="F70" s="2">
        <f>F40-F7</f>
        <v>0</v>
      </c>
      <c r="G70" s="2">
        <f>G40-G7</f>
        <v>0</v>
      </c>
      <c r="H70" s="2">
        <f>H40-H7</f>
        <v>0</v>
      </c>
      <c r="I70" s="2"/>
      <c r="J70" s="2"/>
      <c r="K70" s="2"/>
    </row>
    <row r="71" spans="1:16" x14ac:dyDescent="0.2">
      <c r="C71" s="2">
        <f>C41-C8</f>
        <v>0</v>
      </c>
      <c r="D71" s="2">
        <f>D41-D8</f>
        <v>0</v>
      </c>
      <c r="E71" s="2">
        <f>E41-E8</f>
        <v>0</v>
      </c>
      <c r="F71" s="2">
        <f>F41-F8</f>
        <v>0</v>
      </c>
      <c r="G71" s="2">
        <f>G41-G8</f>
        <v>0</v>
      </c>
      <c r="H71" s="2">
        <f>H41-H8</f>
        <v>0</v>
      </c>
    </row>
    <row r="72" spans="1:16" x14ac:dyDescent="0.2">
      <c r="C72" s="2">
        <f>C42-C9</f>
        <v>0</v>
      </c>
      <c r="D72" s="2">
        <f>D42-D9</f>
        <v>0</v>
      </c>
      <c r="E72" s="2">
        <f>E42-E9</f>
        <v>0</v>
      </c>
      <c r="F72" s="2">
        <f>F42-F9</f>
        <v>0</v>
      </c>
      <c r="G72" s="2">
        <f>G42-G9</f>
        <v>0</v>
      </c>
      <c r="H72" s="2">
        <f>H42-H9</f>
        <v>0</v>
      </c>
    </row>
    <row r="73" spans="1:16" x14ac:dyDescent="0.2">
      <c r="C73" s="2">
        <f t="shared" ref="C73:H73" si="1">C43-C10</f>
        <v>0</v>
      </c>
      <c r="D73" s="2">
        <f t="shared" si="1"/>
        <v>0</v>
      </c>
      <c r="E73" s="2">
        <f t="shared" si="1"/>
        <v>0</v>
      </c>
      <c r="F73" s="2">
        <f t="shared" si="1"/>
        <v>0</v>
      </c>
      <c r="G73" s="2">
        <f t="shared" si="1"/>
        <v>0</v>
      </c>
      <c r="H73" s="2">
        <f t="shared" si="1"/>
        <v>0</v>
      </c>
    </row>
    <row r="74" spans="1:16" x14ac:dyDescent="0.2">
      <c r="C74" s="2">
        <f t="shared" ref="C74:H74" si="2">C44-C11</f>
        <v>0</v>
      </c>
      <c r="D74" s="2">
        <f t="shared" si="2"/>
        <v>0</v>
      </c>
      <c r="E74" s="2">
        <f t="shared" si="2"/>
        <v>0</v>
      </c>
      <c r="F74" s="2">
        <f t="shared" si="2"/>
        <v>0</v>
      </c>
      <c r="G74" s="2">
        <f t="shared" si="2"/>
        <v>0</v>
      </c>
      <c r="H74" s="2">
        <f t="shared" si="2"/>
        <v>0</v>
      </c>
      <c r="N74" s="1"/>
      <c r="O74" s="1"/>
    </row>
    <row r="75" spans="1:16" x14ac:dyDescent="0.2">
      <c r="C75" s="2">
        <f t="shared" ref="C75:H75" si="3">C45-C12</f>
        <v>0</v>
      </c>
      <c r="D75" s="2">
        <f t="shared" si="3"/>
        <v>0</v>
      </c>
      <c r="E75" s="2">
        <f t="shared" si="3"/>
        <v>0</v>
      </c>
      <c r="F75" s="2">
        <f t="shared" si="3"/>
        <v>0</v>
      </c>
      <c r="G75" s="2">
        <f t="shared" si="3"/>
        <v>0</v>
      </c>
      <c r="H75" s="2">
        <f t="shared" si="3"/>
        <v>0</v>
      </c>
      <c r="N75" s="5"/>
      <c r="O75" s="5"/>
      <c r="P75" s="5"/>
    </row>
    <row r="76" spans="1:16" x14ac:dyDescent="0.2">
      <c r="C76" s="2">
        <f t="shared" ref="C76:H76" si="4">C46-C13</f>
        <v>0</v>
      </c>
      <c r="D76" s="2">
        <f t="shared" si="4"/>
        <v>0</v>
      </c>
      <c r="E76" s="2">
        <f t="shared" si="4"/>
        <v>0</v>
      </c>
      <c r="F76" s="2">
        <f t="shared" si="4"/>
        <v>0</v>
      </c>
      <c r="G76" s="2">
        <f t="shared" si="4"/>
        <v>0</v>
      </c>
      <c r="H76" s="2">
        <f t="shared" si="4"/>
        <v>0</v>
      </c>
      <c r="N76" s="5"/>
      <c r="O76" s="5"/>
      <c r="P76" s="5"/>
    </row>
    <row r="77" spans="1:16" x14ac:dyDescent="0.2">
      <c r="C77" s="2">
        <f t="shared" ref="C77:H77" si="5">C47-C14</f>
        <v>0</v>
      </c>
      <c r="D77" s="2">
        <f t="shared" si="5"/>
        <v>0</v>
      </c>
      <c r="E77" s="2">
        <f t="shared" si="5"/>
        <v>0</v>
      </c>
      <c r="F77" s="2">
        <f t="shared" si="5"/>
        <v>0</v>
      </c>
      <c r="G77" s="2">
        <f t="shared" si="5"/>
        <v>0</v>
      </c>
      <c r="H77" s="2">
        <f t="shared" si="5"/>
        <v>0</v>
      </c>
      <c r="N77" s="5"/>
      <c r="O77" s="5"/>
      <c r="P77" s="5"/>
    </row>
    <row r="78" spans="1:16" x14ac:dyDescent="0.2">
      <c r="C78" s="2">
        <f t="shared" ref="C78:H78" si="6">C48-C15</f>
        <v>0</v>
      </c>
      <c r="D78" s="2">
        <f t="shared" si="6"/>
        <v>0</v>
      </c>
      <c r="E78" s="2">
        <f t="shared" si="6"/>
        <v>0</v>
      </c>
      <c r="F78" s="2">
        <f t="shared" si="6"/>
        <v>0</v>
      </c>
      <c r="G78" s="2">
        <f t="shared" si="6"/>
        <v>0</v>
      </c>
      <c r="H78" s="2">
        <f t="shared" si="6"/>
        <v>0</v>
      </c>
      <c r="N78" s="5"/>
      <c r="O78" s="5"/>
      <c r="P78" s="5"/>
    </row>
    <row r="79" spans="1:16" x14ac:dyDescent="0.2">
      <c r="C79" s="2">
        <f t="shared" ref="C79:H79" si="7">C49-C16</f>
        <v>0</v>
      </c>
      <c r="D79" s="2">
        <f t="shared" si="7"/>
        <v>0</v>
      </c>
      <c r="E79" s="2">
        <f t="shared" si="7"/>
        <v>0</v>
      </c>
      <c r="F79" s="2">
        <f t="shared" si="7"/>
        <v>0</v>
      </c>
      <c r="G79" s="2">
        <f t="shared" si="7"/>
        <v>0</v>
      </c>
      <c r="H79" s="2">
        <f t="shared" si="7"/>
        <v>0</v>
      </c>
      <c r="N79" s="5"/>
      <c r="O79" s="5"/>
      <c r="P79" s="5"/>
    </row>
    <row r="80" spans="1:16" x14ac:dyDescent="0.2">
      <c r="C80" s="2">
        <f t="shared" ref="C80:H80" si="8">C50-C17</f>
        <v>0</v>
      </c>
      <c r="D80" s="2">
        <f t="shared" si="8"/>
        <v>0</v>
      </c>
      <c r="E80" s="2">
        <f t="shared" si="8"/>
        <v>0</v>
      </c>
      <c r="F80" s="2">
        <f t="shared" si="8"/>
        <v>0</v>
      </c>
      <c r="G80" s="2">
        <f t="shared" si="8"/>
        <v>0</v>
      </c>
      <c r="H80" s="2">
        <f t="shared" si="8"/>
        <v>0</v>
      </c>
      <c r="N80" s="5"/>
      <c r="O80" s="5"/>
      <c r="P80" s="5"/>
    </row>
    <row r="81" spans="3:16" x14ac:dyDescent="0.2">
      <c r="C81" s="2">
        <f t="shared" ref="C81:H81" si="9">C51-C18</f>
        <v>0</v>
      </c>
      <c r="D81" s="2">
        <f t="shared" si="9"/>
        <v>0</v>
      </c>
      <c r="E81" s="2">
        <f t="shared" si="9"/>
        <v>0</v>
      </c>
      <c r="F81" s="2">
        <f t="shared" si="9"/>
        <v>0</v>
      </c>
      <c r="G81" s="2">
        <f t="shared" si="9"/>
        <v>0</v>
      </c>
      <c r="H81" s="2">
        <f t="shared" si="9"/>
        <v>0</v>
      </c>
      <c r="N81" s="5"/>
      <c r="O81" s="5"/>
      <c r="P81" s="5"/>
    </row>
    <row r="82" spans="3:16" x14ac:dyDescent="0.2">
      <c r="C82" s="2">
        <f t="shared" ref="C82:H82" si="10">C52-C19</f>
        <v>0</v>
      </c>
      <c r="D82" s="2">
        <f t="shared" si="10"/>
        <v>0</v>
      </c>
      <c r="E82" s="2">
        <f t="shared" si="10"/>
        <v>0</v>
      </c>
      <c r="F82" s="2">
        <f t="shared" si="10"/>
        <v>0</v>
      </c>
      <c r="G82" s="2">
        <f t="shared" si="10"/>
        <v>0</v>
      </c>
      <c r="H82" s="2">
        <f t="shared" si="10"/>
        <v>0</v>
      </c>
      <c r="N82" s="5"/>
      <c r="O82" s="5"/>
      <c r="P82" s="5"/>
    </row>
    <row r="83" spans="3:16" x14ac:dyDescent="0.2">
      <c r="C83" s="2">
        <f t="shared" ref="C83:H83" si="11">C53-C20</f>
        <v>0</v>
      </c>
      <c r="D83" s="2">
        <f t="shared" si="11"/>
        <v>0</v>
      </c>
      <c r="E83" s="2">
        <f t="shared" si="11"/>
        <v>0</v>
      </c>
      <c r="F83" s="2">
        <f t="shared" si="11"/>
        <v>0</v>
      </c>
      <c r="G83" s="2">
        <f t="shared" si="11"/>
        <v>0</v>
      </c>
      <c r="H83" s="2">
        <f t="shared" si="11"/>
        <v>0</v>
      </c>
      <c r="N83" s="5"/>
      <c r="O83" s="5"/>
      <c r="P83" s="5"/>
    </row>
    <row r="84" spans="3:16" x14ac:dyDescent="0.2">
      <c r="C84" s="2">
        <f t="shared" ref="C84:H84" si="12">C54-C21</f>
        <v>0</v>
      </c>
      <c r="D84" s="2">
        <f t="shared" si="12"/>
        <v>0</v>
      </c>
      <c r="E84" s="2">
        <f t="shared" si="12"/>
        <v>0</v>
      </c>
      <c r="F84" s="2">
        <f t="shared" si="12"/>
        <v>0</v>
      </c>
      <c r="G84" s="2">
        <f t="shared" si="12"/>
        <v>0</v>
      </c>
      <c r="H84" s="2">
        <f t="shared" si="12"/>
        <v>0</v>
      </c>
      <c r="N84" s="5"/>
      <c r="O84" s="5"/>
      <c r="P84" s="5"/>
    </row>
    <row r="85" spans="3:16" x14ac:dyDescent="0.2">
      <c r="C85" s="2">
        <f t="shared" ref="C85:H85" si="13">C55-C22</f>
        <v>0</v>
      </c>
      <c r="D85" s="2">
        <f t="shared" si="13"/>
        <v>0</v>
      </c>
      <c r="E85" s="2">
        <f t="shared" si="13"/>
        <v>0</v>
      </c>
      <c r="F85" s="2">
        <f t="shared" si="13"/>
        <v>0</v>
      </c>
      <c r="G85" s="2">
        <f t="shared" si="13"/>
        <v>0</v>
      </c>
      <c r="H85" s="2">
        <f t="shared" si="13"/>
        <v>0</v>
      </c>
      <c r="N85" s="5"/>
      <c r="O85" s="5"/>
      <c r="P85" s="5"/>
    </row>
    <row r="86" spans="3:16" x14ac:dyDescent="0.2">
      <c r="C86" s="2">
        <f t="shared" ref="C86:H86" si="14">C56-C23</f>
        <v>0</v>
      </c>
      <c r="D86" s="2">
        <f t="shared" si="14"/>
        <v>0</v>
      </c>
      <c r="E86" s="2">
        <f t="shared" si="14"/>
        <v>0</v>
      </c>
      <c r="F86" s="2">
        <f t="shared" si="14"/>
        <v>0</v>
      </c>
      <c r="G86" s="2">
        <f t="shared" si="14"/>
        <v>0</v>
      </c>
      <c r="H86" s="2">
        <f t="shared" si="14"/>
        <v>0</v>
      </c>
      <c r="N86" s="5"/>
      <c r="O86" s="5"/>
      <c r="P86" s="5"/>
    </row>
    <row r="87" spans="3:16" x14ac:dyDescent="0.2">
      <c r="C87" s="2">
        <f t="shared" ref="C87:H87" si="15">C57-C24</f>
        <v>0</v>
      </c>
      <c r="D87" s="2">
        <f t="shared" si="15"/>
        <v>0</v>
      </c>
      <c r="E87" s="2">
        <f t="shared" si="15"/>
        <v>0</v>
      </c>
      <c r="F87" s="2">
        <f t="shared" si="15"/>
        <v>0</v>
      </c>
      <c r="G87" s="2">
        <f t="shared" si="15"/>
        <v>0</v>
      </c>
      <c r="H87" s="2">
        <f t="shared" si="15"/>
        <v>0</v>
      </c>
      <c r="N87" s="5"/>
      <c r="O87" s="5"/>
      <c r="P87" s="5"/>
    </row>
    <row r="88" spans="3:16" x14ac:dyDescent="0.2">
      <c r="C88" s="2">
        <f t="shared" ref="C88:H88" si="16">C58-C25</f>
        <v>0</v>
      </c>
      <c r="D88" s="2">
        <f t="shared" si="16"/>
        <v>0</v>
      </c>
      <c r="E88" s="2">
        <f t="shared" si="16"/>
        <v>0</v>
      </c>
      <c r="F88" s="2">
        <f t="shared" si="16"/>
        <v>0</v>
      </c>
      <c r="G88" s="2">
        <f t="shared" si="16"/>
        <v>0</v>
      </c>
      <c r="H88" s="2">
        <f t="shared" si="16"/>
        <v>0</v>
      </c>
      <c r="N88" s="5"/>
      <c r="O88" s="5"/>
      <c r="P88" s="5"/>
    </row>
    <row r="89" spans="3:16" x14ac:dyDescent="0.2">
      <c r="C89" s="2">
        <f t="shared" ref="C89:H89" si="17">C59-C26</f>
        <v>0</v>
      </c>
      <c r="D89" s="2">
        <f t="shared" si="17"/>
        <v>0</v>
      </c>
      <c r="E89" s="2">
        <f t="shared" si="17"/>
        <v>0</v>
      </c>
      <c r="F89" s="2">
        <f t="shared" si="17"/>
        <v>0</v>
      </c>
      <c r="G89" s="2">
        <f t="shared" si="17"/>
        <v>0</v>
      </c>
      <c r="H89" s="2">
        <f t="shared" si="17"/>
        <v>0</v>
      </c>
      <c r="N89" s="4"/>
      <c r="O89" s="6"/>
      <c r="P89" s="4"/>
    </row>
    <row r="90" spans="3:16" x14ac:dyDescent="0.2">
      <c r="C90" s="2">
        <f t="shared" ref="C90:H90" si="18">C60-C27</f>
        <v>0</v>
      </c>
      <c r="D90" s="2">
        <f t="shared" si="18"/>
        <v>0</v>
      </c>
      <c r="E90" s="2">
        <f t="shared" si="18"/>
        <v>0</v>
      </c>
      <c r="F90" s="2">
        <f t="shared" si="18"/>
        <v>0</v>
      </c>
      <c r="G90" s="2">
        <f t="shared" si="18"/>
        <v>0</v>
      </c>
      <c r="H90" s="2">
        <f t="shared" si="18"/>
        <v>0</v>
      </c>
      <c r="N90" s="4"/>
      <c r="O90" s="6"/>
      <c r="P90" s="4"/>
    </row>
    <row r="91" spans="3:16" x14ac:dyDescent="0.2">
      <c r="C91" s="2">
        <f t="shared" ref="C91:H91" si="19">C61-C28</f>
        <v>0</v>
      </c>
      <c r="D91" s="2">
        <f t="shared" si="19"/>
        <v>0</v>
      </c>
      <c r="E91" s="2">
        <f>E61-E28</f>
        <v>0</v>
      </c>
      <c r="F91" s="2">
        <f t="shared" si="19"/>
        <v>0</v>
      </c>
      <c r="G91" s="2">
        <f t="shared" si="19"/>
        <v>0</v>
      </c>
      <c r="H91" s="2">
        <f t="shared" si="19"/>
        <v>0</v>
      </c>
      <c r="O91" s="6"/>
      <c r="P91" s="4"/>
    </row>
    <row r="92" spans="3:16" x14ac:dyDescent="0.2">
      <c r="C92" s="2"/>
      <c r="D92" s="2"/>
      <c r="E92" s="2"/>
      <c r="F92" s="2"/>
      <c r="G92" s="2"/>
      <c r="H92" s="2"/>
      <c r="O92" s="6"/>
      <c r="P92" s="4"/>
    </row>
    <row r="93" spans="3:16" x14ac:dyDescent="0.2">
      <c r="C93" s="2"/>
      <c r="D93" s="2"/>
      <c r="E93" s="2"/>
      <c r="F93" s="2"/>
      <c r="G93" s="2"/>
      <c r="H93" s="2"/>
      <c r="N93" s="4"/>
      <c r="O93" s="6"/>
      <c r="P93" s="4"/>
    </row>
    <row r="94" spans="3:16" x14ac:dyDescent="0.2">
      <c r="C94" s="2"/>
      <c r="D94" s="2"/>
      <c r="E94" s="2"/>
      <c r="F94" s="2"/>
      <c r="G94" s="2"/>
      <c r="H94" s="2"/>
      <c r="N94" s="4"/>
      <c r="O94" s="6"/>
      <c r="P94" s="4"/>
    </row>
    <row r="95" spans="3:16" x14ac:dyDescent="0.2">
      <c r="C95" s="2"/>
      <c r="D95" s="2"/>
      <c r="E95" s="2"/>
      <c r="F95" s="2"/>
      <c r="G95" s="2"/>
      <c r="H95" s="2"/>
      <c r="N95" s="4"/>
      <c r="O95" s="6"/>
      <c r="P95" s="4"/>
    </row>
    <row r="96" spans="3:16" x14ac:dyDescent="0.2">
      <c r="C96" s="2"/>
      <c r="D96" s="2"/>
      <c r="E96" s="2"/>
      <c r="F96" s="2"/>
      <c r="G96" s="2"/>
      <c r="H96" s="2"/>
      <c r="I96" s="2"/>
      <c r="N96" s="4"/>
      <c r="O96" s="6"/>
      <c r="P96" s="4"/>
    </row>
    <row r="97" spans="1:16" x14ac:dyDescent="0.2">
      <c r="C97" s="2"/>
      <c r="D97" s="2"/>
      <c r="E97" s="2"/>
      <c r="F97" s="2"/>
      <c r="G97" s="2"/>
      <c r="H97" s="2"/>
      <c r="I97" s="2"/>
      <c r="N97" s="4"/>
      <c r="O97" s="6"/>
      <c r="P97" s="4"/>
    </row>
    <row r="98" spans="1:16" x14ac:dyDescent="0.2">
      <c r="N98" s="4"/>
      <c r="O98" s="6"/>
      <c r="P98" s="4"/>
    </row>
    <row r="99" spans="1:16" x14ac:dyDescent="0.2">
      <c r="N99" s="4"/>
      <c r="O99" s="6"/>
      <c r="P99" s="4"/>
    </row>
    <row r="103" spans="1:16" x14ac:dyDescent="0.2">
      <c r="A103" t="s">
        <v>91</v>
      </c>
    </row>
    <row r="104" spans="1:16" ht="18" x14ac:dyDescent="0.2">
      <c r="A104" s="1" t="s">
        <v>17</v>
      </c>
      <c r="B104" s="2" t="s">
        <v>72</v>
      </c>
      <c r="C104" s="7">
        <v>4</v>
      </c>
      <c r="D104" s="7">
        <v>1</v>
      </c>
      <c r="E104" s="7">
        <v>4</v>
      </c>
      <c r="F104" s="7">
        <v>4</v>
      </c>
      <c r="G104" s="7">
        <v>2</v>
      </c>
      <c r="H104" s="7">
        <v>3</v>
      </c>
      <c r="I104" s="7"/>
      <c r="J104" s="7">
        <v>0.1265</v>
      </c>
      <c r="K104" s="7"/>
      <c r="L104" s="7" t="s">
        <v>44</v>
      </c>
      <c r="N104" s="4">
        <f>I104-I15</f>
        <v>-0.1615</v>
      </c>
    </row>
    <row r="105" spans="1:16" ht="18" x14ac:dyDescent="0.2">
      <c r="A105" s="1" t="s">
        <v>17</v>
      </c>
      <c r="B105" s="2" t="s">
        <v>83</v>
      </c>
      <c r="C105" s="7">
        <v>7</v>
      </c>
      <c r="D105" s="7">
        <v>1</v>
      </c>
      <c r="E105" s="7">
        <v>7</v>
      </c>
      <c r="F105" s="7">
        <v>6</v>
      </c>
      <c r="G105" s="7">
        <v>0</v>
      </c>
      <c r="H105" s="7">
        <v>6</v>
      </c>
      <c r="I105" s="7">
        <v>8.6199999999999999E-2</v>
      </c>
      <c r="J105" s="7">
        <v>8.2900000000000001E-2</v>
      </c>
      <c r="K105" s="7">
        <v>9.3900000000000008E-3</v>
      </c>
      <c r="L105" s="7">
        <v>1.197E-2</v>
      </c>
      <c r="N105" s="4">
        <f>I105-I25</f>
        <v>4.4000000000000011E-3</v>
      </c>
    </row>
    <row r="106" spans="1:16" ht="18" x14ac:dyDescent="0.2">
      <c r="A106" s="1" t="s">
        <v>17</v>
      </c>
      <c r="B106" s="2" t="s">
        <v>82</v>
      </c>
      <c r="C106" s="7">
        <v>5</v>
      </c>
      <c r="D106" s="7">
        <v>1</v>
      </c>
      <c r="E106" s="7">
        <v>4</v>
      </c>
      <c r="F106" s="7">
        <v>6</v>
      </c>
      <c r="G106" s="7">
        <v>2</v>
      </c>
      <c r="H106" s="7">
        <v>5</v>
      </c>
      <c r="I106" s="7">
        <v>0.1201</v>
      </c>
      <c r="J106" s="7">
        <v>0.12889999999999999</v>
      </c>
      <c r="K106" s="7" t="s">
        <v>52</v>
      </c>
      <c r="L106" s="7" t="s">
        <v>53</v>
      </c>
      <c r="N106" s="4">
        <f>I106-I24</f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Guest, Elizabeth</dc:creator>
  <cp:lastModifiedBy>Guest, Elizabeth</cp:lastModifiedBy>
  <dcterms:created xsi:type="dcterms:W3CDTF">2025-05-16T15:47:31Z</dcterms:created>
  <dcterms:modified xsi:type="dcterms:W3CDTF">2025-06-13T14:52:27Z</dcterms:modified>
</cp:coreProperties>
</file>